
<file path=[Content_Types].xml><?xml version="1.0" encoding="utf-8"?>
<Types xmlns="http://schemas.openxmlformats.org/package/2006/content-types"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ink/ink1.xml" ContentType="application/inkml+xml"/>
  <Override PartName="/xl/ink/ink2.xml" ContentType="application/inkml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kenbright.sharepoint.com/sites/KENBRIGHTAI317-Automation/Shared Documents/Automation/New Joiners Training Module/Training Modules/Module 5_Capital Adequacy/Working Files/"/>
    </mc:Choice>
  </mc:AlternateContent>
  <xr:revisionPtr revIDLastSave="189" documentId="13_ncr:1_{138B5414-CB65-446E-9EA7-EC090660D1C4}" xr6:coauthVersionLast="47" xr6:coauthVersionMax="47" xr10:uidLastSave="{F83801BF-982E-440B-8F04-D974AA9549ED}"/>
  <bookViews>
    <workbookView xWindow="-103" yWindow="-103" windowWidth="26537" windowHeight="15943" tabRatio="863" activeTab="8" xr2:uid="{4A4877B6-DD8A-4109-9DCD-F24390686311}"/>
  </bookViews>
  <sheets>
    <sheet name="41-1A" sheetId="9" r:id="rId1"/>
    <sheet name="41-1B" sheetId="13" r:id="rId2"/>
    <sheet name="41-1C" sheetId="14" r:id="rId3"/>
    <sheet name="41-1D" sheetId="15" r:id="rId4"/>
    <sheet name="41-1E" sheetId="16" r:id="rId5"/>
    <sheet name="41-1F" sheetId="17" r:id="rId6"/>
    <sheet name="41-1" sheetId="1" r:id="rId7"/>
    <sheet name="Valuation Results" sheetId="18" r:id="rId8"/>
    <sheet name="Sheet1" sheetId="19" r:id="rId9"/>
  </sheets>
  <externalReferences>
    <externalReference r:id="rId10"/>
  </externalReferences>
  <definedNames>
    <definedName name="anscount" hidden="1">6</definedName>
    <definedName name="Life_name">[1]Details!$F$10</definedName>
    <definedName name="Life_return">[1]Details!$F$12</definedName>
    <definedName name="Life_year">[1]Details!$F$16</definedName>
    <definedName name="limcount" hidden="1">2</definedName>
    <definedName name="Period_end">[1]Details!$F$18</definedName>
    <definedName name="sencount" hidden="1">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5" i="19" l="1"/>
  <c r="I15" i="19"/>
  <c r="I16" i="19"/>
  <c r="J16" i="19" s="1"/>
  <c r="J15" i="19"/>
  <c r="I14" i="19"/>
  <c r="J14" i="19" s="1"/>
  <c r="I533" i="19"/>
  <c r="J533" i="19" s="1"/>
  <c r="I532" i="19"/>
  <c r="J532" i="19" s="1"/>
  <c r="I531" i="19"/>
  <c r="J531" i="19" s="1"/>
  <c r="J530" i="19"/>
  <c r="I530" i="19"/>
  <c r="I529" i="19"/>
  <c r="J529" i="19" s="1"/>
  <c r="I528" i="19"/>
  <c r="J528" i="19" s="1"/>
  <c r="I527" i="19"/>
  <c r="J527" i="19" s="1"/>
  <c r="I526" i="19"/>
  <c r="J526" i="19" s="1"/>
  <c r="I525" i="19"/>
  <c r="J525" i="19" s="1"/>
  <c r="I524" i="19"/>
  <c r="J524" i="19" s="1"/>
  <c r="I523" i="19"/>
  <c r="J523" i="19" s="1"/>
  <c r="I522" i="19"/>
  <c r="J522" i="19" s="1"/>
  <c r="I521" i="19"/>
  <c r="J521" i="19" s="1"/>
  <c r="J520" i="19"/>
  <c r="I520" i="19"/>
  <c r="I519" i="19"/>
  <c r="J519" i="19" s="1"/>
  <c r="I518" i="19"/>
  <c r="J518" i="19" s="1"/>
  <c r="I517" i="19"/>
  <c r="J517" i="19" s="1"/>
  <c r="J516" i="19"/>
  <c r="I516" i="19"/>
  <c r="I515" i="19"/>
  <c r="J515" i="19" s="1"/>
  <c r="J514" i="19"/>
  <c r="I514" i="19"/>
  <c r="I513" i="19"/>
  <c r="J513" i="19" s="1"/>
  <c r="I512" i="19"/>
  <c r="J512" i="19" s="1"/>
  <c r="I511" i="19"/>
  <c r="J511" i="19" s="1"/>
  <c r="J510" i="19"/>
  <c r="I510" i="19"/>
  <c r="I509" i="19"/>
  <c r="J509" i="19" s="1"/>
  <c r="I508" i="19"/>
  <c r="J508" i="19" s="1"/>
  <c r="I507" i="19"/>
  <c r="J507" i="19" s="1"/>
  <c r="I506" i="19"/>
  <c r="J506" i="19" s="1"/>
  <c r="J505" i="19"/>
  <c r="I505" i="19"/>
  <c r="I504" i="19"/>
  <c r="J504" i="19" s="1"/>
  <c r="I503" i="19"/>
  <c r="J503" i="19" s="1"/>
  <c r="I502" i="19"/>
  <c r="J502" i="19" s="1"/>
  <c r="J501" i="19"/>
  <c r="I501" i="19"/>
  <c r="J500" i="19"/>
  <c r="I500" i="19"/>
  <c r="I499" i="19"/>
  <c r="J499" i="19" s="1"/>
  <c r="I498" i="19"/>
  <c r="J498" i="19" s="1"/>
  <c r="I497" i="19"/>
  <c r="J497" i="19" s="1"/>
  <c r="I496" i="19"/>
  <c r="J496" i="19" s="1"/>
  <c r="I495" i="19"/>
  <c r="J495" i="19" s="1"/>
  <c r="J494" i="19"/>
  <c r="I494" i="19"/>
  <c r="I493" i="19"/>
  <c r="J493" i="19" s="1"/>
  <c r="I492" i="19"/>
  <c r="J492" i="19" s="1"/>
  <c r="J491" i="19"/>
  <c r="I491" i="19"/>
  <c r="I490" i="19"/>
  <c r="J490" i="19" s="1"/>
  <c r="I489" i="19"/>
  <c r="J489" i="19" s="1"/>
  <c r="J488" i="19"/>
  <c r="I488" i="19"/>
  <c r="J487" i="19"/>
  <c r="I487" i="19"/>
  <c r="I486" i="19"/>
  <c r="J486" i="19" s="1"/>
  <c r="I485" i="19"/>
  <c r="J485" i="19" s="1"/>
  <c r="J484" i="19"/>
  <c r="I484" i="19"/>
  <c r="J483" i="19"/>
  <c r="I483" i="19"/>
  <c r="I482" i="19"/>
  <c r="J482" i="19" s="1"/>
  <c r="I481" i="19"/>
  <c r="J481" i="19" s="1"/>
  <c r="J480" i="19"/>
  <c r="I480" i="19"/>
  <c r="I479" i="19"/>
  <c r="J479" i="19" s="1"/>
  <c r="I478" i="19"/>
  <c r="J478" i="19" s="1"/>
  <c r="I477" i="19"/>
  <c r="J477" i="19" s="1"/>
  <c r="J476" i="19"/>
  <c r="I476" i="19"/>
  <c r="I475" i="19"/>
  <c r="J475" i="19" s="1"/>
  <c r="I474" i="19"/>
  <c r="J474" i="19" s="1"/>
  <c r="I473" i="19"/>
  <c r="J473" i="19" s="1"/>
  <c r="I472" i="19"/>
  <c r="J472" i="19" s="1"/>
  <c r="I471" i="19"/>
  <c r="J471" i="19" s="1"/>
  <c r="I470" i="19"/>
  <c r="J470" i="19" s="1"/>
  <c r="J469" i="19"/>
  <c r="I469" i="19"/>
  <c r="I468" i="19"/>
  <c r="J468" i="19" s="1"/>
  <c r="I467" i="19"/>
  <c r="J467" i="19" s="1"/>
  <c r="I466" i="19"/>
  <c r="J466" i="19" s="1"/>
  <c r="J465" i="19"/>
  <c r="I465" i="19"/>
  <c r="I464" i="19"/>
  <c r="J464" i="19" s="1"/>
  <c r="J463" i="19"/>
  <c r="I463" i="19"/>
  <c r="I462" i="19"/>
  <c r="J462" i="19" s="1"/>
  <c r="I461" i="19"/>
  <c r="J461" i="19" s="1"/>
  <c r="J460" i="19"/>
  <c r="I460" i="19"/>
  <c r="I459" i="19"/>
  <c r="J459" i="19" s="1"/>
  <c r="J458" i="19"/>
  <c r="I458" i="19"/>
  <c r="I457" i="19"/>
  <c r="J457" i="19" s="1"/>
  <c r="I456" i="19"/>
  <c r="J456" i="19" s="1"/>
  <c r="I455" i="19"/>
  <c r="J455" i="19" s="1"/>
  <c r="I454" i="19"/>
  <c r="J454" i="19" s="1"/>
  <c r="I453" i="19"/>
  <c r="J453" i="19" s="1"/>
  <c r="I452" i="19"/>
  <c r="J452" i="19" s="1"/>
  <c r="J451" i="19"/>
  <c r="I451" i="19"/>
  <c r="I450" i="19"/>
  <c r="J450" i="19" s="1"/>
  <c r="I449" i="19"/>
  <c r="J449" i="19" s="1"/>
  <c r="J448" i="19"/>
  <c r="I448" i="19"/>
  <c r="I447" i="19"/>
  <c r="J447" i="19" s="1"/>
  <c r="I446" i="19"/>
  <c r="J446" i="19" s="1"/>
  <c r="J445" i="19"/>
  <c r="I445" i="19"/>
  <c r="I444" i="19"/>
  <c r="J444" i="19" s="1"/>
  <c r="I443" i="19"/>
  <c r="J443" i="19" s="1"/>
  <c r="I442" i="19"/>
  <c r="J442" i="19" s="1"/>
  <c r="J441" i="19"/>
  <c r="I441" i="19"/>
  <c r="J440" i="19"/>
  <c r="I440" i="19"/>
  <c r="I439" i="19"/>
  <c r="J439" i="19" s="1"/>
  <c r="J438" i="19"/>
  <c r="I438" i="19"/>
  <c r="J437" i="19"/>
  <c r="I437" i="19"/>
  <c r="I436" i="19"/>
  <c r="J436" i="19" s="1"/>
  <c r="I435" i="19"/>
  <c r="J435" i="19" s="1"/>
  <c r="I434" i="19"/>
  <c r="J434" i="19" s="1"/>
  <c r="I433" i="19"/>
  <c r="J433" i="19" s="1"/>
  <c r="I432" i="19"/>
  <c r="J432" i="19" s="1"/>
  <c r="I431" i="19"/>
  <c r="J431" i="19" s="1"/>
  <c r="I430" i="19"/>
  <c r="J430" i="19" s="1"/>
  <c r="I429" i="19"/>
  <c r="J429" i="19" s="1"/>
  <c r="J428" i="19"/>
  <c r="I428" i="19"/>
  <c r="I427" i="19"/>
  <c r="J427" i="19" s="1"/>
  <c r="I426" i="19"/>
  <c r="J426" i="19" s="1"/>
  <c r="I425" i="19"/>
  <c r="J425" i="19" s="1"/>
  <c r="I424" i="19"/>
  <c r="J424" i="19" s="1"/>
  <c r="J423" i="19"/>
  <c r="I423" i="19"/>
  <c r="I422" i="19"/>
  <c r="J422" i="19" s="1"/>
  <c r="I421" i="19"/>
  <c r="J421" i="19" s="1"/>
  <c r="J420" i="19"/>
  <c r="I420" i="19"/>
  <c r="J419" i="19"/>
  <c r="I419" i="19"/>
  <c r="I418" i="19"/>
  <c r="J418" i="19" s="1"/>
  <c r="I417" i="19"/>
  <c r="J417" i="19" s="1"/>
  <c r="I416" i="19"/>
  <c r="J416" i="19" s="1"/>
  <c r="I415" i="19"/>
  <c r="J415" i="19" s="1"/>
  <c r="I414" i="19"/>
  <c r="J414" i="19" s="1"/>
  <c r="I413" i="19"/>
  <c r="J413" i="19" s="1"/>
  <c r="I412" i="19"/>
  <c r="J412" i="19" s="1"/>
  <c r="I411" i="19"/>
  <c r="J411" i="19" s="1"/>
  <c r="I410" i="19"/>
  <c r="J410" i="19" s="1"/>
  <c r="J409" i="19"/>
  <c r="I409" i="19"/>
  <c r="I408" i="19"/>
  <c r="J408" i="19" s="1"/>
  <c r="I407" i="19"/>
  <c r="J407" i="19" s="1"/>
  <c r="I406" i="19"/>
  <c r="J406" i="19" s="1"/>
  <c r="I405" i="19"/>
  <c r="J405" i="19" s="1"/>
  <c r="I404" i="19"/>
  <c r="J404" i="19" s="1"/>
  <c r="I403" i="19"/>
  <c r="J403" i="19" s="1"/>
  <c r="I402" i="19"/>
  <c r="J402" i="19" s="1"/>
  <c r="J401" i="19"/>
  <c r="I401" i="19"/>
  <c r="J400" i="19"/>
  <c r="I400" i="19"/>
  <c r="I399" i="19"/>
  <c r="J399" i="19" s="1"/>
  <c r="I398" i="19"/>
  <c r="J398" i="19" s="1"/>
  <c r="I397" i="19"/>
  <c r="J397" i="19" s="1"/>
  <c r="I396" i="19"/>
  <c r="J396" i="19" s="1"/>
  <c r="I395" i="19"/>
  <c r="J395" i="19" s="1"/>
  <c r="J394" i="19"/>
  <c r="I394" i="19"/>
  <c r="I393" i="19"/>
  <c r="J393" i="19" s="1"/>
  <c r="J392" i="19"/>
  <c r="I392" i="19"/>
  <c r="I391" i="19"/>
  <c r="J391" i="19" s="1"/>
  <c r="I390" i="19"/>
  <c r="J390" i="19" s="1"/>
  <c r="I389" i="19"/>
  <c r="J389" i="19" s="1"/>
  <c r="I388" i="19"/>
  <c r="J388" i="19" s="1"/>
  <c r="J387" i="19"/>
  <c r="I387" i="19"/>
  <c r="I386" i="19"/>
  <c r="J386" i="19" s="1"/>
  <c r="I385" i="19"/>
  <c r="J385" i="19" s="1"/>
  <c r="I384" i="19"/>
  <c r="J384" i="19" s="1"/>
  <c r="J383" i="19"/>
  <c r="I383" i="19"/>
  <c r="I382" i="19"/>
  <c r="J382" i="19" s="1"/>
  <c r="I381" i="19"/>
  <c r="J381" i="19" s="1"/>
  <c r="J380" i="19"/>
  <c r="I380" i="19"/>
  <c r="I379" i="19"/>
  <c r="J379" i="19" s="1"/>
  <c r="I378" i="19"/>
  <c r="J378" i="19" s="1"/>
  <c r="I377" i="19"/>
  <c r="J377" i="19" s="1"/>
  <c r="J376" i="19"/>
  <c r="I376" i="19"/>
  <c r="I375" i="19"/>
  <c r="J375" i="19" s="1"/>
  <c r="I374" i="19"/>
  <c r="J374" i="19" s="1"/>
  <c r="I373" i="19"/>
  <c r="J373" i="19" s="1"/>
  <c r="I372" i="19"/>
  <c r="J372" i="19" s="1"/>
  <c r="J371" i="19"/>
  <c r="I371" i="19"/>
  <c r="I370" i="19"/>
  <c r="J370" i="19" s="1"/>
  <c r="J369" i="19"/>
  <c r="I369" i="19"/>
  <c r="I368" i="19"/>
  <c r="J368" i="19" s="1"/>
  <c r="J367" i="19"/>
  <c r="I367" i="19"/>
  <c r="I366" i="19"/>
  <c r="J366" i="19" s="1"/>
  <c r="J365" i="19"/>
  <c r="I365" i="19"/>
  <c r="I364" i="19"/>
  <c r="J364" i="19" s="1"/>
  <c r="J363" i="19"/>
  <c r="I363" i="19"/>
  <c r="I362" i="19"/>
  <c r="J362" i="19" s="1"/>
  <c r="I361" i="19"/>
  <c r="J361" i="19" s="1"/>
  <c r="J360" i="19"/>
  <c r="I360" i="19"/>
  <c r="I359" i="19"/>
  <c r="J359" i="19" s="1"/>
  <c r="J358" i="19"/>
  <c r="I358" i="19"/>
  <c r="J357" i="19"/>
  <c r="I357" i="19"/>
  <c r="I356" i="19"/>
  <c r="J356" i="19" s="1"/>
  <c r="I355" i="19"/>
  <c r="J355" i="19" s="1"/>
  <c r="I354" i="19"/>
  <c r="J354" i="19" s="1"/>
  <c r="I353" i="19"/>
  <c r="J353" i="19" s="1"/>
  <c r="I352" i="19"/>
  <c r="J352" i="19" s="1"/>
  <c r="J351" i="19"/>
  <c r="I351" i="19"/>
  <c r="I350" i="19"/>
  <c r="J350" i="19" s="1"/>
  <c r="I349" i="19"/>
  <c r="J349" i="19" s="1"/>
  <c r="I348" i="19"/>
  <c r="J348" i="19" s="1"/>
  <c r="I347" i="19"/>
  <c r="J347" i="19" s="1"/>
  <c r="I346" i="19"/>
  <c r="J346" i="19" s="1"/>
  <c r="I345" i="19"/>
  <c r="J345" i="19" s="1"/>
  <c r="I344" i="19"/>
  <c r="J344" i="19" s="1"/>
  <c r="I343" i="19"/>
  <c r="J343" i="19" s="1"/>
  <c r="I342" i="19"/>
  <c r="J342" i="19" s="1"/>
  <c r="I341" i="19"/>
  <c r="J341" i="19" s="1"/>
  <c r="J340" i="19"/>
  <c r="I340" i="19"/>
  <c r="I339" i="19"/>
  <c r="J339" i="19" s="1"/>
  <c r="I338" i="19"/>
  <c r="J338" i="19" s="1"/>
  <c r="I337" i="19"/>
  <c r="J337" i="19" s="1"/>
  <c r="I336" i="19"/>
  <c r="J336" i="19" s="1"/>
  <c r="I335" i="19"/>
  <c r="J335" i="19" s="1"/>
  <c r="I334" i="19"/>
  <c r="J334" i="19" s="1"/>
  <c r="I333" i="19"/>
  <c r="J333" i="19" s="1"/>
  <c r="I332" i="19"/>
  <c r="J332" i="19" s="1"/>
  <c r="J331" i="19"/>
  <c r="I331" i="19"/>
  <c r="I330" i="19"/>
  <c r="J330" i="19" s="1"/>
  <c r="I329" i="19"/>
  <c r="J329" i="19" s="1"/>
  <c r="I328" i="19"/>
  <c r="J328" i="19" s="1"/>
  <c r="I327" i="19"/>
  <c r="J327" i="19" s="1"/>
  <c r="I326" i="19"/>
  <c r="J326" i="19" s="1"/>
  <c r="I325" i="19"/>
  <c r="J325" i="19" s="1"/>
  <c r="I324" i="19"/>
  <c r="J324" i="19" s="1"/>
  <c r="I323" i="19"/>
  <c r="J323" i="19" s="1"/>
  <c r="I322" i="19"/>
  <c r="J322" i="19" s="1"/>
  <c r="I321" i="19"/>
  <c r="J321" i="19" s="1"/>
  <c r="J320" i="19"/>
  <c r="I320" i="19"/>
  <c r="I319" i="19"/>
  <c r="J319" i="19" s="1"/>
  <c r="I318" i="19"/>
  <c r="J318" i="19" s="1"/>
  <c r="I317" i="19"/>
  <c r="J317" i="19" s="1"/>
  <c r="I316" i="19"/>
  <c r="J316" i="19" s="1"/>
  <c r="I315" i="19"/>
  <c r="J315" i="19" s="1"/>
  <c r="J314" i="19"/>
  <c r="I314" i="19"/>
  <c r="I313" i="19"/>
  <c r="J313" i="19" s="1"/>
  <c r="I312" i="19"/>
  <c r="J312" i="19" s="1"/>
  <c r="I311" i="19"/>
  <c r="J311" i="19" s="1"/>
  <c r="I310" i="19"/>
  <c r="J310" i="19" s="1"/>
  <c r="I309" i="19"/>
  <c r="J309" i="19" s="1"/>
  <c r="I308" i="19"/>
  <c r="J308" i="19" s="1"/>
  <c r="I307" i="19"/>
  <c r="J307" i="19" s="1"/>
  <c r="I306" i="19"/>
  <c r="J306" i="19" s="1"/>
  <c r="J305" i="19"/>
  <c r="I305" i="19"/>
  <c r="I304" i="19"/>
  <c r="J304" i="19" s="1"/>
  <c r="I303" i="19"/>
  <c r="J303" i="19" s="1"/>
  <c r="I302" i="19"/>
  <c r="J302" i="19" s="1"/>
  <c r="J301" i="19"/>
  <c r="I301" i="19"/>
  <c r="J300" i="19"/>
  <c r="I300" i="19"/>
  <c r="I299" i="19"/>
  <c r="J299" i="19" s="1"/>
  <c r="I298" i="19"/>
  <c r="J298" i="19" s="1"/>
  <c r="I297" i="19"/>
  <c r="J297" i="19" s="1"/>
  <c r="I296" i="19"/>
  <c r="J296" i="19" s="1"/>
  <c r="J295" i="19"/>
  <c r="I295" i="19"/>
  <c r="J294" i="19"/>
  <c r="I294" i="19"/>
  <c r="I293" i="19"/>
  <c r="J293" i="19" s="1"/>
  <c r="I292" i="19"/>
  <c r="J292" i="19" s="1"/>
  <c r="I291" i="19"/>
  <c r="J291" i="19" s="1"/>
  <c r="I290" i="19"/>
  <c r="J290" i="19" s="1"/>
  <c r="I289" i="19"/>
  <c r="J289" i="19" s="1"/>
  <c r="I288" i="19"/>
  <c r="J288" i="19" s="1"/>
  <c r="J287" i="19"/>
  <c r="I287" i="19"/>
  <c r="I286" i="19"/>
  <c r="J286" i="19" s="1"/>
  <c r="I285" i="19"/>
  <c r="J285" i="19" s="1"/>
  <c r="I284" i="19"/>
  <c r="J284" i="19" s="1"/>
  <c r="J283" i="19"/>
  <c r="I283" i="19"/>
  <c r="I282" i="19"/>
  <c r="J282" i="19" s="1"/>
  <c r="I281" i="19"/>
  <c r="J281" i="19" s="1"/>
  <c r="J280" i="19"/>
  <c r="I280" i="19"/>
  <c r="I279" i="19"/>
  <c r="J279" i="19" s="1"/>
  <c r="J278" i="19"/>
  <c r="I278" i="19"/>
  <c r="I277" i="19"/>
  <c r="J277" i="19" s="1"/>
  <c r="J276" i="19"/>
  <c r="I276" i="19"/>
  <c r="I275" i="19"/>
  <c r="J275" i="19" s="1"/>
  <c r="I274" i="19"/>
  <c r="J274" i="19" s="1"/>
  <c r="I273" i="19"/>
  <c r="J273" i="19" s="1"/>
  <c r="I272" i="19"/>
  <c r="J272" i="19" s="1"/>
  <c r="I271" i="19"/>
  <c r="J271" i="19" s="1"/>
  <c r="J270" i="19"/>
  <c r="I270" i="19"/>
  <c r="J269" i="19"/>
  <c r="I269" i="19"/>
  <c r="I268" i="19"/>
  <c r="J268" i="19" s="1"/>
  <c r="I267" i="19"/>
  <c r="J267" i="19" s="1"/>
  <c r="I266" i="19"/>
  <c r="J266" i="19" s="1"/>
  <c r="J265" i="19"/>
  <c r="I265" i="19"/>
  <c r="I264" i="19"/>
  <c r="J264" i="19" s="1"/>
  <c r="I263" i="19"/>
  <c r="J263" i="19" s="1"/>
  <c r="I262" i="19"/>
  <c r="J262" i="19" s="1"/>
  <c r="I261" i="19"/>
  <c r="J261" i="19" s="1"/>
  <c r="J260" i="19"/>
  <c r="I260" i="19"/>
  <c r="I259" i="19"/>
  <c r="J259" i="19" s="1"/>
  <c r="J258" i="19"/>
  <c r="I258" i="19"/>
  <c r="I257" i="19"/>
  <c r="J257" i="19" s="1"/>
  <c r="I256" i="19"/>
  <c r="J256" i="19" s="1"/>
  <c r="I255" i="19"/>
  <c r="J255" i="19" s="1"/>
  <c r="I254" i="19"/>
  <c r="J254" i="19" s="1"/>
  <c r="I253" i="19"/>
  <c r="J253" i="19" s="1"/>
  <c r="J252" i="19"/>
  <c r="I252" i="19"/>
  <c r="J251" i="19"/>
  <c r="I251" i="19"/>
  <c r="I250" i="19"/>
  <c r="J250" i="19" s="1"/>
  <c r="J249" i="19"/>
  <c r="I249" i="19"/>
  <c r="I248" i="19"/>
  <c r="J248" i="19" s="1"/>
  <c r="I247" i="19"/>
  <c r="J247" i="19" s="1"/>
  <c r="I246" i="19"/>
  <c r="J246" i="19" s="1"/>
  <c r="I245" i="19"/>
  <c r="J245" i="19" s="1"/>
  <c r="I244" i="19"/>
  <c r="J244" i="19" s="1"/>
  <c r="I243" i="19"/>
  <c r="J243" i="19" s="1"/>
  <c r="I242" i="19"/>
  <c r="J242" i="19" s="1"/>
  <c r="I241" i="19"/>
  <c r="J241" i="19" s="1"/>
  <c r="J240" i="19"/>
  <c r="I240" i="19"/>
  <c r="I239" i="19"/>
  <c r="J239" i="19" s="1"/>
  <c r="I238" i="19"/>
  <c r="J238" i="19" s="1"/>
  <c r="I237" i="19"/>
  <c r="J237" i="19" s="1"/>
  <c r="I236" i="19"/>
  <c r="J236" i="19" s="1"/>
  <c r="J235" i="19"/>
  <c r="I235" i="19"/>
  <c r="J234" i="19"/>
  <c r="I234" i="19"/>
  <c r="I233" i="19"/>
  <c r="J233" i="19" s="1"/>
  <c r="I232" i="19"/>
  <c r="J232" i="19" s="1"/>
  <c r="I231" i="19"/>
  <c r="J231" i="19" s="1"/>
  <c r="I230" i="19"/>
  <c r="J230" i="19" s="1"/>
  <c r="I229" i="19"/>
  <c r="J229" i="19" s="1"/>
  <c r="I228" i="19"/>
  <c r="J228" i="19" s="1"/>
  <c r="I227" i="19"/>
  <c r="J227" i="19" s="1"/>
  <c r="I226" i="19"/>
  <c r="J226" i="19" s="1"/>
  <c r="I225" i="19"/>
  <c r="J225" i="19" s="1"/>
  <c r="I224" i="19"/>
  <c r="J224" i="19" s="1"/>
  <c r="J223" i="19"/>
  <c r="I223" i="19"/>
  <c r="I222" i="19"/>
  <c r="J222" i="19" s="1"/>
  <c r="I221" i="19"/>
  <c r="J221" i="19" s="1"/>
  <c r="J220" i="19"/>
  <c r="I220" i="19"/>
  <c r="I219" i="19"/>
  <c r="J219" i="19" s="1"/>
  <c r="I218" i="19"/>
  <c r="J218" i="19" s="1"/>
  <c r="I217" i="19"/>
  <c r="J217" i="19" s="1"/>
  <c r="I216" i="19"/>
  <c r="J216" i="19" s="1"/>
  <c r="I215" i="19"/>
  <c r="J215" i="19" s="1"/>
  <c r="I214" i="19"/>
  <c r="J214" i="19" s="1"/>
  <c r="I213" i="19"/>
  <c r="J213" i="19" s="1"/>
  <c r="J212" i="19"/>
  <c r="I212" i="19"/>
  <c r="I211" i="19"/>
  <c r="J211" i="19" s="1"/>
  <c r="I210" i="19"/>
  <c r="J210" i="19" s="1"/>
  <c r="J209" i="19"/>
  <c r="I209" i="19"/>
  <c r="I208" i="19"/>
  <c r="J208" i="19" s="1"/>
  <c r="I207" i="19"/>
  <c r="J207" i="19" s="1"/>
  <c r="I206" i="19"/>
  <c r="J206" i="19" s="1"/>
  <c r="I205" i="19"/>
  <c r="J205" i="19" s="1"/>
  <c r="J204" i="19"/>
  <c r="I204" i="19"/>
  <c r="I203" i="19"/>
  <c r="J203" i="19" s="1"/>
  <c r="I202" i="19"/>
  <c r="J202" i="19" s="1"/>
  <c r="J201" i="19"/>
  <c r="I201" i="19"/>
  <c r="J200" i="19"/>
  <c r="I200" i="19"/>
  <c r="I199" i="19"/>
  <c r="J199" i="19" s="1"/>
  <c r="J198" i="19"/>
  <c r="I198" i="19"/>
  <c r="J197" i="19"/>
  <c r="I197" i="19"/>
  <c r="I196" i="19"/>
  <c r="J196" i="19" s="1"/>
  <c r="I195" i="19"/>
  <c r="J195" i="19" s="1"/>
  <c r="J194" i="19"/>
  <c r="I194" i="19"/>
  <c r="I193" i="19"/>
  <c r="J193" i="19" s="1"/>
  <c r="J192" i="19"/>
  <c r="I192" i="19"/>
  <c r="I191" i="19"/>
  <c r="J191" i="19" s="1"/>
  <c r="J190" i="19"/>
  <c r="I190" i="19"/>
  <c r="I189" i="19"/>
  <c r="J189" i="19" s="1"/>
  <c r="J188" i="19"/>
  <c r="I188" i="19"/>
  <c r="J187" i="19"/>
  <c r="I187" i="19"/>
  <c r="I186" i="19"/>
  <c r="J186" i="19" s="1"/>
  <c r="I185" i="19"/>
  <c r="J185" i="19" s="1"/>
  <c r="J184" i="19"/>
  <c r="I184" i="19"/>
  <c r="J183" i="19"/>
  <c r="I183" i="19"/>
  <c r="I182" i="19"/>
  <c r="J182" i="19" s="1"/>
  <c r="I181" i="19"/>
  <c r="J181" i="19" s="1"/>
  <c r="J180" i="19"/>
  <c r="I180" i="19"/>
  <c r="I179" i="19"/>
  <c r="J179" i="19" s="1"/>
  <c r="I178" i="19"/>
  <c r="J178" i="19" s="1"/>
  <c r="I177" i="19"/>
  <c r="J177" i="19" s="1"/>
  <c r="I176" i="19"/>
  <c r="J176" i="19" s="1"/>
  <c r="I175" i="19"/>
  <c r="J175" i="19" s="1"/>
  <c r="I174" i="19"/>
  <c r="J174" i="19" s="1"/>
  <c r="I173" i="19"/>
  <c r="J173" i="19" s="1"/>
  <c r="I172" i="19"/>
  <c r="J172" i="19" s="1"/>
  <c r="I171" i="19"/>
  <c r="J171" i="19" s="1"/>
  <c r="I170" i="19"/>
  <c r="J170" i="19" s="1"/>
  <c r="I169" i="19"/>
  <c r="J169" i="19" s="1"/>
  <c r="I168" i="19"/>
  <c r="J168" i="19" s="1"/>
  <c r="I167" i="19"/>
  <c r="J167" i="19" s="1"/>
  <c r="J166" i="19"/>
  <c r="I166" i="19"/>
  <c r="I165" i="19"/>
  <c r="J165" i="19" s="1"/>
  <c r="I164" i="19"/>
  <c r="J164" i="19" s="1"/>
  <c r="I163" i="19"/>
  <c r="J163" i="19" s="1"/>
  <c r="I162" i="19"/>
  <c r="J162" i="19" s="1"/>
  <c r="I161" i="19"/>
  <c r="J161" i="19" s="1"/>
  <c r="J160" i="19"/>
  <c r="I160" i="19"/>
  <c r="I159" i="19"/>
  <c r="J159" i="19" s="1"/>
  <c r="I158" i="19"/>
  <c r="J158" i="19" s="1"/>
  <c r="I157" i="19"/>
  <c r="J157" i="19" s="1"/>
  <c r="J156" i="19"/>
  <c r="I156" i="19"/>
  <c r="I155" i="19"/>
  <c r="J155" i="19" s="1"/>
  <c r="I154" i="19"/>
  <c r="J154" i="19" s="1"/>
  <c r="I153" i="19"/>
  <c r="J153" i="19" s="1"/>
  <c r="I152" i="19"/>
  <c r="J152" i="19" s="1"/>
  <c r="J151" i="19"/>
  <c r="I151" i="19"/>
  <c r="I150" i="19"/>
  <c r="J150" i="19" s="1"/>
  <c r="J149" i="19"/>
  <c r="I149" i="19"/>
  <c r="I148" i="19"/>
  <c r="J148" i="19" s="1"/>
  <c r="J147" i="19"/>
  <c r="I147" i="19"/>
  <c r="I146" i="19"/>
  <c r="J146" i="19" s="1"/>
  <c r="I145" i="19"/>
  <c r="J145" i="19" s="1"/>
  <c r="I144" i="19"/>
  <c r="J144" i="19" s="1"/>
  <c r="J143" i="19"/>
  <c r="I143" i="19"/>
  <c r="J142" i="19"/>
  <c r="I142" i="19"/>
  <c r="I141" i="19"/>
  <c r="J141" i="19" s="1"/>
  <c r="J140" i="19"/>
  <c r="I140" i="19"/>
  <c r="J139" i="19"/>
  <c r="I139" i="19"/>
  <c r="I138" i="19"/>
  <c r="J138" i="19" s="1"/>
  <c r="I137" i="19"/>
  <c r="J137" i="19" s="1"/>
  <c r="I136" i="19"/>
  <c r="J136" i="19" s="1"/>
  <c r="I135" i="19"/>
  <c r="J135" i="19" s="1"/>
  <c r="I134" i="19"/>
  <c r="J134" i="19" s="1"/>
  <c r="I133" i="19"/>
  <c r="J133" i="19" s="1"/>
  <c r="I132" i="19"/>
  <c r="J132" i="19" s="1"/>
  <c r="I131" i="19"/>
  <c r="J131" i="19" s="1"/>
  <c r="J130" i="19"/>
  <c r="I130" i="19"/>
  <c r="J129" i="19"/>
  <c r="I129" i="19"/>
  <c r="J128" i="19"/>
  <c r="I128" i="19"/>
  <c r="I127" i="19"/>
  <c r="J127" i="19" s="1"/>
  <c r="J126" i="19"/>
  <c r="I126" i="19"/>
  <c r="J125" i="19"/>
  <c r="I125" i="19"/>
  <c r="I124" i="19"/>
  <c r="J124" i="19" s="1"/>
  <c r="I123" i="19"/>
  <c r="J123" i="19" s="1"/>
  <c r="J122" i="19"/>
  <c r="I122" i="19"/>
  <c r="J121" i="19"/>
  <c r="I121" i="19"/>
  <c r="J120" i="19"/>
  <c r="I120" i="19"/>
  <c r="I119" i="19"/>
  <c r="J119" i="19" s="1"/>
  <c r="J118" i="19"/>
  <c r="I118" i="19"/>
  <c r="I117" i="19"/>
  <c r="J117" i="19" s="1"/>
  <c r="I116" i="19"/>
  <c r="J116" i="19" s="1"/>
  <c r="I115" i="19"/>
  <c r="J115" i="19" s="1"/>
  <c r="I114" i="19"/>
  <c r="J114" i="19" s="1"/>
  <c r="I113" i="19"/>
  <c r="J113" i="19" s="1"/>
  <c r="J112" i="19"/>
  <c r="I112" i="19"/>
  <c r="J111" i="19"/>
  <c r="I111" i="19"/>
  <c r="I110" i="19"/>
  <c r="J110" i="19" s="1"/>
  <c r="I109" i="19"/>
  <c r="J109" i="19" s="1"/>
  <c r="I108" i="19"/>
  <c r="J108" i="19" s="1"/>
  <c r="I107" i="19"/>
  <c r="J107" i="19" s="1"/>
  <c r="J106" i="19"/>
  <c r="I106" i="19"/>
  <c r="I105" i="19"/>
  <c r="J105" i="19" s="1"/>
  <c r="J104" i="19"/>
  <c r="I104" i="19"/>
  <c r="I103" i="19"/>
  <c r="J103" i="19" s="1"/>
  <c r="I102" i="19"/>
  <c r="J102" i="19" s="1"/>
  <c r="I101" i="19"/>
  <c r="J101" i="19" s="1"/>
  <c r="J100" i="19"/>
  <c r="I100" i="19"/>
  <c r="J99" i="19"/>
  <c r="I99" i="19"/>
  <c r="I98" i="19"/>
  <c r="J98" i="19" s="1"/>
  <c r="I97" i="19"/>
  <c r="J97" i="19" s="1"/>
  <c r="I96" i="19"/>
  <c r="J96" i="19" s="1"/>
  <c r="I95" i="19"/>
  <c r="J95" i="19" s="1"/>
  <c r="J94" i="19"/>
  <c r="I94" i="19"/>
  <c r="I93" i="19"/>
  <c r="J93" i="19" s="1"/>
  <c r="I92" i="19"/>
  <c r="J92" i="19" s="1"/>
  <c r="I91" i="19"/>
  <c r="J91" i="19" s="1"/>
  <c r="I90" i="19"/>
  <c r="J90" i="19" s="1"/>
  <c r="I89" i="19"/>
  <c r="J89" i="19" s="1"/>
  <c r="I88" i="19"/>
  <c r="J88" i="19" s="1"/>
  <c r="J87" i="19"/>
  <c r="I87" i="19"/>
  <c r="I86" i="19"/>
  <c r="J86" i="19" s="1"/>
  <c r="I85" i="19"/>
  <c r="J85" i="19" s="1"/>
  <c r="I84" i="19"/>
  <c r="J84" i="19" s="1"/>
  <c r="I83" i="19"/>
  <c r="J83" i="19" s="1"/>
  <c r="I82" i="19"/>
  <c r="J82" i="19" s="1"/>
  <c r="I81" i="19"/>
  <c r="J81" i="19" s="1"/>
  <c r="J80" i="19"/>
  <c r="I80" i="19"/>
  <c r="I79" i="19"/>
  <c r="J79" i="19" s="1"/>
  <c r="I78" i="19"/>
  <c r="J78" i="19" s="1"/>
  <c r="I77" i="19"/>
  <c r="J77" i="19" s="1"/>
  <c r="I76" i="19"/>
  <c r="J76" i="19" s="1"/>
  <c r="I75" i="19"/>
  <c r="J75" i="19" s="1"/>
  <c r="J74" i="19"/>
  <c r="I74" i="19"/>
  <c r="I73" i="19"/>
  <c r="J73" i="19" s="1"/>
  <c r="I72" i="19"/>
  <c r="J72" i="19" s="1"/>
  <c r="I71" i="19"/>
  <c r="J71" i="19" s="1"/>
  <c r="I70" i="19"/>
  <c r="J70" i="19" s="1"/>
  <c r="J69" i="19"/>
  <c r="I69" i="19"/>
  <c r="I68" i="19"/>
  <c r="J68" i="19" s="1"/>
  <c r="I67" i="19"/>
  <c r="J67" i="19" s="1"/>
  <c r="J66" i="19"/>
  <c r="I66" i="19"/>
  <c r="I65" i="19"/>
  <c r="J65" i="19" s="1"/>
  <c r="J64" i="19"/>
  <c r="I64" i="19"/>
  <c r="I63" i="19"/>
  <c r="J63" i="19" s="1"/>
  <c r="I62" i="19"/>
  <c r="J62" i="19" s="1"/>
  <c r="I61" i="19"/>
  <c r="J61" i="19" s="1"/>
  <c r="J60" i="19"/>
  <c r="I60" i="19"/>
  <c r="I59" i="19"/>
  <c r="J59" i="19" s="1"/>
  <c r="I58" i="19"/>
  <c r="J58" i="19" s="1"/>
  <c r="I57" i="19"/>
  <c r="J57" i="19" s="1"/>
  <c r="J56" i="19"/>
  <c r="I56" i="19"/>
  <c r="I55" i="19"/>
  <c r="J55" i="19" s="1"/>
  <c r="I54" i="19"/>
  <c r="J54" i="19" s="1"/>
  <c r="I53" i="19"/>
  <c r="J53" i="19" s="1"/>
  <c r="I52" i="19"/>
  <c r="J52" i="19" s="1"/>
  <c r="I51" i="19"/>
  <c r="J51" i="19" s="1"/>
  <c r="I50" i="19"/>
  <c r="J50" i="19" s="1"/>
  <c r="J49" i="19"/>
  <c r="I49" i="19"/>
  <c r="J48" i="19"/>
  <c r="I48" i="19"/>
  <c r="I47" i="19"/>
  <c r="J47" i="19" s="1"/>
  <c r="I46" i="19"/>
  <c r="J46" i="19" s="1"/>
  <c r="I45" i="19"/>
  <c r="J45" i="19" s="1"/>
  <c r="I44" i="19"/>
  <c r="J44" i="19" s="1"/>
  <c r="I43" i="19"/>
  <c r="J43" i="19" s="1"/>
  <c r="J42" i="19"/>
  <c r="I42" i="19"/>
  <c r="I41" i="19"/>
  <c r="J41" i="19" s="1"/>
  <c r="J40" i="19"/>
  <c r="I40" i="19"/>
  <c r="J39" i="19"/>
  <c r="I39" i="19"/>
  <c r="I38" i="19"/>
  <c r="J38" i="19" s="1"/>
  <c r="I37" i="19"/>
  <c r="J37" i="19" s="1"/>
  <c r="I36" i="19"/>
  <c r="J36" i="19" s="1"/>
  <c r="B35" i="19"/>
  <c r="B36" i="19" s="1"/>
  <c r="B37" i="19" s="1"/>
  <c r="B38" i="19" s="1"/>
  <c r="B39" i="19" s="1"/>
  <c r="B40" i="19" s="1"/>
  <c r="B41" i="19" s="1"/>
  <c r="B42" i="19" s="1"/>
  <c r="B43" i="19" s="1"/>
  <c r="B44" i="19" s="1"/>
  <c r="B45" i="19" s="1"/>
  <c r="B46" i="19" s="1"/>
  <c r="B47" i="19" s="1"/>
  <c r="B48" i="19" s="1"/>
  <c r="B49" i="19" s="1"/>
  <c r="B50" i="19" s="1"/>
  <c r="B51" i="19" s="1"/>
  <c r="B52" i="19" s="1"/>
  <c r="B53" i="19" s="1"/>
  <c r="B54" i="19" s="1"/>
  <c r="B55" i="19" s="1"/>
  <c r="B56" i="19" s="1"/>
  <c r="B57" i="19" s="1"/>
  <c r="B58" i="19" s="1"/>
  <c r="B59" i="19" s="1"/>
  <c r="B60" i="19" s="1"/>
  <c r="B61" i="19" s="1"/>
  <c r="B62" i="19" s="1"/>
  <c r="B63" i="19" s="1"/>
  <c r="B64" i="19" s="1"/>
  <c r="B65" i="19" s="1"/>
  <c r="B66" i="19" s="1"/>
  <c r="B67" i="19" s="1"/>
  <c r="B68" i="19" s="1"/>
  <c r="B69" i="19" s="1"/>
  <c r="B70" i="19" s="1"/>
  <c r="B71" i="19" s="1"/>
  <c r="B72" i="19" s="1"/>
  <c r="B73" i="19" s="1"/>
  <c r="B74" i="19" s="1"/>
  <c r="B75" i="19" s="1"/>
  <c r="B76" i="19" s="1"/>
  <c r="B77" i="19" s="1"/>
  <c r="B78" i="19" s="1"/>
  <c r="B79" i="19" s="1"/>
  <c r="B80" i="19" s="1"/>
  <c r="B81" i="19" s="1"/>
  <c r="B82" i="19" s="1"/>
  <c r="B83" i="19" s="1"/>
  <c r="B84" i="19" s="1"/>
  <c r="B85" i="19" s="1"/>
  <c r="B86" i="19" s="1"/>
  <c r="B87" i="19" s="1"/>
  <c r="B88" i="19" s="1"/>
  <c r="B89" i="19" s="1"/>
  <c r="B90" i="19" s="1"/>
  <c r="B91" i="19" s="1"/>
  <c r="B92" i="19" s="1"/>
  <c r="B93" i="19" s="1"/>
  <c r="B94" i="19" s="1"/>
  <c r="B95" i="19" s="1"/>
  <c r="B96" i="19" s="1"/>
  <c r="B97" i="19" s="1"/>
  <c r="B98" i="19" s="1"/>
  <c r="B99" i="19" s="1"/>
  <c r="B100" i="19" s="1"/>
  <c r="B101" i="19" s="1"/>
  <c r="B102" i="19" s="1"/>
  <c r="B103" i="19" s="1"/>
  <c r="B104" i="19" s="1"/>
  <c r="B105" i="19" s="1"/>
  <c r="B106" i="19" s="1"/>
  <c r="B107" i="19" s="1"/>
  <c r="B108" i="19" s="1"/>
  <c r="B109" i="19" s="1"/>
  <c r="B110" i="19" s="1"/>
  <c r="B111" i="19" s="1"/>
  <c r="B112" i="19" s="1"/>
  <c r="B113" i="19" s="1"/>
  <c r="B114" i="19" s="1"/>
  <c r="B115" i="19" s="1"/>
  <c r="B116" i="19" s="1"/>
  <c r="B117" i="19" s="1"/>
  <c r="B118" i="19" s="1"/>
  <c r="B119" i="19" s="1"/>
  <c r="B120" i="19" s="1"/>
  <c r="B121" i="19" s="1"/>
  <c r="B122" i="19" s="1"/>
  <c r="B123" i="19" s="1"/>
  <c r="B124" i="19" s="1"/>
  <c r="B125" i="19" s="1"/>
  <c r="B126" i="19" s="1"/>
  <c r="B127" i="19" s="1"/>
  <c r="B128" i="19" s="1"/>
  <c r="B129" i="19" s="1"/>
  <c r="B130" i="19" s="1"/>
  <c r="B131" i="19" s="1"/>
  <c r="B132" i="19" s="1"/>
  <c r="B133" i="19" s="1"/>
  <c r="B134" i="19" s="1"/>
  <c r="B135" i="19" s="1"/>
  <c r="B136" i="19" s="1"/>
  <c r="B137" i="19" s="1"/>
  <c r="B138" i="19" s="1"/>
  <c r="B139" i="19" s="1"/>
  <c r="B140" i="19" s="1"/>
  <c r="B141" i="19" s="1"/>
  <c r="B142" i="19" s="1"/>
  <c r="B143" i="19" s="1"/>
  <c r="B144" i="19" s="1"/>
  <c r="B145" i="19" s="1"/>
  <c r="B146" i="19" s="1"/>
  <c r="B147" i="19" s="1"/>
  <c r="B148" i="19" s="1"/>
  <c r="B149" i="19" s="1"/>
  <c r="B150" i="19" s="1"/>
  <c r="B151" i="19" s="1"/>
  <c r="B152" i="19" s="1"/>
  <c r="B153" i="19" s="1"/>
  <c r="B154" i="19" s="1"/>
  <c r="B155" i="19" s="1"/>
  <c r="B156" i="19" s="1"/>
  <c r="B157" i="19" s="1"/>
  <c r="B158" i="19" s="1"/>
  <c r="B159" i="19" s="1"/>
  <c r="B160" i="19" s="1"/>
  <c r="B161" i="19" s="1"/>
  <c r="B162" i="19" s="1"/>
  <c r="B163" i="19" s="1"/>
  <c r="B164" i="19" s="1"/>
  <c r="B165" i="19" s="1"/>
  <c r="B166" i="19" s="1"/>
  <c r="B167" i="19" s="1"/>
  <c r="B168" i="19" s="1"/>
  <c r="B169" i="19" s="1"/>
  <c r="B170" i="19" s="1"/>
  <c r="B171" i="19" s="1"/>
  <c r="B172" i="19" s="1"/>
  <c r="B173" i="19" s="1"/>
  <c r="B174" i="19" s="1"/>
  <c r="B175" i="19" s="1"/>
  <c r="B176" i="19" s="1"/>
  <c r="B177" i="19" s="1"/>
  <c r="B178" i="19" s="1"/>
  <c r="B179" i="19" s="1"/>
  <c r="B180" i="19" s="1"/>
  <c r="B181" i="19" s="1"/>
  <c r="B182" i="19" s="1"/>
  <c r="B183" i="19" s="1"/>
  <c r="B184" i="19" s="1"/>
  <c r="B185" i="19" s="1"/>
  <c r="B186" i="19" s="1"/>
  <c r="B187" i="19" s="1"/>
  <c r="B188" i="19" s="1"/>
  <c r="B189" i="19" s="1"/>
  <c r="B190" i="19" s="1"/>
  <c r="B191" i="19" s="1"/>
  <c r="B192" i="19" s="1"/>
  <c r="B193" i="19" s="1"/>
  <c r="B194" i="19" s="1"/>
  <c r="B195" i="19" s="1"/>
  <c r="B196" i="19" s="1"/>
  <c r="B197" i="19" s="1"/>
  <c r="B198" i="19" s="1"/>
  <c r="B199" i="19" s="1"/>
  <c r="B200" i="19" s="1"/>
  <c r="B201" i="19" s="1"/>
  <c r="B202" i="19" s="1"/>
  <c r="B203" i="19" s="1"/>
  <c r="B204" i="19" s="1"/>
  <c r="B205" i="19" s="1"/>
  <c r="B206" i="19" s="1"/>
  <c r="B207" i="19" s="1"/>
  <c r="B208" i="19" s="1"/>
  <c r="B209" i="19" s="1"/>
  <c r="B210" i="19" s="1"/>
  <c r="B211" i="19" s="1"/>
  <c r="B212" i="19" s="1"/>
  <c r="B213" i="19" s="1"/>
  <c r="B214" i="19" s="1"/>
  <c r="B215" i="19" s="1"/>
  <c r="B216" i="19" s="1"/>
  <c r="B217" i="19" s="1"/>
  <c r="B218" i="19" s="1"/>
  <c r="B219" i="19" s="1"/>
  <c r="B220" i="19" s="1"/>
  <c r="B221" i="19" s="1"/>
  <c r="B222" i="19" s="1"/>
  <c r="B223" i="19" s="1"/>
  <c r="B224" i="19" s="1"/>
  <c r="B225" i="19" s="1"/>
  <c r="B226" i="19" s="1"/>
  <c r="B227" i="19" s="1"/>
  <c r="B228" i="19" s="1"/>
  <c r="B229" i="19" s="1"/>
  <c r="B230" i="19" s="1"/>
  <c r="B231" i="19" s="1"/>
  <c r="B232" i="19" s="1"/>
  <c r="B233" i="19" s="1"/>
  <c r="B234" i="19" s="1"/>
  <c r="B235" i="19" s="1"/>
  <c r="B236" i="19" s="1"/>
  <c r="B237" i="19" s="1"/>
  <c r="B238" i="19" s="1"/>
  <c r="B239" i="19" s="1"/>
  <c r="B240" i="19" s="1"/>
  <c r="B241" i="19" s="1"/>
  <c r="B242" i="19" s="1"/>
  <c r="B243" i="19" s="1"/>
  <c r="B244" i="19" s="1"/>
  <c r="B245" i="19" s="1"/>
  <c r="B246" i="19" s="1"/>
  <c r="B247" i="19" s="1"/>
  <c r="B248" i="19" s="1"/>
  <c r="B249" i="19" s="1"/>
  <c r="B250" i="19" s="1"/>
  <c r="B251" i="19" s="1"/>
  <c r="B252" i="19" s="1"/>
  <c r="B253" i="19" s="1"/>
  <c r="B254" i="19" s="1"/>
  <c r="B255" i="19" s="1"/>
  <c r="B256" i="19" s="1"/>
  <c r="B257" i="19" s="1"/>
  <c r="B258" i="19" s="1"/>
  <c r="B259" i="19" s="1"/>
  <c r="B260" i="19" s="1"/>
  <c r="B261" i="19" s="1"/>
  <c r="B262" i="19" s="1"/>
  <c r="B263" i="19" s="1"/>
  <c r="B264" i="19" s="1"/>
  <c r="B265" i="19" s="1"/>
  <c r="B266" i="19" s="1"/>
  <c r="B267" i="19" s="1"/>
  <c r="B268" i="19" s="1"/>
  <c r="B269" i="19" s="1"/>
  <c r="B270" i="19" s="1"/>
  <c r="B271" i="19" s="1"/>
  <c r="B272" i="19" s="1"/>
  <c r="B273" i="19" s="1"/>
  <c r="B274" i="19" s="1"/>
  <c r="B275" i="19" s="1"/>
  <c r="B276" i="19" s="1"/>
  <c r="B277" i="19" s="1"/>
  <c r="B278" i="19" s="1"/>
  <c r="B279" i="19" s="1"/>
  <c r="B280" i="19" s="1"/>
  <c r="B281" i="19" s="1"/>
  <c r="B282" i="19" s="1"/>
  <c r="B283" i="19" s="1"/>
  <c r="B284" i="19" s="1"/>
  <c r="B285" i="19" s="1"/>
  <c r="B286" i="19" s="1"/>
  <c r="B287" i="19" s="1"/>
  <c r="B288" i="19" s="1"/>
  <c r="B289" i="19" s="1"/>
  <c r="B290" i="19" s="1"/>
  <c r="B291" i="19" s="1"/>
  <c r="B292" i="19" s="1"/>
  <c r="B293" i="19" s="1"/>
  <c r="B294" i="19" s="1"/>
  <c r="B295" i="19" s="1"/>
  <c r="B296" i="19" s="1"/>
  <c r="B297" i="19" s="1"/>
  <c r="B298" i="19" s="1"/>
  <c r="B299" i="19" s="1"/>
  <c r="B300" i="19" s="1"/>
  <c r="B301" i="19" s="1"/>
  <c r="B302" i="19" s="1"/>
  <c r="B303" i="19" s="1"/>
  <c r="B304" i="19" s="1"/>
  <c r="B305" i="19" s="1"/>
  <c r="B306" i="19" s="1"/>
  <c r="B307" i="19" s="1"/>
  <c r="B308" i="19" s="1"/>
  <c r="B309" i="19" s="1"/>
  <c r="B310" i="19" s="1"/>
  <c r="B311" i="19" s="1"/>
  <c r="B312" i="19" s="1"/>
  <c r="B313" i="19" s="1"/>
  <c r="B314" i="19" s="1"/>
  <c r="B315" i="19" s="1"/>
  <c r="B316" i="19" s="1"/>
  <c r="B317" i="19" s="1"/>
  <c r="B318" i="19" s="1"/>
  <c r="B319" i="19" s="1"/>
  <c r="B320" i="19" s="1"/>
  <c r="B321" i="19" s="1"/>
  <c r="B322" i="19" s="1"/>
  <c r="B323" i="19" s="1"/>
  <c r="B324" i="19" s="1"/>
  <c r="B325" i="19" s="1"/>
  <c r="B326" i="19" s="1"/>
  <c r="B327" i="19" s="1"/>
  <c r="B328" i="19" s="1"/>
  <c r="B329" i="19" s="1"/>
  <c r="B330" i="19" s="1"/>
  <c r="B331" i="19" s="1"/>
  <c r="B332" i="19" s="1"/>
  <c r="B333" i="19" s="1"/>
  <c r="B334" i="19" s="1"/>
  <c r="B335" i="19" s="1"/>
  <c r="B336" i="19" s="1"/>
  <c r="B337" i="19" s="1"/>
  <c r="B338" i="19" s="1"/>
  <c r="B339" i="19" s="1"/>
  <c r="B340" i="19" s="1"/>
  <c r="B341" i="19" s="1"/>
  <c r="B342" i="19" s="1"/>
  <c r="B343" i="19" s="1"/>
  <c r="B344" i="19" s="1"/>
  <c r="B345" i="19" s="1"/>
  <c r="B346" i="19" s="1"/>
  <c r="B347" i="19" s="1"/>
  <c r="B348" i="19" s="1"/>
  <c r="B349" i="19" s="1"/>
  <c r="B350" i="19" s="1"/>
  <c r="B351" i="19" s="1"/>
  <c r="B352" i="19" s="1"/>
  <c r="B353" i="19" s="1"/>
  <c r="B354" i="19" s="1"/>
  <c r="B355" i="19" s="1"/>
  <c r="B356" i="19" s="1"/>
  <c r="B357" i="19" s="1"/>
  <c r="B358" i="19" s="1"/>
  <c r="B359" i="19" s="1"/>
  <c r="B360" i="19" s="1"/>
  <c r="B361" i="19" s="1"/>
  <c r="B362" i="19" s="1"/>
  <c r="B363" i="19" s="1"/>
  <c r="B364" i="19" s="1"/>
  <c r="B365" i="19" s="1"/>
  <c r="B366" i="19" s="1"/>
  <c r="B367" i="19" s="1"/>
  <c r="B368" i="19" s="1"/>
  <c r="B369" i="19" s="1"/>
  <c r="B370" i="19" s="1"/>
  <c r="B371" i="19" s="1"/>
  <c r="B372" i="19" s="1"/>
  <c r="B373" i="19" s="1"/>
  <c r="B374" i="19" s="1"/>
  <c r="B375" i="19" s="1"/>
  <c r="B376" i="19" s="1"/>
  <c r="B377" i="19" s="1"/>
  <c r="B378" i="19" s="1"/>
  <c r="B379" i="19" s="1"/>
  <c r="B380" i="19" s="1"/>
  <c r="B381" i="19" s="1"/>
  <c r="B382" i="19" s="1"/>
  <c r="B383" i="19" s="1"/>
  <c r="B384" i="19" s="1"/>
  <c r="B385" i="19" s="1"/>
  <c r="B386" i="19" s="1"/>
  <c r="B387" i="19" s="1"/>
  <c r="B388" i="19" s="1"/>
  <c r="B389" i="19" s="1"/>
  <c r="B390" i="19" s="1"/>
  <c r="B391" i="19" s="1"/>
  <c r="B392" i="19" s="1"/>
  <c r="B393" i="19" s="1"/>
  <c r="B394" i="19" s="1"/>
  <c r="B395" i="19" s="1"/>
  <c r="B396" i="19" s="1"/>
  <c r="B397" i="19" s="1"/>
  <c r="B398" i="19" s="1"/>
  <c r="B399" i="19" s="1"/>
  <c r="B400" i="19" s="1"/>
  <c r="B401" i="19" s="1"/>
  <c r="B402" i="19" s="1"/>
  <c r="B403" i="19" s="1"/>
  <c r="B404" i="19" s="1"/>
  <c r="B405" i="19" s="1"/>
  <c r="B406" i="19" s="1"/>
  <c r="B407" i="19" s="1"/>
  <c r="B408" i="19" s="1"/>
  <c r="B409" i="19" s="1"/>
  <c r="B410" i="19" s="1"/>
  <c r="B411" i="19" s="1"/>
  <c r="B412" i="19" s="1"/>
  <c r="B413" i="19" s="1"/>
  <c r="B414" i="19" s="1"/>
  <c r="B415" i="19" s="1"/>
  <c r="B416" i="19" s="1"/>
  <c r="B417" i="19" s="1"/>
  <c r="B418" i="19" s="1"/>
  <c r="B419" i="19" s="1"/>
  <c r="B420" i="19" s="1"/>
  <c r="B421" i="19" s="1"/>
  <c r="B422" i="19" s="1"/>
  <c r="B423" i="19" s="1"/>
  <c r="B424" i="19" s="1"/>
  <c r="B425" i="19" s="1"/>
  <c r="B426" i="19" s="1"/>
  <c r="B427" i="19" s="1"/>
  <c r="B428" i="19" s="1"/>
  <c r="B429" i="19" s="1"/>
  <c r="B430" i="19" s="1"/>
  <c r="B431" i="19" s="1"/>
  <c r="B432" i="19" s="1"/>
  <c r="B433" i="19" s="1"/>
  <c r="B434" i="19" s="1"/>
  <c r="B435" i="19" s="1"/>
  <c r="B436" i="19" s="1"/>
  <c r="B437" i="19" s="1"/>
  <c r="B438" i="19" s="1"/>
  <c r="B439" i="19" s="1"/>
  <c r="B440" i="19" s="1"/>
  <c r="B441" i="19" s="1"/>
  <c r="B442" i="19" s="1"/>
  <c r="B443" i="19" s="1"/>
  <c r="B444" i="19" s="1"/>
  <c r="B445" i="19" s="1"/>
  <c r="B446" i="19" s="1"/>
  <c r="B447" i="19" s="1"/>
  <c r="B448" i="19" s="1"/>
  <c r="B449" i="19" s="1"/>
  <c r="B450" i="19" s="1"/>
  <c r="B451" i="19" s="1"/>
  <c r="B452" i="19" s="1"/>
  <c r="B453" i="19" s="1"/>
  <c r="B454" i="19" s="1"/>
  <c r="B455" i="19" s="1"/>
  <c r="B456" i="19" s="1"/>
  <c r="B457" i="19" s="1"/>
  <c r="B458" i="19" s="1"/>
  <c r="B459" i="19" s="1"/>
  <c r="B460" i="19" s="1"/>
  <c r="B461" i="19" s="1"/>
  <c r="B462" i="19" s="1"/>
  <c r="B463" i="19" s="1"/>
  <c r="B464" i="19" s="1"/>
  <c r="B465" i="19" s="1"/>
  <c r="B466" i="19" s="1"/>
  <c r="B467" i="19" s="1"/>
  <c r="B468" i="19" s="1"/>
  <c r="B469" i="19" s="1"/>
  <c r="B470" i="19" s="1"/>
  <c r="B471" i="19" s="1"/>
  <c r="B472" i="19" s="1"/>
  <c r="B473" i="19" s="1"/>
  <c r="B474" i="19" s="1"/>
  <c r="B475" i="19" s="1"/>
  <c r="B476" i="19" s="1"/>
  <c r="B477" i="19" s="1"/>
  <c r="B478" i="19" s="1"/>
  <c r="B479" i="19" s="1"/>
  <c r="B480" i="19" s="1"/>
  <c r="B481" i="19" s="1"/>
  <c r="B482" i="19" s="1"/>
  <c r="B483" i="19" s="1"/>
  <c r="B484" i="19" s="1"/>
  <c r="B485" i="19" s="1"/>
  <c r="B486" i="19" s="1"/>
  <c r="B487" i="19" s="1"/>
  <c r="B488" i="19" s="1"/>
  <c r="B489" i="19" s="1"/>
  <c r="B490" i="19" s="1"/>
  <c r="B491" i="19" s="1"/>
  <c r="B492" i="19" s="1"/>
  <c r="B493" i="19" s="1"/>
  <c r="B494" i="19" s="1"/>
  <c r="B495" i="19" s="1"/>
  <c r="B496" i="19" s="1"/>
  <c r="B497" i="19" s="1"/>
  <c r="B498" i="19" s="1"/>
  <c r="B499" i="19" s="1"/>
  <c r="B500" i="19" s="1"/>
  <c r="B501" i="19" s="1"/>
  <c r="B502" i="19" s="1"/>
  <c r="B503" i="19" s="1"/>
  <c r="B504" i="19" s="1"/>
  <c r="B505" i="19" s="1"/>
  <c r="B506" i="19" s="1"/>
  <c r="B507" i="19" s="1"/>
  <c r="B508" i="19" s="1"/>
  <c r="B509" i="19" s="1"/>
  <c r="B510" i="19" s="1"/>
  <c r="B511" i="19" s="1"/>
  <c r="B512" i="19" s="1"/>
  <c r="B513" i="19" s="1"/>
  <c r="B514" i="19" s="1"/>
  <c r="B515" i="19" s="1"/>
  <c r="B516" i="19" s="1"/>
  <c r="B517" i="19" s="1"/>
  <c r="B518" i="19" s="1"/>
  <c r="B519" i="19" s="1"/>
  <c r="B520" i="19" s="1"/>
  <c r="B521" i="19" s="1"/>
  <c r="B522" i="19" s="1"/>
  <c r="B523" i="19" s="1"/>
  <c r="B524" i="19" s="1"/>
  <c r="B525" i="19" s="1"/>
  <c r="B526" i="19" s="1"/>
  <c r="B527" i="19" s="1"/>
  <c r="B528" i="19" s="1"/>
  <c r="B529" i="19" s="1"/>
  <c r="B530" i="19" s="1"/>
  <c r="B531" i="19" s="1"/>
  <c r="B532" i="19" s="1"/>
  <c r="B533" i="19" s="1"/>
  <c r="I34" i="19"/>
  <c r="J34" i="19" s="1"/>
  <c r="B34" i="19"/>
  <c r="H28" i="19"/>
  <c r="G28" i="19"/>
  <c r="F28" i="19"/>
  <c r="E28" i="19"/>
  <c r="D28" i="19"/>
  <c r="I27" i="19"/>
  <c r="J27" i="19" s="1"/>
  <c r="I26" i="19"/>
  <c r="J26" i="19" s="1"/>
  <c r="I25" i="19"/>
  <c r="J25" i="19" s="1"/>
  <c r="J24" i="19"/>
  <c r="I24" i="19"/>
  <c r="I23" i="19"/>
  <c r="J23" i="19" s="1"/>
  <c r="I22" i="19"/>
  <c r="J22" i="19" s="1"/>
  <c r="J21" i="19"/>
  <c r="I21" i="19"/>
  <c r="I20" i="19"/>
  <c r="J20" i="19" s="1"/>
  <c r="I19" i="19"/>
  <c r="J19" i="19" s="1"/>
  <c r="J18" i="19"/>
  <c r="I18" i="19"/>
  <c r="H17" i="19"/>
  <c r="H8" i="19" s="1"/>
  <c r="G17" i="19"/>
  <c r="G8" i="19" s="1"/>
  <c r="F17" i="19"/>
  <c r="F8" i="19" s="1"/>
  <c r="E17" i="19"/>
  <c r="E8" i="19" s="1"/>
  <c r="D17" i="19"/>
  <c r="D8" i="19" s="1"/>
  <c r="B15" i="19"/>
  <c r="D6" i="19"/>
  <c r="D5" i="19"/>
  <c r="J35" i="19" l="1"/>
  <c r="J28" i="19" s="1"/>
  <c r="I28" i="19"/>
  <c r="I17" i="19"/>
  <c r="J17" i="19" l="1"/>
  <c r="J8" i="19" s="1"/>
  <c r="I8" i="19"/>
  <c r="D9" i="18" l="1"/>
  <c r="D2" i="18" s="1"/>
  <c r="I9" i="18"/>
  <c r="H9" i="18"/>
  <c r="D16" i="18"/>
  <c r="E29" i="18"/>
  <c r="D29" i="18"/>
  <c r="J47" i="18"/>
  <c r="I47" i="18"/>
  <c r="E47" i="18"/>
  <c r="D47" i="18"/>
  <c r="D14" i="9" l="1"/>
  <c r="C5" i="14"/>
  <c r="C5" i="13"/>
  <c r="C5" i="15"/>
  <c r="C5" i="16"/>
  <c r="C5" i="17"/>
  <c r="C5" i="1"/>
  <c r="C4" i="1"/>
  <c r="C4" i="17"/>
  <c r="C4" i="16"/>
  <c r="C4" i="15"/>
  <c r="C4" i="13"/>
  <c r="C4" i="14"/>
  <c r="D25" i="9"/>
  <c r="L51" i="13" l="1"/>
  <c r="L50" i="13"/>
  <c r="F57" i="13"/>
  <c r="F58" i="13"/>
  <c r="F38" i="15"/>
  <c r="F35" i="15"/>
  <c r="F25" i="15"/>
  <c r="F19" i="15"/>
  <c r="F18" i="15"/>
  <c r="F10" i="15"/>
  <c r="F19" i="14"/>
  <c r="D15" i="14"/>
  <c r="D15" i="16"/>
  <c r="F43" i="15"/>
  <c r="F42" i="15"/>
  <c r="F34" i="15"/>
  <c r="F33" i="15"/>
  <c r="F32" i="15"/>
  <c r="F31" i="15"/>
  <c r="F28" i="15"/>
  <c r="F27" i="15"/>
  <c r="F26" i="15"/>
  <c r="F24" i="15"/>
  <c r="F23" i="15"/>
  <c r="F22" i="15"/>
  <c r="F14" i="15"/>
  <c r="F13" i="15"/>
  <c r="F12" i="15"/>
  <c r="F11" i="15"/>
  <c r="G60" i="14"/>
  <c r="F60" i="14"/>
  <c r="G61" i="14" s="1"/>
  <c r="G63" i="14" s="1"/>
  <c r="F28" i="14"/>
  <c r="F27" i="14"/>
  <c r="F26" i="14"/>
  <c r="F29" i="14" s="1"/>
  <c r="F20" i="14"/>
  <c r="F13" i="14"/>
  <c r="F12" i="14"/>
  <c r="F11" i="14"/>
  <c r="L44" i="13"/>
  <c r="K44" i="13"/>
  <c r="J44" i="13"/>
  <c r="I44" i="13"/>
  <c r="H44" i="13"/>
  <c r="G44" i="13"/>
  <c r="F44" i="13"/>
  <c r="E44" i="13"/>
  <c r="D44" i="13"/>
  <c r="M43" i="13"/>
  <c r="M42" i="13"/>
  <c r="M41" i="13"/>
  <c r="M40" i="13"/>
  <c r="M38" i="13"/>
  <c r="M37" i="13"/>
  <c r="M36" i="13"/>
  <c r="M34" i="13"/>
  <c r="M33" i="13"/>
  <c r="M32" i="13"/>
  <c r="M31" i="13"/>
  <c r="M30" i="13"/>
  <c r="M44" i="13" s="1"/>
  <c r="L26" i="13"/>
  <c r="K26" i="13"/>
  <c r="J26" i="13"/>
  <c r="I26" i="13"/>
  <c r="H26" i="13"/>
  <c r="G26" i="13"/>
  <c r="F26" i="13"/>
  <c r="E26" i="13"/>
  <c r="M25" i="13"/>
  <c r="M24" i="13"/>
  <c r="M23" i="13"/>
  <c r="M22" i="13"/>
  <c r="M20" i="13"/>
  <c r="M19" i="13"/>
  <c r="M18" i="13"/>
  <c r="M16" i="13"/>
  <c r="M26" i="13" s="1"/>
  <c r="M15" i="13"/>
  <c r="M14" i="13"/>
  <c r="M13" i="13"/>
  <c r="M12" i="13"/>
  <c r="C30" i="9"/>
  <c r="C31" i="9" s="1"/>
  <c r="C32" i="9" s="1"/>
  <c r="C33" i="9" s="1"/>
  <c r="C34" i="9" s="1"/>
  <c r="C35" i="9" s="1"/>
  <c r="C37" i="9" s="1"/>
  <c r="C29" i="9"/>
  <c r="D10" i="1" l="1"/>
  <c r="F52" i="13"/>
  <c r="E59" i="13"/>
  <c r="K52" i="13"/>
  <c r="G51" i="13"/>
  <c r="H51" i="13" s="1"/>
  <c r="D11" i="1"/>
  <c r="E52" i="13"/>
  <c r="G50" i="13"/>
  <c r="H50" i="13" s="1"/>
  <c r="L52" i="13"/>
  <c r="F59" i="13"/>
  <c r="D21" i="14"/>
  <c r="F14" i="14"/>
  <c r="F18" i="14"/>
  <c r="F21" i="14" s="1"/>
  <c r="F10" i="14"/>
  <c r="F15" i="14" s="1"/>
  <c r="H52" i="13" l="1"/>
  <c r="G61" i="13" s="1"/>
  <c r="G52" i="13"/>
  <c r="D16" i="1" s="1"/>
  <c r="F41" i="15"/>
  <c r="F45" i="15" s="1"/>
  <c r="F68" i="14"/>
  <c r="D11" i="17" l="1"/>
  <c r="D11" i="16"/>
  <c r="D12" i="16"/>
  <c r="D10" i="16"/>
  <c r="D12" i="17"/>
  <c r="D10" i="17"/>
  <c r="D14" i="16" l="1"/>
  <c r="D19" i="16" s="1"/>
  <c r="D35" i="9"/>
  <c r="D37" i="9" s="1"/>
  <c r="D12" i="1" l="1"/>
  <c r="D13" i="1" s="1"/>
  <c r="D15" i="1" s="1"/>
  <c r="D13" i="17"/>
  <c r="D15" i="17" s="1"/>
  <c r="D17" i="1" l="1"/>
  <c r="D18" i="1" s="1"/>
  <c r="D20" i="1" s="1"/>
</calcChain>
</file>

<file path=xl/sharedStrings.xml><?xml version="1.0" encoding="utf-8"?>
<sst xmlns="http://schemas.openxmlformats.org/spreadsheetml/2006/main" count="430" uniqueCount="264">
  <si>
    <t>FORM No. INS 41-1A</t>
  </si>
  <si>
    <t>Total Capital Available</t>
  </si>
  <si>
    <t xml:space="preserve">Company: </t>
  </si>
  <si>
    <t xml:space="preserve">Reporting Period: </t>
  </si>
  <si>
    <t>Line</t>
  </si>
  <si>
    <t>Life Business</t>
  </si>
  <si>
    <t>All amounts in KES</t>
  </si>
  <si>
    <t>[B]</t>
  </si>
  <si>
    <t>Tier-1 Capital</t>
  </si>
  <si>
    <t>Fully paid-up ordinary shares</t>
  </si>
  <si>
    <t>Share Premiums</t>
  </si>
  <si>
    <t xml:space="preserve">Statutory Reserves </t>
  </si>
  <si>
    <t xml:space="preserve">Retained profits/(accumulated losses) </t>
  </si>
  <si>
    <t>Total Amount</t>
  </si>
  <si>
    <t>Tier-2 Capital</t>
  </si>
  <si>
    <t>Irredeemable preference shares</t>
  </si>
  <si>
    <t>Capital loan stocks or similar instruments</t>
  </si>
  <si>
    <t>Subordinated loans</t>
  </si>
  <si>
    <t>Convertible preference shares</t>
  </si>
  <si>
    <t>Revaluation reserves</t>
  </si>
  <si>
    <t>Fair value reserves for financial  reserves measured at FVOCI</t>
  </si>
  <si>
    <t>Proposed dividends</t>
  </si>
  <si>
    <t>Other reserves</t>
  </si>
  <si>
    <t>Deductions</t>
  </si>
  <si>
    <t xml:space="preserve">Goodwill &amp; other intangible assets </t>
  </si>
  <si>
    <t>Deferred tax assets</t>
  </si>
  <si>
    <t>Assets pledged to support credit facilities obtained by an insurer</t>
  </si>
  <si>
    <r>
      <t xml:space="preserve">Other Fixed Assets </t>
    </r>
    <r>
      <rPr>
        <vertAlign val="superscript"/>
        <sz val="10"/>
        <rFont val="Bookman Old Style"/>
        <family val="1"/>
      </rPr>
      <t>1</t>
    </r>
  </si>
  <si>
    <t>Assets with over concentration limits</t>
  </si>
  <si>
    <t>Under-reserving</t>
  </si>
  <si>
    <t>Other deductions</t>
  </si>
  <si>
    <r>
      <rPr>
        <vertAlign val="superscript"/>
        <sz val="11"/>
        <color theme="1"/>
        <rFont val="Bookman Old Style"/>
        <family val="1"/>
      </rPr>
      <t>1</t>
    </r>
    <r>
      <rPr>
        <sz val="11"/>
        <color theme="1"/>
        <rFont val="Bookman Old Style"/>
        <family val="1"/>
      </rPr>
      <t xml:space="preserve"> Includes Computer equipments, Office Equipments , Motor Vehicles and Furniture and Fittings.</t>
    </r>
  </si>
  <si>
    <t xml:space="preserve"> </t>
  </si>
  <si>
    <t>FORM No. INS 41-1B</t>
  </si>
  <si>
    <t>Life Insurance Risk Charge (Gross less reinsurance)</t>
  </si>
  <si>
    <t>Class of Business</t>
  </si>
  <si>
    <t>Liability for Remaining Coverage</t>
  </si>
  <si>
    <t>Life Insurance Risk Capital Charge</t>
  </si>
  <si>
    <t>Total Life Insurance Risk Capital Charge</t>
  </si>
  <si>
    <t>Best Estimate Liability (Gross BEL minus Reinsurance BEL)</t>
  </si>
  <si>
    <t xml:space="preserve">Risk Adjustment </t>
  </si>
  <si>
    <t>Total LRC</t>
  </si>
  <si>
    <t>Mortality</t>
  </si>
  <si>
    <t>Longevity</t>
  </si>
  <si>
    <t>Morbidity/Disability</t>
  </si>
  <si>
    <t>Expenses</t>
  </si>
  <si>
    <t>Lapses</t>
  </si>
  <si>
    <t>Catastrophe</t>
  </si>
  <si>
    <t>[C]</t>
  </si>
  <si>
    <t>[D]</t>
  </si>
  <si>
    <t>[E]</t>
  </si>
  <si>
    <t>[F]</t>
  </si>
  <si>
    <t>[G]</t>
  </si>
  <si>
    <t>[H]</t>
  </si>
  <si>
    <t>[I]</t>
  </si>
  <si>
    <t>[J]</t>
  </si>
  <si>
    <t>[K]</t>
  </si>
  <si>
    <t>Participating Business</t>
  </si>
  <si>
    <t>Ordinary Individual Life</t>
  </si>
  <si>
    <t>Whole Life</t>
  </si>
  <si>
    <t>Endowment</t>
  </si>
  <si>
    <t xml:space="preserve">Term </t>
  </si>
  <si>
    <t>Riders</t>
  </si>
  <si>
    <t>Other Provisions</t>
  </si>
  <si>
    <t>Annuities Individual Life</t>
  </si>
  <si>
    <t>Immediate annuities</t>
  </si>
  <si>
    <t>Deferred annuities</t>
  </si>
  <si>
    <t>Investment Linked Individual Life</t>
  </si>
  <si>
    <t>Total</t>
  </si>
  <si>
    <t>Non Participating Business</t>
  </si>
  <si>
    <t>Liability for Incurred Claims</t>
  </si>
  <si>
    <t>Risk Charge</t>
  </si>
  <si>
    <t>Best Estimate Liability</t>
  </si>
  <si>
    <t>Risk Adjustment</t>
  </si>
  <si>
    <t>Capital Charge</t>
  </si>
  <si>
    <t>LRC</t>
  </si>
  <si>
    <t>[A]</t>
  </si>
  <si>
    <t>[E]=A*D</t>
  </si>
  <si>
    <t>[G]=E*F</t>
  </si>
  <si>
    <t>Short Term Life Insurance Business</t>
  </si>
  <si>
    <t>Group Life</t>
  </si>
  <si>
    <t>Group Credit</t>
  </si>
  <si>
    <t>Fund Amount</t>
  </si>
  <si>
    <t>RC</t>
  </si>
  <si>
    <t>Retirement Savings Business</t>
  </si>
  <si>
    <t>Pension Savings Plans</t>
  </si>
  <si>
    <t>Deposit Administration</t>
  </si>
  <si>
    <t>Insurance Risk Charge</t>
  </si>
  <si>
    <t>FORM No. INS 41-1C</t>
  </si>
  <si>
    <t>Market Risk Charge</t>
  </si>
  <si>
    <t>Total exposure</t>
  </si>
  <si>
    <t>Risk charge</t>
  </si>
  <si>
    <t xml:space="preserve">Capital charge </t>
  </si>
  <si>
    <t>Equity Risk</t>
  </si>
  <si>
    <t xml:space="preserve">Listed Ordinary Shares on the NSE </t>
  </si>
  <si>
    <t xml:space="preserve">Listed Ordinary Shares on other recognized stock exchanges </t>
  </si>
  <si>
    <t xml:space="preserve">Listed Preference Shares on the NSE </t>
  </si>
  <si>
    <t xml:space="preserve">Listed Preference Shares on other recognized stock exchanges </t>
  </si>
  <si>
    <t>Unlisted Shares and/or private equity (including venture capital)</t>
  </si>
  <si>
    <t>XX</t>
  </si>
  <si>
    <t>Property Risks</t>
  </si>
  <si>
    <t>Land and Self-occupied properties</t>
  </si>
  <si>
    <t>Investment property and property-related investments</t>
  </si>
  <si>
    <t>Real Estate Investment Trusts(REITS)</t>
  </si>
  <si>
    <t>Interest Rate Risk</t>
  </si>
  <si>
    <t>General Insurance Fund</t>
  </si>
  <si>
    <t>Scenario</t>
  </si>
  <si>
    <r>
      <t>Asset Value</t>
    </r>
    <r>
      <rPr>
        <b/>
        <vertAlign val="superscript"/>
        <sz val="10"/>
        <rFont val="Bookman Old Style"/>
        <family val="1"/>
      </rPr>
      <t xml:space="preserve"> 1</t>
    </r>
  </si>
  <si>
    <r>
      <t xml:space="preserve">Liability Value </t>
    </r>
    <r>
      <rPr>
        <b/>
        <vertAlign val="superscript"/>
        <sz val="10"/>
        <rFont val="Bookman Old Style"/>
        <family val="1"/>
      </rPr>
      <t>2</t>
    </r>
  </si>
  <si>
    <t>Surplus</t>
  </si>
  <si>
    <r>
      <t>Base Interest Rate</t>
    </r>
    <r>
      <rPr>
        <vertAlign val="superscript"/>
        <sz val="10"/>
        <rFont val="Bookman Old Style"/>
        <family val="1"/>
      </rPr>
      <t>3</t>
    </r>
  </si>
  <si>
    <t xml:space="preserve">Increasing interest rate </t>
  </si>
  <si>
    <t>Decreasing interest rate</t>
  </si>
  <si>
    <t>Interest Rate Risk Charge</t>
  </si>
  <si>
    <t>Note:</t>
  </si>
  <si>
    <t>1 Refers to interest rate related securities held by the insurer</t>
  </si>
  <si>
    <t>2 The base liability is the value derived based on the valuation basis which includes the provision of risk margin for adverse deviation as prescribed and discounted at the risk-free rate</t>
  </si>
  <si>
    <t>3 The amount of capital charges for each fund is the higher of zero or the reduction in surplus based on the dominant scenario at the company level</t>
  </si>
  <si>
    <t>Currency Risk</t>
  </si>
  <si>
    <t>Types of currency</t>
  </si>
  <si>
    <r>
      <t xml:space="preserve">Net On Balance Sheet Position </t>
    </r>
    <r>
      <rPr>
        <vertAlign val="superscript"/>
        <sz val="10"/>
        <rFont val="Bookman Old Style"/>
        <family val="1"/>
      </rPr>
      <t>1/</t>
    </r>
  </si>
  <si>
    <r>
      <t xml:space="preserve">Net Forward Position </t>
    </r>
    <r>
      <rPr>
        <vertAlign val="superscript"/>
        <sz val="10"/>
        <rFont val="Bookman Old Style"/>
        <family val="1"/>
      </rPr>
      <t>2/</t>
    </r>
  </si>
  <si>
    <t>Net Long Position</t>
  </si>
  <si>
    <t>Net Short Position</t>
  </si>
  <si>
    <t>Total Position</t>
  </si>
  <si>
    <t>Exposure</t>
  </si>
  <si>
    <t>Currency risk charge</t>
  </si>
  <si>
    <t>1 - equivalent value of all foreign currency assets less all foreign currency liabilities in a particular foreign currency.</t>
  </si>
  <si>
    <t>2 - equivalent value of all amounts to be received less the value of all amounts to be paid under unsettled spot transactions, forward foreign exchange transactions,</t>
  </si>
  <si>
    <t xml:space="preserve"> including currency futures, the principal on currency swaps position and interest rate transactions such as futures, swaps etc. denominated in a foreign currency. </t>
  </si>
  <si>
    <r>
      <t>Market Risk Charge</t>
    </r>
    <r>
      <rPr>
        <b/>
        <vertAlign val="superscript"/>
        <sz val="10"/>
        <rFont val="Bookman Old Style"/>
        <family val="1"/>
      </rPr>
      <t>3</t>
    </r>
  </si>
  <si>
    <t>Notes</t>
  </si>
  <si>
    <r>
      <t xml:space="preserve">3 </t>
    </r>
    <r>
      <rPr>
        <sz val="10"/>
        <color theme="1"/>
        <rFont val="Bookman Old Style"/>
        <family val="1"/>
      </rPr>
      <t>Square root of the sum of squares of the capital required for Equity Risk,Property Risks,Interest Rate Risk plus Currency Risk</t>
    </r>
  </si>
  <si>
    <t>FORM No. INS 41-1D</t>
  </si>
  <si>
    <t>Credit Risk Charge</t>
  </si>
  <si>
    <t>Securities</t>
  </si>
  <si>
    <t>Kenyan Government Bonds</t>
  </si>
  <si>
    <t>Kenyan Government Treasury Bills</t>
  </si>
  <si>
    <t>Foreign Government Bonds</t>
  </si>
  <si>
    <t>County Government Bonds</t>
  </si>
  <si>
    <t>Corporations and other organisations bonds</t>
  </si>
  <si>
    <t>Term Deposits and Cash</t>
  </si>
  <si>
    <t>Term Deposits</t>
  </si>
  <si>
    <t>Cash and Cash Balances</t>
  </si>
  <si>
    <t>Debt Obligations</t>
  </si>
  <si>
    <t>Policy loans</t>
  </si>
  <si>
    <t xml:space="preserve">Secured Loans- Corporations and other organisations </t>
  </si>
  <si>
    <t>Secured Loans-Staff and Individuals</t>
  </si>
  <si>
    <t>Investment in Subsidiaries,Associates and Joint Ventures</t>
  </si>
  <si>
    <t>Reinsurers</t>
  </si>
  <si>
    <t>Recoveries</t>
  </si>
  <si>
    <t>Mortgages</t>
  </si>
  <si>
    <t>Africa Re</t>
  </si>
  <si>
    <t>Unsecured Loans</t>
  </si>
  <si>
    <t>Munich Re</t>
  </si>
  <si>
    <t>Secured Loans to related parties</t>
  </si>
  <si>
    <t>Swiss Re/Sirius Intl</t>
  </si>
  <si>
    <t>Credit exposures to (re)insurers with the following rating categories:</t>
  </si>
  <si>
    <t>Trust Intl</t>
  </si>
  <si>
    <t>Category 1 - Reinsurers with rated above A-</t>
  </si>
  <si>
    <t>Scor Re</t>
  </si>
  <si>
    <t>Category 2 - Reinsurers with rated above BBB</t>
  </si>
  <si>
    <t>Santam Re</t>
  </si>
  <si>
    <t>Category 3 - Reinsurers with rated below BBB</t>
  </si>
  <si>
    <t>Oddssey Re</t>
  </si>
  <si>
    <t>Category 4 - Reinsurers Unrated</t>
  </si>
  <si>
    <t>Zep - Re/PTA</t>
  </si>
  <si>
    <t xml:space="preserve">Category 5 - Reinsurers licenced under the Insurance Act </t>
  </si>
  <si>
    <t>Namib Re/GIC Re/BMIC/MISR Re/Tunis Re/Ethiopia Re/Kuwait Re</t>
  </si>
  <si>
    <t>Kenya Re</t>
  </si>
  <si>
    <t>Other Assets</t>
  </si>
  <si>
    <t>Premium Receivables</t>
  </si>
  <si>
    <t>Assets under management</t>
  </si>
  <si>
    <t>Below BBB</t>
  </si>
  <si>
    <t>Assets under deposit administration</t>
  </si>
  <si>
    <t xml:space="preserve">Unrated </t>
  </si>
  <si>
    <t>Assets under group/umbrella pension savings plans</t>
  </si>
  <si>
    <t>Assets under unit linked</t>
  </si>
  <si>
    <t>FORM No. INS 41-1E</t>
  </si>
  <si>
    <t>Operational Risk Charge</t>
  </si>
  <si>
    <t xml:space="preserve">Risk </t>
  </si>
  <si>
    <t>Credit risk capital charges</t>
  </si>
  <si>
    <t>Market risk capital charges</t>
  </si>
  <si>
    <t>Insurance risk capital charges</t>
  </si>
  <si>
    <r>
      <t>Basic Operational Risk Charge</t>
    </r>
    <r>
      <rPr>
        <vertAlign val="superscript"/>
        <sz val="10"/>
        <rFont val="Bookman Old Style"/>
        <family val="1"/>
      </rPr>
      <t>1</t>
    </r>
  </si>
  <si>
    <r>
      <t>Basic Operational Risk Charge</t>
    </r>
    <r>
      <rPr>
        <vertAlign val="superscript"/>
        <sz val="10"/>
        <rFont val="Bookman Old Style"/>
        <family val="1"/>
      </rPr>
      <t>2</t>
    </r>
    <r>
      <rPr>
        <sz val="11"/>
        <color theme="1"/>
        <rFont val="Aptos Narrow"/>
        <family val="2"/>
        <scheme val="minor"/>
      </rPr>
      <t/>
    </r>
  </si>
  <si>
    <t>Prior Year Gross Earned Premium</t>
  </si>
  <si>
    <t>Prior Year Net Earned Premium</t>
  </si>
  <si>
    <r>
      <t xml:space="preserve">1 </t>
    </r>
    <r>
      <rPr>
        <sz val="10"/>
        <color theme="1"/>
        <rFont val="Bookman Old Style"/>
        <family val="1"/>
      </rPr>
      <t xml:space="preserve">30% of the square root of the sum of squares of the capital required for </t>
    </r>
  </si>
  <si>
    <t>Insurance, Market and Credit risk</t>
  </si>
  <si>
    <t>FORM No. INS 41-1F</t>
  </si>
  <si>
    <t>Capital Required</t>
  </si>
  <si>
    <t>Operational risk capital charges</t>
  </si>
  <si>
    <r>
      <t>Risk Based Capital</t>
    </r>
    <r>
      <rPr>
        <b/>
        <vertAlign val="superscript"/>
        <sz val="10"/>
        <rFont val="Bookman Old Style"/>
        <family val="1"/>
      </rPr>
      <t>1</t>
    </r>
  </si>
  <si>
    <r>
      <t xml:space="preserve">1 </t>
    </r>
    <r>
      <rPr>
        <sz val="10"/>
        <color theme="1"/>
        <rFont val="Bookman Old Style"/>
        <family val="1"/>
      </rPr>
      <t>Square root of the sum of squares of the capital required for Insurance,</t>
    </r>
  </si>
  <si>
    <t>Market and Credit risk plus the Operational Risk</t>
  </si>
  <si>
    <t>FORM No. INS 41-1</t>
  </si>
  <si>
    <t>Capital Adequacy Ratio</t>
  </si>
  <si>
    <t>Capital</t>
  </si>
  <si>
    <t>Total Capital Available (TCA)</t>
  </si>
  <si>
    <r>
      <t>Absolute Amount Minimum</t>
    </r>
    <r>
      <rPr>
        <vertAlign val="superscript"/>
        <sz val="10"/>
        <rFont val="Bookman Old Style"/>
        <family val="1"/>
      </rPr>
      <t>1</t>
    </r>
  </si>
  <si>
    <r>
      <t>Volume of Business Minimum</t>
    </r>
    <r>
      <rPr>
        <vertAlign val="superscript"/>
        <sz val="10"/>
        <rFont val="Bookman Old Style"/>
        <family val="1"/>
      </rPr>
      <t>2</t>
    </r>
  </si>
  <si>
    <t>Risk Based Capital Minimum</t>
  </si>
  <si>
    <t>Minimum Required Capital</t>
  </si>
  <si>
    <t>NAME OF INSURER</t>
  </si>
  <si>
    <t>YEAR</t>
  </si>
  <si>
    <t>Group Net LRC</t>
  </si>
  <si>
    <t>Group Net  LIC</t>
  </si>
  <si>
    <t>Class</t>
  </si>
  <si>
    <t>BEL</t>
  </si>
  <si>
    <t>RA</t>
  </si>
  <si>
    <t>Grand Total</t>
  </si>
  <si>
    <t>DA &amp; IPP</t>
  </si>
  <si>
    <t xml:space="preserve">Individual Pension Plans </t>
  </si>
  <si>
    <t xml:space="preserve">Liability for Remaining Coverage </t>
  </si>
  <si>
    <t>ORDINARY LIFE ASSURANCES</t>
  </si>
  <si>
    <t>Ordinary Individual Life_With Profit</t>
  </si>
  <si>
    <t>Annuities Individual Life_With Profit</t>
  </si>
  <si>
    <t>Investment Linked Individual Life_With Profit</t>
  </si>
  <si>
    <t>Ordinary Individual Life_Without Profit</t>
  </si>
  <si>
    <t>Annuities Individual Life_Without Profit</t>
  </si>
  <si>
    <t>Investment Linked Individual Life_Without Profit</t>
  </si>
  <si>
    <t>With Profit</t>
  </si>
  <si>
    <t>Without Profit</t>
  </si>
  <si>
    <t>Total Liabilities</t>
  </si>
  <si>
    <t>FORM No. INS 59-8</t>
  </si>
  <si>
    <t>PREMIUM RECEIVABLES FROM INTERMEDIARIES AND POLICYHOLDERS</t>
  </si>
  <si>
    <t>Name of Insurer</t>
  </si>
  <si>
    <t xml:space="preserve">For the year </t>
  </si>
  <si>
    <t>TOTAL</t>
  </si>
  <si>
    <t>PREMIUM RECEIVABLES FROM INTERMEDIARIES, REINSURERS AND POLICYHOLDERS</t>
  </si>
  <si>
    <t xml:space="preserve">No. </t>
  </si>
  <si>
    <t xml:space="preserve"> Amount outstanding for </t>
  </si>
  <si>
    <t>Provision/</t>
  </si>
  <si>
    <t xml:space="preserve">Net </t>
  </si>
  <si>
    <t>Name of the Entity</t>
  </si>
  <si>
    <t>Less than</t>
  </si>
  <si>
    <t>30 days</t>
  </si>
  <si>
    <t>Over</t>
  </si>
  <si>
    <t>Bad Debts</t>
  </si>
  <si>
    <t>Gross</t>
  </si>
  <si>
    <t>Amount</t>
  </si>
  <si>
    <t>to 90 days</t>
  </si>
  <si>
    <t>to 6 months</t>
  </si>
  <si>
    <t>6 months</t>
  </si>
  <si>
    <t>written off (KES)</t>
  </si>
  <si>
    <t>(01)</t>
  </si>
  <si>
    <t>(02)</t>
  </si>
  <si>
    <t>(03)</t>
  </si>
  <si>
    <t>(04)</t>
  </si>
  <si>
    <t>(05)</t>
  </si>
  <si>
    <t>(06)</t>
  </si>
  <si>
    <t>(07)=(02)+(03)+(04)+(05)</t>
  </si>
  <si>
    <t>(08)=(07)-(06)</t>
  </si>
  <si>
    <t xml:space="preserve">From Bancassurance Intermediaries </t>
  </si>
  <si>
    <t>From Policyholders</t>
  </si>
  <si>
    <t>From Insurers</t>
  </si>
  <si>
    <t>Other Receivables (Specify):</t>
  </si>
  <si>
    <t>PREMIUM RECEIVABLES FROM BROKERS</t>
  </si>
  <si>
    <t>Name of the Broker</t>
  </si>
  <si>
    <t>90 days</t>
  </si>
  <si>
    <t>AA INSURANCE BROKER</t>
  </si>
  <si>
    <t>BB INSURANCE BROKERS</t>
  </si>
  <si>
    <t>CC INSURANCE BROKERS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</si>
</sst>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_(* #,##0.00_);_(* \(#,##0.00\);_(* &quot;-&quot;??_);_(@_)"/>
    <numFmt numFmtId="165" formatCode="#,##0;\(#,##0\);\-_)"/>
    <numFmt numFmtId="166" formatCode="0.0000%"/>
    <numFmt numFmtId="167" formatCode="_-* #,##0_-;\-* #,##0_-;_-* &quot;-&quot;??_-;_-@_-"/>
    <numFmt numFmtId="168" formatCode="0.0%"/>
    <numFmt numFmtId="169" formatCode="_(* #,##0_);_(* \(#,##0\);_(* &quot;-&quot;??_);_(@_)"/>
  </numFmts>
  <fonts count="3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rgb="FF663300"/>
      <name val="Bookman Old Style"/>
      <family val="1"/>
    </font>
    <font>
      <sz val="11"/>
      <color theme="1"/>
      <name val="Bookman Old Style"/>
      <family val="1"/>
    </font>
    <font>
      <b/>
      <sz val="11"/>
      <color rgb="FFFF0000"/>
      <name val="Bookman Old Style"/>
      <family val="1"/>
    </font>
    <font>
      <b/>
      <sz val="12"/>
      <color rgb="FF663300"/>
      <name val="Bookman Old Style"/>
      <family val="1"/>
    </font>
    <font>
      <sz val="10"/>
      <color rgb="FF663300"/>
      <name val="Bookman Old Style"/>
      <family val="1"/>
    </font>
    <font>
      <i/>
      <sz val="10"/>
      <color rgb="FF663300"/>
      <name val="Bookman Old Style"/>
      <family val="1"/>
    </font>
    <font>
      <sz val="10"/>
      <name val="Bookman Old Style"/>
      <family val="1"/>
    </font>
    <font>
      <b/>
      <sz val="10"/>
      <name val="Bookman Old Style"/>
      <family val="1"/>
    </font>
    <font>
      <vertAlign val="superscript"/>
      <sz val="10"/>
      <name val="Bookman Old Style"/>
      <family val="1"/>
    </font>
    <font>
      <b/>
      <sz val="10"/>
      <color theme="1"/>
      <name val="Bookman Old Style"/>
      <family val="1"/>
    </font>
    <font>
      <b/>
      <vertAlign val="superscript"/>
      <sz val="10"/>
      <color theme="1"/>
      <name val="Bookman Old Style"/>
      <family val="1"/>
    </font>
    <font>
      <sz val="10"/>
      <color theme="1"/>
      <name val="Bookman Old Style"/>
      <family val="1"/>
    </font>
    <font>
      <b/>
      <sz val="11"/>
      <color theme="1"/>
      <name val="Bookman Old Style"/>
      <family val="1"/>
    </font>
    <font>
      <i/>
      <sz val="10"/>
      <name val="Bookman Old Style"/>
      <family val="1"/>
    </font>
    <font>
      <vertAlign val="superscript"/>
      <sz val="11"/>
      <color theme="1"/>
      <name val="Bookman Old Style"/>
      <family val="1"/>
    </font>
    <font>
      <b/>
      <sz val="11"/>
      <name val="Bookman Old Style"/>
      <family val="1"/>
    </font>
    <font>
      <b/>
      <vertAlign val="superscript"/>
      <sz val="10"/>
      <name val="Bookman Old Style"/>
      <family val="1"/>
    </font>
    <font>
      <vertAlign val="superscript"/>
      <sz val="10"/>
      <color theme="1"/>
      <name val="Bookman Old Style"/>
      <family val="1"/>
    </font>
    <font>
      <sz val="9"/>
      <color rgb="FF303030"/>
      <name val="Bookman Old Style"/>
      <family val="1"/>
    </font>
    <font>
      <sz val="10"/>
      <color theme="1"/>
      <name val="Lato"/>
      <family val="2"/>
    </font>
    <font>
      <sz val="9"/>
      <color theme="1"/>
      <name val="Lato"/>
      <family val="2"/>
    </font>
    <font>
      <sz val="10"/>
      <color theme="1"/>
      <name val="Century Gothic"/>
      <family val="2"/>
    </font>
    <font>
      <sz val="10"/>
      <name val="MS Sans Serif"/>
      <family val="2"/>
    </font>
    <font>
      <b/>
      <sz val="9"/>
      <color rgb="FF0137A6"/>
      <name val="Nunito Sans"/>
    </font>
    <font>
      <sz val="9"/>
      <color rgb="FF0137A6"/>
      <name val="Nunito Sans"/>
    </font>
    <font>
      <sz val="9"/>
      <color theme="1"/>
      <name val="Nunito Sans"/>
    </font>
    <font>
      <b/>
      <sz val="9"/>
      <color theme="1"/>
      <name val="Nunito Sans"/>
    </font>
    <font>
      <b/>
      <sz val="9"/>
      <color rgb="FF663300"/>
      <name val="Nunito Sans"/>
    </font>
    <font>
      <sz val="9"/>
      <name val="Nunito Sans"/>
    </font>
    <font>
      <b/>
      <sz val="9"/>
      <name val="Nunito Sans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C99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99"/>
        <bgColor indexed="64"/>
      </patternFill>
    </fill>
  </fills>
  <borders count="2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double">
        <color rgb="FF663300"/>
      </right>
      <top style="medium">
        <color auto="1"/>
      </top>
      <bottom style="double">
        <color rgb="FF663300"/>
      </bottom>
      <diagonal/>
    </border>
    <border>
      <left style="double">
        <color rgb="FF663300"/>
      </left>
      <right/>
      <top style="medium">
        <color auto="1"/>
      </top>
      <bottom style="double">
        <color rgb="FF663300"/>
      </bottom>
      <diagonal/>
    </border>
    <border>
      <left style="medium">
        <color auto="1"/>
      </left>
      <right style="double">
        <color rgb="FF663300"/>
      </right>
      <top style="double">
        <color rgb="FF663300"/>
      </top>
      <bottom style="double">
        <color rgb="FF663300"/>
      </bottom>
      <diagonal/>
    </border>
    <border>
      <left style="double">
        <color rgb="FF663300"/>
      </left>
      <right/>
      <top style="double">
        <color rgb="FF663300"/>
      </top>
      <bottom style="double">
        <color rgb="FF663300"/>
      </bottom>
      <diagonal/>
    </border>
    <border>
      <left style="medium">
        <color auto="1"/>
      </left>
      <right style="double">
        <color rgb="FF663300"/>
      </right>
      <top style="double">
        <color rgb="FF663300"/>
      </top>
      <bottom style="medium">
        <color auto="1"/>
      </bottom>
      <diagonal/>
    </border>
    <border>
      <left style="medium">
        <color auto="1"/>
      </left>
      <right style="double">
        <color rgb="FF663300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rgb="FF663300"/>
      </left>
      <right/>
      <top/>
      <bottom style="double">
        <color rgb="FF6633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rgb="FFA0A0A0"/>
      </left>
      <right style="thin">
        <color rgb="FFA0A0A0"/>
      </right>
      <top style="thin">
        <color rgb="FFA0A0A0"/>
      </top>
      <bottom style="thin">
        <color rgb="FFA0A0A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21" fillId="0" borderId="0"/>
    <xf numFmtId="164" fontId="21" fillId="0" borderId="0" applyFont="0" applyFill="0" applyBorder="0" applyAlignment="0" applyProtection="0"/>
    <xf numFmtId="164" fontId="22" fillId="0" borderId="0" applyFont="0" applyFill="0" applyBorder="0" applyAlignment="0" applyProtection="0"/>
    <xf numFmtId="0" fontId="22" fillId="0" borderId="0"/>
    <xf numFmtId="9" fontId="22" fillId="0" borderId="0" applyFont="0" applyFill="0" applyBorder="0" applyAlignment="0" applyProtection="0"/>
    <xf numFmtId="0" fontId="21" fillId="0" borderId="0"/>
    <xf numFmtId="9" fontId="1" fillId="0" borderId="0" applyFont="0" applyFill="0" applyBorder="0" applyAlignment="0" applyProtection="0"/>
    <xf numFmtId="0" fontId="23" fillId="0" borderId="0"/>
    <xf numFmtId="0" fontId="24" fillId="0" borderId="0"/>
    <xf numFmtId="0" fontId="1" fillId="0" borderId="0"/>
  </cellStyleXfs>
  <cellXfs count="164">
    <xf numFmtId="0" fontId="0" fillId="0" borderId="0" xfId="0"/>
    <xf numFmtId="0" fontId="2" fillId="2" borderId="0" xfId="0" applyFont="1" applyFill="1" applyAlignment="1">
      <alignment horizontal="left"/>
    </xf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 applyAlignment="1">
      <alignment horizontal="center"/>
    </xf>
    <xf numFmtId="0" fontId="6" fillId="2" borderId="0" xfId="0" applyFont="1" applyFill="1"/>
    <xf numFmtId="0" fontId="7" fillId="2" borderId="0" xfId="0" applyFont="1" applyFill="1"/>
    <xf numFmtId="0" fontId="6" fillId="2" borderId="1" xfId="0" applyFont="1" applyFill="1" applyBorder="1"/>
    <xf numFmtId="14" fontId="7" fillId="2" borderId="1" xfId="0" applyNumberFormat="1" applyFont="1" applyFill="1" applyBorder="1"/>
    <xf numFmtId="165" fontId="8" fillId="2" borderId="1" xfId="0" applyNumberFormat="1" applyFont="1" applyFill="1" applyBorder="1"/>
    <xf numFmtId="0" fontId="9" fillId="2" borderId="0" xfId="0" applyFont="1" applyFill="1"/>
    <xf numFmtId="165" fontId="9" fillId="3" borderId="4" xfId="0" applyNumberFormat="1" applyFont="1" applyFill="1" applyBorder="1" applyAlignment="1">
      <alignment horizontal="center" vertical="center" wrapText="1"/>
    </xf>
    <xf numFmtId="165" fontId="9" fillId="3" borderId="6" xfId="0" applyNumberFormat="1" applyFont="1" applyFill="1" applyBorder="1" applyAlignment="1">
      <alignment horizontal="center" vertical="center" wrapText="1"/>
    </xf>
    <xf numFmtId="0" fontId="8" fillId="4" borderId="4" xfId="0" applyFont="1" applyFill="1" applyBorder="1"/>
    <xf numFmtId="0" fontId="8" fillId="4" borderId="4" xfId="0" applyFont="1" applyFill="1" applyBorder="1" applyAlignment="1">
      <alignment horizontal="center"/>
    </xf>
    <xf numFmtId="165" fontId="9" fillId="5" borderId="4" xfId="0" applyNumberFormat="1" applyFont="1" applyFill="1" applyBorder="1"/>
    <xf numFmtId="164" fontId="4" fillId="2" borderId="0" xfId="0" applyNumberFormat="1" applyFont="1" applyFill="1"/>
    <xf numFmtId="0" fontId="9" fillId="4" borderId="4" xfId="0" applyFont="1" applyFill="1" applyBorder="1"/>
    <xf numFmtId="166" fontId="4" fillId="2" borderId="0" xfId="2" applyNumberFormat="1" applyFont="1" applyFill="1"/>
    <xf numFmtId="9" fontId="9" fillId="5" borderId="4" xfId="2" applyFont="1" applyFill="1" applyBorder="1" applyProtection="1"/>
    <xf numFmtId="0" fontId="11" fillId="2" borderId="0" xfId="0" applyFont="1" applyFill="1" applyAlignment="1">
      <alignment horizontal="right"/>
    </xf>
    <xf numFmtId="0" fontId="12" fillId="2" borderId="0" xfId="0" applyFont="1" applyFill="1"/>
    <xf numFmtId="0" fontId="13" fillId="2" borderId="0" xfId="0" applyFont="1" applyFill="1"/>
    <xf numFmtId="165" fontId="8" fillId="2" borderId="0" xfId="0" applyNumberFormat="1" applyFont="1" applyFill="1"/>
    <xf numFmtId="0" fontId="14" fillId="2" borderId="0" xfId="0" applyFont="1" applyFill="1"/>
    <xf numFmtId="0" fontId="15" fillId="2" borderId="0" xfId="0" applyFont="1" applyFill="1"/>
    <xf numFmtId="0" fontId="15" fillId="0" borderId="0" xfId="0" applyFont="1"/>
    <xf numFmtId="0" fontId="8" fillId="4" borderId="7" xfId="0" applyFont="1" applyFill="1" applyBorder="1"/>
    <xf numFmtId="0" fontId="8" fillId="4" borderId="8" xfId="0" applyFont="1" applyFill="1" applyBorder="1" applyAlignment="1">
      <alignment horizontal="center"/>
    </xf>
    <xf numFmtId="0" fontId="8" fillId="4" borderId="9" xfId="0" applyFont="1" applyFill="1" applyBorder="1"/>
    <xf numFmtId="0" fontId="8" fillId="4" borderId="10" xfId="0" applyFont="1" applyFill="1" applyBorder="1" applyAlignment="1">
      <alignment horizontal="center"/>
    </xf>
    <xf numFmtId="0" fontId="9" fillId="4" borderId="11" xfId="0" applyFont="1" applyFill="1" applyBorder="1"/>
    <xf numFmtId="37" fontId="3" fillId="2" borderId="0" xfId="0" applyNumberFormat="1" applyFont="1" applyFill="1"/>
    <xf numFmtId="0" fontId="8" fillId="4" borderId="12" xfId="0" applyFont="1" applyFill="1" applyBorder="1"/>
    <xf numFmtId="0" fontId="3" fillId="2" borderId="0" xfId="0" applyFont="1" applyFill="1" applyAlignment="1">
      <alignment horizontal="left"/>
    </xf>
    <xf numFmtId="0" fontId="7" fillId="2" borderId="1" xfId="0" applyFont="1" applyFill="1" applyBorder="1"/>
    <xf numFmtId="165" fontId="9" fillId="3" borderId="13" xfId="0" applyNumberFormat="1" applyFont="1" applyFill="1" applyBorder="1" applyAlignment="1">
      <alignment horizontal="center" vertical="center" wrapText="1"/>
    </xf>
    <xf numFmtId="165" fontId="9" fillId="3" borderId="17" xfId="0" applyNumberFormat="1" applyFont="1" applyFill="1" applyBorder="1" applyAlignment="1">
      <alignment horizontal="center" vertical="center" wrapText="1"/>
    </xf>
    <xf numFmtId="0" fontId="8" fillId="4" borderId="15" xfId="0" applyFont="1" applyFill="1" applyBorder="1" applyAlignment="1">
      <alignment horizontal="center"/>
    </xf>
    <xf numFmtId="167" fontId="9" fillId="6" borderId="4" xfId="1" applyNumberFormat="1" applyFont="1" applyFill="1" applyBorder="1"/>
    <xf numFmtId="167" fontId="3" fillId="2" borderId="0" xfId="1" applyNumberFormat="1" applyFont="1" applyFill="1"/>
    <xf numFmtId="0" fontId="8" fillId="4" borderId="4" xfId="0" applyFont="1" applyFill="1" applyBorder="1" applyAlignment="1">
      <alignment horizontal="left" indent="2"/>
    </xf>
    <xf numFmtId="167" fontId="9" fillId="7" borderId="4" xfId="1" applyNumberFormat="1" applyFont="1" applyFill="1" applyBorder="1"/>
    <xf numFmtId="0" fontId="8" fillId="4" borderId="17" xfId="0" applyFont="1" applyFill="1" applyBorder="1" applyAlignment="1">
      <alignment horizontal="left" indent="2"/>
    </xf>
    <xf numFmtId="0" fontId="8" fillId="4" borderId="16" xfId="0" applyFont="1" applyFill="1" applyBorder="1" applyAlignment="1">
      <alignment horizontal="left" indent="2"/>
    </xf>
    <xf numFmtId="0" fontId="8" fillId="4" borderId="3" xfId="0" applyFont="1" applyFill="1" applyBorder="1" applyAlignment="1">
      <alignment horizontal="center"/>
    </xf>
    <xf numFmtId="167" fontId="9" fillId="7" borderId="16" xfId="1" applyNumberFormat="1" applyFont="1" applyFill="1" applyBorder="1"/>
    <xf numFmtId="0" fontId="9" fillId="4" borderId="4" xfId="0" applyFont="1" applyFill="1" applyBorder="1" applyAlignment="1">
      <alignment horizontal="left"/>
    </xf>
    <xf numFmtId="0" fontId="3" fillId="2" borderId="4" xfId="0" applyFont="1" applyFill="1" applyBorder="1"/>
    <xf numFmtId="167" fontId="3" fillId="2" borderId="4" xfId="1" applyNumberFormat="1" applyFont="1" applyFill="1" applyBorder="1"/>
    <xf numFmtId="167" fontId="9" fillId="2" borderId="0" xfId="1" applyNumberFormat="1" applyFont="1" applyFill="1"/>
    <xf numFmtId="0" fontId="9" fillId="2" borderId="0" xfId="0" applyFont="1" applyFill="1" applyAlignment="1">
      <alignment horizontal="left"/>
    </xf>
    <xf numFmtId="165" fontId="3" fillId="2" borderId="0" xfId="0" applyNumberFormat="1" applyFont="1" applyFill="1"/>
    <xf numFmtId="0" fontId="3" fillId="2" borderId="18" xfId="0" applyFont="1" applyFill="1" applyBorder="1"/>
    <xf numFmtId="165" fontId="17" fillId="3" borderId="4" xfId="0" applyNumberFormat="1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left"/>
    </xf>
    <xf numFmtId="9" fontId="9" fillId="5" borderId="4" xfId="2" applyFont="1" applyFill="1" applyBorder="1" applyAlignment="1">
      <alignment horizontal="center"/>
    </xf>
    <xf numFmtId="167" fontId="9" fillId="7" borderId="4" xfId="1" applyNumberFormat="1" applyFont="1" applyFill="1" applyBorder="1" applyAlignment="1" applyProtection="1">
      <alignment horizontal="center"/>
    </xf>
    <xf numFmtId="167" fontId="17" fillId="5" borderId="4" xfId="1" applyNumberFormat="1" applyFont="1" applyFill="1" applyBorder="1"/>
    <xf numFmtId="9" fontId="9" fillId="5" borderId="4" xfId="2" applyFont="1" applyFill="1" applyBorder="1"/>
    <xf numFmtId="167" fontId="17" fillId="8" borderId="4" xfId="1" applyNumberFormat="1" applyFont="1" applyFill="1" applyBorder="1"/>
    <xf numFmtId="165" fontId="3" fillId="2" borderId="4" xfId="0" applyNumberFormat="1" applyFont="1" applyFill="1" applyBorder="1"/>
    <xf numFmtId="167" fontId="14" fillId="2" borderId="4" xfId="1" applyNumberFormat="1" applyFont="1" applyFill="1" applyBorder="1"/>
    <xf numFmtId="165" fontId="14" fillId="2" borderId="4" xfId="0" applyNumberFormat="1" applyFont="1" applyFill="1" applyBorder="1"/>
    <xf numFmtId="167" fontId="9" fillId="5" borderId="4" xfId="1" applyNumberFormat="1" applyFont="1" applyFill="1" applyBorder="1"/>
    <xf numFmtId="0" fontId="3" fillId="2" borderId="19" xfId="0" applyFont="1" applyFill="1" applyBorder="1"/>
    <xf numFmtId="167" fontId="3" fillId="2" borderId="19" xfId="1" applyNumberFormat="1" applyFont="1" applyFill="1" applyBorder="1"/>
    <xf numFmtId="167" fontId="3" fillId="2" borderId="20" xfId="1" applyNumberFormat="1" applyFont="1" applyFill="1" applyBorder="1"/>
    <xf numFmtId="167" fontId="9" fillId="5" borderId="20" xfId="1" applyNumberFormat="1" applyFont="1" applyFill="1" applyBorder="1"/>
    <xf numFmtId="168" fontId="9" fillId="4" borderId="4" xfId="2" applyNumberFormat="1" applyFont="1" applyFill="1" applyBorder="1" applyAlignment="1" applyProtection="1">
      <alignment horizontal="center"/>
    </xf>
    <xf numFmtId="0" fontId="8" fillId="4" borderId="21" xfId="0" applyFont="1" applyFill="1" applyBorder="1" applyAlignment="1">
      <alignment horizontal="center"/>
    </xf>
    <xf numFmtId="167" fontId="9" fillId="3" borderId="4" xfId="1" applyNumberFormat="1" applyFont="1" applyFill="1" applyBorder="1" applyAlignment="1">
      <alignment horizontal="center" vertical="center" wrapText="1"/>
    </xf>
    <xf numFmtId="0" fontId="8" fillId="9" borderId="0" xfId="0" applyFont="1" applyFill="1" applyAlignment="1">
      <alignment horizontal="left" vertical="top"/>
    </xf>
    <xf numFmtId="0" fontId="8" fillId="9" borderId="0" xfId="0" applyFont="1" applyFill="1" applyAlignment="1">
      <alignment vertical="top"/>
    </xf>
    <xf numFmtId="167" fontId="8" fillId="7" borderId="4" xfId="1" applyNumberFormat="1" applyFont="1" applyFill="1" applyBorder="1" applyAlignment="1" applyProtection="1">
      <alignment horizontal="right" vertical="top"/>
      <protection locked="0"/>
    </xf>
    <xf numFmtId="167" fontId="8" fillId="7" borderId="4" xfId="1" applyNumberFormat="1" applyFont="1" applyFill="1" applyBorder="1" applyAlignment="1" applyProtection="1">
      <alignment horizontal="center" vertical="top"/>
      <protection locked="0"/>
    </xf>
    <xf numFmtId="0" fontId="8" fillId="9" borderId="0" xfId="0" applyFont="1" applyFill="1" applyAlignment="1">
      <alignment horizontal="right" vertical="top"/>
    </xf>
    <xf numFmtId="0" fontId="11" fillId="2" borderId="0" xfId="0" applyFont="1" applyFill="1"/>
    <xf numFmtId="0" fontId="8" fillId="9" borderId="0" xfId="0" applyFont="1" applyFill="1" applyAlignment="1">
      <alignment vertical="top" wrapText="1"/>
    </xf>
    <xf numFmtId="164" fontId="8" fillId="9" borderId="0" xfId="3" applyFont="1" applyFill="1" applyAlignment="1" applyProtection="1">
      <alignment vertical="top" wrapText="1"/>
    </xf>
    <xf numFmtId="0" fontId="8" fillId="7" borderId="13" xfId="0" applyFont="1" applyFill="1" applyBorder="1" applyAlignment="1" applyProtection="1">
      <alignment horizontal="left" vertical="top"/>
      <protection locked="0"/>
    </xf>
    <xf numFmtId="0" fontId="8" fillId="7" borderId="13" xfId="0" applyFont="1" applyFill="1" applyBorder="1" applyAlignment="1" applyProtection="1">
      <alignment horizontal="right" wrapText="1"/>
      <protection locked="0"/>
    </xf>
    <xf numFmtId="0" fontId="8" fillId="7" borderId="22" xfId="0" applyFont="1" applyFill="1" applyBorder="1" applyAlignment="1" applyProtection="1">
      <alignment horizontal="left" vertical="top"/>
      <protection locked="0"/>
    </xf>
    <xf numFmtId="0" fontId="8" fillId="4" borderId="13" xfId="0" applyFont="1" applyFill="1" applyBorder="1"/>
    <xf numFmtId="167" fontId="8" fillId="4" borderId="4" xfId="1" applyNumberFormat="1" applyFont="1" applyFill="1" applyBorder="1" applyAlignment="1">
      <alignment horizontal="center"/>
    </xf>
    <xf numFmtId="0" fontId="9" fillId="2" borderId="23" xfId="0" applyFont="1" applyFill="1" applyBorder="1"/>
    <xf numFmtId="0" fontId="3" fillId="2" borderId="20" xfId="0" applyFont="1" applyFill="1" applyBorder="1"/>
    <xf numFmtId="0" fontId="11" fillId="2" borderId="0" xfId="0" applyFont="1" applyFill="1" applyAlignment="1">
      <alignment horizontal="left"/>
    </xf>
    <xf numFmtId="0" fontId="19" fillId="2" borderId="0" xfId="0" applyFont="1" applyFill="1"/>
    <xf numFmtId="167" fontId="9" fillId="6" borderId="15" xfId="1" applyNumberFormat="1" applyFont="1" applyFill="1" applyBorder="1"/>
    <xf numFmtId="167" fontId="9" fillId="6" borderId="17" xfId="1" applyNumberFormat="1" applyFont="1" applyFill="1" applyBorder="1"/>
    <xf numFmtId="168" fontId="9" fillId="4" borderId="17" xfId="2" applyNumberFormat="1" applyFont="1" applyFill="1" applyBorder="1" applyAlignment="1" applyProtection="1">
      <alignment horizontal="center"/>
    </xf>
    <xf numFmtId="3" fontId="20" fillId="0" borderId="24" xfId="0" applyNumberFormat="1" applyFont="1" applyBorder="1" applyAlignment="1">
      <alignment horizontal="right"/>
    </xf>
    <xf numFmtId="3" fontId="3" fillId="2" borderId="0" xfId="0" applyNumberFormat="1" applyFont="1" applyFill="1"/>
    <xf numFmtId="0" fontId="3" fillId="2" borderId="0" xfId="0" applyFont="1" applyFill="1" applyAlignment="1">
      <alignment wrapText="1"/>
    </xf>
    <xf numFmtId="167" fontId="3" fillId="2" borderId="0" xfId="3" applyNumberFormat="1" applyFont="1" applyFill="1"/>
    <xf numFmtId="3" fontId="20" fillId="0" borderId="0" xfId="0" applyNumberFormat="1" applyFont="1" applyAlignment="1">
      <alignment horizontal="right"/>
    </xf>
    <xf numFmtId="167" fontId="9" fillId="0" borderId="0" xfId="1" applyNumberFormat="1" applyFont="1"/>
    <xf numFmtId="165" fontId="9" fillId="5" borderId="20" xfId="0" applyNumberFormat="1" applyFont="1" applyFill="1" applyBorder="1"/>
    <xf numFmtId="169" fontId="4" fillId="2" borderId="0" xfId="3" applyNumberFormat="1" applyFont="1" applyFill="1" applyAlignment="1">
      <alignment horizontal="right"/>
    </xf>
    <xf numFmtId="14" fontId="7" fillId="2" borderId="0" xfId="0" applyNumberFormat="1" applyFont="1" applyFill="1"/>
    <xf numFmtId="3" fontId="25" fillId="0" borderId="0" xfId="0" applyNumberFormat="1" applyFont="1" applyAlignment="1">
      <alignment horizontal="right" vertical="center"/>
    </xf>
    <xf numFmtId="0" fontId="26" fillId="0" borderId="0" xfId="0" applyFont="1" applyAlignment="1">
      <alignment horizontal="right" vertical="center"/>
    </xf>
    <xf numFmtId="0" fontId="27" fillId="0" borderId="0" xfId="0" applyFont="1" applyAlignment="1">
      <alignment horizontal="right" vertical="center"/>
    </xf>
    <xf numFmtId="0" fontId="25" fillId="0" borderId="0" xfId="0" applyFont="1" applyAlignment="1">
      <alignment horizontal="right" vertical="center"/>
    </xf>
    <xf numFmtId="167" fontId="28" fillId="0" borderId="0" xfId="1" applyNumberFormat="1" applyFont="1" applyAlignment="1">
      <alignment horizontal="right" vertical="center"/>
    </xf>
    <xf numFmtId="167" fontId="27" fillId="0" borderId="0" xfId="1" applyNumberFormat="1" applyFont="1" applyAlignment="1">
      <alignment horizontal="right" vertical="center"/>
    </xf>
    <xf numFmtId="0" fontId="28" fillId="0" borderId="1" xfId="0" applyFont="1" applyBorder="1" applyAlignment="1">
      <alignment horizontal="right" vertical="center"/>
    </xf>
    <xf numFmtId="167" fontId="28" fillId="0" borderId="1" xfId="1" applyNumberFormat="1" applyFont="1" applyBorder="1" applyAlignment="1">
      <alignment horizontal="right" vertical="center"/>
    </xf>
    <xf numFmtId="0" fontId="27" fillId="10" borderId="0" xfId="0" applyFont="1" applyFill="1" applyAlignment="1">
      <alignment horizontal="right" vertical="center"/>
    </xf>
    <xf numFmtId="167" fontId="28" fillId="0" borderId="0" xfId="0" applyNumberFormat="1" applyFont="1" applyAlignment="1">
      <alignment horizontal="right" vertical="center"/>
    </xf>
    <xf numFmtId="0" fontId="28" fillId="0" borderId="0" xfId="0" applyFont="1" applyAlignment="1">
      <alignment horizontal="right" vertical="center"/>
    </xf>
    <xf numFmtId="167" fontId="27" fillId="0" borderId="0" xfId="0" applyNumberFormat="1" applyFont="1" applyAlignment="1">
      <alignment horizontal="right" vertical="center"/>
    </xf>
    <xf numFmtId="0" fontId="27" fillId="0" borderId="0" xfId="0" applyFont="1"/>
    <xf numFmtId="0" fontId="25" fillId="11" borderId="0" xfId="0" applyFont="1" applyFill="1" applyAlignment="1">
      <alignment horizontal="right" vertical="center"/>
    </xf>
    <xf numFmtId="0" fontId="29" fillId="0" borderId="0" xfId="0" applyFont="1" applyAlignment="1">
      <alignment horizontal="left"/>
    </xf>
    <xf numFmtId="0" fontId="27" fillId="0" borderId="22" xfId="0" applyFont="1" applyBorder="1"/>
    <xf numFmtId="0" fontId="28" fillId="3" borderId="4" xfId="0" applyFont="1" applyFill="1" applyBorder="1" applyAlignment="1">
      <alignment vertical="center"/>
    </xf>
    <xf numFmtId="0" fontId="30" fillId="2" borderId="4" xfId="0" applyFont="1" applyFill="1" applyBorder="1" applyAlignment="1" applyProtection="1">
      <alignment horizontal="center" vertical="center"/>
      <protection locked="0"/>
    </xf>
    <xf numFmtId="0" fontId="28" fillId="3" borderId="4" xfId="0" applyFont="1" applyFill="1" applyBorder="1" applyAlignment="1">
      <alignment horizontal="center" vertical="center"/>
    </xf>
    <xf numFmtId="0" fontId="27" fillId="0" borderId="18" xfId="0" applyFont="1" applyBorder="1"/>
    <xf numFmtId="0" fontId="27" fillId="0" borderId="3" xfId="0" applyFont="1" applyBorder="1"/>
    <xf numFmtId="0" fontId="27" fillId="0" borderId="25" xfId="0" applyFont="1" applyBorder="1"/>
    <xf numFmtId="0" fontId="27" fillId="0" borderId="26" xfId="0" applyFont="1" applyBorder="1"/>
    <xf numFmtId="167" fontId="28" fillId="6" borderId="4" xfId="1" applyNumberFormat="1" applyFont="1" applyFill="1" applyBorder="1"/>
    <xf numFmtId="0" fontId="28" fillId="3" borderId="16" xfId="0" applyFont="1" applyFill="1" applyBorder="1" applyAlignment="1">
      <alignment vertical="center"/>
    </xf>
    <xf numFmtId="0" fontId="28" fillId="3" borderId="22" xfId="0" applyFont="1" applyFill="1" applyBorder="1" applyAlignment="1">
      <alignment vertical="center"/>
    </xf>
    <xf numFmtId="0" fontId="28" fillId="3" borderId="27" xfId="0" applyFont="1" applyFill="1" applyBorder="1" applyAlignment="1">
      <alignment vertical="center"/>
    </xf>
    <xf numFmtId="0" fontId="28" fillId="3" borderId="17" xfId="0" applyFont="1" applyFill="1" applyBorder="1" applyAlignment="1">
      <alignment vertical="center"/>
    </xf>
    <xf numFmtId="0" fontId="28" fillId="3" borderId="28" xfId="0" applyFont="1" applyFill="1" applyBorder="1" applyAlignment="1">
      <alignment vertical="center"/>
    </xf>
    <xf numFmtId="0" fontId="27" fillId="0" borderId="4" xfId="0" applyFont="1" applyBorder="1"/>
    <xf numFmtId="167" fontId="27" fillId="12" borderId="4" xfId="1" applyNumberFormat="1" applyFont="1" applyFill="1" applyBorder="1"/>
    <xf numFmtId="167" fontId="27" fillId="6" borderId="4" xfId="1" applyNumberFormat="1" applyFont="1" applyFill="1" applyBorder="1"/>
    <xf numFmtId="167" fontId="30" fillId="2" borderId="4" xfId="1" applyNumberFormat="1" applyFont="1" applyFill="1" applyBorder="1" applyAlignment="1">
      <alignment horizontal="left" vertical="center"/>
    </xf>
    <xf numFmtId="167" fontId="31" fillId="6" borderId="4" xfId="1" applyNumberFormat="1" applyFont="1" applyFill="1" applyBorder="1" applyAlignment="1">
      <alignment vertical="center"/>
    </xf>
    <xf numFmtId="0" fontId="28" fillId="0" borderId="0" xfId="0" applyFont="1"/>
    <xf numFmtId="0" fontId="27" fillId="0" borderId="0" xfId="0" applyFont="1" applyAlignment="1">
      <alignment horizontal="center"/>
    </xf>
    <xf numFmtId="0" fontId="27" fillId="12" borderId="4" xfId="0" applyFont="1" applyFill="1" applyBorder="1"/>
    <xf numFmtId="165" fontId="9" fillId="3" borderId="4" xfId="0" applyNumberFormat="1" applyFont="1" applyFill="1" applyBorder="1" applyAlignment="1">
      <alignment horizontal="center" vertical="center" wrapText="1"/>
    </xf>
    <xf numFmtId="165" fontId="9" fillId="3" borderId="3" xfId="0" applyNumberFormat="1" applyFont="1" applyFill="1" applyBorder="1" applyAlignment="1">
      <alignment horizontal="center" vertical="center" wrapText="1"/>
    </xf>
    <xf numFmtId="165" fontId="9" fillId="3" borderId="6" xfId="0" applyNumberFormat="1" applyFont="1" applyFill="1" applyBorder="1" applyAlignment="1">
      <alignment horizontal="center" vertical="center" wrapText="1"/>
    </xf>
    <xf numFmtId="165" fontId="9" fillId="3" borderId="13" xfId="0" applyNumberFormat="1" applyFont="1" applyFill="1" applyBorder="1" applyAlignment="1">
      <alignment horizontal="center" vertical="center" wrapText="1"/>
    </xf>
    <xf numFmtId="165" fontId="9" fillId="3" borderId="14" xfId="0" applyNumberFormat="1" applyFont="1" applyFill="1" applyBorder="1" applyAlignment="1">
      <alignment horizontal="center" vertical="center" wrapText="1"/>
    </xf>
    <xf numFmtId="165" fontId="9" fillId="3" borderId="15" xfId="0" applyNumberFormat="1" applyFont="1" applyFill="1" applyBorder="1" applyAlignment="1">
      <alignment horizontal="center" vertical="center" wrapText="1"/>
    </xf>
    <xf numFmtId="165" fontId="9" fillId="3" borderId="16" xfId="0" applyNumberFormat="1" applyFont="1" applyFill="1" applyBorder="1" applyAlignment="1">
      <alignment horizontal="center" vertical="center" wrapText="1"/>
    </xf>
    <xf numFmtId="165" fontId="9" fillId="3" borderId="17" xfId="0" applyNumberFormat="1" applyFont="1" applyFill="1" applyBorder="1" applyAlignment="1">
      <alignment horizontal="center" vertical="center" wrapText="1"/>
    </xf>
    <xf numFmtId="165" fontId="17" fillId="3" borderId="13" xfId="0" applyNumberFormat="1" applyFont="1" applyFill="1" applyBorder="1" applyAlignment="1">
      <alignment horizontal="center" vertical="center" wrapText="1"/>
    </xf>
    <xf numFmtId="165" fontId="17" fillId="3" borderId="14" xfId="0" applyNumberFormat="1" applyFont="1" applyFill="1" applyBorder="1" applyAlignment="1">
      <alignment horizontal="center" vertical="center" wrapText="1"/>
    </xf>
    <xf numFmtId="165" fontId="17" fillId="3" borderId="15" xfId="0" applyNumberFormat="1" applyFont="1" applyFill="1" applyBorder="1" applyAlignment="1">
      <alignment horizontal="center" vertical="center" wrapText="1"/>
    </xf>
    <xf numFmtId="0" fontId="8" fillId="9" borderId="0" xfId="0" applyFont="1" applyFill="1" applyAlignment="1">
      <alignment horizontal="left" vertical="top" wrapText="1"/>
    </xf>
    <xf numFmtId="165" fontId="9" fillId="3" borderId="2" xfId="0" applyNumberFormat="1" applyFont="1" applyFill="1" applyBorder="1" applyAlignment="1">
      <alignment horizontal="center" vertical="center" wrapText="1"/>
    </xf>
    <xf numFmtId="165" fontId="9" fillId="3" borderId="5" xfId="0" applyNumberFormat="1" applyFont="1" applyFill="1" applyBorder="1" applyAlignment="1">
      <alignment horizontal="center" vertical="center" wrapText="1"/>
    </xf>
    <xf numFmtId="0" fontId="27" fillId="0" borderId="16" xfId="0" applyFont="1" applyBorder="1" applyAlignment="1">
      <alignment horizontal="center" vertical="top"/>
    </xf>
    <xf numFmtId="0" fontId="27" fillId="0" borderId="27" xfId="0" applyFont="1" applyBorder="1" applyAlignment="1">
      <alignment horizontal="center" vertical="top"/>
    </xf>
    <xf numFmtId="0" fontId="27" fillId="0" borderId="17" xfId="0" applyFont="1" applyBorder="1" applyAlignment="1">
      <alignment horizontal="center" vertical="top"/>
    </xf>
    <xf numFmtId="0" fontId="28" fillId="3" borderId="4" xfId="0" applyFont="1" applyFill="1" applyBorder="1" applyAlignment="1">
      <alignment horizontal="center" vertical="center"/>
    </xf>
    <xf numFmtId="0" fontId="28" fillId="3" borderId="13" xfId="0" applyFont="1" applyFill="1" applyBorder="1" applyAlignment="1">
      <alignment horizontal="center" vertical="center"/>
    </xf>
    <xf numFmtId="0" fontId="28" fillId="6" borderId="13" xfId="0" applyFont="1" applyFill="1" applyBorder="1" applyAlignment="1">
      <alignment horizontal="right"/>
    </xf>
    <xf numFmtId="0" fontId="28" fillId="6" borderId="14" xfId="0" applyFont="1" applyFill="1" applyBorder="1" applyAlignment="1">
      <alignment horizontal="right"/>
    </xf>
    <xf numFmtId="0" fontId="28" fillId="3" borderId="4" xfId="0" applyFont="1" applyFill="1" applyBorder="1" applyAlignment="1">
      <alignment horizontal="left" vertical="center"/>
    </xf>
    <xf numFmtId="0" fontId="28" fillId="3" borderId="16" xfId="0" applyFont="1" applyFill="1" applyBorder="1" applyAlignment="1">
      <alignment horizontal="left" vertical="center"/>
    </xf>
    <xf numFmtId="0" fontId="28" fillId="6" borderId="4" xfId="0" applyFont="1" applyFill="1" applyBorder="1" applyAlignment="1">
      <alignment horizontal="right"/>
    </xf>
    <xf numFmtId="167" fontId="30" fillId="12" borderId="4" xfId="1" applyNumberFormat="1" applyFont="1" applyFill="1" applyBorder="1" applyAlignment="1">
      <alignment horizontal="left" vertical="center"/>
    </xf>
    <xf numFmtId="167" fontId="30" fillId="12" borderId="4" xfId="1" applyNumberFormat="1" applyFont="1" applyFill="1" applyBorder="1" applyAlignment="1">
      <alignment vertical="center"/>
    </xf>
  </cellXfs>
  <cellStyles count="14">
    <cellStyle name="Comma" xfId="1" builtinId="3"/>
    <cellStyle name="Comma 2" xfId="5" xr:uid="{039D6114-46CA-4278-B765-4EB128F78959}"/>
    <cellStyle name="Comma 3" xfId="6" xr:uid="{C9D2405B-2A19-48DC-AA0F-61886CF5A37F}"/>
    <cellStyle name="Comma 6" xfId="3" xr:uid="{5A0F15CC-96AC-46D0-AC1F-4F3666A80DCD}"/>
    <cellStyle name="Legal 8½ x 14 in 10 2 2" xfId="12" xr:uid="{18E7C8F6-CAEC-4667-A412-E91635124DC3}"/>
    <cellStyle name="Normal" xfId="0" builtinId="0"/>
    <cellStyle name="Normal 174" xfId="13" xr:uid="{08CC6335-5C73-4224-8A4D-58A05F76189E}"/>
    <cellStyle name="Normal 2" xfId="4" xr:uid="{D3E3215F-BD7D-4CFC-BF56-FEBCAD4B5F9C}"/>
    <cellStyle name="Normal 234" xfId="9" xr:uid="{133B6A4D-1950-4A76-B568-E02BA93B2F2C}"/>
    <cellStyle name="Normal 3" xfId="7" xr:uid="{35136A1B-DD0A-4CCA-95FD-3C6025B0DB68}"/>
    <cellStyle name="Normal 5" xfId="11" xr:uid="{B5008812-B48C-4C90-AF93-D3B4D2946343}"/>
    <cellStyle name="Percent" xfId="2" builtinId="5"/>
    <cellStyle name="Percent 2" xfId="8" xr:uid="{E55709A2-CEA6-4F9B-BA1E-E2BA8BFBFF96}"/>
    <cellStyle name="Percent 2 2" xfId="10" xr:uid="{AFCAF191-1173-4DE4-B9C7-77490A6D2E09}"/>
  </cellStyles>
  <dxfs count="0"/>
  <tableStyles count="0" defaultTableStyle="TableStyleMedium2" defaultPivotStyle="PivotStyleLight16"/>
  <colors>
    <mruColors>
      <color rgb="FF0137A6"/>
      <color rgb="FFD9E1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ustomXml" Target="../ink/ink1.xml"/><Relationship Id="rId1" Type="http://schemas.openxmlformats.org/officeDocument/2006/relationships/image" Target="../media/image1.png"/><Relationship Id="rId4" Type="http://schemas.openxmlformats.org/officeDocument/2006/relationships/customXml" Target="../ink/ink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1744557</xdr:colOff>
      <xdr:row>0</xdr:row>
      <xdr:rowOff>127424</xdr:rowOff>
    </xdr:from>
    <xdr:to>
      <xdr:col>5</xdr:col>
      <xdr:colOff>249767</xdr:colOff>
      <xdr:row>4</xdr:row>
      <xdr:rowOff>28787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2CD9AAD-2FB5-441A-B1E0-C6C41A2C623E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62707" y="127424"/>
          <a:ext cx="969010" cy="631613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tx1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chemeClr val="bg2"/>
                </a:outerShdw>
              </a:effectLst>
            </a14:hiddenEffects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404814</xdr:colOff>
      <xdr:row>1</xdr:row>
      <xdr:rowOff>13970</xdr:rowOff>
    </xdr:from>
    <xdr:to>
      <xdr:col>14</xdr:col>
      <xdr:colOff>1453199</xdr:colOff>
      <xdr:row>4</xdr:row>
      <xdr:rowOff>107950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E07E18-6385-45C8-8051-866EA2B933EF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462164" y="191770"/>
          <a:ext cx="1035685" cy="646430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tx1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chemeClr val="bg2"/>
                </a:outerShdw>
              </a:effectLst>
            </a14:hiddenEffects>
          </a:ext>
        </a:extLst>
      </xdr:spPr>
    </xdr:pic>
    <xdr:clientData/>
  </xdr:twoCellAnchor>
  <xdr:twoCellAnchor editAs="oneCell">
    <xdr:from>
      <xdr:col>7</xdr:col>
      <xdr:colOff>1103715</xdr:colOff>
      <xdr:row>58</xdr:row>
      <xdr:rowOff>80278</xdr:rowOff>
    </xdr:from>
    <xdr:to>
      <xdr:col>7</xdr:col>
      <xdr:colOff>1104075</xdr:colOff>
      <xdr:row>58</xdr:row>
      <xdr:rowOff>80638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3" name="Ink 2">
              <a:extLst>
                <a:ext uri="{FF2B5EF4-FFF2-40B4-BE49-F238E27FC236}">
                  <a16:creationId xmlns:a16="http://schemas.microsoft.com/office/drawing/2014/main" id="{64232031-0362-4DC0-EDFF-4D28A54EC0FC}"/>
                </a:ext>
              </a:extLst>
            </xdr14:cNvPr>
            <xdr14:cNvContentPartPr/>
          </xdr14:nvContentPartPr>
          <xdr14:nvPr macro=""/>
          <xdr14:xfrm>
            <a:off x="13533840" y="11772216"/>
            <a:ext cx="360" cy="360"/>
          </xdr14:xfrm>
        </xdr:contentPart>
      </mc:Choice>
      <mc:Fallback xmlns="">
        <xdr:pic>
          <xdr:nvPicPr>
            <xdr:cNvPr id="3" name="Ink 2">
              <a:extLst>
                <a:ext uri="{FF2B5EF4-FFF2-40B4-BE49-F238E27FC236}">
                  <a16:creationId xmlns:a16="http://schemas.microsoft.com/office/drawing/2014/main" id="{64232031-0362-4DC0-EDFF-4D28A54EC0FC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13527720" y="11766096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1380634</xdr:colOff>
      <xdr:row>54</xdr:row>
      <xdr:rowOff>102179</xdr:rowOff>
    </xdr:from>
    <xdr:to>
      <xdr:col>8</xdr:col>
      <xdr:colOff>1380994</xdr:colOff>
      <xdr:row>54</xdr:row>
      <xdr:rowOff>102539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5" name="Ink 4">
              <a:extLst>
                <a:ext uri="{FF2B5EF4-FFF2-40B4-BE49-F238E27FC236}">
                  <a16:creationId xmlns:a16="http://schemas.microsoft.com/office/drawing/2014/main" id="{EE89257A-7526-2D53-589C-401FB6825FD2}"/>
                </a:ext>
              </a:extLst>
            </xdr14:cNvPr>
            <xdr14:cNvContentPartPr/>
          </xdr14:nvContentPartPr>
          <xdr14:nvPr macro=""/>
          <xdr14:xfrm>
            <a:off x="16001509" y="11079742"/>
            <a:ext cx="360" cy="360"/>
          </xdr14:xfrm>
        </xdr:contentPart>
      </mc:Choice>
      <mc:Fallback xmlns="">
        <xdr:pic>
          <xdr:nvPicPr>
            <xdr:cNvPr id="5" name="Ink 4">
              <a:extLst>
                <a:ext uri="{FF2B5EF4-FFF2-40B4-BE49-F238E27FC236}">
                  <a16:creationId xmlns:a16="http://schemas.microsoft.com/office/drawing/2014/main" id="{EE89257A-7526-2D53-589C-401FB6825FD2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15995389" y="11073622"/>
              <a:ext cx="12600" cy="126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969010</xdr:colOff>
      <xdr:row>0</xdr:row>
      <xdr:rowOff>77470</xdr:rowOff>
    </xdr:from>
    <xdr:to>
      <xdr:col>6</xdr:col>
      <xdr:colOff>3387</xdr:colOff>
      <xdr:row>3</xdr:row>
      <xdr:rowOff>165100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049CFB-491F-4626-9C16-C2337AAF16A4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055860" y="77470"/>
          <a:ext cx="996527" cy="633730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tx1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chemeClr val="bg2"/>
                </a:outerShdw>
              </a:effectLst>
            </a14:hiddenEffects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129540</xdr:colOff>
      <xdr:row>1</xdr:row>
      <xdr:rowOff>60960</xdr:rowOff>
    </xdr:from>
    <xdr:to>
      <xdr:col>5</xdr:col>
      <xdr:colOff>1132523</xdr:colOff>
      <xdr:row>4</xdr:row>
      <xdr:rowOff>142240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9CEFFC-70BE-402E-813F-EE5D00E2FD0D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22690" y="238760"/>
          <a:ext cx="996633" cy="633730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tx1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chemeClr val="bg2"/>
                </a:outerShdw>
              </a:effectLst>
            </a14:hiddenEffects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1243330</xdr:colOff>
      <xdr:row>0</xdr:row>
      <xdr:rowOff>80010</xdr:rowOff>
    </xdr:from>
    <xdr:to>
      <xdr:col>4</xdr:col>
      <xdr:colOff>85090</xdr:colOff>
      <xdr:row>3</xdr:row>
      <xdr:rowOff>57150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76AF91-FCE8-4012-A446-3E5B0C88D82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002530" y="80010"/>
          <a:ext cx="969010" cy="523240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tx1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chemeClr val="bg2"/>
                </a:outerShdw>
              </a:effectLst>
            </a14:hiddenEffects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1104900</xdr:colOff>
      <xdr:row>0</xdr:row>
      <xdr:rowOff>39370</xdr:rowOff>
    </xdr:from>
    <xdr:to>
      <xdr:col>4</xdr:col>
      <xdr:colOff>100251</xdr:colOff>
      <xdr:row>3</xdr:row>
      <xdr:rowOff>38100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86E93C-FCA0-48A0-AF9F-287DA0C01FD9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572000" y="39370"/>
          <a:ext cx="1033701" cy="544830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tx1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chemeClr val="bg2"/>
                </a:outerShdw>
              </a:effectLst>
            </a14:hiddenEffects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1080911</xdr:colOff>
      <xdr:row>0</xdr:row>
      <xdr:rowOff>162842</xdr:rowOff>
    </xdr:from>
    <xdr:to>
      <xdr:col>3</xdr:col>
      <xdr:colOff>2035237</xdr:colOff>
      <xdr:row>4</xdr:row>
      <xdr:rowOff>67733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A1BB4E-DE33-4B4A-BFD1-377E6ADF064B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40061" y="162842"/>
          <a:ext cx="1033701" cy="635141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tx1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chemeClr val="bg2"/>
                </a:outerShdw>
              </a:effectLst>
            </a14:hiddenEffects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1442356</xdr:colOff>
      <xdr:row>0</xdr:row>
      <xdr:rowOff>54429</xdr:rowOff>
    </xdr:from>
    <xdr:to>
      <xdr:col>9</xdr:col>
      <xdr:colOff>297100</xdr:colOff>
      <xdr:row>3</xdr:row>
      <xdr:rowOff>132988</xdr:rowOff>
    </xdr:to>
    <xdr:pic>
      <xdr:nvPicPr>
        <xdr:cNvPr id="2" name="Picture 1" descr="A black and yellow logo&#10;&#10;Description automatically generated">
          <a:extLst>
            <a:ext uri="{FF2B5EF4-FFF2-40B4-BE49-F238E27FC236}">
              <a16:creationId xmlns:a16="http://schemas.microsoft.com/office/drawing/2014/main" id="{0FC1DAC6-24D8-442A-A1C3-8815E0BD61D7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942127" y="54429"/>
          <a:ext cx="1059102" cy="628287"/>
        </a:xfrm>
        <a:prstGeom prst="rect">
          <a:avLst/>
        </a:prstGeom>
        <a:noFill/>
        <a:ln>
          <a:noFill/>
        </a:ln>
        <a:effectLst/>
        <a:extLst>
          <a:ext uri="{909E8E84-426E-40DD-AFC4-6F175D3DCCD1}">
            <a14:hiddenFill xmlns:a14="http://schemas.microsoft.com/office/drawing/2010/main">
              <a:solidFill>
                <a:schemeClr val="accent1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chemeClr val="tx1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chemeClr val="bg2"/>
                </a:outerShdw>
              </a:effectLst>
            </a14:hiddenEffects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kenbright-my.sharepoint.com/personal/rnyawira_kenbright_africa/Documents/Documents/TRAINING%20MODULE/CAR/Annual/ERS%20002%20Annual%20Life%20Business%20Return%20Template_25.03.24.xlsx" TargetMode="External"/><Relationship Id="rId1" Type="http://schemas.openxmlformats.org/officeDocument/2006/relationships/externalLinkPath" Target="https://kenbright-my.sharepoint.com/personal/rnyawira_kenbright_africa/Documents/Documents/TRAINING%20MODULE/CAR/Annual/ERS%20002%20Annual%20Life%20Business%20Return%20Template_25.03.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tails"/>
      <sheetName val="TOC"/>
      <sheetName val="ABV"/>
      <sheetName val="30-1 (a)"/>
      <sheetName val="30-1 (b)"/>
      <sheetName val="30-1 (c)"/>
      <sheetName val="30-1 (d)"/>
      <sheetName val="30-1 (e)"/>
      <sheetName val="54-5"/>
      <sheetName val="54-5 2A (a)"/>
      <sheetName val="54-5 2A (b)"/>
      <sheetName val="54-5 2B"/>
      <sheetName val="54-5 2C (a)"/>
      <sheetName val="54-5 2C (b)"/>
      <sheetName val="54-5 2D (a)"/>
      <sheetName val="54-5 2D (b)"/>
      <sheetName val="54-5 2D (c)"/>
      <sheetName val="54-5 2D (d)"/>
      <sheetName val="54-5 2D (e)"/>
      <sheetName val="54-5 2E (a)"/>
      <sheetName val="54-5 2E (b)"/>
      <sheetName val="54-5 2E (c)"/>
      <sheetName val="54-5 2E (d)"/>
      <sheetName val="54-5 2E (e)"/>
      <sheetName val="54-5 2E (f)"/>
      <sheetName val="54-5 2E (g)"/>
      <sheetName val="54-5 2E (h)"/>
      <sheetName val="54-5 2E (i)"/>
      <sheetName val="54-5 2F (a)"/>
      <sheetName val="54-5 2F (b)"/>
      <sheetName val="54-5 2F (c)"/>
      <sheetName val="54-5 2F (d)"/>
      <sheetName val="54-5 2F (e)"/>
      <sheetName val="54-5 2G"/>
      <sheetName val="54-5 2H (a)"/>
      <sheetName val="54-5 2H (b)"/>
      <sheetName val="54-5 2H (c)"/>
      <sheetName val="54-5 2I"/>
      <sheetName val="54-5 2J (a)"/>
      <sheetName val="54-5 2J (b)"/>
      <sheetName val="54-5 2K"/>
      <sheetName val="54-5 2L (a)"/>
      <sheetName val="54-5 2L (b)"/>
      <sheetName val="54-5 2M"/>
      <sheetName val="54-5 2M (a)"/>
      <sheetName val="54-5 2M (b)"/>
      <sheetName val="54-5 2M (c)"/>
      <sheetName val="54-5 2M (d)"/>
      <sheetName val="54-5 2N"/>
      <sheetName val="54-5 2N (a)"/>
      <sheetName val="54-5 2N (b)"/>
      <sheetName val="54-5 2N (c)"/>
      <sheetName val="54-5 2P"/>
      <sheetName val="54-5 3A (a) "/>
      <sheetName val="54-5 3A (b)"/>
      <sheetName val="54-5 3A (c)"/>
      <sheetName val="54-5 3A (d)"/>
      <sheetName val="54-5 3A (e)"/>
      <sheetName val="54-5 3B"/>
      <sheetName val="54-5 3C"/>
      <sheetName val="54-4"/>
      <sheetName val="54-4 (a)"/>
      <sheetName val="54-4 (b)"/>
      <sheetName val="54-4 (c)"/>
      <sheetName val="54-4 (d)"/>
      <sheetName val="54-4 (e)"/>
      <sheetName val="54-4 (f)"/>
      <sheetName val="Insurance Contract A &amp; L (2)"/>
      <sheetName val="54-4A"/>
      <sheetName val="CPI"/>
      <sheetName val="SAFARI SYSTEM"/>
      <sheetName val="Ratio Burn Analysis"/>
      <sheetName val="Selected Ratio Analysis"/>
      <sheetName val="Aggregate Risk Rating"/>
      <sheetName val="EARLY WARNING RATIO"/>
      <sheetName val="41-1"/>
      <sheetName val="41-1A"/>
      <sheetName val="41-1B"/>
      <sheetName val="41-1C"/>
      <sheetName val="41-1D"/>
      <sheetName val="41-1D (a)"/>
      <sheetName val="41-1D (b)"/>
      <sheetName val="41-1D (c)"/>
      <sheetName val="41-1D (d)"/>
      <sheetName val="41-1E"/>
      <sheetName val="41-1F"/>
      <sheetName val="41-1G"/>
      <sheetName val="54-2"/>
      <sheetName val="57-1 (a)"/>
      <sheetName val="57-1 (b)"/>
      <sheetName val="59-1A (a)"/>
      <sheetName val="59-1A (b)"/>
      <sheetName val="59-1A (c)"/>
      <sheetName val="59-1B (c)"/>
      <sheetName val="59-3A"/>
      <sheetName val="59-5A"/>
      <sheetName val="59-12"/>
      <sheetName val="59-6A"/>
      <sheetName val="59-7"/>
      <sheetName val="59-8"/>
      <sheetName val="70-1"/>
      <sheetName val="18-1A"/>
      <sheetName val="18-1B"/>
      <sheetName val="18-1C"/>
      <sheetName val="18-1D"/>
      <sheetName val="18-1E"/>
    </sheetNames>
    <sheetDataSet>
      <sheetData sheetId="0">
        <row r="10">
          <cell r="F10" t="str">
            <v>XYZ Life Asssurance Limited</v>
          </cell>
        </row>
        <row r="12">
          <cell r="F12" t="str">
            <v>Annual</v>
          </cell>
        </row>
        <row r="16">
          <cell r="F16">
            <v>2023</v>
          </cell>
        </row>
        <row r="18">
          <cell r="F18">
            <v>45291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5-07-16T13:35:25.510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1 1 13496 0 0,'0'0'-10136'0'0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  <inkml:channel name="OA" type="integer" max="360" units="deg"/>
          <inkml:channel name="OE" type="integer" max="90" units="deg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  <inkml:channelProperty channel="OA" name="resolution" value="1000" units="1/deg"/>
          <inkml:channelProperty channel="OE" name="resolution" value="1000" units="1/deg"/>
        </inkml:channelProperties>
      </inkml:inkSource>
      <inkml:timestamp xml:id="ts0" timeString="2025-07-16T13:38:04.191"/>
    </inkml:context>
    <inkml:brush xml:id="br0">
      <inkml:brushProperty name="width" value="0.035" units="cm"/>
      <inkml:brushProperty name="height" value="0.035" units="cm"/>
    </inkml:brush>
  </inkml:definitions>
  <inkml:trace contextRef="#ctx0" brushRef="#br0">0 0 8312 0 0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96C0B-7256-41DC-BB69-23E0FDAD7B6C}">
  <sheetPr>
    <tabColor rgb="FF92D050"/>
  </sheetPr>
  <dimension ref="B2:G42"/>
  <sheetViews>
    <sheetView workbookViewId="0">
      <selection activeCell="D15" sqref="D15"/>
    </sheetView>
  </sheetViews>
  <sheetFormatPr defaultColWidth="8.84375" defaultRowHeight="14.15" x14ac:dyDescent="0.35"/>
  <cols>
    <col min="1" max="1" width="2.3828125" style="2" customWidth="1"/>
    <col min="2" max="2" width="61.61328125" style="2" customWidth="1"/>
    <col min="3" max="3" width="15" style="2" customWidth="1"/>
    <col min="4" max="4" width="30.61328125" style="2" customWidth="1"/>
    <col min="5" max="5" width="4.84375" style="2" bestFit="1" customWidth="1"/>
    <col min="6" max="6" width="18.84375" style="2" customWidth="1"/>
    <col min="7" max="16384" width="8.84375" style="2"/>
  </cols>
  <sheetData>
    <row r="2" spans="2:6" x14ac:dyDescent="0.35">
      <c r="B2" s="1" t="s">
        <v>0</v>
      </c>
    </row>
    <row r="3" spans="2:6" ht="15" x14ac:dyDescent="0.35">
      <c r="B3" s="1" t="s">
        <v>1</v>
      </c>
      <c r="C3" s="4"/>
      <c r="D3" s="23"/>
    </row>
    <row r="4" spans="2:6" x14ac:dyDescent="0.35">
      <c r="B4" s="5" t="s">
        <v>2</v>
      </c>
      <c r="C4" s="6" t="s">
        <v>204</v>
      </c>
      <c r="D4" s="23"/>
    </row>
    <row r="5" spans="2:6" ht="20.25" customHeight="1" x14ac:dyDescent="0.35">
      <c r="B5" s="7" t="s">
        <v>3</v>
      </c>
      <c r="C5" s="8" t="s">
        <v>205</v>
      </c>
      <c r="D5" s="9"/>
      <c r="F5" s="24"/>
    </row>
    <row r="6" spans="2:6" x14ac:dyDescent="0.35">
      <c r="C6" s="25"/>
      <c r="D6" s="23"/>
    </row>
    <row r="7" spans="2:6" x14ac:dyDescent="0.35">
      <c r="C7" s="138" t="s">
        <v>4</v>
      </c>
      <c r="D7" s="11" t="s">
        <v>5</v>
      </c>
    </row>
    <row r="8" spans="2:6" x14ac:dyDescent="0.35">
      <c r="B8" s="26" t="s">
        <v>6</v>
      </c>
      <c r="C8" s="138"/>
      <c r="D8" s="11" t="s">
        <v>7</v>
      </c>
    </row>
    <row r="9" spans="2:6" ht="14.6" thickBot="1" x14ac:dyDescent="0.4">
      <c r="B9" s="10" t="s">
        <v>8</v>
      </c>
    </row>
    <row r="10" spans="2:6" ht="14.6" thickBot="1" x14ac:dyDescent="0.4">
      <c r="B10" s="27" t="s">
        <v>9</v>
      </c>
      <c r="C10" s="28">
        <v>10</v>
      </c>
      <c r="D10" s="15">
        <v>0</v>
      </c>
    </row>
    <row r="11" spans="2:6" ht="15" thickTop="1" thickBot="1" x14ac:dyDescent="0.4">
      <c r="B11" s="29" t="s">
        <v>10</v>
      </c>
      <c r="C11" s="30">
        <v>11</v>
      </c>
      <c r="D11" s="15">
        <v>0</v>
      </c>
    </row>
    <row r="12" spans="2:6" ht="15" thickTop="1" thickBot="1" x14ac:dyDescent="0.4">
      <c r="B12" s="29" t="s">
        <v>11</v>
      </c>
      <c r="C12" s="28">
        <v>12</v>
      </c>
      <c r="D12" s="15">
        <v>0</v>
      </c>
      <c r="F12" s="40"/>
    </row>
    <row r="13" spans="2:6" ht="15" thickTop="1" thickBot="1" x14ac:dyDescent="0.4">
      <c r="B13" s="29" t="s">
        <v>12</v>
      </c>
      <c r="C13" s="30">
        <v>13</v>
      </c>
      <c r="D13" s="15">
        <v>0</v>
      </c>
    </row>
    <row r="14" spans="2:6" ht="15" thickTop="1" thickBot="1" x14ac:dyDescent="0.4">
      <c r="B14" s="31" t="s">
        <v>13</v>
      </c>
      <c r="C14" s="30">
        <v>15</v>
      </c>
      <c r="D14" s="15">
        <f>SUM(D10:D13)</f>
        <v>0</v>
      </c>
    </row>
    <row r="16" spans="2:6" ht="14.6" thickBot="1" x14ac:dyDescent="0.4">
      <c r="B16" s="10" t="s">
        <v>14</v>
      </c>
    </row>
    <row r="17" spans="2:6" ht="14.6" thickBot="1" x14ac:dyDescent="0.4">
      <c r="B17" s="27" t="s">
        <v>15</v>
      </c>
      <c r="C17" s="28">
        <v>16</v>
      </c>
      <c r="D17" s="15">
        <v>0</v>
      </c>
    </row>
    <row r="18" spans="2:6" ht="15" thickTop="1" thickBot="1" x14ac:dyDescent="0.4">
      <c r="B18" s="29" t="s">
        <v>16</v>
      </c>
      <c r="C18" s="30">
        <v>17</v>
      </c>
      <c r="D18" s="15">
        <v>0</v>
      </c>
    </row>
    <row r="19" spans="2:6" ht="15" thickTop="1" thickBot="1" x14ac:dyDescent="0.4">
      <c r="B19" s="29" t="s">
        <v>17</v>
      </c>
      <c r="C19" s="28">
        <v>18</v>
      </c>
      <c r="D19" s="15">
        <v>0</v>
      </c>
    </row>
    <row r="20" spans="2:6" ht="15" thickTop="1" thickBot="1" x14ac:dyDescent="0.4">
      <c r="B20" s="29" t="s">
        <v>18</v>
      </c>
      <c r="C20" s="30">
        <v>19</v>
      </c>
      <c r="D20" s="15">
        <v>0</v>
      </c>
    </row>
    <row r="21" spans="2:6" ht="15" thickTop="1" thickBot="1" x14ac:dyDescent="0.4">
      <c r="B21" s="29" t="s">
        <v>19</v>
      </c>
      <c r="C21" s="28">
        <v>20</v>
      </c>
      <c r="D21" s="15">
        <v>0</v>
      </c>
    </row>
    <row r="22" spans="2:6" ht="15" thickTop="1" thickBot="1" x14ac:dyDescent="0.4">
      <c r="B22" s="29" t="s">
        <v>20</v>
      </c>
      <c r="C22" s="30">
        <v>21</v>
      </c>
      <c r="D22" s="15">
        <v>0</v>
      </c>
    </row>
    <row r="23" spans="2:6" ht="15" thickTop="1" thickBot="1" x14ac:dyDescent="0.4">
      <c r="B23" s="29" t="s">
        <v>21</v>
      </c>
      <c r="C23" s="28">
        <v>22</v>
      </c>
      <c r="D23" s="15">
        <v>0</v>
      </c>
    </row>
    <row r="24" spans="2:6" ht="15" thickTop="1" thickBot="1" x14ac:dyDescent="0.4">
      <c r="B24" s="29" t="s">
        <v>22</v>
      </c>
      <c r="C24" s="30">
        <v>23</v>
      </c>
      <c r="D24" s="15">
        <v>0</v>
      </c>
    </row>
    <row r="25" spans="2:6" ht="15" thickTop="1" thickBot="1" x14ac:dyDescent="0.4">
      <c r="B25" s="31" t="s">
        <v>13</v>
      </c>
      <c r="C25" s="30">
        <v>24</v>
      </c>
      <c r="D25" s="15">
        <f>SUM(D17:D24)</f>
        <v>0</v>
      </c>
    </row>
    <row r="27" spans="2:6" ht="14.6" thickBot="1" x14ac:dyDescent="0.4">
      <c r="B27" s="10" t="s">
        <v>23</v>
      </c>
    </row>
    <row r="28" spans="2:6" ht="15" thickTop="1" thickBot="1" x14ac:dyDescent="0.4">
      <c r="B28" s="27" t="s">
        <v>24</v>
      </c>
      <c r="C28" s="30">
        <v>25</v>
      </c>
      <c r="D28" s="15">
        <v>0</v>
      </c>
      <c r="F28" s="32"/>
    </row>
    <row r="29" spans="2:6" ht="15" thickTop="1" thickBot="1" x14ac:dyDescent="0.4">
      <c r="B29" s="27" t="s">
        <v>25</v>
      </c>
      <c r="C29" s="28">
        <f>C28+1</f>
        <v>26</v>
      </c>
      <c r="D29" s="15">
        <v>0</v>
      </c>
    </row>
    <row r="30" spans="2:6" ht="15" thickTop="1" thickBot="1" x14ac:dyDescent="0.4">
      <c r="B30" s="27" t="s">
        <v>26</v>
      </c>
      <c r="C30" s="28">
        <f t="shared" ref="C30:C35" si="0">C29+1</f>
        <v>27</v>
      </c>
      <c r="D30" s="15">
        <v>0</v>
      </c>
    </row>
    <row r="31" spans="2:6" ht="15.9" thickTop="1" thickBot="1" x14ac:dyDescent="0.4">
      <c r="B31" s="27" t="s">
        <v>27</v>
      </c>
      <c r="C31" s="28">
        <f t="shared" si="0"/>
        <v>28</v>
      </c>
      <c r="D31" s="15">
        <v>0</v>
      </c>
    </row>
    <row r="32" spans="2:6" ht="15" thickTop="1" thickBot="1" x14ac:dyDescent="0.4">
      <c r="B32" s="27" t="s">
        <v>28</v>
      </c>
      <c r="C32" s="28">
        <f t="shared" si="0"/>
        <v>29</v>
      </c>
      <c r="D32" s="15">
        <v>0</v>
      </c>
    </row>
    <row r="33" spans="2:7" ht="15" thickTop="1" thickBot="1" x14ac:dyDescent="0.4">
      <c r="B33" s="27" t="s">
        <v>29</v>
      </c>
      <c r="C33" s="28">
        <f t="shared" si="0"/>
        <v>30</v>
      </c>
      <c r="D33" s="15">
        <v>0</v>
      </c>
    </row>
    <row r="34" spans="2:7" ht="15" thickTop="1" thickBot="1" x14ac:dyDescent="0.4">
      <c r="B34" s="33" t="s">
        <v>30</v>
      </c>
      <c r="C34" s="28">
        <f t="shared" si="0"/>
        <v>31</v>
      </c>
      <c r="D34" s="15">
        <v>0</v>
      </c>
    </row>
    <row r="35" spans="2:7" ht="15" thickTop="1" thickBot="1" x14ac:dyDescent="0.4">
      <c r="B35" s="31" t="s">
        <v>13</v>
      </c>
      <c r="C35" s="28">
        <f t="shared" si="0"/>
        <v>32</v>
      </c>
      <c r="D35" s="15">
        <f>SUM(D28:D34)</f>
        <v>0</v>
      </c>
    </row>
    <row r="36" spans="2:7" ht="14.6" thickBot="1" x14ac:dyDescent="0.4"/>
    <row r="37" spans="2:7" ht="15" thickTop="1" thickBot="1" x14ac:dyDescent="0.4">
      <c r="B37" s="31" t="s">
        <v>1</v>
      </c>
      <c r="C37" s="28">
        <f>C35+1</f>
        <v>33</v>
      </c>
      <c r="D37" s="15">
        <f>D14+D25-D35</f>
        <v>0</v>
      </c>
    </row>
    <row r="39" spans="2:7" ht="16.3" x14ac:dyDescent="0.35">
      <c r="B39" s="34" t="s">
        <v>31</v>
      </c>
    </row>
    <row r="42" spans="2:7" x14ac:dyDescent="0.35">
      <c r="G42" s="2" t="s">
        <v>32</v>
      </c>
    </row>
  </sheetData>
  <mergeCells count="1">
    <mergeCell ref="C7:C8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A0B16-D5E8-4748-8F34-8701DD772346}">
  <sheetPr>
    <tabColor rgb="FF92D050"/>
  </sheetPr>
  <dimension ref="B2:P61"/>
  <sheetViews>
    <sheetView topLeftCell="A33" zoomScale="80" zoomScaleNormal="80" workbookViewId="0">
      <selection activeCell="D29" sqref="D29"/>
    </sheetView>
  </sheetViews>
  <sheetFormatPr defaultColWidth="8.84375" defaultRowHeight="14.15" x14ac:dyDescent="0.35"/>
  <cols>
    <col min="1" max="1" width="2.3828125" style="2" customWidth="1"/>
    <col min="2" max="2" width="35.07421875" style="2" bestFit="1" customWidth="1"/>
    <col min="3" max="3" width="13.84375" style="2" customWidth="1"/>
    <col min="4" max="16" width="30.61328125" style="2" customWidth="1"/>
    <col min="17" max="17" width="15.84375" style="2" customWidth="1"/>
    <col min="18" max="16384" width="8.84375" style="2"/>
  </cols>
  <sheetData>
    <row r="2" spans="2:16" x14ac:dyDescent="0.35">
      <c r="B2" s="1" t="s">
        <v>33</v>
      </c>
    </row>
    <row r="3" spans="2:16" ht="15" x14ac:dyDescent="0.35">
      <c r="B3" s="1" t="s">
        <v>34</v>
      </c>
      <c r="C3" s="4"/>
      <c r="D3" s="4"/>
      <c r="E3" s="4"/>
      <c r="F3" s="23"/>
      <c r="G3" s="23"/>
      <c r="H3" s="23"/>
      <c r="I3" s="23"/>
    </row>
    <row r="4" spans="2:16" x14ac:dyDescent="0.35">
      <c r="B4" s="5" t="s">
        <v>2</v>
      </c>
      <c r="C4" s="6" t="str">
        <f>'41-1A'!C4</f>
        <v>NAME OF INSURER</v>
      </c>
      <c r="D4" s="6"/>
      <c r="E4" s="6"/>
      <c r="F4" s="23"/>
      <c r="G4" s="23"/>
      <c r="H4" s="23"/>
      <c r="I4" s="23"/>
    </row>
    <row r="5" spans="2:16" ht="14.5" customHeight="1" x14ac:dyDescent="0.35">
      <c r="B5" s="7" t="s">
        <v>3</v>
      </c>
      <c r="C5" s="6" t="str">
        <f>'41-1A'!C5</f>
        <v>YEAR</v>
      </c>
      <c r="D5" s="35"/>
      <c r="E5" s="35"/>
      <c r="F5" s="9"/>
      <c r="G5" s="9"/>
      <c r="H5" s="9"/>
      <c r="I5" s="9"/>
      <c r="J5" s="9"/>
      <c r="K5" s="9"/>
      <c r="L5" s="9"/>
      <c r="M5" s="9"/>
      <c r="N5" s="9"/>
      <c r="O5" s="9"/>
      <c r="P5" s="9"/>
    </row>
    <row r="6" spans="2:16" x14ac:dyDescent="0.35">
      <c r="B6" s="10"/>
    </row>
    <row r="7" spans="2:16" ht="38.5" customHeight="1" x14ac:dyDescent="0.35">
      <c r="B7" s="138" t="s">
        <v>35</v>
      </c>
      <c r="C7" s="139" t="s">
        <v>4</v>
      </c>
      <c r="D7" s="141" t="s">
        <v>36</v>
      </c>
      <c r="E7" s="142"/>
      <c r="F7" s="143"/>
      <c r="G7" s="138" t="s">
        <v>37</v>
      </c>
      <c r="H7" s="138"/>
      <c r="I7" s="138"/>
      <c r="J7" s="138"/>
      <c r="K7" s="138"/>
      <c r="L7" s="138"/>
      <c r="M7" s="144" t="s">
        <v>38</v>
      </c>
    </row>
    <row r="8" spans="2:16" ht="49.5" customHeight="1" x14ac:dyDescent="0.35">
      <c r="B8" s="138"/>
      <c r="C8" s="140"/>
      <c r="D8" s="11" t="s">
        <v>39</v>
      </c>
      <c r="E8" s="11" t="s">
        <v>40</v>
      </c>
      <c r="F8" s="11" t="s">
        <v>41</v>
      </c>
      <c r="G8" s="11" t="s">
        <v>42</v>
      </c>
      <c r="H8" s="11" t="s">
        <v>43</v>
      </c>
      <c r="I8" s="11" t="s">
        <v>44</v>
      </c>
      <c r="J8" s="11" t="s">
        <v>45</v>
      </c>
      <c r="K8" s="11" t="s">
        <v>46</v>
      </c>
      <c r="L8" s="11" t="s">
        <v>47</v>
      </c>
      <c r="M8" s="145"/>
    </row>
    <row r="9" spans="2:16" ht="19.5" customHeight="1" x14ac:dyDescent="0.35">
      <c r="B9" s="11"/>
      <c r="C9" s="11"/>
      <c r="D9" s="11" t="s">
        <v>7</v>
      </c>
      <c r="E9" s="11" t="s">
        <v>48</v>
      </c>
      <c r="F9" s="11" t="s">
        <v>49</v>
      </c>
      <c r="G9" s="11" t="s">
        <v>50</v>
      </c>
      <c r="H9" s="11" t="s">
        <v>51</v>
      </c>
      <c r="I9" s="11" t="s">
        <v>52</v>
      </c>
      <c r="J9" s="11" t="s">
        <v>53</v>
      </c>
      <c r="K9" s="11" t="s">
        <v>54</v>
      </c>
      <c r="L9" s="11" t="s">
        <v>55</v>
      </c>
      <c r="M9" s="11" t="s">
        <v>56</v>
      </c>
    </row>
    <row r="10" spans="2:16" ht="15.55" customHeight="1" x14ac:dyDescent="0.35">
      <c r="B10" s="10" t="s">
        <v>57</v>
      </c>
      <c r="C10" s="10"/>
      <c r="D10" s="10"/>
      <c r="E10" s="10"/>
      <c r="F10" s="10"/>
    </row>
    <row r="11" spans="2:16" ht="15.55" customHeight="1" x14ac:dyDescent="0.35">
      <c r="B11" s="17" t="s">
        <v>58</v>
      </c>
      <c r="C11" s="38">
        <v>11</v>
      </c>
      <c r="D11" s="39"/>
      <c r="E11" s="39"/>
      <c r="F11" s="39"/>
      <c r="G11" s="39"/>
      <c r="H11" s="39"/>
      <c r="I11" s="39"/>
      <c r="J11" s="39"/>
      <c r="K11" s="39"/>
      <c r="L11" s="39"/>
      <c r="M11" s="39"/>
      <c r="N11" s="40"/>
      <c r="O11" s="40"/>
      <c r="P11" s="40"/>
    </row>
    <row r="12" spans="2:16" ht="15.55" customHeight="1" x14ac:dyDescent="0.35">
      <c r="B12" s="41" t="s">
        <v>59</v>
      </c>
      <c r="C12" s="38">
        <v>12</v>
      </c>
      <c r="D12" s="42"/>
      <c r="E12" s="42"/>
      <c r="F12" s="42"/>
      <c r="G12" s="42"/>
      <c r="H12" s="42"/>
      <c r="I12" s="42"/>
      <c r="J12" s="42"/>
      <c r="K12" s="42"/>
      <c r="L12" s="42"/>
      <c r="M12" s="39">
        <f>((G12^2)+(H12^2)+(I12^2)+(J12^2)+(K12^2)+(L12^2))^0.5</f>
        <v>0</v>
      </c>
      <c r="N12" s="40"/>
      <c r="O12" s="40"/>
      <c r="P12" s="40"/>
    </row>
    <row r="13" spans="2:16" ht="15.55" customHeight="1" x14ac:dyDescent="0.35">
      <c r="B13" s="43" t="s">
        <v>60</v>
      </c>
      <c r="C13" s="38">
        <v>13</v>
      </c>
      <c r="D13" s="42"/>
      <c r="E13" s="42"/>
      <c r="F13" s="42"/>
      <c r="G13" s="42"/>
      <c r="H13" s="42"/>
      <c r="I13" s="42"/>
      <c r="J13" s="42"/>
      <c r="K13" s="42"/>
      <c r="L13" s="42"/>
      <c r="M13" s="39">
        <f t="shared" ref="M13:M25" si="0">((G13^2)+(H13^2)+(I13^2)+(J13^2)+(K13^2)+(L13^2))^0.5</f>
        <v>0</v>
      </c>
      <c r="N13" s="40"/>
      <c r="O13" s="40"/>
      <c r="P13" s="40"/>
    </row>
    <row r="14" spans="2:16" ht="15.55" customHeight="1" x14ac:dyDescent="0.35">
      <c r="B14" s="41" t="s">
        <v>61</v>
      </c>
      <c r="C14" s="38">
        <v>14</v>
      </c>
      <c r="D14" s="42"/>
      <c r="E14" s="42"/>
      <c r="F14" s="42"/>
      <c r="G14" s="42"/>
      <c r="H14" s="42"/>
      <c r="I14" s="42"/>
      <c r="J14" s="42"/>
      <c r="K14" s="42"/>
      <c r="L14" s="42"/>
      <c r="M14" s="39">
        <f t="shared" si="0"/>
        <v>0</v>
      </c>
      <c r="N14" s="40"/>
      <c r="O14" s="40"/>
      <c r="P14" s="40"/>
    </row>
    <row r="15" spans="2:16" ht="15.55" customHeight="1" x14ac:dyDescent="0.35">
      <c r="B15" s="41" t="s">
        <v>62</v>
      </c>
      <c r="C15" s="38">
        <v>15</v>
      </c>
      <c r="D15" s="42"/>
      <c r="E15" s="42"/>
      <c r="F15" s="42"/>
      <c r="G15" s="42"/>
      <c r="H15" s="42"/>
      <c r="I15" s="42"/>
      <c r="J15" s="42"/>
      <c r="K15" s="42"/>
      <c r="L15" s="42"/>
      <c r="M15" s="39">
        <f t="shared" si="0"/>
        <v>0</v>
      </c>
      <c r="N15" s="40"/>
      <c r="O15" s="40"/>
      <c r="P15" s="40"/>
    </row>
    <row r="16" spans="2:16" ht="15.55" customHeight="1" x14ac:dyDescent="0.35">
      <c r="B16" s="41" t="s">
        <v>63</v>
      </c>
      <c r="C16" s="38">
        <v>16</v>
      </c>
      <c r="D16" s="42"/>
      <c r="E16" s="42"/>
      <c r="F16" s="42"/>
      <c r="G16" s="42"/>
      <c r="H16" s="42"/>
      <c r="I16" s="42"/>
      <c r="J16" s="42"/>
      <c r="K16" s="42"/>
      <c r="L16" s="42"/>
      <c r="M16" s="39">
        <f t="shared" si="0"/>
        <v>0</v>
      </c>
      <c r="N16" s="40"/>
      <c r="O16" s="40"/>
      <c r="P16" s="40"/>
    </row>
    <row r="17" spans="2:16" ht="15.55" customHeight="1" x14ac:dyDescent="0.35">
      <c r="B17" s="17" t="s">
        <v>64</v>
      </c>
      <c r="C17" s="38">
        <v>17</v>
      </c>
      <c r="D17" s="39"/>
      <c r="E17" s="39"/>
      <c r="F17" s="39"/>
      <c r="G17" s="39"/>
      <c r="H17" s="39"/>
      <c r="I17" s="39"/>
      <c r="J17" s="39"/>
      <c r="K17" s="39"/>
      <c r="L17" s="39"/>
      <c r="M17" s="39"/>
      <c r="N17" s="40"/>
      <c r="O17" s="40"/>
      <c r="P17" s="40"/>
    </row>
    <row r="18" spans="2:16" ht="15.55" customHeight="1" x14ac:dyDescent="0.35">
      <c r="B18" s="41" t="s">
        <v>65</v>
      </c>
      <c r="C18" s="38">
        <v>18</v>
      </c>
      <c r="D18" s="42"/>
      <c r="E18" s="42"/>
      <c r="F18" s="42"/>
      <c r="G18" s="42"/>
      <c r="H18" s="42"/>
      <c r="I18" s="42"/>
      <c r="J18" s="42"/>
      <c r="K18" s="42"/>
      <c r="L18" s="42"/>
      <c r="M18" s="39">
        <f t="shared" si="0"/>
        <v>0</v>
      </c>
      <c r="N18" s="40"/>
      <c r="O18" s="40"/>
      <c r="P18" s="40"/>
    </row>
    <row r="19" spans="2:16" ht="15.55" customHeight="1" x14ac:dyDescent="0.35">
      <c r="B19" s="43" t="s">
        <v>66</v>
      </c>
      <c r="C19" s="38">
        <v>19</v>
      </c>
      <c r="D19" s="42"/>
      <c r="E19" s="42"/>
      <c r="F19" s="42"/>
      <c r="G19" s="42"/>
      <c r="H19" s="42"/>
      <c r="I19" s="42"/>
      <c r="J19" s="42"/>
      <c r="K19" s="42"/>
      <c r="L19" s="42"/>
      <c r="M19" s="39">
        <f t="shared" si="0"/>
        <v>0</v>
      </c>
      <c r="N19" s="40"/>
      <c r="O19" s="40"/>
      <c r="P19" s="40"/>
    </row>
    <row r="20" spans="2:16" ht="15.55" customHeight="1" x14ac:dyDescent="0.35">
      <c r="B20" s="41" t="s">
        <v>63</v>
      </c>
      <c r="C20" s="38">
        <v>20</v>
      </c>
      <c r="D20" s="42"/>
      <c r="E20" s="42"/>
      <c r="F20" s="42"/>
      <c r="G20" s="42"/>
      <c r="H20" s="42"/>
      <c r="I20" s="42"/>
      <c r="J20" s="42"/>
      <c r="K20" s="42"/>
      <c r="L20" s="42"/>
      <c r="M20" s="39">
        <f t="shared" si="0"/>
        <v>0</v>
      </c>
      <c r="N20" s="40"/>
      <c r="O20" s="40"/>
      <c r="P20" s="40"/>
    </row>
    <row r="21" spans="2:16" ht="15.55" customHeight="1" x14ac:dyDescent="0.35">
      <c r="B21" s="17" t="s">
        <v>67</v>
      </c>
      <c r="C21" s="38">
        <v>21</v>
      </c>
      <c r="D21" s="39"/>
      <c r="E21" s="39"/>
      <c r="F21" s="39"/>
      <c r="G21" s="39"/>
      <c r="H21" s="39"/>
      <c r="I21" s="39"/>
      <c r="J21" s="39"/>
      <c r="K21" s="39"/>
      <c r="L21" s="39"/>
      <c r="M21" s="39"/>
      <c r="N21" s="40"/>
      <c r="O21" s="40"/>
      <c r="P21" s="40"/>
    </row>
    <row r="22" spans="2:16" ht="15.55" customHeight="1" x14ac:dyDescent="0.35">
      <c r="B22" s="41" t="s">
        <v>59</v>
      </c>
      <c r="C22" s="38">
        <v>22</v>
      </c>
      <c r="D22" s="42"/>
      <c r="E22" s="42"/>
      <c r="F22" s="42"/>
      <c r="G22" s="42"/>
      <c r="H22" s="42"/>
      <c r="I22" s="42"/>
      <c r="J22" s="42"/>
      <c r="K22" s="42"/>
      <c r="L22" s="42"/>
      <c r="M22" s="39">
        <f t="shared" si="0"/>
        <v>0</v>
      </c>
      <c r="N22" s="40"/>
      <c r="O22" s="40"/>
      <c r="P22" s="40"/>
    </row>
    <row r="23" spans="2:16" ht="15.55" customHeight="1" x14ac:dyDescent="0.35">
      <c r="B23" s="43" t="s">
        <v>60</v>
      </c>
      <c r="C23" s="38">
        <v>23</v>
      </c>
      <c r="D23" s="42"/>
      <c r="E23" s="42"/>
      <c r="F23" s="42"/>
      <c r="G23" s="42"/>
      <c r="H23" s="42"/>
      <c r="I23" s="42"/>
      <c r="J23" s="42"/>
      <c r="K23" s="42"/>
      <c r="L23" s="42"/>
      <c r="M23" s="39">
        <f t="shared" si="0"/>
        <v>0</v>
      </c>
      <c r="N23" s="40"/>
      <c r="O23" s="40"/>
      <c r="P23" s="40"/>
    </row>
    <row r="24" spans="2:16" ht="15.55" customHeight="1" x14ac:dyDescent="0.35">
      <c r="B24" s="41" t="s">
        <v>61</v>
      </c>
      <c r="C24" s="38">
        <v>24</v>
      </c>
      <c r="D24" s="42"/>
      <c r="E24" s="42"/>
      <c r="F24" s="42"/>
      <c r="G24" s="42"/>
      <c r="H24" s="42"/>
      <c r="I24" s="42"/>
      <c r="J24" s="42"/>
      <c r="K24" s="42"/>
      <c r="L24" s="42"/>
      <c r="M24" s="39">
        <f t="shared" si="0"/>
        <v>0</v>
      </c>
      <c r="N24" s="40"/>
      <c r="O24" s="40"/>
      <c r="P24" s="40"/>
    </row>
    <row r="25" spans="2:16" ht="15.55" customHeight="1" x14ac:dyDescent="0.35">
      <c r="B25" s="44" t="s">
        <v>62</v>
      </c>
      <c r="C25" s="45">
        <v>25</v>
      </c>
      <c r="D25" s="46"/>
      <c r="E25" s="46"/>
      <c r="F25" s="46"/>
      <c r="G25" s="46"/>
      <c r="H25" s="46"/>
      <c r="I25" s="46"/>
      <c r="J25" s="46"/>
      <c r="K25" s="46"/>
      <c r="L25" s="46"/>
      <c r="M25" s="39">
        <f t="shared" si="0"/>
        <v>0</v>
      </c>
      <c r="N25" s="40"/>
      <c r="O25" s="40"/>
      <c r="P25" s="40"/>
    </row>
    <row r="26" spans="2:16" ht="15.55" customHeight="1" x14ac:dyDescent="0.35">
      <c r="B26" s="47" t="s">
        <v>68</v>
      </c>
      <c r="C26" s="48"/>
      <c r="D26" s="49"/>
      <c r="E26" s="49">
        <f>SUM(E12:E16)+SUM(E18:E20)+SUM(E22:E25)</f>
        <v>0</v>
      </c>
      <c r="F26" s="49">
        <f t="shared" ref="F26" si="1">SUM(F12:F16)+SUM(F18:F20)+SUM(F22:F25)</f>
        <v>0</v>
      </c>
      <c r="G26" s="49">
        <f t="shared" ref="G26:L26" si="2">SUM(G12:G16)+SUM(G18:G20)+SUM(G22:G25)</f>
        <v>0</v>
      </c>
      <c r="H26" s="49">
        <f t="shared" si="2"/>
        <v>0</v>
      </c>
      <c r="I26" s="49">
        <f t="shared" si="2"/>
        <v>0</v>
      </c>
      <c r="J26" s="49">
        <f t="shared" si="2"/>
        <v>0</v>
      </c>
      <c r="K26" s="49">
        <f t="shared" si="2"/>
        <v>0</v>
      </c>
      <c r="L26" s="49">
        <f t="shared" si="2"/>
        <v>0</v>
      </c>
      <c r="M26" s="39">
        <f>SUM(M12:M25)</f>
        <v>0</v>
      </c>
      <c r="N26" s="40"/>
      <c r="O26" s="40"/>
      <c r="P26" s="40"/>
    </row>
    <row r="27" spans="2:16" ht="5.25" customHeight="1" x14ac:dyDescent="0.35">
      <c r="D27" s="40"/>
      <c r="E27" s="40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</row>
    <row r="28" spans="2:16" ht="15.55" customHeight="1" x14ac:dyDescent="0.35">
      <c r="B28" s="10" t="s">
        <v>69</v>
      </c>
      <c r="C28" s="1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0"/>
      <c r="P28" s="50"/>
    </row>
    <row r="29" spans="2:16" ht="15.55" customHeight="1" x14ac:dyDescent="0.35">
      <c r="B29" s="17" t="s">
        <v>58</v>
      </c>
      <c r="C29" s="38">
        <v>26</v>
      </c>
      <c r="D29" s="39"/>
      <c r="E29" s="39"/>
      <c r="F29" s="39"/>
      <c r="G29" s="39"/>
      <c r="H29" s="39"/>
      <c r="I29" s="39"/>
      <c r="J29" s="39"/>
      <c r="K29" s="39"/>
      <c r="L29" s="39"/>
      <c r="M29" s="39"/>
    </row>
    <row r="30" spans="2:16" ht="15.55" customHeight="1" x14ac:dyDescent="0.35">
      <c r="B30" s="41" t="s">
        <v>59</v>
      </c>
      <c r="C30" s="38">
        <v>27</v>
      </c>
      <c r="D30" s="42"/>
      <c r="E30" s="42"/>
      <c r="F30" s="42"/>
      <c r="G30" s="42"/>
      <c r="H30" s="42"/>
      <c r="I30" s="42"/>
      <c r="J30" s="42"/>
      <c r="K30" s="42"/>
      <c r="L30" s="42"/>
      <c r="M30" s="39">
        <f>((G30^2)+(H30^2)+(I30^2)+(J30^2)+(K30^2)+(L30^2))^0.5</f>
        <v>0</v>
      </c>
    </row>
    <row r="31" spans="2:16" ht="15.55" customHeight="1" x14ac:dyDescent="0.35">
      <c r="B31" s="43" t="s">
        <v>60</v>
      </c>
      <c r="C31" s="38">
        <v>28</v>
      </c>
      <c r="D31" s="42"/>
      <c r="E31" s="42"/>
      <c r="F31" s="42"/>
      <c r="G31" s="42"/>
      <c r="H31" s="42"/>
      <c r="I31" s="42"/>
      <c r="J31" s="42"/>
      <c r="K31" s="42"/>
      <c r="L31" s="42"/>
      <c r="M31" s="39">
        <f t="shared" ref="M31:M43" si="3">((G31^2)+(H31^2)+(I31^2)+(J31^2)+(K31^2)+(L31^2))^0.5</f>
        <v>0</v>
      </c>
    </row>
    <row r="32" spans="2:16" ht="15.55" customHeight="1" x14ac:dyDescent="0.35">
      <c r="B32" s="41" t="s">
        <v>61</v>
      </c>
      <c r="C32" s="38">
        <v>29</v>
      </c>
      <c r="D32" s="42"/>
      <c r="E32" s="42"/>
      <c r="F32" s="42"/>
      <c r="G32" s="42"/>
      <c r="H32" s="42"/>
      <c r="I32" s="42"/>
      <c r="J32" s="42"/>
      <c r="K32" s="42"/>
      <c r="L32" s="42"/>
      <c r="M32" s="39">
        <f t="shared" si="3"/>
        <v>0</v>
      </c>
    </row>
    <row r="33" spans="2:13" ht="15.55" customHeight="1" x14ac:dyDescent="0.35">
      <c r="B33" s="41" t="s">
        <v>62</v>
      </c>
      <c r="C33" s="38">
        <v>30</v>
      </c>
      <c r="D33" s="42"/>
      <c r="E33" s="42"/>
      <c r="F33" s="42"/>
      <c r="G33" s="42"/>
      <c r="H33" s="42"/>
      <c r="I33" s="42"/>
      <c r="J33" s="42"/>
      <c r="K33" s="42"/>
      <c r="L33" s="42"/>
      <c r="M33" s="39">
        <f t="shared" si="3"/>
        <v>0</v>
      </c>
    </row>
    <row r="34" spans="2:13" ht="15.55" customHeight="1" x14ac:dyDescent="0.35">
      <c r="B34" s="41" t="s">
        <v>63</v>
      </c>
      <c r="C34" s="38">
        <v>31</v>
      </c>
      <c r="D34" s="42"/>
      <c r="E34" s="42"/>
      <c r="F34" s="42"/>
      <c r="G34" s="42"/>
      <c r="H34" s="42"/>
      <c r="I34" s="42"/>
      <c r="J34" s="42"/>
      <c r="K34" s="42"/>
      <c r="L34" s="42"/>
      <c r="M34" s="39">
        <f t="shared" si="3"/>
        <v>0</v>
      </c>
    </row>
    <row r="35" spans="2:13" x14ac:dyDescent="0.35">
      <c r="B35" s="17" t="s">
        <v>64</v>
      </c>
      <c r="C35" s="38">
        <v>32</v>
      </c>
      <c r="D35" s="39"/>
      <c r="E35" s="39"/>
      <c r="F35" s="39"/>
      <c r="G35" s="39"/>
      <c r="H35" s="39"/>
      <c r="I35" s="39"/>
      <c r="J35" s="39"/>
      <c r="K35" s="39"/>
      <c r="L35" s="39"/>
      <c r="M35" s="39"/>
    </row>
    <row r="36" spans="2:13" x14ac:dyDescent="0.35">
      <c r="B36" s="41" t="s">
        <v>65</v>
      </c>
      <c r="C36" s="38">
        <v>33</v>
      </c>
      <c r="D36" s="42"/>
      <c r="E36" s="42"/>
      <c r="F36" s="42"/>
      <c r="G36" s="42"/>
      <c r="H36" s="42"/>
      <c r="I36" s="42"/>
      <c r="J36" s="42"/>
      <c r="K36" s="42"/>
      <c r="L36" s="42"/>
      <c r="M36" s="39">
        <f t="shared" si="3"/>
        <v>0</v>
      </c>
    </row>
    <row r="37" spans="2:13" x14ac:dyDescent="0.35">
      <c r="B37" s="43" t="s">
        <v>66</v>
      </c>
      <c r="C37" s="38">
        <v>34</v>
      </c>
      <c r="D37" s="42"/>
      <c r="E37" s="42"/>
      <c r="F37" s="42"/>
      <c r="G37" s="42"/>
      <c r="H37" s="42"/>
      <c r="I37" s="42"/>
      <c r="J37" s="42"/>
      <c r="K37" s="42"/>
      <c r="L37" s="42"/>
      <c r="M37" s="39">
        <f t="shared" si="3"/>
        <v>0</v>
      </c>
    </row>
    <row r="38" spans="2:13" x14ac:dyDescent="0.35">
      <c r="B38" s="41" t="s">
        <v>63</v>
      </c>
      <c r="C38" s="38">
        <v>35</v>
      </c>
      <c r="D38" s="42"/>
      <c r="E38" s="42"/>
      <c r="F38" s="42"/>
      <c r="G38" s="42"/>
      <c r="H38" s="42"/>
      <c r="I38" s="42"/>
      <c r="J38" s="42"/>
      <c r="K38" s="42"/>
      <c r="L38" s="42"/>
      <c r="M38" s="39">
        <f t="shared" si="3"/>
        <v>0</v>
      </c>
    </row>
    <row r="39" spans="2:13" x14ac:dyDescent="0.35">
      <c r="B39" s="17" t="s">
        <v>67</v>
      </c>
      <c r="C39" s="38">
        <v>36</v>
      </c>
      <c r="D39" s="39"/>
      <c r="E39" s="39"/>
      <c r="F39" s="39"/>
      <c r="G39" s="39"/>
      <c r="H39" s="39"/>
      <c r="I39" s="39"/>
      <c r="J39" s="39"/>
      <c r="K39" s="39"/>
      <c r="L39" s="39"/>
      <c r="M39" s="39"/>
    </row>
    <row r="40" spans="2:13" x14ac:dyDescent="0.35">
      <c r="B40" s="41" t="s">
        <v>59</v>
      </c>
      <c r="C40" s="38">
        <v>37</v>
      </c>
      <c r="D40" s="42"/>
      <c r="E40" s="42"/>
      <c r="F40" s="42"/>
      <c r="G40" s="42"/>
      <c r="H40" s="42"/>
      <c r="I40" s="42"/>
      <c r="J40" s="42"/>
      <c r="K40" s="42"/>
      <c r="L40" s="42"/>
      <c r="M40" s="39">
        <f t="shared" si="3"/>
        <v>0</v>
      </c>
    </row>
    <row r="41" spans="2:13" x14ac:dyDescent="0.35">
      <c r="B41" s="43" t="s">
        <v>60</v>
      </c>
      <c r="C41" s="38">
        <v>38</v>
      </c>
      <c r="D41" s="42"/>
      <c r="E41" s="42"/>
      <c r="F41" s="42"/>
      <c r="G41" s="42"/>
      <c r="H41" s="42"/>
      <c r="I41" s="42"/>
      <c r="J41" s="42"/>
      <c r="K41" s="42"/>
      <c r="L41" s="42"/>
      <c r="M41" s="39">
        <f t="shared" si="3"/>
        <v>0</v>
      </c>
    </row>
    <row r="42" spans="2:13" x14ac:dyDescent="0.35">
      <c r="B42" s="41" t="s">
        <v>61</v>
      </c>
      <c r="C42" s="38">
        <v>39</v>
      </c>
      <c r="D42" s="42"/>
      <c r="E42" s="42"/>
      <c r="F42" s="42"/>
      <c r="G42" s="42"/>
      <c r="H42" s="42"/>
      <c r="I42" s="42"/>
      <c r="J42" s="42"/>
      <c r="K42" s="42"/>
      <c r="L42" s="42"/>
      <c r="M42" s="39">
        <f t="shared" si="3"/>
        <v>0</v>
      </c>
    </row>
    <row r="43" spans="2:13" x14ac:dyDescent="0.35">
      <c r="B43" s="44" t="s">
        <v>62</v>
      </c>
      <c r="C43" s="38">
        <v>40</v>
      </c>
      <c r="D43" s="46"/>
      <c r="E43" s="46"/>
      <c r="F43" s="46"/>
      <c r="G43" s="46"/>
      <c r="H43" s="46"/>
      <c r="I43" s="46"/>
      <c r="J43" s="46"/>
      <c r="K43" s="46"/>
      <c r="L43" s="46"/>
      <c r="M43" s="39">
        <f t="shared" si="3"/>
        <v>0</v>
      </c>
    </row>
    <row r="44" spans="2:13" x14ac:dyDescent="0.35">
      <c r="B44" s="47" t="s">
        <v>68</v>
      </c>
      <c r="C44" s="48"/>
      <c r="D44" s="49">
        <f>SUM(D30:D34)+SUM(D36:D38)+SUM(D40:D43)</f>
        <v>0</v>
      </c>
      <c r="E44" s="49">
        <f>SUM(E30:E34)+SUM(E36:E38)+SUM(E40:E43)</f>
        <v>0</v>
      </c>
      <c r="F44" s="49">
        <f t="shared" ref="F44:I44" si="4">SUM(F30:F34)+SUM(F36:F38)+SUM(F40:F43)</f>
        <v>0</v>
      </c>
      <c r="G44" s="49">
        <f t="shared" si="4"/>
        <v>0</v>
      </c>
      <c r="H44" s="49">
        <f t="shared" si="4"/>
        <v>0</v>
      </c>
      <c r="I44" s="49">
        <f t="shared" si="4"/>
        <v>0</v>
      </c>
      <c r="J44" s="49">
        <f t="shared" ref="J44:K44" si="5">SUM(J30:J34)+SUM(J36:J38)+SUM(J40:J43)</f>
        <v>0</v>
      </c>
      <c r="K44" s="49">
        <f t="shared" si="5"/>
        <v>0</v>
      </c>
      <c r="L44" s="49">
        <f>SUM(L30:L34)+SUM(L36:L38)+SUM(L40:L43)</f>
        <v>0</v>
      </c>
      <c r="M44" s="39">
        <f>SUM(M30:M43)</f>
        <v>0</v>
      </c>
    </row>
    <row r="45" spans="2:13" x14ac:dyDescent="0.35">
      <c r="B45" s="51"/>
      <c r="D45" s="52"/>
      <c r="E45" s="52"/>
      <c r="F45" s="52"/>
      <c r="G45" s="52"/>
      <c r="H45" s="52"/>
      <c r="I45" s="52"/>
      <c r="J45" s="52"/>
    </row>
    <row r="46" spans="2:13" x14ac:dyDescent="0.35">
      <c r="B46" s="138" t="s">
        <v>35</v>
      </c>
      <c r="C46" s="139" t="s">
        <v>4</v>
      </c>
      <c r="D46" s="146" t="s">
        <v>70</v>
      </c>
      <c r="E46" s="147"/>
      <c r="F46" s="147"/>
      <c r="G46" s="147"/>
      <c r="H46" s="148"/>
      <c r="I46" s="53"/>
      <c r="J46" s="146" t="s">
        <v>36</v>
      </c>
      <c r="K46" s="147"/>
      <c r="L46" s="148"/>
    </row>
    <row r="47" spans="2:13" x14ac:dyDescent="0.35">
      <c r="B47" s="138"/>
      <c r="C47" s="140"/>
      <c r="D47" s="54" t="s">
        <v>71</v>
      </c>
      <c r="E47" s="54" t="s">
        <v>72</v>
      </c>
      <c r="F47" s="54" t="s">
        <v>73</v>
      </c>
      <c r="G47" s="54" t="s">
        <v>68</v>
      </c>
      <c r="H47" s="54" t="s">
        <v>74</v>
      </c>
      <c r="J47" s="54" t="s">
        <v>71</v>
      </c>
      <c r="K47" s="54" t="s">
        <v>75</v>
      </c>
      <c r="L47" s="54" t="s">
        <v>74</v>
      </c>
    </row>
    <row r="48" spans="2:13" x14ac:dyDescent="0.35">
      <c r="B48" s="11"/>
      <c r="C48" s="11"/>
      <c r="D48" s="54" t="s">
        <v>76</v>
      </c>
      <c r="E48" s="54" t="s">
        <v>7</v>
      </c>
      <c r="F48" s="54" t="s">
        <v>48</v>
      </c>
      <c r="G48" s="54" t="s">
        <v>49</v>
      </c>
      <c r="H48" s="54" t="s">
        <v>77</v>
      </c>
      <c r="J48" s="54" t="s">
        <v>49</v>
      </c>
      <c r="K48" s="54" t="s">
        <v>50</v>
      </c>
      <c r="L48" s="54" t="s">
        <v>78</v>
      </c>
    </row>
    <row r="49" spans="2:12" x14ac:dyDescent="0.35">
      <c r="B49" s="10" t="s">
        <v>79</v>
      </c>
    </row>
    <row r="50" spans="2:12" x14ac:dyDescent="0.35">
      <c r="B50" s="55" t="s">
        <v>80</v>
      </c>
      <c r="C50" s="38">
        <v>41</v>
      </c>
      <c r="D50" s="56">
        <v>0.08</v>
      </c>
      <c r="E50" s="57">
        <v>0</v>
      </c>
      <c r="F50" s="57">
        <v>0</v>
      </c>
      <c r="G50" s="58">
        <f>SUM(E50:F50)</f>
        <v>0</v>
      </c>
      <c r="H50" s="58">
        <f>G50*D50</f>
        <v>0</v>
      </c>
      <c r="J50" s="59">
        <v>0.1</v>
      </c>
      <c r="K50" s="60">
        <v>0</v>
      </c>
      <c r="L50" s="58">
        <f>K50*J50</f>
        <v>0</v>
      </c>
    </row>
    <row r="51" spans="2:12" x14ac:dyDescent="0.35">
      <c r="B51" s="55" t="s">
        <v>81</v>
      </c>
      <c r="C51" s="38">
        <v>42</v>
      </c>
      <c r="D51" s="56">
        <v>0.1</v>
      </c>
      <c r="E51" s="57">
        <v>0</v>
      </c>
      <c r="F51" s="57">
        <v>0</v>
      </c>
      <c r="G51" s="58">
        <f t="shared" ref="G51" si="6">SUM(E51:F51)</f>
        <v>0</v>
      </c>
      <c r="H51" s="58">
        <f t="shared" ref="H51" si="7">G51*D51</f>
        <v>0</v>
      </c>
      <c r="J51" s="59">
        <v>0.12</v>
      </c>
      <c r="K51" s="60">
        <v>0</v>
      </c>
      <c r="L51" s="58">
        <f t="shared" ref="L51" si="8">K51*J51</f>
        <v>0</v>
      </c>
    </row>
    <row r="52" spans="2:12" x14ac:dyDescent="0.35">
      <c r="B52" s="47" t="s">
        <v>68</v>
      </c>
      <c r="C52" s="48"/>
      <c r="D52" s="61"/>
      <c r="E52" s="49">
        <f>SUM(E50:E51)</f>
        <v>0</v>
      </c>
      <c r="F52" s="49">
        <f>SUM(F50:F51)</f>
        <v>0</v>
      </c>
      <c r="G52" s="62">
        <f>SUM(G50:G51)</f>
        <v>0</v>
      </c>
      <c r="H52" s="62">
        <f>SUM(H50:H51)</f>
        <v>0</v>
      </c>
      <c r="J52" s="63"/>
      <c r="K52" s="62">
        <f t="shared" ref="K52:L52" si="9">SUM(K50:K51)</f>
        <v>0</v>
      </c>
      <c r="L52" s="62">
        <f t="shared" si="9"/>
        <v>0</v>
      </c>
    </row>
    <row r="54" spans="2:12" ht="27.75" customHeight="1" x14ac:dyDescent="0.35">
      <c r="B54" s="138" t="s">
        <v>35</v>
      </c>
      <c r="C54" s="139" t="s">
        <v>4</v>
      </c>
      <c r="D54" s="11" t="s">
        <v>71</v>
      </c>
      <c r="E54" s="11" t="s">
        <v>82</v>
      </c>
      <c r="F54" s="11" t="s">
        <v>74</v>
      </c>
    </row>
    <row r="55" spans="2:12" x14ac:dyDescent="0.35">
      <c r="B55" s="138"/>
      <c r="C55" s="140"/>
      <c r="D55" s="12" t="s">
        <v>83</v>
      </c>
      <c r="E55" s="11" t="s">
        <v>76</v>
      </c>
      <c r="F55" s="11" t="s">
        <v>7</v>
      </c>
    </row>
    <row r="56" spans="2:12" x14ac:dyDescent="0.35">
      <c r="B56" s="10" t="s">
        <v>84</v>
      </c>
    </row>
    <row r="57" spans="2:12" x14ac:dyDescent="0.35">
      <c r="B57" s="55" t="s">
        <v>85</v>
      </c>
      <c r="C57" s="38">
        <v>44</v>
      </c>
      <c r="D57" s="56">
        <v>0.01</v>
      </c>
      <c r="E57" s="42">
        <v>0</v>
      </c>
      <c r="F57" s="64">
        <f>D57*E57</f>
        <v>0</v>
      </c>
    </row>
    <row r="58" spans="2:12" x14ac:dyDescent="0.35">
      <c r="B58" s="55" t="s">
        <v>86</v>
      </c>
      <c r="C58" s="38">
        <v>45</v>
      </c>
      <c r="D58" s="56">
        <v>0.01</v>
      </c>
      <c r="E58" s="42">
        <v>0</v>
      </c>
      <c r="F58" s="64">
        <f>D58*E58</f>
        <v>0</v>
      </c>
    </row>
    <row r="59" spans="2:12" x14ac:dyDescent="0.35">
      <c r="B59" s="47" t="s">
        <v>68</v>
      </c>
      <c r="C59" s="48"/>
      <c r="D59" s="61"/>
      <c r="E59" s="49">
        <f>SUM(E57:E58)</f>
        <v>0</v>
      </c>
      <c r="F59" s="62">
        <f>SUM(F57:F58)</f>
        <v>0</v>
      </c>
    </row>
    <row r="60" spans="2:12" ht="14.6" thickBot="1" x14ac:dyDescent="0.4">
      <c r="E60" s="40"/>
      <c r="F60" s="40"/>
      <c r="G60" s="40"/>
    </row>
    <row r="61" spans="2:12" ht="14.6" thickBot="1" x14ac:dyDescent="0.4">
      <c r="B61" s="47" t="s">
        <v>87</v>
      </c>
      <c r="C61" s="65"/>
      <c r="D61" s="65"/>
      <c r="E61" s="66"/>
      <c r="F61" s="67"/>
      <c r="G61" s="68">
        <f>M26+M44+L52+H52+F59</f>
        <v>0</v>
      </c>
    </row>
  </sheetData>
  <protectedRanges>
    <protectedRange sqref="D12:L16 D18:L20 D22:L25 D36:L38 D40:L43 E57:E58 K50:K51 D30:L34 E50:F51" name="Range1"/>
  </protectedRanges>
  <mergeCells count="11">
    <mergeCell ref="G7:L7"/>
    <mergeCell ref="M7:M8"/>
    <mergeCell ref="B46:B47"/>
    <mergeCell ref="C46:C47"/>
    <mergeCell ref="D46:H46"/>
    <mergeCell ref="J46:L46"/>
    <mergeCell ref="B54:B55"/>
    <mergeCell ref="C54:C55"/>
    <mergeCell ref="B7:B8"/>
    <mergeCell ref="C7:C8"/>
    <mergeCell ref="D7:F7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DFCA5-23DC-4D87-AE72-5DE55B2F67DD}">
  <sheetPr>
    <tabColor rgb="FF92D050"/>
  </sheetPr>
  <dimension ref="B2:O72"/>
  <sheetViews>
    <sheetView topLeftCell="B21" workbookViewId="0">
      <selection activeCell="C6" sqref="C6"/>
    </sheetView>
  </sheetViews>
  <sheetFormatPr defaultColWidth="8.84375" defaultRowHeight="14.15" x14ac:dyDescent="0.35"/>
  <cols>
    <col min="1" max="1" width="2.3828125" style="2" customWidth="1"/>
    <col min="2" max="2" width="60.84375" style="2" customWidth="1"/>
    <col min="3" max="3" width="13.84375" style="2" bestFit="1" customWidth="1"/>
    <col min="4" max="4" width="27.84375" style="2" customWidth="1"/>
    <col min="5" max="5" width="26.61328125" style="2" customWidth="1"/>
    <col min="6" max="6" width="28.07421875" style="2" customWidth="1"/>
    <col min="7" max="7" width="27.3828125" style="2" customWidth="1"/>
    <col min="8" max="8" width="211.07421875" style="2" bestFit="1" customWidth="1"/>
    <col min="9" max="9" width="4.84375" style="2" bestFit="1" customWidth="1"/>
    <col min="10" max="10" width="18.84375" style="2" customWidth="1"/>
    <col min="11" max="16384" width="8.84375" style="2"/>
  </cols>
  <sheetData>
    <row r="2" spans="2:6" x14ac:dyDescent="0.35">
      <c r="B2" s="1" t="s">
        <v>88</v>
      </c>
    </row>
    <row r="3" spans="2:6" ht="15" x14ac:dyDescent="0.35">
      <c r="B3" s="1" t="s">
        <v>89</v>
      </c>
      <c r="C3" s="4"/>
      <c r="D3" s="23"/>
      <c r="E3" s="23"/>
      <c r="F3" s="23"/>
    </row>
    <row r="4" spans="2:6" x14ac:dyDescent="0.35">
      <c r="B4" s="5" t="s">
        <v>2</v>
      </c>
      <c r="C4" s="6" t="str">
        <f>'41-1A'!C4</f>
        <v>NAME OF INSURER</v>
      </c>
      <c r="D4" s="23"/>
      <c r="E4" s="23"/>
      <c r="F4" s="23"/>
    </row>
    <row r="5" spans="2:6" ht="16.5" customHeight="1" x14ac:dyDescent="0.35">
      <c r="B5" s="7" t="s">
        <v>3</v>
      </c>
      <c r="C5" s="100" t="str">
        <f>'41-1A'!C5</f>
        <v>YEAR</v>
      </c>
      <c r="D5" s="9"/>
      <c r="E5" s="9"/>
      <c r="F5" s="9"/>
    </row>
    <row r="6" spans="2:6" x14ac:dyDescent="0.35">
      <c r="C6" s="25"/>
      <c r="D6" s="23"/>
      <c r="E6" s="23"/>
      <c r="F6" s="23"/>
    </row>
    <row r="7" spans="2:6" x14ac:dyDescent="0.35">
      <c r="C7" s="138" t="s">
        <v>4</v>
      </c>
      <c r="D7" s="11" t="s">
        <v>90</v>
      </c>
      <c r="E7" s="11" t="s">
        <v>91</v>
      </c>
      <c r="F7" s="11" t="s">
        <v>92</v>
      </c>
    </row>
    <row r="8" spans="2:6" x14ac:dyDescent="0.35">
      <c r="B8" s="26" t="s">
        <v>6</v>
      </c>
      <c r="C8" s="138"/>
      <c r="D8" s="37" t="s">
        <v>76</v>
      </c>
      <c r="E8" s="37" t="s">
        <v>7</v>
      </c>
      <c r="F8" s="37" t="s">
        <v>48</v>
      </c>
    </row>
    <row r="9" spans="2:6" ht="14.6" thickBot="1" x14ac:dyDescent="0.4">
      <c r="B9" s="10" t="s">
        <v>93</v>
      </c>
    </row>
    <row r="10" spans="2:6" ht="14.6" thickBot="1" x14ac:dyDescent="0.4">
      <c r="B10" s="27" t="s">
        <v>94</v>
      </c>
      <c r="C10" s="28">
        <v>10</v>
      </c>
      <c r="D10" s="39">
        <v>0</v>
      </c>
      <c r="E10" s="69">
        <v>0.3</v>
      </c>
      <c r="F10" s="64">
        <f>D10*E10</f>
        <v>0</v>
      </c>
    </row>
    <row r="11" spans="2:6" ht="15" thickTop="1" thickBot="1" x14ac:dyDescent="0.4">
      <c r="B11" s="29" t="s">
        <v>95</v>
      </c>
      <c r="C11" s="30">
        <v>11</v>
      </c>
      <c r="D11" s="39">
        <v>0</v>
      </c>
      <c r="E11" s="69">
        <v>0.3</v>
      </c>
      <c r="F11" s="64">
        <f t="shared" ref="F11:F14" si="0">D11*E11</f>
        <v>0</v>
      </c>
    </row>
    <row r="12" spans="2:6" ht="15" thickTop="1" thickBot="1" x14ac:dyDescent="0.4">
      <c r="B12" s="29" t="s">
        <v>96</v>
      </c>
      <c r="C12" s="28">
        <v>12</v>
      </c>
      <c r="D12" s="39">
        <v>0</v>
      </c>
      <c r="E12" s="69">
        <v>0.35</v>
      </c>
      <c r="F12" s="64">
        <f t="shared" si="0"/>
        <v>0</v>
      </c>
    </row>
    <row r="13" spans="2:6" ht="15" thickTop="1" thickBot="1" x14ac:dyDescent="0.4">
      <c r="B13" s="29" t="s">
        <v>97</v>
      </c>
      <c r="C13" s="30">
        <v>13</v>
      </c>
      <c r="D13" s="39">
        <v>0</v>
      </c>
      <c r="E13" s="69">
        <v>0.4</v>
      </c>
      <c r="F13" s="64">
        <f t="shared" si="0"/>
        <v>0</v>
      </c>
    </row>
    <row r="14" spans="2:6" ht="15" thickTop="1" thickBot="1" x14ac:dyDescent="0.4">
      <c r="B14" s="29" t="s">
        <v>98</v>
      </c>
      <c r="C14" s="28">
        <v>14</v>
      </c>
      <c r="D14" s="39">
        <v>0</v>
      </c>
      <c r="E14" s="69">
        <v>0.4</v>
      </c>
      <c r="F14" s="64">
        <f t="shared" si="0"/>
        <v>0</v>
      </c>
    </row>
    <row r="15" spans="2:6" ht="15" thickTop="1" thickBot="1" x14ac:dyDescent="0.4">
      <c r="B15" s="31" t="s">
        <v>13</v>
      </c>
      <c r="C15" s="28" t="s">
        <v>99</v>
      </c>
      <c r="D15" s="64">
        <f>SUM(D10:D14)</f>
        <v>0</v>
      </c>
      <c r="E15" s="15"/>
      <c r="F15" s="64">
        <f t="shared" ref="F15" si="1">SUM(F10:F14)</f>
        <v>0</v>
      </c>
    </row>
    <row r="16" spans="2:6" ht="9" customHeight="1" x14ac:dyDescent="0.35">
      <c r="D16" s="40"/>
      <c r="F16" s="40"/>
    </row>
    <row r="17" spans="2:15" ht="14.6" thickBot="1" x14ac:dyDescent="0.4">
      <c r="B17" s="10" t="s">
        <v>100</v>
      </c>
      <c r="D17" s="40"/>
      <c r="F17" s="40"/>
    </row>
    <row r="18" spans="2:15" ht="14.6" thickBot="1" x14ac:dyDescent="0.4">
      <c r="B18" s="27" t="s">
        <v>101</v>
      </c>
      <c r="C18" s="28">
        <v>15</v>
      </c>
      <c r="D18" s="39">
        <v>0</v>
      </c>
      <c r="E18" s="69">
        <v>0.4</v>
      </c>
      <c r="F18" s="64">
        <f>D18*E18</f>
        <v>0</v>
      </c>
    </row>
    <row r="19" spans="2:15" ht="15" thickTop="1" thickBot="1" x14ac:dyDescent="0.4">
      <c r="B19" s="29" t="s">
        <v>102</v>
      </c>
      <c r="C19" s="70">
        <v>16</v>
      </c>
      <c r="D19" s="39">
        <v>0</v>
      </c>
      <c r="E19" s="69">
        <v>0.3</v>
      </c>
      <c r="F19" s="64">
        <f t="shared" ref="F19:F20" si="2">D19*E19</f>
        <v>0</v>
      </c>
    </row>
    <row r="20" spans="2:15" ht="15" thickTop="1" thickBot="1" x14ac:dyDescent="0.4">
      <c r="B20" s="29" t="s">
        <v>103</v>
      </c>
      <c r="C20" s="28">
        <v>17</v>
      </c>
      <c r="D20" s="39">
        <v>0</v>
      </c>
      <c r="E20" s="69">
        <v>0.3</v>
      </c>
      <c r="F20" s="64">
        <f t="shared" si="2"/>
        <v>0</v>
      </c>
    </row>
    <row r="21" spans="2:15" ht="15" thickTop="1" thickBot="1" x14ac:dyDescent="0.4">
      <c r="B21" s="31" t="s">
        <v>13</v>
      </c>
      <c r="C21" s="28" t="s">
        <v>99</v>
      </c>
      <c r="D21" s="64">
        <f>SUM(D18:D20)</f>
        <v>0</v>
      </c>
      <c r="E21" s="15"/>
      <c r="F21" s="64">
        <f t="shared" ref="F21" si="3">SUM(F18:F20)</f>
        <v>0</v>
      </c>
    </row>
    <row r="22" spans="2:15" ht="6.75" customHeight="1" x14ac:dyDescent="0.35">
      <c r="D22" s="40"/>
      <c r="F22" s="40"/>
    </row>
    <row r="23" spans="2:15" ht="18.75" customHeight="1" x14ac:dyDescent="0.35">
      <c r="B23" s="10" t="s">
        <v>104</v>
      </c>
      <c r="D23" s="40"/>
      <c r="F23" s="40"/>
    </row>
    <row r="24" spans="2:15" ht="14.6" thickBot="1" x14ac:dyDescent="0.4">
      <c r="B24" s="10" t="s">
        <v>105</v>
      </c>
      <c r="D24" s="40"/>
      <c r="F24" s="40"/>
    </row>
    <row r="25" spans="2:15" ht="14.6" thickBot="1" x14ac:dyDescent="0.4">
      <c r="B25" s="27" t="s">
        <v>106</v>
      </c>
      <c r="C25" s="28" t="s">
        <v>99</v>
      </c>
      <c r="D25" s="71" t="s">
        <v>107</v>
      </c>
      <c r="E25" s="11" t="s">
        <v>108</v>
      </c>
      <c r="F25" s="71" t="s">
        <v>109</v>
      </c>
      <c r="H25" s="22"/>
      <c r="I25" s="72"/>
      <c r="J25" s="73"/>
      <c r="K25" s="73"/>
      <c r="L25" s="72"/>
      <c r="M25" s="72"/>
      <c r="N25" s="72"/>
      <c r="O25" s="73"/>
    </row>
    <row r="26" spans="2:15" ht="15" customHeight="1" thickTop="1" thickBot="1" x14ac:dyDescent="0.4">
      <c r="B26" s="27" t="s">
        <v>110</v>
      </c>
      <c r="C26" s="30">
        <v>18</v>
      </c>
      <c r="D26" s="74"/>
      <c r="E26" s="75"/>
      <c r="F26" s="64">
        <f>D26-E26</f>
        <v>0</v>
      </c>
      <c r="H26" s="22"/>
      <c r="I26" s="149"/>
      <c r="J26" s="149"/>
      <c r="K26" s="149"/>
      <c r="L26" s="149"/>
      <c r="M26" s="149"/>
      <c r="N26" s="149"/>
      <c r="O26" s="149"/>
    </row>
    <row r="27" spans="2:15" ht="15" customHeight="1" thickTop="1" thickBot="1" x14ac:dyDescent="0.4">
      <c r="B27" s="27" t="s">
        <v>111</v>
      </c>
      <c r="C27" s="28">
        <v>19</v>
      </c>
      <c r="D27" s="74"/>
      <c r="E27" s="75"/>
      <c r="F27" s="64">
        <f>D27-E27</f>
        <v>0</v>
      </c>
      <c r="H27" s="22"/>
      <c r="I27" s="149"/>
      <c r="J27" s="149"/>
      <c r="K27" s="149"/>
      <c r="L27" s="149"/>
      <c r="M27" s="149"/>
      <c r="N27" s="149"/>
      <c r="O27" s="149"/>
    </row>
    <row r="28" spans="2:15" ht="15" customHeight="1" thickTop="1" thickBot="1" x14ac:dyDescent="0.4">
      <c r="B28" s="27" t="s">
        <v>112</v>
      </c>
      <c r="C28" s="30">
        <v>20</v>
      </c>
      <c r="D28" s="74"/>
      <c r="E28" s="75"/>
      <c r="F28" s="64">
        <f>D28-E28</f>
        <v>0</v>
      </c>
      <c r="H28" s="22"/>
      <c r="I28" s="149"/>
      <c r="J28" s="149"/>
      <c r="K28" s="149"/>
      <c r="L28" s="149"/>
      <c r="M28" s="149"/>
      <c r="N28" s="149"/>
      <c r="O28" s="149"/>
    </row>
    <row r="29" spans="2:15" ht="15" customHeight="1" thickTop="1" thickBot="1" x14ac:dyDescent="0.4">
      <c r="B29" s="31" t="s">
        <v>113</v>
      </c>
      <c r="C29" s="28" t="s">
        <v>99</v>
      </c>
      <c r="D29" s="64"/>
      <c r="E29" s="64"/>
      <c r="F29" s="64">
        <f>MAX(F26-F27,F26-F28,0)</f>
        <v>0</v>
      </c>
      <c r="H29" s="22"/>
      <c r="I29" s="149"/>
      <c r="J29" s="149"/>
      <c r="K29" s="149"/>
      <c r="L29" s="149"/>
      <c r="M29" s="149"/>
      <c r="N29" s="149"/>
      <c r="O29" s="149"/>
    </row>
    <row r="30" spans="2:15" ht="14.5" customHeight="1" x14ac:dyDescent="0.35">
      <c r="B30" s="76"/>
      <c r="C30" s="72"/>
      <c r="D30" s="73"/>
      <c r="E30" s="73"/>
      <c r="F30" s="72"/>
      <c r="G30" s="72"/>
      <c r="H30" s="76"/>
      <c r="I30" s="149"/>
      <c r="J30" s="149"/>
      <c r="K30" s="149"/>
      <c r="L30" s="149"/>
      <c r="M30" s="149"/>
      <c r="N30" s="149"/>
      <c r="O30" s="149"/>
    </row>
    <row r="31" spans="2:15" ht="14.5" customHeight="1" x14ac:dyDescent="0.35">
      <c r="B31" s="77" t="s">
        <v>114</v>
      </c>
      <c r="C31" s="78"/>
      <c r="D31" s="78"/>
      <c r="E31" s="78"/>
      <c r="F31" s="79"/>
      <c r="G31" s="78"/>
      <c r="H31" s="78"/>
      <c r="I31" s="78"/>
    </row>
    <row r="32" spans="2:15" ht="14.5" customHeight="1" x14ac:dyDescent="0.35">
      <c r="B32" s="22" t="s">
        <v>115</v>
      </c>
      <c r="C32" s="78"/>
      <c r="D32" s="78"/>
      <c r="E32" s="78"/>
      <c r="F32" s="78"/>
      <c r="G32" s="78"/>
      <c r="H32" s="78"/>
      <c r="I32" s="78"/>
    </row>
    <row r="33" spans="2:9" ht="14.5" customHeight="1" x14ac:dyDescent="0.35">
      <c r="B33" s="22" t="s">
        <v>116</v>
      </c>
      <c r="C33" s="78"/>
      <c r="D33" s="78"/>
      <c r="E33" s="78"/>
      <c r="F33" s="78"/>
      <c r="G33" s="78"/>
      <c r="H33" s="78"/>
      <c r="I33" s="78"/>
    </row>
    <row r="34" spans="2:9" x14ac:dyDescent="0.35">
      <c r="B34" s="22" t="s">
        <v>117</v>
      </c>
      <c r="C34" s="78"/>
      <c r="D34" s="78"/>
      <c r="E34" s="78"/>
      <c r="F34" s="78"/>
      <c r="G34" s="78"/>
      <c r="H34" s="78"/>
      <c r="I34" s="78"/>
    </row>
    <row r="35" spans="2:9" ht="14.5" customHeight="1" x14ac:dyDescent="0.35">
      <c r="B35" s="76"/>
      <c r="C35" s="78"/>
      <c r="D35" s="78"/>
      <c r="E35" s="78"/>
      <c r="F35" s="78"/>
      <c r="G35" s="78"/>
      <c r="H35" s="78"/>
      <c r="I35" s="78"/>
    </row>
    <row r="36" spans="2:9" x14ac:dyDescent="0.35">
      <c r="B36" s="10" t="s">
        <v>118</v>
      </c>
    </row>
    <row r="37" spans="2:9" ht="36" customHeight="1" x14ac:dyDescent="0.35">
      <c r="B37" s="36" t="s">
        <v>119</v>
      </c>
      <c r="C37" s="11"/>
      <c r="D37" s="11" t="s">
        <v>120</v>
      </c>
      <c r="E37" s="11" t="s">
        <v>121</v>
      </c>
      <c r="F37" s="11" t="s">
        <v>122</v>
      </c>
      <c r="G37" s="11" t="s">
        <v>123</v>
      </c>
    </row>
    <row r="38" spans="2:9" x14ac:dyDescent="0.35">
      <c r="B38" s="80"/>
      <c r="C38" s="14"/>
      <c r="D38" s="42"/>
      <c r="E38" s="42"/>
      <c r="F38" s="42"/>
      <c r="G38" s="42"/>
    </row>
    <row r="39" spans="2:9" x14ac:dyDescent="0.35">
      <c r="B39" s="81"/>
      <c r="C39" s="14"/>
      <c r="D39" s="42"/>
      <c r="E39" s="42"/>
      <c r="F39" s="42"/>
      <c r="G39" s="42"/>
    </row>
    <row r="40" spans="2:9" x14ac:dyDescent="0.35">
      <c r="B40" s="81"/>
      <c r="C40" s="14"/>
      <c r="D40" s="42"/>
      <c r="E40" s="42"/>
      <c r="F40" s="42"/>
      <c r="G40" s="42"/>
    </row>
    <row r="41" spans="2:9" x14ac:dyDescent="0.35">
      <c r="B41" s="81"/>
      <c r="C41" s="14"/>
      <c r="D41" s="42"/>
      <c r="E41" s="42"/>
      <c r="F41" s="42"/>
      <c r="G41" s="42"/>
    </row>
    <row r="42" spans="2:9" x14ac:dyDescent="0.35">
      <c r="B42" s="81"/>
      <c r="C42" s="14"/>
      <c r="D42" s="42"/>
      <c r="E42" s="42"/>
      <c r="F42" s="42"/>
      <c r="G42" s="42"/>
    </row>
    <row r="43" spans="2:9" x14ac:dyDescent="0.35">
      <c r="B43" s="81"/>
      <c r="C43" s="14"/>
      <c r="D43" s="42"/>
      <c r="E43" s="42"/>
      <c r="F43" s="42"/>
      <c r="G43" s="42"/>
    </row>
    <row r="44" spans="2:9" x14ac:dyDescent="0.35">
      <c r="B44" s="81"/>
      <c r="C44" s="14"/>
      <c r="D44" s="42"/>
      <c r="E44" s="42"/>
      <c r="F44" s="42"/>
      <c r="G44" s="42"/>
    </row>
    <row r="45" spans="2:9" x14ac:dyDescent="0.35">
      <c r="B45" s="81"/>
      <c r="C45" s="14"/>
      <c r="D45" s="42"/>
      <c r="E45" s="42"/>
      <c r="F45" s="42"/>
      <c r="G45" s="42"/>
    </row>
    <row r="46" spans="2:9" x14ac:dyDescent="0.35">
      <c r="B46" s="81"/>
      <c r="C46" s="14"/>
      <c r="D46" s="42"/>
      <c r="E46" s="42"/>
      <c r="F46" s="42"/>
      <c r="G46" s="42"/>
    </row>
    <row r="47" spans="2:9" x14ac:dyDescent="0.35">
      <c r="B47" s="81"/>
      <c r="C47" s="14"/>
      <c r="D47" s="42"/>
      <c r="E47" s="42"/>
      <c r="F47" s="42"/>
      <c r="G47" s="42"/>
    </row>
    <row r="48" spans="2:9" x14ac:dyDescent="0.35">
      <c r="B48" s="81"/>
      <c r="C48" s="14"/>
      <c r="D48" s="42"/>
      <c r="E48" s="42"/>
      <c r="F48" s="42"/>
      <c r="G48" s="42"/>
    </row>
    <row r="49" spans="2:7" x14ac:dyDescent="0.35">
      <c r="B49" s="81"/>
      <c r="C49" s="14"/>
      <c r="D49" s="42"/>
      <c r="E49" s="42"/>
      <c r="F49" s="42"/>
      <c r="G49" s="42"/>
    </row>
    <row r="50" spans="2:7" x14ac:dyDescent="0.35">
      <c r="B50" s="81"/>
      <c r="C50" s="14"/>
      <c r="D50" s="42"/>
      <c r="E50" s="42"/>
      <c r="F50" s="42"/>
      <c r="G50" s="42"/>
    </row>
    <row r="51" spans="2:7" x14ac:dyDescent="0.35">
      <c r="B51" s="81"/>
      <c r="C51" s="14"/>
      <c r="D51" s="42"/>
      <c r="E51" s="42"/>
      <c r="F51" s="42"/>
      <c r="G51" s="42"/>
    </row>
    <row r="52" spans="2:7" x14ac:dyDescent="0.35">
      <c r="B52" s="81"/>
      <c r="C52" s="14"/>
      <c r="D52" s="42"/>
      <c r="E52" s="42"/>
      <c r="F52" s="42"/>
      <c r="G52" s="42"/>
    </row>
    <row r="53" spans="2:7" x14ac:dyDescent="0.35">
      <c r="B53" s="81"/>
      <c r="C53" s="14"/>
      <c r="D53" s="42"/>
      <c r="E53" s="42"/>
      <c r="F53" s="42"/>
      <c r="G53" s="42"/>
    </row>
    <row r="54" spans="2:7" x14ac:dyDescent="0.35">
      <c r="B54" s="81"/>
      <c r="C54" s="14"/>
      <c r="D54" s="42"/>
      <c r="E54" s="42"/>
      <c r="F54" s="42"/>
      <c r="G54" s="42"/>
    </row>
    <row r="55" spans="2:7" x14ac:dyDescent="0.35">
      <c r="B55" s="81"/>
      <c r="C55" s="14"/>
      <c r="D55" s="42"/>
      <c r="E55" s="42"/>
      <c r="F55" s="42"/>
      <c r="G55" s="42"/>
    </row>
    <row r="56" spans="2:7" x14ac:dyDescent="0.35">
      <c r="B56" s="81"/>
      <c r="C56" s="14"/>
      <c r="D56" s="42"/>
      <c r="E56" s="42"/>
      <c r="F56" s="42"/>
      <c r="G56" s="42"/>
    </row>
    <row r="57" spans="2:7" x14ac:dyDescent="0.35">
      <c r="B57" s="81"/>
      <c r="C57" s="14"/>
      <c r="D57" s="42"/>
      <c r="E57" s="42"/>
      <c r="F57" s="42"/>
      <c r="G57" s="42"/>
    </row>
    <row r="58" spans="2:7" x14ac:dyDescent="0.35">
      <c r="B58" s="81"/>
      <c r="C58" s="14"/>
      <c r="D58" s="42"/>
      <c r="E58" s="42"/>
      <c r="F58" s="42"/>
      <c r="G58" s="42"/>
    </row>
    <row r="59" spans="2:7" x14ac:dyDescent="0.35">
      <c r="B59" s="82"/>
      <c r="C59" s="14"/>
      <c r="D59" s="46"/>
      <c r="E59" s="46"/>
      <c r="F59" s="42"/>
      <c r="G59" s="42"/>
    </row>
    <row r="60" spans="2:7" x14ac:dyDescent="0.35">
      <c r="B60" s="83" t="s">
        <v>124</v>
      </c>
      <c r="C60" s="14"/>
      <c r="D60" s="84"/>
      <c r="E60" s="84"/>
      <c r="F60" s="64">
        <f>SUM(F38:F59)</f>
        <v>0</v>
      </c>
      <c r="G60" s="64">
        <f>SUM(G38:G59)</f>
        <v>0</v>
      </c>
    </row>
    <row r="61" spans="2:7" x14ac:dyDescent="0.35">
      <c r="D61" s="40"/>
      <c r="E61" s="40"/>
      <c r="F61" s="13" t="s">
        <v>125</v>
      </c>
      <c r="G61" s="64">
        <f>MAX(ABS(F60),ABS(G60))</f>
        <v>0</v>
      </c>
    </row>
    <row r="62" spans="2:7" x14ac:dyDescent="0.35">
      <c r="F62" s="13" t="s">
        <v>126</v>
      </c>
      <c r="G62" s="69">
        <v>0.08</v>
      </c>
    </row>
    <row r="63" spans="2:7" x14ac:dyDescent="0.35">
      <c r="B63" s="77" t="s">
        <v>114</v>
      </c>
      <c r="C63" s="73"/>
      <c r="F63" s="13" t="s">
        <v>74</v>
      </c>
      <c r="G63" s="64">
        <f>G61*G62</f>
        <v>0</v>
      </c>
    </row>
    <row r="64" spans="2:7" x14ac:dyDescent="0.35">
      <c r="B64" s="22" t="s">
        <v>127</v>
      </c>
      <c r="C64" s="78"/>
      <c r="D64" s="78"/>
    </row>
    <row r="65" spans="2:7" x14ac:dyDescent="0.35">
      <c r="B65" s="22" t="s">
        <v>128</v>
      </c>
      <c r="C65" s="78"/>
      <c r="D65" s="78"/>
      <c r="E65" s="78"/>
      <c r="F65" s="78"/>
      <c r="G65" s="78"/>
    </row>
    <row r="66" spans="2:7" x14ac:dyDescent="0.35">
      <c r="B66" s="22" t="s">
        <v>129</v>
      </c>
      <c r="C66" s="78"/>
      <c r="D66" s="78"/>
      <c r="E66" s="78"/>
      <c r="F66" s="78"/>
      <c r="G66" s="78"/>
    </row>
    <row r="67" spans="2:7" ht="14.6" thickBot="1" x14ac:dyDescent="0.4"/>
    <row r="68" spans="2:7" ht="14.6" thickBot="1" x14ac:dyDescent="0.4">
      <c r="B68" s="85" t="s">
        <v>130</v>
      </c>
      <c r="C68" s="65"/>
      <c r="D68" s="65"/>
      <c r="E68" s="86"/>
      <c r="F68" s="68">
        <f>SQRT((F15^2)+(F21^2)+(F29^2)+(G63^2))</f>
        <v>0</v>
      </c>
    </row>
    <row r="70" spans="2:7" x14ac:dyDescent="0.35">
      <c r="B70" s="87" t="s">
        <v>131</v>
      </c>
    </row>
    <row r="71" spans="2:7" ht="15" x14ac:dyDescent="0.35">
      <c r="B71" s="88" t="s">
        <v>132</v>
      </c>
    </row>
    <row r="72" spans="2:7" x14ac:dyDescent="0.35">
      <c r="B72" s="22"/>
    </row>
  </sheetData>
  <protectedRanges>
    <protectedRange sqref="D26:E28 B38:B59 D38:G59" name="Range1"/>
  </protectedRanges>
  <mergeCells count="5">
    <mergeCell ref="C7:C8"/>
    <mergeCell ref="I26:O26"/>
    <mergeCell ref="I27:O27"/>
    <mergeCell ref="I28:O29"/>
    <mergeCell ref="I30:O30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A7122-2ED8-4C54-B365-0866E0742545}">
  <sheetPr>
    <tabColor rgb="FF92D050"/>
  </sheetPr>
  <dimension ref="B2:K45"/>
  <sheetViews>
    <sheetView workbookViewId="0">
      <selection activeCell="C4" sqref="C4:C5"/>
    </sheetView>
  </sheetViews>
  <sheetFormatPr defaultColWidth="8.84375" defaultRowHeight="14.15" x14ac:dyDescent="0.35"/>
  <cols>
    <col min="1" max="1" width="2.3828125" style="2" customWidth="1"/>
    <col min="2" max="2" width="62.3828125" style="2" bestFit="1" customWidth="1"/>
    <col min="3" max="3" width="13.07421875" style="2" customWidth="1"/>
    <col min="4" max="4" width="30.61328125" style="2" customWidth="1"/>
    <col min="5" max="5" width="15.84375" style="2" customWidth="1"/>
    <col min="6" max="6" width="30.61328125" style="2" customWidth="1"/>
    <col min="7" max="7" width="2.84375" style="2" customWidth="1"/>
    <col min="8" max="8" width="23.07421875" style="2" customWidth="1"/>
    <col min="9" max="9" width="4.84375" style="2" bestFit="1" customWidth="1"/>
    <col min="10" max="10" width="31.07421875" style="2" hidden="1" customWidth="1"/>
    <col min="11" max="11" width="14.3828125" style="2" hidden="1" customWidth="1"/>
    <col min="12" max="16384" width="8.84375" style="2"/>
  </cols>
  <sheetData>
    <row r="2" spans="2:6" x14ac:dyDescent="0.35">
      <c r="B2" s="1" t="s">
        <v>133</v>
      </c>
    </row>
    <row r="3" spans="2:6" ht="15" x14ac:dyDescent="0.35">
      <c r="B3" s="1" t="s">
        <v>134</v>
      </c>
      <c r="C3" s="4"/>
      <c r="D3" s="23"/>
      <c r="E3" s="23"/>
      <c r="F3" s="23"/>
    </row>
    <row r="4" spans="2:6" x14ac:dyDescent="0.35">
      <c r="B4" s="5" t="s">
        <v>2</v>
      </c>
      <c r="C4" s="6" t="str">
        <f>'41-1A'!C4</f>
        <v>NAME OF INSURER</v>
      </c>
      <c r="D4" s="23"/>
      <c r="E4" s="23"/>
      <c r="F4" s="23"/>
    </row>
    <row r="5" spans="2:6" ht="14.5" customHeight="1" x14ac:dyDescent="0.35">
      <c r="B5" s="7" t="s">
        <v>3</v>
      </c>
      <c r="C5" s="6" t="str">
        <f>'41-1A'!C5</f>
        <v>YEAR</v>
      </c>
      <c r="D5" s="9"/>
      <c r="E5" s="9"/>
      <c r="F5" s="9"/>
    </row>
    <row r="6" spans="2:6" x14ac:dyDescent="0.35">
      <c r="C6" s="25"/>
      <c r="D6" s="23"/>
      <c r="E6" s="23"/>
      <c r="F6" s="23"/>
    </row>
    <row r="7" spans="2:6" x14ac:dyDescent="0.35">
      <c r="C7" s="138" t="s">
        <v>4</v>
      </c>
      <c r="D7" s="11" t="s">
        <v>90</v>
      </c>
      <c r="E7" s="11" t="s">
        <v>91</v>
      </c>
      <c r="F7" s="11" t="s">
        <v>92</v>
      </c>
    </row>
    <row r="8" spans="2:6" x14ac:dyDescent="0.35">
      <c r="B8" s="26" t="s">
        <v>6</v>
      </c>
      <c r="C8" s="138"/>
      <c r="D8" s="37" t="s">
        <v>76</v>
      </c>
      <c r="E8" s="37" t="s">
        <v>7</v>
      </c>
      <c r="F8" s="37" t="s">
        <v>48</v>
      </c>
    </row>
    <row r="9" spans="2:6" x14ac:dyDescent="0.35">
      <c r="B9" s="10" t="s">
        <v>135</v>
      </c>
    </row>
    <row r="10" spans="2:6" ht="15" customHeight="1" x14ac:dyDescent="0.35">
      <c r="B10" s="13" t="s">
        <v>136</v>
      </c>
      <c r="C10" s="14">
        <v>10</v>
      </c>
      <c r="D10" s="89">
        <v>0</v>
      </c>
      <c r="E10" s="69">
        <v>0</v>
      </c>
      <c r="F10" s="15">
        <f>D10*E10</f>
        <v>0</v>
      </c>
    </row>
    <row r="11" spans="2:6" ht="15" customHeight="1" x14ac:dyDescent="0.35">
      <c r="B11" s="13" t="s">
        <v>137</v>
      </c>
      <c r="C11" s="14">
        <v>11</v>
      </c>
      <c r="D11" s="89">
        <v>0</v>
      </c>
      <c r="E11" s="69">
        <v>0</v>
      </c>
      <c r="F11" s="15">
        <f t="shared" ref="F11:F14" si="0">D11*E11</f>
        <v>0</v>
      </c>
    </row>
    <row r="12" spans="2:6" ht="15" customHeight="1" x14ac:dyDescent="0.35">
      <c r="B12" s="13" t="s">
        <v>138</v>
      </c>
      <c r="C12" s="14">
        <v>12</v>
      </c>
      <c r="D12" s="89">
        <v>0</v>
      </c>
      <c r="E12" s="69">
        <v>0.05</v>
      </c>
      <c r="F12" s="15">
        <f t="shared" si="0"/>
        <v>0</v>
      </c>
    </row>
    <row r="13" spans="2:6" ht="15" customHeight="1" x14ac:dyDescent="0.35">
      <c r="B13" s="13" t="s">
        <v>139</v>
      </c>
      <c r="C13" s="14">
        <v>13</v>
      </c>
      <c r="D13" s="89">
        <v>0</v>
      </c>
      <c r="E13" s="69">
        <v>0.12</v>
      </c>
      <c r="F13" s="15">
        <f t="shared" si="0"/>
        <v>0</v>
      </c>
    </row>
    <row r="14" spans="2:6" ht="15" customHeight="1" x14ac:dyDescent="0.35">
      <c r="B14" s="13" t="s">
        <v>140</v>
      </c>
      <c r="C14" s="14">
        <v>14</v>
      </c>
      <c r="D14" s="89">
        <v>0</v>
      </c>
      <c r="E14" s="69">
        <v>0.12</v>
      </c>
      <c r="F14" s="15">
        <f t="shared" si="0"/>
        <v>0</v>
      </c>
    </row>
    <row r="15" spans="2:6" ht="6" customHeight="1" x14ac:dyDescent="0.35">
      <c r="D15" s="40"/>
    </row>
    <row r="16" spans="2:6" ht="5.25" customHeight="1" x14ac:dyDescent="0.35">
      <c r="D16" s="40"/>
    </row>
    <row r="17" spans="2:11" ht="15.75" customHeight="1" x14ac:dyDescent="0.35">
      <c r="B17" s="10" t="s">
        <v>141</v>
      </c>
      <c r="D17" s="40"/>
    </row>
    <row r="18" spans="2:11" ht="15.75" customHeight="1" x14ac:dyDescent="0.35">
      <c r="B18" s="13" t="s">
        <v>142</v>
      </c>
      <c r="C18" s="14">
        <v>10</v>
      </c>
      <c r="D18" s="89">
        <v>0</v>
      </c>
      <c r="E18" s="69">
        <v>0</v>
      </c>
      <c r="F18" s="15">
        <f>D18*E18</f>
        <v>0</v>
      </c>
    </row>
    <row r="19" spans="2:11" ht="15.75" customHeight="1" x14ac:dyDescent="0.35">
      <c r="B19" s="13" t="s">
        <v>143</v>
      </c>
      <c r="C19" s="14">
        <v>11</v>
      </c>
      <c r="D19" s="89">
        <v>0</v>
      </c>
      <c r="E19" s="69">
        <v>0</v>
      </c>
      <c r="F19" s="15">
        <f t="shared" ref="F19" si="1">D19*E19</f>
        <v>0</v>
      </c>
    </row>
    <row r="20" spans="2:11" ht="5.25" customHeight="1" x14ac:dyDescent="0.35">
      <c r="D20" s="40"/>
    </row>
    <row r="21" spans="2:11" ht="15" customHeight="1" x14ac:dyDescent="0.35">
      <c r="B21" s="10" t="s">
        <v>144</v>
      </c>
      <c r="D21" s="40"/>
    </row>
    <row r="22" spans="2:11" ht="15" customHeight="1" x14ac:dyDescent="0.35">
      <c r="B22" s="13" t="s">
        <v>145</v>
      </c>
      <c r="C22" s="38">
        <v>15</v>
      </c>
      <c r="D22" s="39">
        <v>0</v>
      </c>
      <c r="E22" s="69">
        <v>0</v>
      </c>
      <c r="F22" s="15">
        <f>D22*E22</f>
        <v>0</v>
      </c>
    </row>
    <row r="23" spans="2:11" ht="15" customHeight="1" x14ac:dyDescent="0.35">
      <c r="B23" s="13" t="s">
        <v>146</v>
      </c>
      <c r="C23" s="38">
        <v>16</v>
      </c>
      <c r="D23" s="39">
        <v>0</v>
      </c>
      <c r="E23" s="69">
        <v>0.1</v>
      </c>
      <c r="F23" s="15">
        <f t="shared" ref="F23:F28" si="2">D23*E23</f>
        <v>0</v>
      </c>
    </row>
    <row r="24" spans="2:11" ht="15" customHeight="1" x14ac:dyDescent="0.35">
      <c r="B24" s="13" t="s">
        <v>147</v>
      </c>
      <c r="C24" s="38">
        <v>17</v>
      </c>
      <c r="D24" s="90">
        <v>0</v>
      </c>
      <c r="E24" s="91">
        <v>0.3</v>
      </c>
      <c r="F24" s="15">
        <f t="shared" si="2"/>
        <v>0</v>
      </c>
    </row>
    <row r="25" spans="2:11" ht="15" customHeight="1" x14ac:dyDescent="0.35">
      <c r="B25" s="13" t="s">
        <v>148</v>
      </c>
      <c r="C25" s="38">
        <v>18</v>
      </c>
      <c r="D25" s="90">
        <v>0</v>
      </c>
      <c r="E25" s="91">
        <v>0.4</v>
      </c>
      <c r="F25" s="15">
        <f t="shared" si="2"/>
        <v>0</v>
      </c>
      <c r="J25" s="24" t="s">
        <v>149</v>
      </c>
      <c r="K25" s="24" t="s">
        <v>150</v>
      </c>
    </row>
    <row r="26" spans="2:11" ht="15" customHeight="1" x14ac:dyDescent="0.35">
      <c r="B26" s="13" t="s">
        <v>151</v>
      </c>
      <c r="C26" s="38">
        <v>19</v>
      </c>
      <c r="D26" s="39">
        <v>0</v>
      </c>
      <c r="E26" s="69">
        <v>0.3</v>
      </c>
      <c r="F26" s="15">
        <f t="shared" si="2"/>
        <v>0</v>
      </c>
      <c r="J26" s="2" t="s">
        <v>152</v>
      </c>
      <c r="K26" s="92"/>
    </row>
    <row r="27" spans="2:11" ht="15" customHeight="1" x14ac:dyDescent="0.35">
      <c r="B27" s="13" t="s">
        <v>153</v>
      </c>
      <c r="C27" s="38">
        <v>20</v>
      </c>
      <c r="D27" s="39">
        <v>0</v>
      </c>
      <c r="E27" s="69">
        <v>1</v>
      </c>
      <c r="F27" s="15">
        <f t="shared" si="2"/>
        <v>0</v>
      </c>
      <c r="J27" s="2" t="s">
        <v>154</v>
      </c>
      <c r="K27" s="93"/>
    </row>
    <row r="28" spans="2:11" ht="15" customHeight="1" x14ac:dyDescent="0.35">
      <c r="B28" s="13" t="s">
        <v>155</v>
      </c>
      <c r="C28" s="38">
        <v>21</v>
      </c>
      <c r="D28" s="39">
        <v>0</v>
      </c>
      <c r="E28" s="69">
        <v>1</v>
      </c>
      <c r="F28" s="15">
        <f t="shared" si="2"/>
        <v>0</v>
      </c>
      <c r="J28" s="2" t="s">
        <v>156</v>
      </c>
      <c r="K28" s="93"/>
    </row>
    <row r="29" spans="2:11" ht="7.5" customHeight="1" x14ac:dyDescent="0.35">
      <c r="D29" s="40"/>
    </row>
    <row r="30" spans="2:11" x14ac:dyDescent="0.35">
      <c r="B30" s="10" t="s">
        <v>157</v>
      </c>
      <c r="D30" s="40"/>
      <c r="H30" s="10"/>
      <c r="J30" s="2" t="s">
        <v>158</v>
      </c>
      <c r="K30" s="93"/>
    </row>
    <row r="31" spans="2:11" x14ac:dyDescent="0.35">
      <c r="B31" s="13" t="s">
        <v>159</v>
      </c>
      <c r="C31" s="38">
        <v>22</v>
      </c>
      <c r="D31" s="39">
        <v>0</v>
      </c>
      <c r="E31" s="69">
        <v>1.4999999999999999E-2</v>
      </c>
      <c r="F31" s="15">
        <f>D31*E31</f>
        <v>0</v>
      </c>
      <c r="H31" s="22"/>
      <c r="J31" s="2" t="s">
        <v>160</v>
      </c>
      <c r="K31" s="93"/>
    </row>
    <row r="32" spans="2:11" x14ac:dyDescent="0.35">
      <c r="B32" s="13" t="s">
        <v>161</v>
      </c>
      <c r="C32" s="38">
        <v>23</v>
      </c>
      <c r="D32" s="39">
        <v>0</v>
      </c>
      <c r="E32" s="69">
        <v>0.1</v>
      </c>
      <c r="F32" s="15">
        <f t="shared" ref="F32:F35" si="3">D32*E32</f>
        <v>0</v>
      </c>
      <c r="H32" s="22"/>
      <c r="J32" s="2" t="s">
        <v>162</v>
      </c>
      <c r="K32" s="93"/>
    </row>
    <row r="33" spans="2:11" x14ac:dyDescent="0.35">
      <c r="B33" s="13" t="s">
        <v>163</v>
      </c>
      <c r="C33" s="38">
        <v>24</v>
      </c>
      <c r="D33" s="39">
        <v>0</v>
      </c>
      <c r="E33" s="91">
        <v>0.35</v>
      </c>
      <c r="F33" s="15">
        <f t="shared" si="3"/>
        <v>0</v>
      </c>
      <c r="H33" s="22"/>
      <c r="J33" s="2" t="s">
        <v>164</v>
      </c>
      <c r="K33" s="93"/>
    </row>
    <row r="34" spans="2:11" x14ac:dyDescent="0.35">
      <c r="B34" s="13" t="s">
        <v>165</v>
      </c>
      <c r="C34" s="38">
        <v>25</v>
      </c>
      <c r="D34" s="39">
        <v>0</v>
      </c>
      <c r="E34" s="69">
        <v>1</v>
      </c>
      <c r="F34" s="15">
        <f t="shared" si="3"/>
        <v>0</v>
      </c>
      <c r="H34" s="22"/>
      <c r="J34" s="2" t="s">
        <v>166</v>
      </c>
      <c r="K34" s="92"/>
    </row>
    <row r="35" spans="2:11" ht="42.45" x14ac:dyDescent="0.35">
      <c r="B35" s="13" t="s">
        <v>167</v>
      </c>
      <c r="C35" s="38">
        <v>26</v>
      </c>
      <c r="D35" s="39">
        <v>0</v>
      </c>
      <c r="E35" s="69">
        <v>2.5000000000000001E-2</v>
      </c>
      <c r="F35" s="15">
        <f t="shared" si="3"/>
        <v>0</v>
      </c>
      <c r="H35" s="22"/>
      <c r="J35" s="94" t="s">
        <v>168</v>
      </c>
      <c r="K35" s="95"/>
    </row>
    <row r="36" spans="2:11" ht="14.25" customHeight="1" x14ac:dyDescent="0.35">
      <c r="D36" s="40"/>
      <c r="J36" s="2" t="s">
        <v>169</v>
      </c>
      <c r="K36" s="92"/>
    </row>
    <row r="37" spans="2:11" ht="14.25" customHeight="1" x14ac:dyDescent="0.35">
      <c r="B37" s="10" t="s">
        <v>170</v>
      </c>
      <c r="D37" s="40"/>
      <c r="K37" s="96"/>
    </row>
    <row r="38" spans="2:11" ht="14.25" customHeight="1" x14ac:dyDescent="0.35">
      <c r="B38" s="13" t="s">
        <v>171</v>
      </c>
      <c r="C38" s="38">
        <v>27</v>
      </c>
      <c r="D38" s="39">
        <v>0</v>
      </c>
      <c r="E38" s="69">
        <v>1</v>
      </c>
      <c r="F38" s="15">
        <f>D38*E38</f>
        <v>0</v>
      </c>
      <c r="K38" s="96"/>
    </row>
    <row r="39" spans="2:11" ht="14.25" customHeight="1" x14ac:dyDescent="0.35">
      <c r="D39" s="40"/>
      <c r="K39" s="96"/>
    </row>
    <row r="40" spans="2:11" x14ac:dyDescent="0.35">
      <c r="B40" s="10" t="s">
        <v>172</v>
      </c>
      <c r="D40" s="97"/>
      <c r="J40" s="2" t="s">
        <v>173</v>
      </c>
    </row>
    <row r="41" spans="2:11" x14ac:dyDescent="0.35">
      <c r="B41" s="13" t="s">
        <v>174</v>
      </c>
      <c r="C41" s="14">
        <v>31</v>
      </c>
      <c r="D41" s="39">
        <v>0</v>
      </c>
      <c r="E41" s="69">
        <v>1.4999999999999999E-2</v>
      </c>
      <c r="F41" s="15">
        <f t="shared" ref="F41:F43" si="4">D41*E41</f>
        <v>0</v>
      </c>
      <c r="J41" s="2" t="s">
        <v>175</v>
      </c>
    </row>
    <row r="42" spans="2:11" x14ac:dyDescent="0.35">
      <c r="B42" s="13" t="s">
        <v>176</v>
      </c>
      <c r="C42" s="14">
        <v>32</v>
      </c>
      <c r="D42" s="39">
        <v>0</v>
      </c>
      <c r="E42" s="69">
        <v>1.4999999999999999E-2</v>
      </c>
      <c r="F42" s="15">
        <f t="shared" si="4"/>
        <v>0</v>
      </c>
    </row>
    <row r="43" spans="2:11" x14ac:dyDescent="0.35">
      <c r="B43" s="13" t="s">
        <v>177</v>
      </c>
      <c r="C43" s="14">
        <v>33</v>
      </c>
      <c r="D43" s="39">
        <v>0</v>
      </c>
      <c r="E43" s="69">
        <v>0.02</v>
      </c>
      <c r="F43" s="15">
        <f t="shared" si="4"/>
        <v>0</v>
      </c>
    </row>
    <row r="44" spans="2:11" ht="14.6" thickBot="1" x14ac:dyDescent="0.4">
      <c r="D44" s="40"/>
    </row>
    <row r="45" spans="2:11" ht="14.6" thickBot="1" x14ac:dyDescent="0.4">
      <c r="B45" s="85" t="s">
        <v>134</v>
      </c>
      <c r="C45" s="65"/>
      <c r="D45" s="66"/>
      <c r="E45" s="86"/>
      <c r="F45" s="98">
        <f>SUM(F10:F14)+SUM(F22:F28)+SUM(F31:F35)++SUM(F18:F19)+SUM(F41:F43)+F38</f>
        <v>0</v>
      </c>
    </row>
  </sheetData>
  <mergeCells count="1">
    <mergeCell ref="C7:C8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6311D-B6B8-490C-AE45-7D8B15C8AE21}">
  <sheetPr>
    <tabColor rgb="FF92D050"/>
  </sheetPr>
  <dimension ref="B2:D24"/>
  <sheetViews>
    <sheetView workbookViewId="0">
      <selection activeCell="C4" sqref="C4:C5"/>
    </sheetView>
  </sheetViews>
  <sheetFormatPr defaultColWidth="8.84375" defaultRowHeight="14.15" x14ac:dyDescent="0.35"/>
  <cols>
    <col min="1" max="1" width="2.3828125" style="2" customWidth="1"/>
    <col min="2" max="2" width="38.84375" style="2" customWidth="1"/>
    <col min="3" max="3" width="12.61328125" style="2" customWidth="1"/>
    <col min="4" max="4" width="30.61328125" style="2" customWidth="1"/>
    <col min="5" max="5" width="18.84375" style="2" customWidth="1"/>
    <col min="6" max="16384" width="8.84375" style="2"/>
  </cols>
  <sheetData>
    <row r="2" spans="2:4" x14ac:dyDescent="0.35">
      <c r="B2" s="1" t="s">
        <v>178</v>
      </c>
    </row>
    <row r="3" spans="2:4" ht="15" x14ac:dyDescent="0.35">
      <c r="B3" s="1" t="s">
        <v>179</v>
      </c>
      <c r="C3" s="4"/>
    </row>
    <row r="4" spans="2:4" x14ac:dyDescent="0.35">
      <c r="B4" s="5" t="s">
        <v>2</v>
      </c>
      <c r="C4" s="6" t="str">
        <f>'41-1A'!C4</f>
        <v>NAME OF INSURER</v>
      </c>
    </row>
    <row r="5" spans="2:4" x14ac:dyDescent="0.35">
      <c r="B5" s="7" t="s">
        <v>3</v>
      </c>
      <c r="C5" s="6" t="str">
        <f>'41-1A'!C5</f>
        <v>YEAR</v>
      </c>
      <c r="D5" s="9"/>
    </row>
    <row r="6" spans="2:4" ht="14.6" thickBot="1" x14ac:dyDescent="0.4">
      <c r="B6" s="10"/>
    </row>
    <row r="7" spans="2:4" x14ac:dyDescent="0.35">
      <c r="B7" s="150" t="s">
        <v>180</v>
      </c>
      <c r="C7" s="139" t="s">
        <v>4</v>
      </c>
      <c r="D7" s="11" t="s">
        <v>5</v>
      </c>
    </row>
    <row r="8" spans="2:4" ht="14.6" thickBot="1" x14ac:dyDescent="0.4">
      <c r="B8" s="151"/>
      <c r="C8" s="140"/>
      <c r="D8" s="11" t="s">
        <v>7</v>
      </c>
    </row>
    <row r="10" spans="2:4" x14ac:dyDescent="0.35">
      <c r="B10" s="13" t="s">
        <v>181</v>
      </c>
      <c r="C10" s="14">
        <v>10</v>
      </c>
      <c r="D10" s="64">
        <f>'41-1D'!F45</f>
        <v>0</v>
      </c>
    </row>
    <row r="11" spans="2:4" x14ac:dyDescent="0.35">
      <c r="B11" s="13" t="s">
        <v>182</v>
      </c>
      <c r="C11" s="14">
        <v>11</v>
      </c>
      <c r="D11" s="64">
        <f>'41-1C'!F68</f>
        <v>0</v>
      </c>
    </row>
    <row r="12" spans="2:4" x14ac:dyDescent="0.35">
      <c r="B12" s="13" t="s">
        <v>183</v>
      </c>
      <c r="C12" s="14">
        <v>12</v>
      </c>
      <c r="D12" s="64">
        <f>'41-1B'!G61</f>
        <v>0</v>
      </c>
    </row>
    <row r="13" spans="2:4" x14ac:dyDescent="0.35">
      <c r="D13" s="40"/>
    </row>
    <row r="14" spans="2:4" ht="15" x14ac:dyDescent="0.35">
      <c r="B14" s="13" t="s">
        <v>184</v>
      </c>
      <c r="C14" s="14">
        <v>13</v>
      </c>
      <c r="D14" s="64">
        <f>0.3*(SQRT((D10^2)+(D11^2)+(D12^2)))</f>
        <v>0</v>
      </c>
    </row>
    <row r="15" spans="2:4" ht="15.45" x14ac:dyDescent="0.4">
      <c r="B15" s="13" t="s">
        <v>185</v>
      </c>
      <c r="C15" s="14">
        <v>14</v>
      </c>
      <c r="D15" s="64">
        <f>0.03*D16</f>
        <v>0</v>
      </c>
    </row>
    <row r="16" spans="2:4" x14ac:dyDescent="0.35">
      <c r="B16" s="13" t="s">
        <v>186</v>
      </c>
      <c r="C16" s="14">
        <v>15</v>
      </c>
      <c r="D16" s="42">
        <v>0</v>
      </c>
    </row>
    <row r="17" spans="2:4" x14ac:dyDescent="0.35">
      <c r="B17" s="13" t="s">
        <v>187</v>
      </c>
      <c r="C17" s="14">
        <v>16</v>
      </c>
      <c r="D17" s="42">
        <v>0</v>
      </c>
    </row>
    <row r="18" spans="2:4" x14ac:dyDescent="0.35">
      <c r="D18" s="40"/>
    </row>
    <row r="19" spans="2:4" x14ac:dyDescent="0.35">
      <c r="B19" s="17" t="s">
        <v>179</v>
      </c>
      <c r="C19" s="14">
        <v>19</v>
      </c>
      <c r="D19" s="64">
        <f>MAX(D14,D15)</f>
        <v>0</v>
      </c>
    </row>
    <row r="21" spans="2:4" x14ac:dyDescent="0.35">
      <c r="B21" s="87" t="s">
        <v>131</v>
      </c>
    </row>
    <row r="22" spans="2:4" ht="15" x14ac:dyDescent="0.35">
      <c r="B22" s="88" t="s">
        <v>188</v>
      </c>
      <c r="C22" s="22"/>
    </row>
    <row r="23" spans="2:4" x14ac:dyDescent="0.35">
      <c r="B23" s="22" t="s">
        <v>189</v>
      </c>
      <c r="C23" s="22"/>
    </row>
    <row r="24" spans="2:4" x14ac:dyDescent="0.35">
      <c r="B24" s="21"/>
      <c r="C24" s="22"/>
    </row>
  </sheetData>
  <protectedRanges>
    <protectedRange sqref="D16:D17" name="Range1"/>
  </protectedRanges>
  <mergeCells count="2">
    <mergeCell ref="B7:B8"/>
    <mergeCell ref="C7:C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78F46-6CB7-42AF-9439-9C9B243B9BEF}">
  <sheetPr>
    <tabColor rgb="FF92D050"/>
  </sheetPr>
  <dimension ref="B2:G20"/>
  <sheetViews>
    <sheetView workbookViewId="0">
      <selection activeCell="C4" sqref="C4:C5"/>
    </sheetView>
  </sheetViews>
  <sheetFormatPr defaultColWidth="8.84375" defaultRowHeight="14.15" x14ac:dyDescent="0.35"/>
  <cols>
    <col min="1" max="1" width="2.3828125" style="2" customWidth="1"/>
    <col min="2" max="2" width="33.3828125" style="2" customWidth="1"/>
    <col min="3" max="3" width="13.84375" style="2" customWidth="1"/>
    <col min="4" max="4" width="29.15234375" style="2" customWidth="1"/>
    <col min="5" max="5" width="18.84375" style="2" customWidth="1"/>
    <col min="6" max="6" width="8.84375" style="2"/>
    <col min="7" max="7" width="12.07421875" style="2" bestFit="1" customWidth="1"/>
    <col min="8" max="16384" width="8.84375" style="2"/>
  </cols>
  <sheetData>
    <row r="2" spans="2:7" x14ac:dyDescent="0.35">
      <c r="B2" s="1" t="s">
        <v>190</v>
      </c>
    </row>
    <row r="3" spans="2:7" ht="15" x14ac:dyDescent="0.35">
      <c r="B3" s="1" t="s">
        <v>191</v>
      </c>
      <c r="C3" s="4"/>
    </row>
    <row r="4" spans="2:7" x14ac:dyDescent="0.35">
      <c r="B4" s="5" t="s">
        <v>2</v>
      </c>
      <c r="C4" s="6" t="str">
        <f>'41-1A'!C4</f>
        <v>NAME OF INSURER</v>
      </c>
    </row>
    <row r="5" spans="2:7" x14ac:dyDescent="0.35">
      <c r="B5" s="7" t="s">
        <v>3</v>
      </c>
      <c r="C5" s="6" t="str">
        <f>'41-1A'!C5</f>
        <v>YEAR</v>
      </c>
      <c r="D5" s="9"/>
    </row>
    <row r="6" spans="2:7" ht="14.6" thickBot="1" x14ac:dyDescent="0.4">
      <c r="B6" s="10"/>
    </row>
    <row r="7" spans="2:7" x14ac:dyDescent="0.35">
      <c r="B7" s="150" t="s">
        <v>180</v>
      </c>
      <c r="C7" s="139" t="s">
        <v>4</v>
      </c>
      <c r="D7" s="11" t="s">
        <v>5</v>
      </c>
    </row>
    <row r="8" spans="2:7" ht="14.6" thickBot="1" x14ac:dyDescent="0.4">
      <c r="B8" s="151"/>
      <c r="C8" s="140"/>
      <c r="D8" s="11" t="s">
        <v>7</v>
      </c>
      <c r="E8" s="99"/>
    </row>
    <row r="9" spans="2:7" x14ac:dyDescent="0.35">
      <c r="E9" s="99"/>
    </row>
    <row r="10" spans="2:7" x14ac:dyDescent="0.35">
      <c r="B10" s="13" t="s">
        <v>181</v>
      </c>
      <c r="C10" s="14">
        <v>10</v>
      </c>
      <c r="D10" s="64">
        <f>'41-1D'!F45</f>
        <v>0</v>
      </c>
      <c r="E10" s="99"/>
      <c r="G10" s="52"/>
    </row>
    <row r="11" spans="2:7" x14ac:dyDescent="0.35">
      <c r="B11" s="13" t="s">
        <v>182</v>
      </c>
      <c r="C11" s="14">
        <v>11</v>
      </c>
      <c r="D11" s="64">
        <f>'41-1C'!F68</f>
        <v>0</v>
      </c>
      <c r="E11" s="99"/>
    </row>
    <row r="12" spans="2:7" x14ac:dyDescent="0.35">
      <c r="B12" s="13" t="s">
        <v>183</v>
      </c>
      <c r="C12" s="14">
        <v>12</v>
      </c>
      <c r="D12" s="64">
        <f>'41-1B'!G61</f>
        <v>0</v>
      </c>
      <c r="E12" s="99"/>
    </row>
    <row r="13" spans="2:7" x14ac:dyDescent="0.35">
      <c r="B13" s="13" t="s">
        <v>192</v>
      </c>
      <c r="C13" s="14">
        <v>13</v>
      </c>
      <c r="D13" s="64">
        <f>'41-1E'!D19</f>
        <v>0</v>
      </c>
      <c r="E13" s="99"/>
    </row>
    <row r="14" spans="2:7" x14ac:dyDescent="0.35">
      <c r="D14" s="40"/>
      <c r="E14" s="99"/>
    </row>
    <row r="15" spans="2:7" x14ac:dyDescent="0.35">
      <c r="B15" s="17" t="s">
        <v>193</v>
      </c>
      <c r="C15" s="14">
        <v>19</v>
      </c>
      <c r="D15" s="64">
        <f>D13+SQRT((D10^2)+(D11^2)+(D12^2))</f>
        <v>0</v>
      </c>
      <c r="E15" s="99"/>
    </row>
    <row r="17" spans="2:3" x14ac:dyDescent="0.35">
      <c r="B17" s="87" t="s">
        <v>131</v>
      </c>
    </row>
    <row r="18" spans="2:3" ht="15" x14ac:dyDescent="0.35">
      <c r="B18" s="88" t="s">
        <v>194</v>
      </c>
      <c r="C18" s="22"/>
    </row>
    <row r="19" spans="2:3" x14ac:dyDescent="0.35">
      <c r="B19" s="22" t="s">
        <v>195</v>
      </c>
      <c r="C19" s="22"/>
    </row>
    <row r="20" spans="2:3" x14ac:dyDescent="0.35">
      <c r="B20" s="21"/>
      <c r="C20" s="22"/>
    </row>
  </sheetData>
  <mergeCells count="2">
    <mergeCell ref="B7:B8"/>
    <mergeCell ref="C7:C8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A88183-B99A-45FF-9876-D434B60CF417}">
  <sheetPr>
    <tabColor rgb="FF92D050"/>
  </sheetPr>
  <dimension ref="B2:E25"/>
  <sheetViews>
    <sheetView workbookViewId="0">
      <selection activeCell="C4" sqref="C4:C5"/>
    </sheetView>
  </sheetViews>
  <sheetFormatPr defaultColWidth="8.84375" defaultRowHeight="14.15" x14ac:dyDescent="0.35"/>
  <cols>
    <col min="1" max="1" width="2.3828125" style="2" customWidth="1"/>
    <col min="2" max="2" width="33.3828125" style="2" customWidth="1"/>
    <col min="3" max="3" width="13.84375" style="2" bestFit="1" customWidth="1"/>
    <col min="4" max="4" width="30.61328125" style="2" customWidth="1"/>
    <col min="5" max="5" width="16.3828125" style="3" bestFit="1" customWidth="1"/>
    <col min="6" max="16384" width="8.84375" style="2"/>
  </cols>
  <sheetData>
    <row r="2" spans="2:5" x14ac:dyDescent="0.35">
      <c r="B2" s="1" t="s">
        <v>196</v>
      </c>
    </row>
    <row r="3" spans="2:5" ht="15" x14ac:dyDescent="0.35">
      <c r="B3" s="1" t="s">
        <v>197</v>
      </c>
      <c r="C3" s="4"/>
    </row>
    <row r="4" spans="2:5" x14ac:dyDescent="0.35">
      <c r="B4" s="5" t="s">
        <v>2</v>
      </c>
      <c r="C4" s="6" t="str">
        <f>'41-1A'!C4</f>
        <v>NAME OF INSURER</v>
      </c>
    </row>
    <row r="5" spans="2:5" x14ac:dyDescent="0.35">
      <c r="B5" s="7" t="s">
        <v>3</v>
      </c>
      <c r="C5" s="6" t="str">
        <f>'41-1A'!C5</f>
        <v>YEAR</v>
      </c>
      <c r="D5" s="9"/>
    </row>
    <row r="6" spans="2:5" ht="14.6" thickBot="1" x14ac:dyDescent="0.4">
      <c r="B6" s="10"/>
    </row>
    <row r="7" spans="2:5" x14ac:dyDescent="0.35">
      <c r="B7" s="150" t="s">
        <v>198</v>
      </c>
      <c r="C7" s="139" t="s">
        <v>4</v>
      </c>
      <c r="D7" s="11" t="s">
        <v>5</v>
      </c>
    </row>
    <row r="8" spans="2:5" ht="14.6" thickBot="1" x14ac:dyDescent="0.4">
      <c r="B8" s="151"/>
      <c r="C8" s="140"/>
      <c r="D8" s="11" t="s">
        <v>7</v>
      </c>
    </row>
    <row r="10" spans="2:5" x14ac:dyDescent="0.35">
      <c r="B10" s="13" t="s">
        <v>8</v>
      </c>
      <c r="C10" s="14">
        <v>10</v>
      </c>
      <c r="D10" s="15">
        <f>'41-1A'!D14</f>
        <v>0</v>
      </c>
    </row>
    <row r="11" spans="2:5" x14ac:dyDescent="0.35">
      <c r="B11" s="13" t="s">
        <v>14</v>
      </c>
      <c r="C11" s="14">
        <v>11</v>
      </c>
      <c r="D11" s="15">
        <f>'41-1A'!D25</f>
        <v>0</v>
      </c>
    </row>
    <row r="12" spans="2:5" x14ac:dyDescent="0.35">
      <c r="B12" s="13" t="s">
        <v>23</v>
      </c>
      <c r="C12" s="14">
        <v>12</v>
      </c>
      <c r="D12" s="15">
        <f>'41-1A'!D35</f>
        <v>0</v>
      </c>
      <c r="E12" s="16"/>
    </row>
    <row r="13" spans="2:5" x14ac:dyDescent="0.35">
      <c r="B13" s="17" t="s">
        <v>199</v>
      </c>
      <c r="C13" s="14">
        <v>13</v>
      </c>
      <c r="D13" s="15">
        <f>D10+D11-D12</f>
        <v>0</v>
      </c>
    </row>
    <row r="15" spans="2:5" ht="15" x14ac:dyDescent="0.35">
      <c r="B15" s="13" t="s">
        <v>200</v>
      </c>
      <c r="C15" s="14">
        <v>14</v>
      </c>
      <c r="D15" s="15">
        <f>IF(D13=0,0,400000000)</f>
        <v>0</v>
      </c>
    </row>
    <row r="16" spans="2:5" ht="15" x14ac:dyDescent="0.35">
      <c r="B16" s="13" t="s">
        <v>201</v>
      </c>
      <c r="C16" s="14">
        <v>15</v>
      </c>
      <c r="D16" s="15">
        <f>0.05*SUM('41-1B'!E59+'41-1B'!D26+'41-1B'!D44+'41-1B'!K52+'41-1B'!G52)</f>
        <v>0</v>
      </c>
    </row>
    <row r="17" spans="2:5" x14ac:dyDescent="0.35">
      <c r="B17" s="13" t="s">
        <v>202</v>
      </c>
      <c r="C17" s="14">
        <v>16</v>
      </c>
      <c r="D17" s="15">
        <f>'41-1F'!D15</f>
        <v>0</v>
      </c>
      <c r="E17" s="16"/>
    </row>
    <row r="18" spans="2:5" x14ac:dyDescent="0.35">
      <c r="B18" s="17" t="s">
        <v>203</v>
      </c>
      <c r="C18" s="14">
        <v>17</v>
      </c>
      <c r="D18" s="15">
        <f>MAX(D15,D16,D17)</f>
        <v>0</v>
      </c>
      <c r="E18" s="18"/>
    </row>
    <row r="20" spans="2:5" x14ac:dyDescent="0.35">
      <c r="B20" s="17" t="s">
        <v>197</v>
      </c>
      <c r="C20" s="14">
        <v>18</v>
      </c>
      <c r="D20" s="19" t="str">
        <f>IFERROR(D13/D18,"")</f>
        <v/>
      </c>
    </row>
    <row r="22" spans="2:5" x14ac:dyDescent="0.35">
      <c r="B22" s="20"/>
    </row>
    <row r="23" spans="2:5" x14ac:dyDescent="0.35">
      <c r="B23" s="21"/>
      <c r="C23" s="22"/>
    </row>
    <row r="24" spans="2:5" x14ac:dyDescent="0.35">
      <c r="B24" s="21"/>
      <c r="C24" s="22"/>
    </row>
    <row r="25" spans="2:5" x14ac:dyDescent="0.35">
      <c r="B25" s="21"/>
      <c r="C25" s="22"/>
    </row>
  </sheetData>
  <mergeCells count="2">
    <mergeCell ref="B7:B8"/>
    <mergeCell ref="C7:C8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F9C681-37ED-4FAD-8967-2E823C652DF9}">
  <sheetPr>
    <tabColor rgb="FFC00000"/>
  </sheetPr>
  <dimension ref="C2:K47"/>
  <sheetViews>
    <sheetView showGridLines="0" workbookViewId="0">
      <selection activeCell="G15" sqref="G15"/>
    </sheetView>
  </sheetViews>
  <sheetFormatPr defaultRowHeight="14.15" x14ac:dyDescent="0.5"/>
  <cols>
    <col min="1" max="2" width="9.23046875" style="113"/>
    <col min="3" max="3" width="33.23046875" style="113" customWidth="1"/>
    <col min="4" max="5" width="20.4609375" style="113" customWidth="1"/>
    <col min="6" max="6" width="20.15234375" style="113" customWidth="1"/>
    <col min="7" max="10" width="20.4609375" style="113" customWidth="1"/>
    <col min="11" max="16384" width="9.23046875" style="113"/>
  </cols>
  <sheetData>
    <row r="2" spans="3:11" x14ac:dyDescent="0.5">
      <c r="C2" s="103" t="s">
        <v>224</v>
      </c>
      <c r="D2" s="112">
        <f>D9+H9+I9+D16+D29+E29</f>
        <v>2113480000</v>
      </c>
    </row>
    <row r="4" spans="3:11" x14ac:dyDescent="0.5">
      <c r="C4" s="101" t="s">
        <v>206</v>
      </c>
      <c r="D4" s="102"/>
      <c r="E4" s="102"/>
      <c r="F4" s="103"/>
      <c r="G4" s="101" t="s">
        <v>207</v>
      </c>
      <c r="H4" s="103"/>
      <c r="I4" s="103"/>
      <c r="J4" s="103"/>
      <c r="K4" s="103"/>
    </row>
    <row r="5" spans="3:11" x14ac:dyDescent="0.5">
      <c r="C5" s="103"/>
      <c r="D5" s="103"/>
      <c r="E5" s="103"/>
      <c r="F5" s="103"/>
      <c r="G5" s="103"/>
      <c r="H5" s="103"/>
      <c r="I5" s="103"/>
      <c r="J5" s="103"/>
      <c r="K5" s="103"/>
    </row>
    <row r="6" spans="3:11" x14ac:dyDescent="0.5">
      <c r="C6" s="104" t="s">
        <v>208</v>
      </c>
      <c r="D6" s="104" t="s">
        <v>41</v>
      </c>
      <c r="E6" s="103"/>
      <c r="F6" s="103"/>
      <c r="G6" s="103"/>
      <c r="H6" s="104" t="s">
        <v>209</v>
      </c>
      <c r="I6" s="104" t="s">
        <v>210</v>
      </c>
      <c r="J6" s="103"/>
      <c r="K6" s="103"/>
    </row>
    <row r="7" spans="3:11" x14ac:dyDescent="0.5">
      <c r="C7" s="103" t="s">
        <v>80</v>
      </c>
      <c r="D7" s="105">
        <v>350000000</v>
      </c>
      <c r="E7" s="103"/>
      <c r="F7" s="103"/>
      <c r="G7" s="103" t="s">
        <v>80</v>
      </c>
      <c r="H7" s="106">
        <v>400000000</v>
      </c>
      <c r="I7" s="106">
        <v>12000000</v>
      </c>
      <c r="J7" s="103"/>
      <c r="K7" s="103"/>
    </row>
    <row r="8" spans="3:11" x14ac:dyDescent="0.5">
      <c r="C8" s="103" t="s">
        <v>81</v>
      </c>
      <c r="D8" s="105">
        <v>200000000</v>
      </c>
      <c r="E8" s="103"/>
      <c r="F8" s="103"/>
      <c r="G8" s="103" t="s">
        <v>81</v>
      </c>
      <c r="H8" s="106">
        <v>310000000</v>
      </c>
      <c r="I8" s="106">
        <v>5500000</v>
      </c>
      <c r="J8" s="103"/>
      <c r="K8" s="103"/>
    </row>
    <row r="9" spans="3:11" x14ac:dyDescent="0.5">
      <c r="C9" s="107" t="s">
        <v>211</v>
      </c>
      <c r="D9" s="108">
        <f>SUM(D7:D8)</f>
        <v>550000000</v>
      </c>
      <c r="E9" s="103"/>
      <c r="F9" s="103"/>
      <c r="G9" s="103"/>
      <c r="H9" s="105">
        <f>SUM(H7:H8)</f>
        <v>710000000</v>
      </c>
      <c r="I9" s="105">
        <f>SUM(I7:I8)</f>
        <v>17500000</v>
      </c>
      <c r="J9" s="103"/>
      <c r="K9" s="103"/>
    </row>
    <row r="10" spans="3:11" x14ac:dyDescent="0.5">
      <c r="C10" s="103"/>
      <c r="D10" s="103"/>
      <c r="E10" s="103"/>
      <c r="F10" s="103"/>
      <c r="G10" s="103"/>
      <c r="H10" s="103"/>
      <c r="I10" s="103"/>
      <c r="J10" s="103"/>
      <c r="K10" s="103"/>
    </row>
    <row r="11" spans="3:11" x14ac:dyDescent="0.5">
      <c r="C11" s="109"/>
      <c r="D11" s="109"/>
      <c r="E11" s="109"/>
      <c r="F11" s="109"/>
      <c r="G11" s="109"/>
      <c r="H11" s="109"/>
      <c r="I11" s="109"/>
      <c r="J11" s="109"/>
      <c r="K11" s="103"/>
    </row>
    <row r="12" spans="3:11" x14ac:dyDescent="0.5">
      <c r="C12" s="104" t="s">
        <v>212</v>
      </c>
      <c r="D12" s="103"/>
      <c r="E12" s="103"/>
      <c r="F12" s="103"/>
      <c r="G12" s="103"/>
      <c r="H12" s="103"/>
      <c r="I12" s="103"/>
      <c r="J12" s="103"/>
      <c r="K12" s="103"/>
    </row>
    <row r="13" spans="3:11" x14ac:dyDescent="0.5">
      <c r="C13" s="104"/>
      <c r="D13" s="104" t="s">
        <v>82</v>
      </c>
      <c r="E13" s="103"/>
      <c r="F13" s="103"/>
      <c r="G13" s="103"/>
      <c r="H13" s="103"/>
      <c r="I13" s="103"/>
      <c r="J13" s="103"/>
      <c r="K13" s="103"/>
    </row>
    <row r="14" spans="3:11" x14ac:dyDescent="0.5">
      <c r="C14" s="103" t="s">
        <v>86</v>
      </c>
      <c r="D14" s="106">
        <v>550000000</v>
      </c>
      <c r="E14" s="103"/>
      <c r="F14" s="103"/>
      <c r="G14" s="103"/>
      <c r="H14" s="103"/>
      <c r="I14" s="103"/>
      <c r="J14" s="103"/>
      <c r="K14" s="103"/>
    </row>
    <row r="15" spans="3:11" x14ac:dyDescent="0.5">
      <c r="C15" s="103" t="s">
        <v>213</v>
      </c>
      <c r="D15" s="106">
        <v>120000000</v>
      </c>
      <c r="E15" s="103"/>
      <c r="F15" s="103"/>
      <c r="G15" s="103"/>
      <c r="H15" s="103"/>
      <c r="I15" s="103"/>
      <c r="J15" s="103"/>
      <c r="K15" s="103"/>
    </row>
    <row r="16" spans="3:11" x14ac:dyDescent="0.5">
      <c r="C16" s="107" t="s">
        <v>214</v>
      </c>
      <c r="D16" s="108">
        <f>SUM(D14:D15)</f>
        <v>670000000</v>
      </c>
      <c r="E16" s="103"/>
      <c r="F16" s="103"/>
      <c r="G16" s="103"/>
      <c r="H16" s="103"/>
      <c r="I16" s="103"/>
      <c r="J16" s="103"/>
      <c r="K16" s="103"/>
    </row>
    <row r="17" spans="3:11" x14ac:dyDescent="0.5">
      <c r="C17" s="103"/>
      <c r="D17" s="103"/>
      <c r="E17" s="103"/>
      <c r="F17" s="103"/>
      <c r="G17" s="103"/>
      <c r="H17" s="103"/>
      <c r="I17" s="103"/>
      <c r="J17" s="103"/>
      <c r="K17" s="103"/>
    </row>
    <row r="18" spans="3:11" x14ac:dyDescent="0.5">
      <c r="C18" s="103"/>
      <c r="D18" s="103"/>
      <c r="E18" s="103"/>
      <c r="F18" s="103"/>
      <c r="G18" s="103"/>
      <c r="H18" s="103"/>
      <c r="I18" s="103"/>
      <c r="J18" s="103"/>
      <c r="K18" s="103"/>
    </row>
    <row r="19" spans="3:11" x14ac:dyDescent="0.5">
      <c r="C19" s="103"/>
      <c r="D19" s="103"/>
      <c r="E19" s="103"/>
      <c r="F19" s="103"/>
      <c r="G19" s="103"/>
      <c r="H19" s="103"/>
      <c r="I19" s="103"/>
      <c r="J19" s="103"/>
      <c r="K19" s="103"/>
    </row>
    <row r="20" spans="3:11" x14ac:dyDescent="0.5">
      <c r="C20" s="109"/>
      <c r="D20" s="109"/>
      <c r="E20" s="109"/>
      <c r="F20" s="109"/>
      <c r="G20" s="109"/>
      <c r="H20" s="109"/>
      <c r="I20" s="109"/>
      <c r="J20" s="109"/>
      <c r="K20" s="103"/>
    </row>
    <row r="21" spans="3:11" x14ac:dyDescent="0.5">
      <c r="C21" s="104" t="s">
        <v>215</v>
      </c>
      <c r="D21" s="103"/>
      <c r="E21" s="103"/>
      <c r="F21" s="103"/>
      <c r="G21" s="103"/>
      <c r="H21" s="103"/>
      <c r="I21" s="103"/>
      <c r="J21" s="103"/>
      <c r="K21" s="103"/>
    </row>
    <row r="22" spans="3:11" x14ac:dyDescent="0.5">
      <c r="C22" s="103"/>
      <c r="D22" s="104" t="s">
        <v>209</v>
      </c>
      <c r="E22" s="104" t="s">
        <v>210</v>
      </c>
      <c r="F22" s="103"/>
      <c r="G22" s="103"/>
      <c r="H22" s="103"/>
      <c r="I22" s="103"/>
      <c r="J22" s="103"/>
      <c r="K22" s="103"/>
    </row>
    <row r="23" spans="3:11" x14ac:dyDescent="0.5">
      <c r="C23" s="103" t="s">
        <v>216</v>
      </c>
      <c r="D23" s="106">
        <v>50000000</v>
      </c>
      <c r="E23" s="106">
        <v>6500000</v>
      </c>
      <c r="F23" s="103"/>
      <c r="G23" s="103"/>
      <c r="H23" s="103"/>
      <c r="I23" s="103"/>
      <c r="J23" s="103"/>
      <c r="K23" s="103"/>
    </row>
    <row r="24" spans="3:11" x14ac:dyDescent="0.5">
      <c r="C24" s="103" t="s">
        <v>217</v>
      </c>
      <c r="D24" s="106">
        <v>20000000</v>
      </c>
      <c r="E24" s="106">
        <v>3400000</v>
      </c>
      <c r="F24" s="103"/>
      <c r="G24" s="103"/>
      <c r="H24" s="103"/>
      <c r="I24" s="103"/>
      <c r="J24" s="103"/>
      <c r="K24" s="103"/>
    </row>
    <row r="25" spans="3:11" x14ac:dyDescent="0.5">
      <c r="C25" s="103" t="s">
        <v>218</v>
      </c>
      <c r="D25" s="106">
        <v>14000000</v>
      </c>
      <c r="E25" s="106">
        <v>1000000</v>
      </c>
      <c r="F25" s="103"/>
      <c r="G25" s="103"/>
      <c r="H25" s="103"/>
      <c r="I25" s="103"/>
      <c r="J25" s="103"/>
      <c r="K25" s="103"/>
    </row>
    <row r="26" spans="3:11" x14ac:dyDescent="0.5">
      <c r="C26" s="103" t="s">
        <v>219</v>
      </c>
      <c r="D26" s="106">
        <v>33000000</v>
      </c>
      <c r="E26" s="106">
        <v>1250000</v>
      </c>
      <c r="F26" s="103"/>
      <c r="G26" s="103"/>
      <c r="H26" s="103"/>
      <c r="I26" s="103"/>
      <c r="J26" s="103"/>
      <c r="K26" s="103"/>
    </row>
    <row r="27" spans="3:11" x14ac:dyDescent="0.5">
      <c r="C27" s="103" t="s">
        <v>220</v>
      </c>
      <c r="D27" s="106">
        <v>17000000</v>
      </c>
      <c r="E27" s="106">
        <v>2000000</v>
      </c>
      <c r="F27" s="103"/>
      <c r="G27" s="103"/>
      <c r="H27" s="103"/>
      <c r="I27" s="103"/>
      <c r="J27" s="103"/>
      <c r="K27" s="103"/>
    </row>
    <row r="28" spans="3:11" x14ac:dyDescent="0.5">
      <c r="C28" s="103" t="s">
        <v>221</v>
      </c>
      <c r="D28" s="106">
        <v>16500000</v>
      </c>
      <c r="E28" s="106">
        <v>1330000</v>
      </c>
      <c r="F28" s="103"/>
      <c r="G28" s="103"/>
      <c r="H28" s="103"/>
      <c r="I28" s="103"/>
      <c r="J28" s="103"/>
      <c r="K28" s="103"/>
    </row>
    <row r="29" spans="3:11" x14ac:dyDescent="0.5">
      <c r="C29" s="103"/>
      <c r="D29" s="110">
        <f>SUM(D23:D28)</f>
        <v>150500000</v>
      </c>
      <c r="E29" s="110">
        <f>SUM(E23:E28)</f>
        <v>15480000</v>
      </c>
      <c r="F29" s="103"/>
      <c r="G29" s="103"/>
      <c r="H29" s="103"/>
      <c r="I29" s="103"/>
      <c r="J29" s="103"/>
      <c r="K29" s="103"/>
    </row>
    <row r="30" spans="3:11" x14ac:dyDescent="0.5">
      <c r="C30" s="103"/>
      <c r="D30" s="110"/>
      <c r="E30" s="110"/>
      <c r="F30" s="103"/>
      <c r="G30" s="103"/>
      <c r="H30" s="103"/>
      <c r="I30" s="103"/>
      <c r="J30" s="103"/>
      <c r="K30" s="103"/>
    </row>
    <row r="31" spans="3:11" x14ac:dyDescent="0.5">
      <c r="C31" s="114" t="s">
        <v>222</v>
      </c>
      <c r="D31" s="103"/>
      <c r="E31" s="103"/>
      <c r="F31" s="103"/>
      <c r="G31" s="103"/>
      <c r="H31" s="114" t="s">
        <v>223</v>
      </c>
      <c r="I31" s="103"/>
      <c r="J31" s="103"/>
      <c r="K31" s="103"/>
    </row>
    <row r="32" spans="3:11" x14ac:dyDescent="0.5">
      <c r="C32" s="111" t="s">
        <v>58</v>
      </c>
      <c r="D32" s="103"/>
      <c r="E32" s="103"/>
      <c r="F32" s="103"/>
      <c r="G32" s="103"/>
      <c r="H32" s="111" t="s">
        <v>58</v>
      </c>
      <c r="I32" s="103"/>
      <c r="J32" s="103"/>
      <c r="K32" s="103"/>
    </row>
    <row r="33" spans="3:11" x14ac:dyDescent="0.5">
      <c r="C33" s="103" t="s">
        <v>59</v>
      </c>
      <c r="D33" s="112">
        <v>10500000</v>
      </c>
      <c r="E33" s="106">
        <v>500000</v>
      </c>
      <c r="F33" s="103"/>
      <c r="G33" s="103"/>
      <c r="H33" s="103" t="s">
        <v>59</v>
      </c>
      <c r="I33" s="112">
        <v>15000000</v>
      </c>
      <c r="J33" s="106">
        <v>750000</v>
      </c>
      <c r="K33" s="103"/>
    </row>
    <row r="34" spans="3:11" x14ac:dyDescent="0.5">
      <c r="C34" s="103" t="s">
        <v>60</v>
      </c>
      <c r="D34" s="112">
        <v>15000000</v>
      </c>
      <c r="E34" s="106">
        <v>1500000</v>
      </c>
      <c r="F34" s="103"/>
      <c r="G34" s="103"/>
      <c r="H34" s="103" t="s">
        <v>60</v>
      </c>
      <c r="I34" s="112">
        <v>7500000</v>
      </c>
      <c r="J34" s="106">
        <v>250000</v>
      </c>
      <c r="K34" s="103"/>
    </row>
    <row r="35" spans="3:11" x14ac:dyDescent="0.5">
      <c r="C35" s="103" t="s">
        <v>61</v>
      </c>
      <c r="D35" s="112">
        <v>17500000</v>
      </c>
      <c r="E35" s="106">
        <v>4000000</v>
      </c>
      <c r="F35" s="103"/>
      <c r="G35" s="103"/>
      <c r="H35" s="103" t="s">
        <v>61</v>
      </c>
      <c r="I35" s="112">
        <v>7500000</v>
      </c>
      <c r="J35" s="106">
        <v>250000</v>
      </c>
      <c r="K35" s="103"/>
    </row>
    <row r="36" spans="3:11" x14ac:dyDescent="0.5">
      <c r="C36" s="103" t="s">
        <v>62</v>
      </c>
      <c r="D36" s="103"/>
      <c r="E36" s="106"/>
      <c r="F36" s="103"/>
      <c r="G36" s="103"/>
      <c r="H36" s="103" t="s">
        <v>62</v>
      </c>
      <c r="I36" s="103"/>
      <c r="J36" s="106"/>
      <c r="K36" s="103"/>
    </row>
    <row r="37" spans="3:11" x14ac:dyDescent="0.5">
      <c r="C37" s="103" t="s">
        <v>63</v>
      </c>
      <c r="D37" s="112">
        <v>7000000</v>
      </c>
      <c r="E37" s="106">
        <v>500000</v>
      </c>
      <c r="F37" s="103"/>
      <c r="G37" s="103"/>
      <c r="H37" s="103" t="s">
        <v>63</v>
      </c>
      <c r="I37" s="112"/>
      <c r="J37" s="106"/>
      <c r="K37" s="103"/>
    </row>
    <row r="38" spans="3:11" x14ac:dyDescent="0.5">
      <c r="C38" s="111" t="s">
        <v>64</v>
      </c>
      <c r="D38" s="103"/>
      <c r="E38" s="103"/>
      <c r="F38" s="103"/>
      <c r="G38" s="103"/>
      <c r="H38" s="111" t="s">
        <v>64</v>
      </c>
      <c r="I38" s="103"/>
      <c r="J38" s="103"/>
      <c r="K38" s="103"/>
    </row>
    <row r="39" spans="3:11" x14ac:dyDescent="0.5">
      <c r="C39" s="103" t="s">
        <v>65</v>
      </c>
      <c r="D39" s="103"/>
      <c r="E39" s="103"/>
      <c r="F39" s="103"/>
      <c r="G39" s="103"/>
      <c r="H39" s="103" t="s">
        <v>65</v>
      </c>
      <c r="I39" s="106">
        <v>10000000</v>
      </c>
      <c r="J39" s="106">
        <v>1500000</v>
      </c>
      <c r="K39" s="103"/>
    </row>
    <row r="40" spans="3:11" x14ac:dyDescent="0.5">
      <c r="C40" s="103" t="s">
        <v>66</v>
      </c>
      <c r="D40" s="106">
        <v>20000000</v>
      </c>
      <c r="E40" s="106">
        <v>3000000</v>
      </c>
      <c r="F40" s="103"/>
      <c r="G40" s="103"/>
      <c r="H40" s="103" t="s">
        <v>66</v>
      </c>
      <c r="I40" s="106">
        <v>7000000</v>
      </c>
      <c r="J40" s="106">
        <v>500000</v>
      </c>
      <c r="K40" s="103"/>
    </row>
    <row r="41" spans="3:11" x14ac:dyDescent="0.5">
      <c r="C41" s="103" t="s">
        <v>63</v>
      </c>
      <c r="D41" s="106">
        <v>3000000</v>
      </c>
      <c r="E41" s="106">
        <v>400000</v>
      </c>
      <c r="F41" s="103"/>
      <c r="G41" s="103"/>
      <c r="H41" s="103" t="s">
        <v>63</v>
      </c>
      <c r="I41" s="106"/>
      <c r="J41" s="106"/>
      <c r="K41" s="103"/>
    </row>
    <row r="42" spans="3:11" x14ac:dyDescent="0.5">
      <c r="C42" s="111" t="s">
        <v>67</v>
      </c>
      <c r="D42" s="103"/>
      <c r="E42" s="103"/>
      <c r="F42" s="103"/>
      <c r="G42" s="103"/>
      <c r="H42" s="111" t="s">
        <v>67</v>
      </c>
      <c r="I42" s="103"/>
      <c r="J42" s="103"/>
      <c r="K42" s="103"/>
    </row>
    <row r="43" spans="3:11" x14ac:dyDescent="0.5">
      <c r="C43" s="103" t="s">
        <v>59</v>
      </c>
      <c r="D43" s="103"/>
      <c r="E43" s="103"/>
      <c r="F43" s="103"/>
      <c r="G43" s="103"/>
      <c r="H43" s="103" t="s">
        <v>59</v>
      </c>
      <c r="I43" s="103"/>
      <c r="J43" s="103"/>
      <c r="K43" s="103"/>
    </row>
    <row r="44" spans="3:11" x14ac:dyDescent="0.5">
      <c r="C44" s="103" t="s">
        <v>60</v>
      </c>
      <c r="D44" s="106">
        <v>14000000</v>
      </c>
      <c r="E44" s="106">
        <v>1000000</v>
      </c>
      <c r="F44" s="103"/>
      <c r="G44" s="103"/>
      <c r="H44" s="103" t="s">
        <v>60</v>
      </c>
      <c r="I44" s="106">
        <v>15000000</v>
      </c>
      <c r="J44" s="106">
        <v>1000000</v>
      </c>
      <c r="K44" s="103"/>
    </row>
    <row r="45" spans="3:11" x14ac:dyDescent="0.5">
      <c r="C45" s="103" t="s">
        <v>61</v>
      </c>
      <c r="D45" s="103"/>
      <c r="E45" s="103"/>
      <c r="F45" s="103"/>
      <c r="G45" s="103"/>
      <c r="H45" s="103" t="s">
        <v>61</v>
      </c>
      <c r="I45" s="106">
        <v>1500000</v>
      </c>
      <c r="J45" s="106">
        <v>330000</v>
      </c>
      <c r="K45" s="103"/>
    </row>
    <row r="46" spans="3:11" x14ac:dyDescent="0.5">
      <c r="C46" s="103" t="s">
        <v>62</v>
      </c>
      <c r="D46" s="103"/>
      <c r="E46" s="103"/>
      <c r="F46" s="103"/>
      <c r="G46" s="103"/>
      <c r="H46" s="103" t="s">
        <v>62</v>
      </c>
      <c r="I46" s="103"/>
      <c r="J46" s="103"/>
      <c r="K46" s="103"/>
    </row>
    <row r="47" spans="3:11" x14ac:dyDescent="0.5">
      <c r="C47" s="103"/>
      <c r="D47" s="112">
        <f>SUM(D33:D46)</f>
        <v>87000000</v>
      </c>
      <c r="E47" s="112">
        <f>SUM(E33:E46)</f>
        <v>10900000</v>
      </c>
      <c r="F47" s="103"/>
      <c r="G47" s="103"/>
      <c r="H47" s="103"/>
      <c r="I47" s="112">
        <f>SUM(I33:I46)</f>
        <v>63500000</v>
      </c>
      <c r="J47" s="112">
        <f>SUM(J33:J46)</f>
        <v>4580000</v>
      </c>
      <c r="K47" s="10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1BECA-C815-4F4F-BC93-629753264C04}">
  <dimension ref="B2:J533"/>
  <sheetViews>
    <sheetView showGridLines="0" tabSelected="1" zoomScale="70" zoomScaleNormal="70" workbookViewId="0">
      <selection activeCell="H36" sqref="H36"/>
    </sheetView>
  </sheetViews>
  <sheetFormatPr defaultColWidth="8.69140625" defaultRowHeight="14.15" x14ac:dyDescent="0.5"/>
  <cols>
    <col min="1" max="1" width="8.69140625" style="113"/>
    <col min="2" max="2" width="4.4609375" style="113" customWidth="1"/>
    <col min="3" max="3" width="38.69140625" style="113" bestFit="1" customWidth="1"/>
    <col min="4" max="10" width="30.61328125" style="113" customWidth="1"/>
    <col min="11" max="16384" width="8.69140625" style="113"/>
  </cols>
  <sheetData>
    <row r="2" spans="2:10" x14ac:dyDescent="0.5">
      <c r="B2" s="115" t="s">
        <v>225</v>
      </c>
    </row>
    <row r="3" spans="2:10" x14ac:dyDescent="0.5">
      <c r="B3" s="115" t="s">
        <v>226</v>
      </c>
    </row>
    <row r="5" spans="2:10" x14ac:dyDescent="0.5">
      <c r="B5" s="116"/>
      <c r="C5" s="117" t="s">
        <v>227</v>
      </c>
      <c r="D5" s="118" t="str">
        <f>IF(Life_name="","",Life_name)</f>
        <v>XYZ Life Asssurance Limited</v>
      </c>
      <c r="G5" s="120"/>
      <c r="H5" s="120"/>
      <c r="I5" s="120"/>
      <c r="J5" s="121"/>
    </row>
    <row r="6" spans="2:10" x14ac:dyDescent="0.5">
      <c r="B6" s="122"/>
      <c r="C6" s="117" t="s">
        <v>228</v>
      </c>
      <c r="D6" s="118">
        <f>IF(Life_year="","",Life_year)</f>
        <v>2023</v>
      </c>
      <c r="J6" s="123"/>
    </row>
    <row r="7" spans="2:10" x14ac:dyDescent="0.5">
      <c r="B7" s="122"/>
      <c r="J7" s="123"/>
    </row>
    <row r="8" spans="2:10" x14ac:dyDescent="0.5">
      <c r="B8" s="157" t="s">
        <v>229</v>
      </c>
      <c r="C8" s="158"/>
      <c r="D8" s="124">
        <f>SUM(D14:D17)</f>
        <v>159000000</v>
      </c>
      <c r="E8" s="124">
        <f t="shared" ref="E8:G8" si="0">SUM(E14:E17)</f>
        <v>15700000</v>
      </c>
      <c r="F8" s="124">
        <f t="shared" si="0"/>
        <v>7000000</v>
      </c>
      <c r="G8" s="124">
        <f t="shared" si="0"/>
        <v>18500000</v>
      </c>
      <c r="H8" s="124">
        <f>SUM(H14:H17)</f>
        <v>6500000</v>
      </c>
      <c r="I8" s="124">
        <f>SUM(I14:I17)</f>
        <v>201700000</v>
      </c>
      <c r="J8" s="124">
        <f>SUM(J14:J17)</f>
        <v>195200000</v>
      </c>
    </row>
    <row r="9" spans="2:10" x14ac:dyDescent="0.5">
      <c r="B9" s="159" t="s">
        <v>230</v>
      </c>
      <c r="C9" s="159"/>
      <c r="D9" s="159"/>
      <c r="E9" s="159"/>
      <c r="F9" s="159"/>
      <c r="G9" s="159"/>
      <c r="H9" s="160"/>
      <c r="I9" s="159"/>
      <c r="J9" s="159"/>
    </row>
    <row r="10" spans="2:10" x14ac:dyDescent="0.5">
      <c r="B10" s="152" t="s">
        <v>231</v>
      </c>
      <c r="C10" s="125"/>
      <c r="D10" s="155" t="s">
        <v>232</v>
      </c>
      <c r="E10" s="155"/>
      <c r="F10" s="155"/>
      <c r="G10" s="156"/>
      <c r="H10" s="125" t="s">
        <v>233</v>
      </c>
      <c r="I10" s="125" t="s">
        <v>68</v>
      </c>
      <c r="J10" s="125" t="s">
        <v>234</v>
      </c>
    </row>
    <row r="11" spans="2:10" x14ac:dyDescent="0.5">
      <c r="B11" s="153"/>
      <c r="C11" s="125" t="s">
        <v>235</v>
      </c>
      <c r="D11" s="125" t="s">
        <v>236</v>
      </c>
      <c r="E11" s="125" t="s">
        <v>237</v>
      </c>
      <c r="F11" s="125"/>
      <c r="G11" s="126" t="s">
        <v>238</v>
      </c>
      <c r="H11" s="127" t="s">
        <v>239</v>
      </c>
      <c r="I11" s="127" t="s">
        <v>240</v>
      </c>
      <c r="J11" s="127" t="s">
        <v>241</v>
      </c>
    </row>
    <row r="12" spans="2:10" x14ac:dyDescent="0.5">
      <c r="B12" s="153"/>
      <c r="C12" s="128"/>
      <c r="D12" s="128" t="s">
        <v>237</v>
      </c>
      <c r="E12" s="128" t="s">
        <v>242</v>
      </c>
      <c r="F12" s="128" t="s">
        <v>243</v>
      </c>
      <c r="G12" s="129" t="s">
        <v>244</v>
      </c>
      <c r="H12" s="128" t="s">
        <v>245</v>
      </c>
      <c r="I12" s="128" t="s">
        <v>241</v>
      </c>
      <c r="J12" s="128"/>
    </row>
    <row r="13" spans="2:10" x14ac:dyDescent="0.5">
      <c r="B13" s="154"/>
      <c r="C13" s="128" t="s">
        <v>246</v>
      </c>
      <c r="D13" s="117" t="s">
        <v>247</v>
      </c>
      <c r="E13" s="117" t="s">
        <v>248</v>
      </c>
      <c r="F13" s="117" t="s">
        <v>249</v>
      </c>
      <c r="G13" s="117" t="s">
        <v>250</v>
      </c>
      <c r="H13" s="128" t="s">
        <v>251</v>
      </c>
      <c r="I13" s="117" t="s">
        <v>252</v>
      </c>
      <c r="J13" s="117" t="s">
        <v>253</v>
      </c>
    </row>
    <row r="14" spans="2:10" x14ac:dyDescent="0.5">
      <c r="B14" s="130">
        <v>1</v>
      </c>
      <c r="C14" s="130" t="s">
        <v>254</v>
      </c>
      <c r="D14" s="131">
        <v>150000000</v>
      </c>
      <c r="E14" s="131">
        <v>15500000</v>
      </c>
      <c r="F14" s="131">
        <v>7000000</v>
      </c>
      <c r="G14" s="131">
        <v>12000000</v>
      </c>
      <c r="H14" s="131">
        <v>5000000</v>
      </c>
      <c r="I14" s="132">
        <f>SUM(D14:G14)</f>
        <v>184500000</v>
      </c>
      <c r="J14" s="132">
        <f>I14-H14</f>
        <v>179500000</v>
      </c>
    </row>
    <row r="15" spans="2:10" x14ac:dyDescent="0.5">
      <c r="B15" s="130">
        <f>B14+1</f>
        <v>2</v>
      </c>
      <c r="C15" s="130" t="s">
        <v>255</v>
      </c>
      <c r="D15" s="131">
        <v>8000000</v>
      </c>
      <c r="E15" s="131">
        <v>200000</v>
      </c>
      <c r="F15" s="131"/>
      <c r="G15" s="131">
        <v>6500000</v>
      </c>
      <c r="H15" s="131">
        <v>1500000</v>
      </c>
      <c r="I15" s="132">
        <f>SUM(D15:H15)</f>
        <v>16200000</v>
      </c>
      <c r="J15" s="132">
        <f>I15-H15</f>
        <v>14700000</v>
      </c>
    </row>
    <row r="16" spans="2:10" x14ac:dyDescent="0.5">
      <c r="B16" s="130">
        <v>3</v>
      </c>
      <c r="C16" s="130" t="s">
        <v>256</v>
      </c>
      <c r="D16" s="131">
        <v>1000000</v>
      </c>
      <c r="E16" s="131"/>
      <c r="F16" s="131">
        <v>0</v>
      </c>
      <c r="G16" s="131">
        <v>0</v>
      </c>
      <c r="H16" s="131"/>
      <c r="I16" s="132">
        <f>SUM(D16:G16)</f>
        <v>1000000</v>
      </c>
      <c r="J16" s="132">
        <f>I16-H16</f>
        <v>1000000</v>
      </c>
    </row>
    <row r="17" spans="2:10" x14ac:dyDescent="0.5">
      <c r="B17" s="130"/>
      <c r="C17" s="133" t="s">
        <v>257</v>
      </c>
      <c r="D17" s="134">
        <f>SUM(D18:D27)</f>
        <v>0</v>
      </c>
      <c r="E17" s="134">
        <f>SUM(E18:E27)</f>
        <v>0</v>
      </c>
      <c r="F17" s="134">
        <f>SUM(F18:F27)</f>
        <v>0</v>
      </c>
      <c r="G17" s="134">
        <f>SUM(G18:G27)</f>
        <v>0</v>
      </c>
      <c r="H17" s="134">
        <f>SUM(H18:H27)</f>
        <v>0</v>
      </c>
      <c r="I17" s="134">
        <f>SUM(D17:G17)</f>
        <v>0</v>
      </c>
      <c r="J17" s="134">
        <f>I17-H17</f>
        <v>0</v>
      </c>
    </row>
    <row r="18" spans="2:10" x14ac:dyDescent="0.5">
      <c r="B18" s="130">
        <v>1</v>
      </c>
      <c r="C18" s="130"/>
      <c r="D18" s="131"/>
      <c r="E18" s="131"/>
      <c r="F18" s="131"/>
      <c r="G18" s="131"/>
      <c r="H18" s="131"/>
      <c r="I18" s="132">
        <f t="shared" ref="I18:I27" si="1">SUM(D18:G18)</f>
        <v>0</v>
      </c>
      <c r="J18" s="132">
        <f t="shared" ref="J18:J27" si="2">I18-H18</f>
        <v>0</v>
      </c>
    </row>
    <row r="19" spans="2:10" x14ac:dyDescent="0.5">
      <c r="B19" s="130">
        <v>2</v>
      </c>
      <c r="C19" s="130"/>
      <c r="D19" s="131"/>
      <c r="E19" s="131"/>
      <c r="F19" s="131"/>
      <c r="G19" s="131"/>
      <c r="H19" s="131"/>
      <c r="I19" s="132">
        <f t="shared" si="1"/>
        <v>0</v>
      </c>
      <c r="J19" s="132">
        <f t="shared" si="2"/>
        <v>0</v>
      </c>
    </row>
    <row r="20" spans="2:10" x14ac:dyDescent="0.5">
      <c r="B20" s="130">
        <v>3</v>
      </c>
      <c r="C20" s="130"/>
      <c r="D20" s="131"/>
      <c r="E20" s="131"/>
      <c r="F20" s="131"/>
      <c r="G20" s="131"/>
      <c r="H20" s="131"/>
      <c r="I20" s="132">
        <f t="shared" si="1"/>
        <v>0</v>
      </c>
      <c r="J20" s="132">
        <f t="shared" si="2"/>
        <v>0</v>
      </c>
    </row>
    <row r="21" spans="2:10" x14ac:dyDescent="0.5">
      <c r="B21" s="130">
        <v>4</v>
      </c>
      <c r="C21" s="130"/>
      <c r="D21" s="131"/>
      <c r="E21" s="131"/>
      <c r="F21" s="131"/>
      <c r="G21" s="131"/>
      <c r="H21" s="131"/>
      <c r="I21" s="132">
        <f t="shared" si="1"/>
        <v>0</v>
      </c>
      <c r="J21" s="132">
        <f t="shared" si="2"/>
        <v>0</v>
      </c>
    </row>
    <row r="22" spans="2:10" x14ac:dyDescent="0.5">
      <c r="B22" s="130">
        <v>5</v>
      </c>
      <c r="C22" s="130"/>
      <c r="D22" s="131"/>
      <c r="E22" s="131"/>
      <c r="F22" s="131"/>
      <c r="G22" s="131"/>
      <c r="H22" s="131"/>
      <c r="I22" s="132">
        <f t="shared" si="1"/>
        <v>0</v>
      </c>
      <c r="J22" s="132">
        <f t="shared" si="2"/>
        <v>0</v>
      </c>
    </row>
    <row r="23" spans="2:10" x14ac:dyDescent="0.5">
      <c r="B23" s="130">
        <v>6</v>
      </c>
      <c r="C23" s="130"/>
      <c r="D23" s="131"/>
      <c r="E23" s="131"/>
      <c r="F23" s="131"/>
      <c r="G23" s="131"/>
      <c r="H23" s="131"/>
      <c r="I23" s="132">
        <f t="shared" si="1"/>
        <v>0</v>
      </c>
      <c r="J23" s="132">
        <f t="shared" si="2"/>
        <v>0</v>
      </c>
    </row>
    <row r="24" spans="2:10" x14ac:dyDescent="0.5">
      <c r="B24" s="130">
        <v>7</v>
      </c>
      <c r="C24" s="130"/>
      <c r="D24" s="131"/>
      <c r="E24" s="131"/>
      <c r="F24" s="131"/>
      <c r="G24" s="131"/>
      <c r="H24" s="131"/>
      <c r="I24" s="132">
        <f t="shared" si="1"/>
        <v>0</v>
      </c>
      <c r="J24" s="132">
        <f t="shared" si="2"/>
        <v>0</v>
      </c>
    </row>
    <row r="25" spans="2:10" x14ac:dyDescent="0.5">
      <c r="B25" s="130">
        <v>8</v>
      </c>
      <c r="C25" s="130"/>
      <c r="D25" s="131"/>
      <c r="E25" s="131"/>
      <c r="F25" s="131"/>
      <c r="G25" s="131"/>
      <c r="H25" s="131"/>
      <c r="I25" s="132">
        <f t="shared" si="1"/>
        <v>0</v>
      </c>
      <c r="J25" s="132">
        <f t="shared" si="2"/>
        <v>0</v>
      </c>
    </row>
    <row r="26" spans="2:10" x14ac:dyDescent="0.5">
      <c r="B26" s="130">
        <v>9</v>
      </c>
      <c r="C26" s="130"/>
      <c r="D26" s="131"/>
      <c r="E26" s="131"/>
      <c r="F26" s="131"/>
      <c r="G26" s="131"/>
      <c r="H26" s="131"/>
      <c r="I26" s="132">
        <f>SUM(D26:G26)</f>
        <v>0</v>
      </c>
      <c r="J26" s="132">
        <f>I26-H26</f>
        <v>0</v>
      </c>
    </row>
    <row r="27" spans="2:10" x14ac:dyDescent="0.5">
      <c r="B27" s="130">
        <v>10</v>
      </c>
      <c r="C27" s="130"/>
      <c r="D27" s="131"/>
      <c r="E27" s="131"/>
      <c r="F27" s="131"/>
      <c r="G27" s="131"/>
      <c r="H27" s="131"/>
      <c r="I27" s="132">
        <f t="shared" si="1"/>
        <v>0</v>
      </c>
      <c r="J27" s="132">
        <f t="shared" si="2"/>
        <v>0</v>
      </c>
    </row>
    <row r="28" spans="2:10" s="135" customFormat="1" x14ac:dyDescent="0.5">
      <c r="B28" s="161" t="s">
        <v>229</v>
      </c>
      <c r="C28" s="161"/>
      <c r="D28" s="124">
        <f t="shared" ref="D28:J28" si="3">SUM(D34:D1048576)</f>
        <v>15500000</v>
      </c>
      <c r="E28" s="124">
        <f t="shared" si="3"/>
        <v>22055000</v>
      </c>
      <c r="F28" s="124">
        <f t="shared" si="3"/>
        <v>12235000</v>
      </c>
      <c r="G28" s="124">
        <f t="shared" si="3"/>
        <v>40100000</v>
      </c>
      <c r="H28" s="124">
        <f t="shared" si="3"/>
        <v>20180000</v>
      </c>
      <c r="I28" s="124">
        <f t="shared" si="3"/>
        <v>89990000</v>
      </c>
      <c r="J28" s="124">
        <f t="shared" si="3"/>
        <v>69810000</v>
      </c>
    </row>
    <row r="29" spans="2:10" x14ac:dyDescent="0.5">
      <c r="B29" s="159" t="s">
        <v>258</v>
      </c>
      <c r="C29" s="159"/>
      <c r="D29" s="159"/>
      <c r="E29" s="159"/>
      <c r="F29" s="159"/>
      <c r="G29" s="159"/>
      <c r="H29" s="159"/>
      <c r="I29" s="159"/>
      <c r="J29" s="159"/>
    </row>
    <row r="30" spans="2:10" x14ac:dyDescent="0.5">
      <c r="B30" s="152" t="s">
        <v>231</v>
      </c>
      <c r="C30" s="125"/>
      <c r="D30" s="155" t="s">
        <v>232</v>
      </c>
      <c r="E30" s="155"/>
      <c r="F30" s="155"/>
      <c r="G30" s="156"/>
      <c r="H30" s="125" t="s">
        <v>233</v>
      </c>
      <c r="I30" s="125" t="s">
        <v>68</v>
      </c>
      <c r="J30" s="125" t="s">
        <v>234</v>
      </c>
    </row>
    <row r="31" spans="2:10" x14ac:dyDescent="0.5">
      <c r="B31" s="153"/>
      <c r="C31" s="125" t="s">
        <v>259</v>
      </c>
      <c r="D31" s="125" t="s">
        <v>236</v>
      </c>
      <c r="E31" s="125" t="s">
        <v>237</v>
      </c>
      <c r="F31" s="125" t="s">
        <v>260</v>
      </c>
      <c r="G31" s="126" t="s">
        <v>238</v>
      </c>
      <c r="H31" s="127" t="s">
        <v>239</v>
      </c>
      <c r="I31" s="127" t="s">
        <v>240</v>
      </c>
      <c r="J31" s="127" t="s">
        <v>241</v>
      </c>
    </row>
    <row r="32" spans="2:10" x14ac:dyDescent="0.5">
      <c r="B32" s="153"/>
      <c r="C32" s="128"/>
      <c r="D32" s="128" t="s">
        <v>237</v>
      </c>
      <c r="E32" s="128" t="s">
        <v>242</v>
      </c>
      <c r="F32" s="128" t="s">
        <v>243</v>
      </c>
      <c r="G32" s="129" t="s">
        <v>244</v>
      </c>
      <c r="H32" s="128" t="s">
        <v>245</v>
      </c>
      <c r="I32" s="128" t="s">
        <v>241</v>
      </c>
      <c r="J32" s="128"/>
    </row>
    <row r="33" spans="2:10" s="136" customFormat="1" x14ac:dyDescent="0.5">
      <c r="B33" s="154"/>
      <c r="C33" s="119" t="s">
        <v>246</v>
      </c>
      <c r="D33" s="119" t="s">
        <v>247</v>
      </c>
      <c r="E33" s="119" t="s">
        <v>248</v>
      </c>
      <c r="F33" s="119" t="s">
        <v>249</v>
      </c>
      <c r="G33" s="119" t="s">
        <v>250</v>
      </c>
      <c r="H33" s="119" t="s">
        <v>251</v>
      </c>
      <c r="I33" s="119" t="s">
        <v>252</v>
      </c>
      <c r="J33" s="119" t="s">
        <v>253</v>
      </c>
    </row>
    <row r="34" spans="2:10" x14ac:dyDescent="0.5">
      <c r="B34" s="130">
        <f t="shared" ref="B34:B97" si="4">B33+1</f>
        <v>1</v>
      </c>
      <c r="C34" s="162" t="s">
        <v>261</v>
      </c>
      <c r="D34" s="163">
        <v>2500000</v>
      </c>
      <c r="E34" s="163">
        <v>22000000</v>
      </c>
      <c r="F34" s="163">
        <v>12000000</v>
      </c>
      <c r="G34" s="163">
        <v>40000000</v>
      </c>
      <c r="H34" s="163">
        <v>20000000</v>
      </c>
      <c r="I34" s="132">
        <f>SUM(D34:G34)</f>
        <v>76500000</v>
      </c>
      <c r="J34" s="132">
        <f>I34-H34</f>
        <v>56500000</v>
      </c>
    </row>
    <row r="35" spans="2:10" x14ac:dyDescent="0.5">
      <c r="B35" s="130">
        <f t="shared" si="4"/>
        <v>2</v>
      </c>
      <c r="C35" s="162" t="s">
        <v>262</v>
      </c>
      <c r="D35" s="163">
        <v>13000000</v>
      </c>
      <c r="E35" s="163">
        <v>50000</v>
      </c>
      <c r="F35" s="163">
        <v>220000</v>
      </c>
      <c r="G35" s="163">
        <v>20000</v>
      </c>
      <c r="H35" s="163">
        <v>100000</v>
      </c>
      <c r="I35" s="132">
        <f>SUM(D35:H35)</f>
        <v>13390000</v>
      </c>
      <c r="J35" s="132">
        <f t="shared" ref="J35:J98" si="5">I35-H35</f>
        <v>13290000</v>
      </c>
    </row>
    <row r="36" spans="2:10" x14ac:dyDescent="0.5">
      <c r="B36" s="130">
        <f t="shared" si="4"/>
        <v>3</v>
      </c>
      <c r="C36" s="162" t="s">
        <v>263</v>
      </c>
      <c r="D36" s="163">
        <v>0</v>
      </c>
      <c r="E36" s="163">
        <v>5000</v>
      </c>
      <c r="F36" s="163">
        <v>15000</v>
      </c>
      <c r="G36" s="163">
        <v>80000</v>
      </c>
      <c r="H36" s="163">
        <v>80000</v>
      </c>
      <c r="I36" s="132">
        <f t="shared" ref="I35:I98" si="6">SUM(D36:G36)</f>
        <v>100000</v>
      </c>
      <c r="J36" s="132">
        <f t="shared" si="5"/>
        <v>20000</v>
      </c>
    </row>
    <row r="37" spans="2:10" x14ac:dyDescent="0.5">
      <c r="B37" s="130">
        <f t="shared" si="4"/>
        <v>4</v>
      </c>
      <c r="C37" s="137"/>
      <c r="D37" s="131"/>
      <c r="E37" s="131"/>
      <c r="F37" s="131"/>
      <c r="G37" s="131"/>
      <c r="H37" s="131"/>
      <c r="I37" s="132">
        <f t="shared" si="6"/>
        <v>0</v>
      </c>
      <c r="J37" s="132">
        <f t="shared" si="5"/>
        <v>0</v>
      </c>
    </row>
    <row r="38" spans="2:10" x14ac:dyDescent="0.5">
      <c r="B38" s="130">
        <f t="shared" si="4"/>
        <v>5</v>
      </c>
      <c r="C38" s="137"/>
      <c r="D38" s="131"/>
      <c r="E38" s="131"/>
      <c r="F38" s="131"/>
      <c r="G38" s="131"/>
      <c r="H38" s="131"/>
      <c r="I38" s="132">
        <f t="shared" si="6"/>
        <v>0</v>
      </c>
      <c r="J38" s="132">
        <f t="shared" si="5"/>
        <v>0</v>
      </c>
    </row>
    <row r="39" spans="2:10" x14ac:dyDescent="0.5">
      <c r="B39" s="130">
        <f t="shared" si="4"/>
        <v>6</v>
      </c>
      <c r="C39" s="137"/>
      <c r="D39" s="131"/>
      <c r="E39" s="131"/>
      <c r="F39" s="131"/>
      <c r="G39" s="131"/>
      <c r="H39" s="131"/>
      <c r="I39" s="132">
        <f t="shared" si="6"/>
        <v>0</v>
      </c>
      <c r="J39" s="132">
        <f t="shared" si="5"/>
        <v>0</v>
      </c>
    </row>
    <row r="40" spans="2:10" x14ac:dyDescent="0.5">
      <c r="B40" s="130">
        <f t="shared" si="4"/>
        <v>7</v>
      </c>
      <c r="C40" s="137"/>
      <c r="D40" s="131"/>
      <c r="E40" s="131"/>
      <c r="F40" s="131"/>
      <c r="G40" s="131"/>
      <c r="H40" s="131"/>
      <c r="I40" s="132">
        <f t="shared" si="6"/>
        <v>0</v>
      </c>
      <c r="J40" s="132">
        <f t="shared" si="5"/>
        <v>0</v>
      </c>
    </row>
    <row r="41" spans="2:10" x14ac:dyDescent="0.5">
      <c r="B41" s="130">
        <f t="shared" si="4"/>
        <v>8</v>
      </c>
      <c r="C41" s="137"/>
      <c r="D41" s="131"/>
      <c r="E41" s="131"/>
      <c r="F41" s="131"/>
      <c r="G41" s="131"/>
      <c r="H41" s="131"/>
      <c r="I41" s="132">
        <f t="shared" si="6"/>
        <v>0</v>
      </c>
      <c r="J41" s="132">
        <f t="shared" si="5"/>
        <v>0</v>
      </c>
    </row>
    <row r="42" spans="2:10" x14ac:dyDescent="0.5">
      <c r="B42" s="130">
        <f t="shared" si="4"/>
        <v>9</v>
      </c>
      <c r="C42" s="137"/>
      <c r="D42" s="131"/>
      <c r="E42" s="131"/>
      <c r="F42" s="131"/>
      <c r="G42" s="131"/>
      <c r="H42" s="131"/>
      <c r="I42" s="132">
        <f t="shared" si="6"/>
        <v>0</v>
      </c>
      <c r="J42" s="132">
        <f t="shared" si="5"/>
        <v>0</v>
      </c>
    </row>
    <row r="43" spans="2:10" x14ac:dyDescent="0.5">
      <c r="B43" s="130">
        <f t="shared" si="4"/>
        <v>10</v>
      </c>
      <c r="C43" s="137"/>
      <c r="D43" s="131"/>
      <c r="E43" s="131"/>
      <c r="F43" s="131"/>
      <c r="G43" s="131"/>
      <c r="H43" s="131"/>
      <c r="I43" s="132">
        <f t="shared" si="6"/>
        <v>0</v>
      </c>
      <c r="J43" s="132">
        <f t="shared" si="5"/>
        <v>0</v>
      </c>
    </row>
    <row r="44" spans="2:10" x14ac:dyDescent="0.5">
      <c r="B44" s="130">
        <f t="shared" si="4"/>
        <v>11</v>
      </c>
      <c r="C44" s="137"/>
      <c r="D44" s="131"/>
      <c r="E44" s="131"/>
      <c r="F44" s="131"/>
      <c r="G44" s="131"/>
      <c r="H44" s="131"/>
      <c r="I44" s="132">
        <f t="shared" si="6"/>
        <v>0</v>
      </c>
      <c r="J44" s="132">
        <f t="shared" si="5"/>
        <v>0</v>
      </c>
    </row>
    <row r="45" spans="2:10" x14ac:dyDescent="0.5">
      <c r="B45" s="130">
        <f t="shared" si="4"/>
        <v>12</v>
      </c>
      <c r="C45" s="137"/>
      <c r="D45" s="131"/>
      <c r="E45" s="131"/>
      <c r="F45" s="131"/>
      <c r="G45" s="131"/>
      <c r="H45" s="131"/>
      <c r="I45" s="132">
        <f t="shared" si="6"/>
        <v>0</v>
      </c>
      <c r="J45" s="132">
        <f t="shared" si="5"/>
        <v>0</v>
      </c>
    </row>
    <row r="46" spans="2:10" x14ac:dyDescent="0.5">
      <c r="B46" s="130">
        <f t="shared" si="4"/>
        <v>13</v>
      </c>
      <c r="C46" s="137"/>
      <c r="D46" s="131"/>
      <c r="E46" s="131"/>
      <c r="F46" s="131"/>
      <c r="G46" s="131"/>
      <c r="H46" s="131"/>
      <c r="I46" s="132">
        <f t="shared" si="6"/>
        <v>0</v>
      </c>
      <c r="J46" s="132">
        <f t="shared" si="5"/>
        <v>0</v>
      </c>
    </row>
    <row r="47" spans="2:10" x14ac:dyDescent="0.5">
      <c r="B47" s="130">
        <f t="shared" si="4"/>
        <v>14</v>
      </c>
      <c r="C47" s="137"/>
      <c r="D47" s="131"/>
      <c r="E47" s="131"/>
      <c r="F47" s="131"/>
      <c r="G47" s="131"/>
      <c r="H47" s="131"/>
      <c r="I47" s="132">
        <f t="shared" si="6"/>
        <v>0</v>
      </c>
      <c r="J47" s="132">
        <f t="shared" si="5"/>
        <v>0</v>
      </c>
    </row>
    <row r="48" spans="2:10" x14ac:dyDescent="0.5">
      <c r="B48" s="130">
        <f t="shared" si="4"/>
        <v>15</v>
      </c>
      <c r="C48" s="137"/>
      <c r="D48" s="131"/>
      <c r="E48" s="131"/>
      <c r="F48" s="131"/>
      <c r="G48" s="131"/>
      <c r="H48" s="131"/>
      <c r="I48" s="132">
        <f t="shared" si="6"/>
        <v>0</v>
      </c>
      <c r="J48" s="132">
        <f t="shared" si="5"/>
        <v>0</v>
      </c>
    </row>
    <row r="49" spans="2:10" x14ac:dyDescent="0.5">
      <c r="B49" s="130">
        <f t="shared" si="4"/>
        <v>16</v>
      </c>
      <c r="C49" s="137"/>
      <c r="D49" s="131"/>
      <c r="E49" s="131"/>
      <c r="F49" s="131"/>
      <c r="G49" s="131"/>
      <c r="H49" s="131"/>
      <c r="I49" s="132">
        <f t="shared" si="6"/>
        <v>0</v>
      </c>
      <c r="J49" s="132">
        <f t="shared" si="5"/>
        <v>0</v>
      </c>
    </row>
    <row r="50" spans="2:10" x14ac:dyDescent="0.5">
      <c r="B50" s="130">
        <f t="shared" si="4"/>
        <v>17</v>
      </c>
      <c r="C50" s="137"/>
      <c r="D50" s="131"/>
      <c r="E50" s="131"/>
      <c r="F50" s="131"/>
      <c r="G50" s="131"/>
      <c r="H50" s="131"/>
      <c r="I50" s="132">
        <f t="shared" si="6"/>
        <v>0</v>
      </c>
      <c r="J50" s="132">
        <f t="shared" si="5"/>
        <v>0</v>
      </c>
    </row>
    <row r="51" spans="2:10" x14ac:dyDescent="0.5">
      <c r="B51" s="130">
        <f t="shared" si="4"/>
        <v>18</v>
      </c>
      <c r="C51" s="137"/>
      <c r="D51" s="131"/>
      <c r="E51" s="131"/>
      <c r="F51" s="131"/>
      <c r="G51" s="131"/>
      <c r="H51" s="131"/>
      <c r="I51" s="132">
        <f t="shared" si="6"/>
        <v>0</v>
      </c>
      <c r="J51" s="132">
        <f t="shared" si="5"/>
        <v>0</v>
      </c>
    </row>
    <row r="52" spans="2:10" x14ac:dyDescent="0.5">
      <c r="B52" s="130">
        <f t="shared" si="4"/>
        <v>19</v>
      </c>
      <c r="C52" s="137"/>
      <c r="D52" s="131"/>
      <c r="E52" s="131"/>
      <c r="F52" s="131"/>
      <c r="G52" s="131"/>
      <c r="H52" s="131"/>
      <c r="I52" s="132">
        <f t="shared" si="6"/>
        <v>0</v>
      </c>
      <c r="J52" s="132">
        <f t="shared" si="5"/>
        <v>0</v>
      </c>
    </row>
    <row r="53" spans="2:10" x14ac:dyDescent="0.5">
      <c r="B53" s="130">
        <f t="shared" si="4"/>
        <v>20</v>
      </c>
      <c r="C53" s="137"/>
      <c r="D53" s="131"/>
      <c r="E53" s="131"/>
      <c r="F53" s="131"/>
      <c r="G53" s="131"/>
      <c r="H53" s="131"/>
      <c r="I53" s="132">
        <f t="shared" si="6"/>
        <v>0</v>
      </c>
      <c r="J53" s="132">
        <f t="shared" si="5"/>
        <v>0</v>
      </c>
    </row>
    <row r="54" spans="2:10" x14ac:dyDescent="0.5">
      <c r="B54" s="130">
        <f t="shared" si="4"/>
        <v>21</v>
      </c>
      <c r="C54" s="137"/>
      <c r="D54" s="131"/>
      <c r="E54" s="131"/>
      <c r="F54" s="131"/>
      <c r="G54" s="131"/>
      <c r="H54" s="131"/>
      <c r="I54" s="132">
        <f t="shared" si="6"/>
        <v>0</v>
      </c>
      <c r="J54" s="132">
        <f t="shared" si="5"/>
        <v>0</v>
      </c>
    </row>
    <row r="55" spans="2:10" x14ac:dyDescent="0.5">
      <c r="B55" s="130">
        <f t="shared" si="4"/>
        <v>22</v>
      </c>
      <c r="C55" s="137"/>
      <c r="D55" s="131"/>
      <c r="E55" s="131"/>
      <c r="F55" s="131"/>
      <c r="G55" s="131"/>
      <c r="H55" s="131"/>
      <c r="I55" s="132">
        <f t="shared" si="6"/>
        <v>0</v>
      </c>
      <c r="J55" s="132">
        <f t="shared" si="5"/>
        <v>0</v>
      </c>
    </row>
    <row r="56" spans="2:10" x14ac:dyDescent="0.5">
      <c r="B56" s="130">
        <f t="shared" si="4"/>
        <v>23</v>
      </c>
      <c r="C56" s="137"/>
      <c r="D56" s="131"/>
      <c r="E56" s="131"/>
      <c r="F56" s="131"/>
      <c r="G56" s="131"/>
      <c r="H56" s="131"/>
      <c r="I56" s="132">
        <f t="shared" si="6"/>
        <v>0</v>
      </c>
      <c r="J56" s="132">
        <f t="shared" si="5"/>
        <v>0</v>
      </c>
    </row>
    <row r="57" spans="2:10" x14ac:dyDescent="0.5">
      <c r="B57" s="130">
        <f t="shared" si="4"/>
        <v>24</v>
      </c>
      <c r="C57" s="137"/>
      <c r="D57" s="131"/>
      <c r="E57" s="131"/>
      <c r="F57" s="131"/>
      <c r="G57" s="131"/>
      <c r="H57" s="131"/>
      <c r="I57" s="132">
        <f t="shared" si="6"/>
        <v>0</v>
      </c>
      <c r="J57" s="132">
        <f t="shared" si="5"/>
        <v>0</v>
      </c>
    </row>
    <row r="58" spans="2:10" x14ac:dyDescent="0.5">
      <c r="B58" s="130">
        <f t="shared" si="4"/>
        <v>25</v>
      </c>
      <c r="C58" s="137"/>
      <c r="D58" s="131"/>
      <c r="E58" s="131"/>
      <c r="F58" s="131"/>
      <c r="G58" s="131"/>
      <c r="H58" s="131"/>
      <c r="I58" s="132">
        <f t="shared" si="6"/>
        <v>0</v>
      </c>
      <c r="J58" s="132">
        <f t="shared" si="5"/>
        <v>0</v>
      </c>
    </row>
    <row r="59" spans="2:10" x14ac:dyDescent="0.5">
      <c r="B59" s="130">
        <f t="shared" si="4"/>
        <v>26</v>
      </c>
      <c r="C59" s="137"/>
      <c r="D59" s="131"/>
      <c r="E59" s="131"/>
      <c r="F59" s="131"/>
      <c r="G59" s="131"/>
      <c r="H59" s="131"/>
      <c r="I59" s="132">
        <f t="shared" si="6"/>
        <v>0</v>
      </c>
      <c r="J59" s="132">
        <f t="shared" si="5"/>
        <v>0</v>
      </c>
    </row>
    <row r="60" spans="2:10" x14ac:dyDescent="0.5">
      <c r="B60" s="130">
        <f t="shared" si="4"/>
        <v>27</v>
      </c>
      <c r="C60" s="137"/>
      <c r="D60" s="131"/>
      <c r="E60" s="131"/>
      <c r="F60" s="131"/>
      <c r="G60" s="131"/>
      <c r="H60" s="131"/>
      <c r="I60" s="132">
        <f t="shared" si="6"/>
        <v>0</v>
      </c>
      <c r="J60" s="132">
        <f t="shared" si="5"/>
        <v>0</v>
      </c>
    </row>
    <row r="61" spans="2:10" x14ac:dyDescent="0.5">
      <c r="B61" s="130">
        <f t="shared" si="4"/>
        <v>28</v>
      </c>
      <c r="C61" s="137"/>
      <c r="D61" s="131"/>
      <c r="E61" s="131"/>
      <c r="F61" s="131"/>
      <c r="G61" s="131"/>
      <c r="H61" s="131"/>
      <c r="I61" s="132">
        <f t="shared" si="6"/>
        <v>0</v>
      </c>
      <c r="J61" s="132">
        <f t="shared" si="5"/>
        <v>0</v>
      </c>
    </row>
    <row r="62" spans="2:10" x14ac:dyDescent="0.5">
      <c r="B62" s="130">
        <f t="shared" si="4"/>
        <v>29</v>
      </c>
      <c r="C62" s="137"/>
      <c r="D62" s="131"/>
      <c r="E62" s="131"/>
      <c r="F62" s="131"/>
      <c r="G62" s="131"/>
      <c r="H62" s="131"/>
      <c r="I62" s="132">
        <f t="shared" si="6"/>
        <v>0</v>
      </c>
      <c r="J62" s="132">
        <f t="shared" si="5"/>
        <v>0</v>
      </c>
    </row>
    <row r="63" spans="2:10" x14ac:dyDescent="0.5">
      <c r="B63" s="130">
        <f t="shared" si="4"/>
        <v>30</v>
      </c>
      <c r="C63" s="137"/>
      <c r="D63" s="131"/>
      <c r="E63" s="131"/>
      <c r="F63" s="131"/>
      <c r="G63" s="131"/>
      <c r="H63" s="131"/>
      <c r="I63" s="132">
        <f t="shared" si="6"/>
        <v>0</v>
      </c>
      <c r="J63" s="132">
        <f t="shared" si="5"/>
        <v>0</v>
      </c>
    </row>
    <row r="64" spans="2:10" x14ac:dyDescent="0.5">
      <c r="B64" s="130">
        <f t="shared" si="4"/>
        <v>31</v>
      </c>
      <c r="C64" s="137"/>
      <c r="D64" s="131"/>
      <c r="E64" s="131"/>
      <c r="F64" s="131"/>
      <c r="G64" s="131"/>
      <c r="H64" s="131"/>
      <c r="I64" s="132">
        <f t="shared" si="6"/>
        <v>0</v>
      </c>
      <c r="J64" s="132">
        <f t="shared" si="5"/>
        <v>0</v>
      </c>
    </row>
    <row r="65" spans="2:10" x14ac:dyDescent="0.5">
      <c r="B65" s="130">
        <f t="shared" si="4"/>
        <v>32</v>
      </c>
      <c r="C65" s="137"/>
      <c r="D65" s="131"/>
      <c r="E65" s="131"/>
      <c r="F65" s="131"/>
      <c r="G65" s="131"/>
      <c r="H65" s="131"/>
      <c r="I65" s="132">
        <f t="shared" si="6"/>
        <v>0</v>
      </c>
      <c r="J65" s="132">
        <f t="shared" si="5"/>
        <v>0</v>
      </c>
    </row>
    <row r="66" spans="2:10" x14ac:dyDescent="0.5">
      <c r="B66" s="130">
        <f t="shared" si="4"/>
        <v>33</v>
      </c>
      <c r="C66" s="137"/>
      <c r="D66" s="131"/>
      <c r="E66" s="131"/>
      <c r="F66" s="131"/>
      <c r="G66" s="131"/>
      <c r="H66" s="131"/>
      <c r="I66" s="132">
        <f t="shared" si="6"/>
        <v>0</v>
      </c>
      <c r="J66" s="132">
        <f t="shared" si="5"/>
        <v>0</v>
      </c>
    </row>
    <row r="67" spans="2:10" x14ac:dyDescent="0.5">
      <c r="B67" s="130">
        <f t="shared" si="4"/>
        <v>34</v>
      </c>
      <c r="C67" s="137"/>
      <c r="D67" s="131"/>
      <c r="E67" s="131"/>
      <c r="F67" s="131"/>
      <c r="G67" s="131"/>
      <c r="H67" s="131"/>
      <c r="I67" s="132">
        <f t="shared" si="6"/>
        <v>0</v>
      </c>
      <c r="J67" s="132">
        <f t="shared" si="5"/>
        <v>0</v>
      </c>
    </row>
    <row r="68" spans="2:10" x14ac:dyDescent="0.5">
      <c r="B68" s="130">
        <f t="shared" si="4"/>
        <v>35</v>
      </c>
      <c r="C68" s="137"/>
      <c r="D68" s="131"/>
      <c r="E68" s="131"/>
      <c r="F68" s="131"/>
      <c r="G68" s="131"/>
      <c r="H68" s="131"/>
      <c r="I68" s="132">
        <f t="shared" si="6"/>
        <v>0</v>
      </c>
      <c r="J68" s="132">
        <f t="shared" si="5"/>
        <v>0</v>
      </c>
    </row>
    <row r="69" spans="2:10" x14ac:dyDescent="0.5">
      <c r="B69" s="130">
        <f t="shared" si="4"/>
        <v>36</v>
      </c>
      <c r="C69" s="137"/>
      <c r="D69" s="131"/>
      <c r="E69" s="131"/>
      <c r="F69" s="131"/>
      <c r="G69" s="131"/>
      <c r="H69" s="131"/>
      <c r="I69" s="132">
        <f t="shared" si="6"/>
        <v>0</v>
      </c>
      <c r="J69" s="132">
        <f t="shared" si="5"/>
        <v>0</v>
      </c>
    </row>
    <row r="70" spans="2:10" x14ac:dyDescent="0.5">
      <c r="B70" s="130">
        <f t="shared" si="4"/>
        <v>37</v>
      </c>
      <c r="C70" s="137"/>
      <c r="D70" s="131"/>
      <c r="E70" s="131"/>
      <c r="F70" s="131"/>
      <c r="G70" s="131"/>
      <c r="H70" s="131"/>
      <c r="I70" s="132">
        <f t="shared" si="6"/>
        <v>0</v>
      </c>
      <c r="J70" s="132">
        <f t="shared" si="5"/>
        <v>0</v>
      </c>
    </row>
    <row r="71" spans="2:10" x14ac:dyDescent="0.5">
      <c r="B71" s="130">
        <f t="shared" si="4"/>
        <v>38</v>
      </c>
      <c r="C71" s="137"/>
      <c r="D71" s="131"/>
      <c r="E71" s="131"/>
      <c r="F71" s="131"/>
      <c r="G71" s="131"/>
      <c r="H71" s="131"/>
      <c r="I71" s="132">
        <f t="shared" si="6"/>
        <v>0</v>
      </c>
      <c r="J71" s="132">
        <f t="shared" si="5"/>
        <v>0</v>
      </c>
    </row>
    <row r="72" spans="2:10" x14ac:dyDescent="0.5">
      <c r="B72" s="130">
        <f t="shared" si="4"/>
        <v>39</v>
      </c>
      <c r="C72" s="137"/>
      <c r="D72" s="131"/>
      <c r="E72" s="131"/>
      <c r="F72" s="131"/>
      <c r="G72" s="131"/>
      <c r="H72" s="131"/>
      <c r="I72" s="132">
        <f t="shared" si="6"/>
        <v>0</v>
      </c>
      <c r="J72" s="132">
        <f t="shared" si="5"/>
        <v>0</v>
      </c>
    </row>
    <row r="73" spans="2:10" x14ac:dyDescent="0.5">
      <c r="B73" s="130">
        <f t="shared" si="4"/>
        <v>40</v>
      </c>
      <c r="C73" s="137"/>
      <c r="D73" s="131"/>
      <c r="E73" s="131"/>
      <c r="F73" s="131"/>
      <c r="G73" s="131"/>
      <c r="H73" s="131"/>
      <c r="I73" s="132">
        <f t="shared" si="6"/>
        <v>0</v>
      </c>
      <c r="J73" s="132">
        <f t="shared" si="5"/>
        <v>0</v>
      </c>
    </row>
    <row r="74" spans="2:10" x14ac:dyDescent="0.5">
      <c r="B74" s="130">
        <f t="shared" si="4"/>
        <v>41</v>
      </c>
      <c r="C74" s="137"/>
      <c r="D74" s="131"/>
      <c r="E74" s="131"/>
      <c r="F74" s="131"/>
      <c r="G74" s="131"/>
      <c r="H74" s="131"/>
      <c r="I74" s="132">
        <f t="shared" si="6"/>
        <v>0</v>
      </c>
      <c r="J74" s="132">
        <f t="shared" si="5"/>
        <v>0</v>
      </c>
    </row>
    <row r="75" spans="2:10" x14ac:dyDescent="0.5">
      <c r="B75" s="130">
        <f t="shared" si="4"/>
        <v>42</v>
      </c>
      <c r="C75" s="137"/>
      <c r="D75" s="131"/>
      <c r="E75" s="131"/>
      <c r="F75" s="131"/>
      <c r="G75" s="131"/>
      <c r="H75" s="131"/>
      <c r="I75" s="132">
        <f t="shared" si="6"/>
        <v>0</v>
      </c>
      <c r="J75" s="132">
        <f t="shared" si="5"/>
        <v>0</v>
      </c>
    </row>
    <row r="76" spans="2:10" x14ac:dyDescent="0.5">
      <c r="B76" s="130">
        <f t="shared" si="4"/>
        <v>43</v>
      </c>
      <c r="C76" s="137"/>
      <c r="D76" s="131"/>
      <c r="E76" s="131"/>
      <c r="F76" s="131"/>
      <c r="G76" s="131"/>
      <c r="H76" s="131"/>
      <c r="I76" s="132">
        <f t="shared" si="6"/>
        <v>0</v>
      </c>
      <c r="J76" s="132">
        <f t="shared" si="5"/>
        <v>0</v>
      </c>
    </row>
    <row r="77" spans="2:10" x14ac:dyDescent="0.5">
      <c r="B77" s="130">
        <f t="shared" si="4"/>
        <v>44</v>
      </c>
      <c r="C77" s="137"/>
      <c r="D77" s="131"/>
      <c r="E77" s="131"/>
      <c r="F77" s="131"/>
      <c r="G77" s="131"/>
      <c r="H77" s="131"/>
      <c r="I77" s="132">
        <f t="shared" si="6"/>
        <v>0</v>
      </c>
      <c r="J77" s="132">
        <f t="shared" si="5"/>
        <v>0</v>
      </c>
    </row>
    <row r="78" spans="2:10" x14ac:dyDescent="0.5">
      <c r="B78" s="130">
        <f t="shared" si="4"/>
        <v>45</v>
      </c>
      <c r="C78" s="137"/>
      <c r="D78" s="131"/>
      <c r="E78" s="131"/>
      <c r="F78" s="131"/>
      <c r="G78" s="131"/>
      <c r="H78" s="131"/>
      <c r="I78" s="132">
        <f t="shared" si="6"/>
        <v>0</v>
      </c>
      <c r="J78" s="132">
        <f t="shared" si="5"/>
        <v>0</v>
      </c>
    </row>
    <row r="79" spans="2:10" x14ac:dyDescent="0.5">
      <c r="B79" s="130">
        <f t="shared" si="4"/>
        <v>46</v>
      </c>
      <c r="C79" s="137"/>
      <c r="D79" s="131"/>
      <c r="E79" s="131"/>
      <c r="F79" s="131"/>
      <c r="G79" s="131"/>
      <c r="H79" s="131"/>
      <c r="I79" s="132">
        <f t="shared" si="6"/>
        <v>0</v>
      </c>
      <c r="J79" s="132">
        <f t="shared" si="5"/>
        <v>0</v>
      </c>
    </row>
    <row r="80" spans="2:10" x14ac:dyDescent="0.5">
      <c r="B80" s="130">
        <f t="shared" si="4"/>
        <v>47</v>
      </c>
      <c r="C80" s="137"/>
      <c r="D80" s="131"/>
      <c r="E80" s="131"/>
      <c r="F80" s="131"/>
      <c r="G80" s="131"/>
      <c r="H80" s="131"/>
      <c r="I80" s="132">
        <f t="shared" si="6"/>
        <v>0</v>
      </c>
      <c r="J80" s="132">
        <f t="shared" si="5"/>
        <v>0</v>
      </c>
    </row>
    <row r="81" spans="2:10" x14ac:dyDescent="0.5">
      <c r="B81" s="130">
        <f t="shared" si="4"/>
        <v>48</v>
      </c>
      <c r="C81" s="137"/>
      <c r="D81" s="131"/>
      <c r="E81" s="131"/>
      <c r="F81" s="131"/>
      <c r="G81" s="131"/>
      <c r="H81" s="131"/>
      <c r="I81" s="132">
        <f t="shared" si="6"/>
        <v>0</v>
      </c>
      <c r="J81" s="132">
        <f t="shared" si="5"/>
        <v>0</v>
      </c>
    </row>
    <row r="82" spans="2:10" x14ac:dyDescent="0.5">
      <c r="B82" s="130">
        <f t="shared" si="4"/>
        <v>49</v>
      </c>
      <c r="C82" s="137"/>
      <c r="D82" s="131"/>
      <c r="E82" s="131"/>
      <c r="F82" s="131"/>
      <c r="G82" s="131"/>
      <c r="H82" s="131"/>
      <c r="I82" s="132">
        <f t="shared" si="6"/>
        <v>0</v>
      </c>
      <c r="J82" s="132">
        <f t="shared" si="5"/>
        <v>0</v>
      </c>
    </row>
    <row r="83" spans="2:10" x14ac:dyDescent="0.5">
      <c r="B83" s="130">
        <f t="shared" si="4"/>
        <v>50</v>
      </c>
      <c r="C83" s="137"/>
      <c r="D83" s="131"/>
      <c r="E83" s="131"/>
      <c r="F83" s="131"/>
      <c r="G83" s="131"/>
      <c r="H83" s="131"/>
      <c r="I83" s="132">
        <f t="shared" si="6"/>
        <v>0</v>
      </c>
      <c r="J83" s="132">
        <f t="shared" si="5"/>
        <v>0</v>
      </c>
    </row>
    <row r="84" spans="2:10" x14ac:dyDescent="0.5">
      <c r="B84" s="130">
        <f t="shared" si="4"/>
        <v>51</v>
      </c>
      <c r="C84" s="137"/>
      <c r="D84" s="131"/>
      <c r="E84" s="131"/>
      <c r="F84" s="131"/>
      <c r="G84" s="131"/>
      <c r="H84" s="131"/>
      <c r="I84" s="132">
        <f t="shared" si="6"/>
        <v>0</v>
      </c>
      <c r="J84" s="132">
        <f t="shared" si="5"/>
        <v>0</v>
      </c>
    </row>
    <row r="85" spans="2:10" x14ac:dyDescent="0.5">
      <c r="B85" s="130">
        <f t="shared" si="4"/>
        <v>52</v>
      </c>
      <c r="C85" s="137"/>
      <c r="D85" s="131"/>
      <c r="E85" s="131"/>
      <c r="F85" s="131"/>
      <c r="G85" s="131"/>
      <c r="H85" s="131"/>
      <c r="I85" s="132">
        <f t="shared" si="6"/>
        <v>0</v>
      </c>
      <c r="J85" s="132">
        <f t="shared" si="5"/>
        <v>0</v>
      </c>
    </row>
    <row r="86" spans="2:10" x14ac:dyDescent="0.5">
      <c r="B86" s="130">
        <f t="shared" si="4"/>
        <v>53</v>
      </c>
      <c r="C86" s="137"/>
      <c r="D86" s="131"/>
      <c r="E86" s="131"/>
      <c r="F86" s="131"/>
      <c r="G86" s="131"/>
      <c r="H86" s="131"/>
      <c r="I86" s="132">
        <f t="shared" si="6"/>
        <v>0</v>
      </c>
      <c r="J86" s="132">
        <f t="shared" si="5"/>
        <v>0</v>
      </c>
    </row>
    <row r="87" spans="2:10" x14ac:dyDescent="0.5">
      <c r="B87" s="130">
        <f t="shared" si="4"/>
        <v>54</v>
      </c>
      <c r="C87" s="137"/>
      <c r="D87" s="131"/>
      <c r="E87" s="131"/>
      <c r="F87" s="131"/>
      <c r="G87" s="131"/>
      <c r="H87" s="131"/>
      <c r="I87" s="132">
        <f t="shared" si="6"/>
        <v>0</v>
      </c>
      <c r="J87" s="132">
        <f t="shared" si="5"/>
        <v>0</v>
      </c>
    </row>
    <row r="88" spans="2:10" x14ac:dyDescent="0.5">
      <c r="B88" s="130">
        <f t="shared" si="4"/>
        <v>55</v>
      </c>
      <c r="C88" s="137"/>
      <c r="D88" s="131"/>
      <c r="E88" s="131"/>
      <c r="F88" s="131"/>
      <c r="G88" s="131"/>
      <c r="H88" s="131"/>
      <c r="I88" s="132">
        <f t="shared" si="6"/>
        <v>0</v>
      </c>
      <c r="J88" s="132">
        <f t="shared" si="5"/>
        <v>0</v>
      </c>
    </row>
    <row r="89" spans="2:10" x14ac:dyDescent="0.5">
      <c r="B89" s="130">
        <f t="shared" si="4"/>
        <v>56</v>
      </c>
      <c r="C89" s="137"/>
      <c r="D89" s="131"/>
      <c r="E89" s="131"/>
      <c r="F89" s="131"/>
      <c r="G89" s="131"/>
      <c r="H89" s="131"/>
      <c r="I89" s="132">
        <f t="shared" si="6"/>
        <v>0</v>
      </c>
      <c r="J89" s="132">
        <f t="shared" si="5"/>
        <v>0</v>
      </c>
    </row>
    <row r="90" spans="2:10" x14ac:dyDescent="0.5">
      <c r="B90" s="130">
        <f t="shared" si="4"/>
        <v>57</v>
      </c>
      <c r="C90" s="137"/>
      <c r="D90" s="131"/>
      <c r="E90" s="131"/>
      <c r="F90" s="131"/>
      <c r="G90" s="131"/>
      <c r="H90" s="131"/>
      <c r="I90" s="132">
        <f t="shared" si="6"/>
        <v>0</v>
      </c>
      <c r="J90" s="132">
        <f t="shared" si="5"/>
        <v>0</v>
      </c>
    </row>
    <row r="91" spans="2:10" x14ac:dyDescent="0.5">
      <c r="B91" s="130">
        <f t="shared" si="4"/>
        <v>58</v>
      </c>
      <c r="C91" s="137"/>
      <c r="D91" s="131"/>
      <c r="E91" s="131"/>
      <c r="F91" s="131"/>
      <c r="G91" s="131"/>
      <c r="H91" s="131"/>
      <c r="I91" s="132">
        <f t="shared" si="6"/>
        <v>0</v>
      </c>
      <c r="J91" s="132">
        <f t="shared" si="5"/>
        <v>0</v>
      </c>
    </row>
    <row r="92" spans="2:10" x14ac:dyDescent="0.5">
      <c r="B92" s="130">
        <f t="shared" si="4"/>
        <v>59</v>
      </c>
      <c r="C92" s="137"/>
      <c r="D92" s="131"/>
      <c r="E92" s="131"/>
      <c r="F92" s="131"/>
      <c r="G92" s="131"/>
      <c r="H92" s="131"/>
      <c r="I92" s="132">
        <f t="shared" si="6"/>
        <v>0</v>
      </c>
      <c r="J92" s="132">
        <f t="shared" si="5"/>
        <v>0</v>
      </c>
    </row>
    <row r="93" spans="2:10" x14ac:dyDescent="0.5">
      <c r="B93" s="130">
        <f t="shared" si="4"/>
        <v>60</v>
      </c>
      <c r="C93" s="137"/>
      <c r="D93" s="131"/>
      <c r="E93" s="131"/>
      <c r="F93" s="131"/>
      <c r="G93" s="131"/>
      <c r="H93" s="131"/>
      <c r="I93" s="132">
        <f t="shared" si="6"/>
        <v>0</v>
      </c>
      <c r="J93" s="132">
        <f t="shared" si="5"/>
        <v>0</v>
      </c>
    </row>
    <row r="94" spans="2:10" x14ac:dyDescent="0.5">
      <c r="B94" s="130">
        <f t="shared" si="4"/>
        <v>61</v>
      </c>
      <c r="C94" s="137"/>
      <c r="D94" s="131"/>
      <c r="E94" s="131"/>
      <c r="F94" s="131"/>
      <c r="G94" s="131"/>
      <c r="H94" s="131"/>
      <c r="I94" s="132">
        <f t="shared" si="6"/>
        <v>0</v>
      </c>
      <c r="J94" s="132">
        <f t="shared" si="5"/>
        <v>0</v>
      </c>
    </row>
    <row r="95" spans="2:10" x14ac:dyDescent="0.5">
      <c r="B95" s="130">
        <f t="shared" si="4"/>
        <v>62</v>
      </c>
      <c r="C95" s="137"/>
      <c r="D95" s="131"/>
      <c r="E95" s="131"/>
      <c r="F95" s="131"/>
      <c r="G95" s="131"/>
      <c r="H95" s="131"/>
      <c r="I95" s="132">
        <f t="shared" si="6"/>
        <v>0</v>
      </c>
      <c r="J95" s="132">
        <f t="shared" si="5"/>
        <v>0</v>
      </c>
    </row>
    <row r="96" spans="2:10" x14ac:dyDescent="0.5">
      <c r="B96" s="130">
        <f t="shared" si="4"/>
        <v>63</v>
      </c>
      <c r="C96" s="137"/>
      <c r="D96" s="131"/>
      <c r="E96" s="131"/>
      <c r="F96" s="131"/>
      <c r="G96" s="131"/>
      <c r="H96" s="131"/>
      <c r="I96" s="132">
        <f t="shared" si="6"/>
        <v>0</v>
      </c>
      <c r="J96" s="132">
        <f t="shared" si="5"/>
        <v>0</v>
      </c>
    </row>
    <row r="97" spans="2:10" x14ac:dyDescent="0.5">
      <c r="B97" s="130">
        <f t="shared" si="4"/>
        <v>64</v>
      </c>
      <c r="C97" s="137"/>
      <c r="D97" s="131"/>
      <c r="E97" s="131"/>
      <c r="F97" s="131"/>
      <c r="G97" s="131"/>
      <c r="H97" s="131"/>
      <c r="I97" s="132">
        <f t="shared" si="6"/>
        <v>0</v>
      </c>
      <c r="J97" s="132">
        <f t="shared" si="5"/>
        <v>0</v>
      </c>
    </row>
    <row r="98" spans="2:10" x14ac:dyDescent="0.5">
      <c r="B98" s="130">
        <f t="shared" ref="B98:B161" si="7">B97+1</f>
        <v>65</v>
      </c>
      <c r="C98" s="137"/>
      <c r="D98" s="131"/>
      <c r="E98" s="131"/>
      <c r="F98" s="131"/>
      <c r="G98" s="131"/>
      <c r="H98" s="131"/>
      <c r="I98" s="132">
        <f t="shared" si="6"/>
        <v>0</v>
      </c>
      <c r="J98" s="132">
        <f t="shared" si="5"/>
        <v>0</v>
      </c>
    </row>
    <row r="99" spans="2:10" x14ac:dyDescent="0.5">
      <c r="B99" s="130">
        <f t="shared" si="7"/>
        <v>66</v>
      </c>
      <c r="C99" s="137"/>
      <c r="D99" s="131"/>
      <c r="E99" s="131"/>
      <c r="F99" s="131"/>
      <c r="G99" s="131"/>
      <c r="H99" s="131"/>
      <c r="I99" s="132">
        <f t="shared" ref="I99:I162" si="8">SUM(D99:G99)</f>
        <v>0</v>
      </c>
      <c r="J99" s="132">
        <f t="shared" ref="J99:J162" si="9">I99-H99</f>
        <v>0</v>
      </c>
    </row>
    <row r="100" spans="2:10" x14ac:dyDescent="0.5">
      <c r="B100" s="130">
        <f t="shared" si="7"/>
        <v>67</v>
      </c>
      <c r="C100" s="137"/>
      <c r="D100" s="131"/>
      <c r="E100" s="131"/>
      <c r="F100" s="131"/>
      <c r="G100" s="131"/>
      <c r="H100" s="131"/>
      <c r="I100" s="132">
        <f t="shared" si="8"/>
        <v>0</v>
      </c>
      <c r="J100" s="132">
        <f t="shared" si="9"/>
        <v>0</v>
      </c>
    </row>
    <row r="101" spans="2:10" x14ac:dyDescent="0.5">
      <c r="B101" s="130">
        <f t="shared" si="7"/>
        <v>68</v>
      </c>
      <c r="C101" s="137"/>
      <c r="D101" s="131"/>
      <c r="E101" s="131"/>
      <c r="F101" s="131"/>
      <c r="G101" s="131"/>
      <c r="H101" s="131"/>
      <c r="I101" s="132">
        <f t="shared" si="8"/>
        <v>0</v>
      </c>
      <c r="J101" s="132">
        <f t="shared" si="9"/>
        <v>0</v>
      </c>
    </row>
    <row r="102" spans="2:10" x14ac:dyDescent="0.5">
      <c r="B102" s="130">
        <f t="shared" si="7"/>
        <v>69</v>
      </c>
      <c r="C102" s="137"/>
      <c r="D102" s="131"/>
      <c r="E102" s="131"/>
      <c r="F102" s="131"/>
      <c r="G102" s="131"/>
      <c r="H102" s="131"/>
      <c r="I102" s="132">
        <f t="shared" si="8"/>
        <v>0</v>
      </c>
      <c r="J102" s="132">
        <f t="shared" si="9"/>
        <v>0</v>
      </c>
    </row>
    <row r="103" spans="2:10" x14ac:dyDescent="0.5">
      <c r="B103" s="130">
        <f t="shared" si="7"/>
        <v>70</v>
      </c>
      <c r="C103" s="137"/>
      <c r="D103" s="131"/>
      <c r="E103" s="131"/>
      <c r="F103" s="131"/>
      <c r="G103" s="131"/>
      <c r="H103" s="131"/>
      <c r="I103" s="132">
        <f t="shared" si="8"/>
        <v>0</v>
      </c>
      <c r="J103" s="132">
        <f t="shared" si="9"/>
        <v>0</v>
      </c>
    </row>
    <row r="104" spans="2:10" x14ac:dyDescent="0.5">
      <c r="B104" s="130">
        <f t="shared" si="7"/>
        <v>71</v>
      </c>
      <c r="C104" s="137"/>
      <c r="D104" s="131"/>
      <c r="E104" s="131"/>
      <c r="F104" s="131"/>
      <c r="G104" s="131"/>
      <c r="H104" s="131"/>
      <c r="I104" s="132">
        <f t="shared" si="8"/>
        <v>0</v>
      </c>
      <c r="J104" s="132">
        <f t="shared" si="9"/>
        <v>0</v>
      </c>
    </row>
    <row r="105" spans="2:10" x14ac:dyDescent="0.5">
      <c r="B105" s="130">
        <f t="shared" si="7"/>
        <v>72</v>
      </c>
      <c r="C105" s="137"/>
      <c r="D105" s="131"/>
      <c r="E105" s="131"/>
      <c r="F105" s="131"/>
      <c r="G105" s="131"/>
      <c r="H105" s="131"/>
      <c r="I105" s="132">
        <f t="shared" si="8"/>
        <v>0</v>
      </c>
      <c r="J105" s="132">
        <f t="shared" si="9"/>
        <v>0</v>
      </c>
    </row>
    <row r="106" spans="2:10" x14ac:dyDescent="0.5">
      <c r="B106" s="130">
        <f t="shared" si="7"/>
        <v>73</v>
      </c>
      <c r="C106" s="137"/>
      <c r="D106" s="131"/>
      <c r="E106" s="131"/>
      <c r="F106" s="131"/>
      <c r="G106" s="131"/>
      <c r="H106" s="131"/>
      <c r="I106" s="132">
        <f t="shared" si="8"/>
        <v>0</v>
      </c>
      <c r="J106" s="132">
        <f t="shared" si="9"/>
        <v>0</v>
      </c>
    </row>
    <row r="107" spans="2:10" x14ac:dyDescent="0.5">
      <c r="B107" s="130">
        <f t="shared" si="7"/>
        <v>74</v>
      </c>
      <c r="C107" s="137"/>
      <c r="D107" s="131"/>
      <c r="E107" s="131"/>
      <c r="F107" s="131"/>
      <c r="G107" s="131"/>
      <c r="H107" s="131"/>
      <c r="I107" s="132">
        <f t="shared" si="8"/>
        <v>0</v>
      </c>
      <c r="J107" s="132">
        <f t="shared" si="9"/>
        <v>0</v>
      </c>
    </row>
    <row r="108" spans="2:10" x14ac:dyDescent="0.5">
      <c r="B108" s="130">
        <f t="shared" si="7"/>
        <v>75</v>
      </c>
      <c r="C108" s="137"/>
      <c r="D108" s="131"/>
      <c r="E108" s="131"/>
      <c r="F108" s="131"/>
      <c r="G108" s="131"/>
      <c r="H108" s="131"/>
      <c r="I108" s="132">
        <f t="shared" si="8"/>
        <v>0</v>
      </c>
      <c r="J108" s="132">
        <f t="shared" si="9"/>
        <v>0</v>
      </c>
    </row>
    <row r="109" spans="2:10" x14ac:dyDescent="0.5">
      <c r="B109" s="130">
        <f t="shared" si="7"/>
        <v>76</v>
      </c>
      <c r="C109" s="137"/>
      <c r="D109" s="131"/>
      <c r="E109" s="131"/>
      <c r="F109" s="131"/>
      <c r="G109" s="131"/>
      <c r="H109" s="131"/>
      <c r="I109" s="132">
        <f t="shared" si="8"/>
        <v>0</v>
      </c>
      <c r="J109" s="132">
        <f t="shared" si="9"/>
        <v>0</v>
      </c>
    </row>
    <row r="110" spans="2:10" x14ac:dyDescent="0.5">
      <c r="B110" s="130">
        <f t="shared" si="7"/>
        <v>77</v>
      </c>
      <c r="C110" s="137"/>
      <c r="D110" s="131"/>
      <c r="E110" s="131"/>
      <c r="F110" s="131"/>
      <c r="G110" s="131"/>
      <c r="H110" s="131"/>
      <c r="I110" s="132">
        <f t="shared" si="8"/>
        <v>0</v>
      </c>
      <c r="J110" s="132">
        <f t="shared" si="9"/>
        <v>0</v>
      </c>
    </row>
    <row r="111" spans="2:10" x14ac:dyDescent="0.5">
      <c r="B111" s="130">
        <f t="shared" si="7"/>
        <v>78</v>
      </c>
      <c r="C111" s="137"/>
      <c r="D111" s="131"/>
      <c r="E111" s="131"/>
      <c r="F111" s="131"/>
      <c r="G111" s="131"/>
      <c r="H111" s="131"/>
      <c r="I111" s="132">
        <f t="shared" si="8"/>
        <v>0</v>
      </c>
      <c r="J111" s="132">
        <f t="shared" si="9"/>
        <v>0</v>
      </c>
    </row>
    <row r="112" spans="2:10" x14ac:dyDescent="0.5">
      <c r="B112" s="130">
        <f t="shared" si="7"/>
        <v>79</v>
      </c>
      <c r="C112" s="137"/>
      <c r="D112" s="131"/>
      <c r="E112" s="131"/>
      <c r="F112" s="131"/>
      <c r="G112" s="131"/>
      <c r="H112" s="131"/>
      <c r="I112" s="132">
        <f t="shared" si="8"/>
        <v>0</v>
      </c>
      <c r="J112" s="132">
        <f t="shared" si="9"/>
        <v>0</v>
      </c>
    </row>
    <row r="113" spans="2:10" x14ac:dyDescent="0.5">
      <c r="B113" s="130">
        <f t="shared" si="7"/>
        <v>80</v>
      </c>
      <c r="C113" s="137"/>
      <c r="D113" s="131"/>
      <c r="E113" s="131"/>
      <c r="F113" s="131"/>
      <c r="G113" s="131"/>
      <c r="H113" s="131"/>
      <c r="I113" s="132">
        <f t="shared" si="8"/>
        <v>0</v>
      </c>
      <c r="J113" s="132">
        <f t="shared" si="9"/>
        <v>0</v>
      </c>
    </row>
    <row r="114" spans="2:10" x14ac:dyDescent="0.5">
      <c r="B114" s="130">
        <f t="shared" si="7"/>
        <v>81</v>
      </c>
      <c r="C114" s="137"/>
      <c r="D114" s="131"/>
      <c r="E114" s="131"/>
      <c r="F114" s="131"/>
      <c r="G114" s="131"/>
      <c r="H114" s="131"/>
      <c r="I114" s="132">
        <f t="shared" si="8"/>
        <v>0</v>
      </c>
      <c r="J114" s="132">
        <f t="shared" si="9"/>
        <v>0</v>
      </c>
    </row>
    <row r="115" spans="2:10" x14ac:dyDescent="0.5">
      <c r="B115" s="130">
        <f t="shared" si="7"/>
        <v>82</v>
      </c>
      <c r="C115" s="137"/>
      <c r="D115" s="131"/>
      <c r="E115" s="131"/>
      <c r="F115" s="131"/>
      <c r="G115" s="131"/>
      <c r="H115" s="131"/>
      <c r="I115" s="132">
        <f t="shared" si="8"/>
        <v>0</v>
      </c>
      <c r="J115" s="132">
        <f t="shared" si="9"/>
        <v>0</v>
      </c>
    </row>
    <row r="116" spans="2:10" x14ac:dyDescent="0.5">
      <c r="B116" s="130">
        <f t="shared" si="7"/>
        <v>83</v>
      </c>
      <c r="C116" s="137"/>
      <c r="D116" s="131"/>
      <c r="E116" s="131"/>
      <c r="F116" s="131"/>
      <c r="G116" s="131"/>
      <c r="H116" s="131"/>
      <c r="I116" s="132">
        <f t="shared" si="8"/>
        <v>0</v>
      </c>
      <c r="J116" s="132">
        <f t="shared" si="9"/>
        <v>0</v>
      </c>
    </row>
    <row r="117" spans="2:10" x14ac:dyDescent="0.5">
      <c r="B117" s="130">
        <f t="shared" si="7"/>
        <v>84</v>
      </c>
      <c r="C117" s="137"/>
      <c r="D117" s="131"/>
      <c r="E117" s="131"/>
      <c r="F117" s="131"/>
      <c r="G117" s="131"/>
      <c r="H117" s="131"/>
      <c r="I117" s="132">
        <f t="shared" si="8"/>
        <v>0</v>
      </c>
      <c r="J117" s="132">
        <f t="shared" si="9"/>
        <v>0</v>
      </c>
    </row>
    <row r="118" spans="2:10" x14ac:dyDescent="0.5">
      <c r="B118" s="130">
        <f t="shared" si="7"/>
        <v>85</v>
      </c>
      <c r="C118" s="137"/>
      <c r="D118" s="131"/>
      <c r="E118" s="131"/>
      <c r="F118" s="131"/>
      <c r="G118" s="131"/>
      <c r="H118" s="131"/>
      <c r="I118" s="132">
        <f t="shared" si="8"/>
        <v>0</v>
      </c>
      <c r="J118" s="132">
        <f t="shared" si="9"/>
        <v>0</v>
      </c>
    </row>
    <row r="119" spans="2:10" x14ac:dyDescent="0.5">
      <c r="B119" s="130">
        <f t="shared" si="7"/>
        <v>86</v>
      </c>
      <c r="C119" s="137"/>
      <c r="D119" s="131"/>
      <c r="E119" s="131"/>
      <c r="F119" s="131"/>
      <c r="G119" s="131"/>
      <c r="H119" s="131"/>
      <c r="I119" s="132">
        <f t="shared" si="8"/>
        <v>0</v>
      </c>
      <c r="J119" s="132">
        <f t="shared" si="9"/>
        <v>0</v>
      </c>
    </row>
    <row r="120" spans="2:10" x14ac:dyDescent="0.5">
      <c r="B120" s="130">
        <f t="shared" si="7"/>
        <v>87</v>
      </c>
      <c r="C120" s="137"/>
      <c r="D120" s="131"/>
      <c r="E120" s="131"/>
      <c r="F120" s="131"/>
      <c r="G120" s="131"/>
      <c r="H120" s="131"/>
      <c r="I120" s="132">
        <f t="shared" si="8"/>
        <v>0</v>
      </c>
      <c r="J120" s="132">
        <f t="shared" si="9"/>
        <v>0</v>
      </c>
    </row>
    <row r="121" spans="2:10" x14ac:dyDescent="0.5">
      <c r="B121" s="130">
        <f t="shared" si="7"/>
        <v>88</v>
      </c>
      <c r="C121" s="137"/>
      <c r="D121" s="131"/>
      <c r="E121" s="131"/>
      <c r="F121" s="131"/>
      <c r="G121" s="131"/>
      <c r="H121" s="131"/>
      <c r="I121" s="132">
        <f t="shared" si="8"/>
        <v>0</v>
      </c>
      <c r="J121" s="132">
        <f t="shared" si="9"/>
        <v>0</v>
      </c>
    </row>
    <row r="122" spans="2:10" x14ac:dyDescent="0.5">
      <c r="B122" s="130">
        <f t="shared" si="7"/>
        <v>89</v>
      </c>
      <c r="C122" s="137"/>
      <c r="D122" s="131"/>
      <c r="E122" s="131"/>
      <c r="F122" s="131"/>
      <c r="G122" s="131"/>
      <c r="H122" s="131"/>
      <c r="I122" s="132">
        <f t="shared" si="8"/>
        <v>0</v>
      </c>
      <c r="J122" s="132">
        <f t="shared" si="9"/>
        <v>0</v>
      </c>
    </row>
    <row r="123" spans="2:10" x14ac:dyDescent="0.5">
      <c r="B123" s="130">
        <f t="shared" si="7"/>
        <v>90</v>
      </c>
      <c r="C123" s="137"/>
      <c r="D123" s="131"/>
      <c r="E123" s="131"/>
      <c r="F123" s="131"/>
      <c r="G123" s="131"/>
      <c r="H123" s="131"/>
      <c r="I123" s="132">
        <f t="shared" si="8"/>
        <v>0</v>
      </c>
      <c r="J123" s="132">
        <f t="shared" si="9"/>
        <v>0</v>
      </c>
    </row>
    <row r="124" spans="2:10" x14ac:dyDescent="0.5">
      <c r="B124" s="130">
        <f t="shared" si="7"/>
        <v>91</v>
      </c>
      <c r="C124" s="137"/>
      <c r="D124" s="131"/>
      <c r="E124" s="131"/>
      <c r="F124" s="131"/>
      <c r="G124" s="131"/>
      <c r="H124" s="131"/>
      <c r="I124" s="132">
        <f t="shared" si="8"/>
        <v>0</v>
      </c>
      <c r="J124" s="132">
        <f t="shared" si="9"/>
        <v>0</v>
      </c>
    </row>
    <row r="125" spans="2:10" x14ac:dyDescent="0.5">
      <c r="B125" s="130">
        <f t="shared" si="7"/>
        <v>92</v>
      </c>
      <c r="C125" s="137"/>
      <c r="D125" s="131"/>
      <c r="E125" s="131"/>
      <c r="F125" s="131"/>
      <c r="G125" s="131"/>
      <c r="H125" s="131"/>
      <c r="I125" s="132">
        <f t="shared" si="8"/>
        <v>0</v>
      </c>
      <c r="J125" s="132">
        <f t="shared" si="9"/>
        <v>0</v>
      </c>
    </row>
    <row r="126" spans="2:10" x14ac:dyDescent="0.5">
      <c r="B126" s="130">
        <f t="shared" si="7"/>
        <v>93</v>
      </c>
      <c r="C126" s="137"/>
      <c r="D126" s="131"/>
      <c r="E126" s="131"/>
      <c r="F126" s="131"/>
      <c r="G126" s="131"/>
      <c r="H126" s="131"/>
      <c r="I126" s="132">
        <f t="shared" si="8"/>
        <v>0</v>
      </c>
      <c r="J126" s="132">
        <f t="shared" si="9"/>
        <v>0</v>
      </c>
    </row>
    <row r="127" spans="2:10" x14ac:dyDescent="0.5">
      <c r="B127" s="130">
        <f t="shared" si="7"/>
        <v>94</v>
      </c>
      <c r="C127" s="137"/>
      <c r="D127" s="131"/>
      <c r="E127" s="131"/>
      <c r="F127" s="131"/>
      <c r="G127" s="131"/>
      <c r="H127" s="131"/>
      <c r="I127" s="132">
        <f t="shared" si="8"/>
        <v>0</v>
      </c>
      <c r="J127" s="132">
        <f t="shared" si="9"/>
        <v>0</v>
      </c>
    </row>
    <row r="128" spans="2:10" x14ac:dyDescent="0.5">
      <c r="B128" s="130">
        <f t="shared" si="7"/>
        <v>95</v>
      </c>
      <c r="C128" s="137"/>
      <c r="D128" s="131"/>
      <c r="E128" s="131"/>
      <c r="F128" s="131"/>
      <c r="G128" s="131"/>
      <c r="H128" s="131"/>
      <c r="I128" s="132">
        <f t="shared" si="8"/>
        <v>0</v>
      </c>
      <c r="J128" s="132">
        <f t="shared" si="9"/>
        <v>0</v>
      </c>
    </row>
    <row r="129" spans="2:10" x14ac:dyDescent="0.5">
      <c r="B129" s="130">
        <f t="shared" si="7"/>
        <v>96</v>
      </c>
      <c r="C129" s="137"/>
      <c r="D129" s="131"/>
      <c r="E129" s="131"/>
      <c r="F129" s="131"/>
      <c r="G129" s="131"/>
      <c r="H129" s="131"/>
      <c r="I129" s="132">
        <f t="shared" si="8"/>
        <v>0</v>
      </c>
      <c r="J129" s="132">
        <f t="shared" si="9"/>
        <v>0</v>
      </c>
    </row>
    <row r="130" spans="2:10" x14ac:dyDescent="0.5">
      <c r="B130" s="130">
        <f t="shared" si="7"/>
        <v>97</v>
      </c>
      <c r="C130" s="137"/>
      <c r="D130" s="131"/>
      <c r="E130" s="131"/>
      <c r="F130" s="131"/>
      <c r="G130" s="131"/>
      <c r="H130" s="131"/>
      <c r="I130" s="132">
        <f t="shared" si="8"/>
        <v>0</v>
      </c>
      <c r="J130" s="132">
        <f t="shared" si="9"/>
        <v>0</v>
      </c>
    </row>
    <row r="131" spans="2:10" x14ac:dyDescent="0.5">
      <c r="B131" s="130">
        <f t="shared" si="7"/>
        <v>98</v>
      </c>
      <c r="C131" s="137"/>
      <c r="D131" s="131"/>
      <c r="E131" s="131"/>
      <c r="F131" s="131"/>
      <c r="G131" s="131"/>
      <c r="H131" s="131"/>
      <c r="I131" s="132">
        <f t="shared" si="8"/>
        <v>0</v>
      </c>
      <c r="J131" s="132">
        <f t="shared" si="9"/>
        <v>0</v>
      </c>
    </row>
    <row r="132" spans="2:10" x14ac:dyDescent="0.5">
      <c r="B132" s="130">
        <f t="shared" si="7"/>
        <v>99</v>
      </c>
      <c r="C132" s="137"/>
      <c r="D132" s="131"/>
      <c r="E132" s="131"/>
      <c r="F132" s="131"/>
      <c r="G132" s="131"/>
      <c r="H132" s="131"/>
      <c r="I132" s="132">
        <f t="shared" si="8"/>
        <v>0</v>
      </c>
      <c r="J132" s="132">
        <f t="shared" si="9"/>
        <v>0</v>
      </c>
    </row>
    <row r="133" spans="2:10" x14ac:dyDescent="0.5">
      <c r="B133" s="130">
        <f t="shared" si="7"/>
        <v>100</v>
      </c>
      <c r="C133" s="137"/>
      <c r="D133" s="131"/>
      <c r="E133" s="131"/>
      <c r="F133" s="131"/>
      <c r="G133" s="131"/>
      <c r="H133" s="131"/>
      <c r="I133" s="132">
        <f t="shared" si="8"/>
        <v>0</v>
      </c>
      <c r="J133" s="132">
        <f t="shared" si="9"/>
        <v>0</v>
      </c>
    </row>
    <row r="134" spans="2:10" x14ac:dyDescent="0.5">
      <c r="B134" s="130">
        <f t="shared" si="7"/>
        <v>101</v>
      </c>
      <c r="C134" s="137"/>
      <c r="D134" s="131"/>
      <c r="E134" s="131"/>
      <c r="F134" s="131"/>
      <c r="G134" s="131"/>
      <c r="H134" s="131"/>
      <c r="I134" s="132">
        <f t="shared" si="8"/>
        <v>0</v>
      </c>
      <c r="J134" s="132">
        <f t="shared" si="9"/>
        <v>0</v>
      </c>
    </row>
    <row r="135" spans="2:10" x14ac:dyDescent="0.5">
      <c r="B135" s="130">
        <f t="shared" si="7"/>
        <v>102</v>
      </c>
      <c r="C135" s="137"/>
      <c r="D135" s="131"/>
      <c r="E135" s="131"/>
      <c r="F135" s="131"/>
      <c r="G135" s="131"/>
      <c r="H135" s="131"/>
      <c r="I135" s="132">
        <f t="shared" si="8"/>
        <v>0</v>
      </c>
      <c r="J135" s="132">
        <f t="shared" si="9"/>
        <v>0</v>
      </c>
    </row>
    <row r="136" spans="2:10" x14ac:dyDescent="0.5">
      <c r="B136" s="130">
        <f t="shared" si="7"/>
        <v>103</v>
      </c>
      <c r="C136" s="137"/>
      <c r="D136" s="131"/>
      <c r="E136" s="131"/>
      <c r="F136" s="131"/>
      <c r="G136" s="131"/>
      <c r="H136" s="131"/>
      <c r="I136" s="132">
        <f t="shared" si="8"/>
        <v>0</v>
      </c>
      <c r="J136" s="132">
        <f t="shared" si="9"/>
        <v>0</v>
      </c>
    </row>
    <row r="137" spans="2:10" x14ac:dyDescent="0.5">
      <c r="B137" s="130">
        <f t="shared" si="7"/>
        <v>104</v>
      </c>
      <c r="C137" s="137"/>
      <c r="D137" s="131"/>
      <c r="E137" s="131"/>
      <c r="F137" s="131"/>
      <c r="G137" s="131"/>
      <c r="H137" s="131"/>
      <c r="I137" s="132">
        <f t="shared" si="8"/>
        <v>0</v>
      </c>
      <c r="J137" s="132">
        <f t="shared" si="9"/>
        <v>0</v>
      </c>
    </row>
    <row r="138" spans="2:10" x14ac:dyDescent="0.5">
      <c r="B138" s="130">
        <f t="shared" si="7"/>
        <v>105</v>
      </c>
      <c r="C138" s="137"/>
      <c r="D138" s="131"/>
      <c r="E138" s="131"/>
      <c r="F138" s="131"/>
      <c r="G138" s="131"/>
      <c r="H138" s="131"/>
      <c r="I138" s="132">
        <f t="shared" si="8"/>
        <v>0</v>
      </c>
      <c r="J138" s="132">
        <f t="shared" si="9"/>
        <v>0</v>
      </c>
    </row>
    <row r="139" spans="2:10" x14ac:dyDescent="0.5">
      <c r="B139" s="130">
        <f t="shared" si="7"/>
        <v>106</v>
      </c>
      <c r="C139" s="137"/>
      <c r="D139" s="131"/>
      <c r="E139" s="131"/>
      <c r="F139" s="131"/>
      <c r="G139" s="131"/>
      <c r="H139" s="131"/>
      <c r="I139" s="132">
        <f t="shared" si="8"/>
        <v>0</v>
      </c>
      <c r="J139" s="132">
        <f t="shared" si="9"/>
        <v>0</v>
      </c>
    </row>
    <row r="140" spans="2:10" x14ac:dyDescent="0.5">
      <c r="B140" s="130">
        <f t="shared" si="7"/>
        <v>107</v>
      </c>
      <c r="C140" s="137"/>
      <c r="D140" s="131"/>
      <c r="E140" s="131"/>
      <c r="F140" s="131"/>
      <c r="G140" s="131"/>
      <c r="H140" s="131"/>
      <c r="I140" s="132">
        <f t="shared" si="8"/>
        <v>0</v>
      </c>
      <c r="J140" s="132">
        <f t="shared" si="9"/>
        <v>0</v>
      </c>
    </row>
    <row r="141" spans="2:10" x14ac:dyDescent="0.5">
      <c r="B141" s="130">
        <f t="shared" si="7"/>
        <v>108</v>
      </c>
      <c r="C141" s="137"/>
      <c r="D141" s="131"/>
      <c r="E141" s="131"/>
      <c r="F141" s="131"/>
      <c r="G141" s="131"/>
      <c r="H141" s="131"/>
      <c r="I141" s="132">
        <f t="shared" si="8"/>
        <v>0</v>
      </c>
      <c r="J141" s="132">
        <f t="shared" si="9"/>
        <v>0</v>
      </c>
    </row>
    <row r="142" spans="2:10" x14ac:dyDescent="0.5">
      <c r="B142" s="130">
        <f t="shared" si="7"/>
        <v>109</v>
      </c>
      <c r="C142" s="137"/>
      <c r="D142" s="131"/>
      <c r="E142" s="131"/>
      <c r="F142" s="131"/>
      <c r="G142" s="131"/>
      <c r="H142" s="131"/>
      <c r="I142" s="132">
        <f t="shared" si="8"/>
        <v>0</v>
      </c>
      <c r="J142" s="132">
        <f t="shared" si="9"/>
        <v>0</v>
      </c>
    </row>
    <row r="143" spans="2:10" x14ac:dyDescent="0.5">
      <c r="B143" s="130">
        <f t="shared" si="7"/>
        <v>110</v>
      </c>
      <c r="C143" s="137"/>
      <c r="D143" s="131"/>
      <c r="E143" s="131"/>
      <c r="F143" s="131"/>
      <c r="G143" s="131"/>
      <c r="H143" s="131"/>
      <c r="I143" s="132">
        <f t="shared" si="8"/>
        <v>0</v>
      </c>
      <c r="J143" s="132">
        <f t="shared" si="9"/>
        <v>0</v>
      </c>
    </row>
    <row r="144" spans="2:10" x14ac:dyDescent="0.5">
      <c r="B144" s="130">
        <f t="shared" si="7"/>
        <v>111</v>
      </c>
      <c r="C144" s="137"/>
      <c r="D144" s="131"/>
      <c r="E144" s="131"/>
      <c r="F144" s="131"/>
      <c r="G144" s="131"/>
      <c r="H144" s="131"/>
      <c r="I144" s="132">
        <f t="shared" si="8"/>
        <v>0</v>
      </c>
      <c r="J144" s="132">
        <f t="shared" si="9"/>
        <v>0</v>
      </c>
    </row>
    <row r="145" spans="2:10" x14ac:dyDescent="0.5">
      <c r="B145" s="130">
        <f t="shared" si="7"/>
        <v>112</v>
      </c>
      <c r="C145" s="137"/>
      <c r="D145" s="131"/>
      <c r="E145" s="131"/>
      <c r="F145" s="131"/>
      <c r="G145" s="131"/>
      <c r="H145" s="131"/>
      <c r="I145" s="132">
        <f t="shared" si="8"/>
        <v>0</v>
      </c>
      <c r="J145" s="132">
        <f t="shared" si="9"/>
        <v>0</v>
      </c>
    </row>
    <row r="146" spans="2:10" x14ac:dyDescent="0.5">
      <c r="B146" s="130">
        <f t="shared" si="7"/>
        <v>113</v>
      </c>
      <c r="C146" s="137"/>
      <c r="D146" s="131"/>
      <c r="E146" s="131"/>
      <c r="F146" s="131"/>
      <c r="G146" s="131"/>
      <c r="H146" s="131"/>
      <c r="I146" s="132">
        <f t="shared" si="8"/>
        <v>0</v>
      </c>
      <c r="J146" s="132">
        <f t="shared" si="9"/>
        <v>0</v>
      </c>
    </row>
    <row r="147" spans="2:10" x14ac:dyDescent="0.5">
      <c r="B147" s="130">
        <f t="shared" si="7"/>
        <v>114</v>
      </c>
      <c r="C147" s="137"/>
      <c r="D147" s="131"/>
      <c r="E147" s="131"/>
      <c r="F147" s="131"/>
      <c r="G147" s="131"/>
      <c r="H147" s="131"/>
      <c r="I147" s="132">
        <f t="shared" si="8"/>
        <v>0</v>
      </c>
      <c r="J147" s="132">
        <f t="shared" si="9"/>
        <v>0</v>
      </c>
    </row>
    <row r="148" spans="2:10" x14ac:dyDescent="0.5">
      <c r="B148" s="130">
        <f t="shared" si="7"/>
        <v>115</v>
      </c>
      <c r="C148" s="137"/>
      <c r="D148" s="131"/>
      <c r="E148" s="131"/>
      <c r="F148" s="131"/>
      <c r="G148" s="131"/>
      <c r="H148" s="131"/>
      <c r="I148" s="132">
        <f t="shared" si="8"/>
        <v>0</v>
      </c>
      <c r="J148" s="132">
        <f t="shared" si="9"/>
        <v>0</v>
      </c>
    </row>
    <row r="149" spans="2:10" x14ac:dyDescent="0.5">
      <c r="B149" s="130">
        <f t="shared" si="7"/>
        <v>116</v>
      </c>
      <c r="C149" s="137"/>
      <c r="D149" s="131"/>
      <c r="E149" s="131"/>
      <c r="F149" s="131"/>
      <c r="G149" s="131"/>
      <c r="H149" s="131"/>
      <c r="I149" s="132">
        <f t="shared" si="8"/>
        <v>0</v>
      </c>
      <c r="J149" s="132">
        <f t="shared" si="9"/>
        <v>0</v>
      </c>
    </row>
    <row r="150" spans="2:10" x14ac:dyDescent="0.5">
      <c r="B150" s="130">
        <f t="shared" si="7"/>
        <v>117</v>
      </c>
      <c r="C150" s="137"/>
      <c r="D150" s="131"/>
      <c r="E150" s="131"/>
      <c r="F150" s="131"/>
      <c r="G150" s="131"/>
      <c r="H150" s="131"/>
      <c r="I150" s="132">
        <f t="shared" si="8"/>
        <v>0</v>
      </c>
      <c r="J150" s="132">
        <f t="shared" si="9"/>
        <v>0</v>
      </c>
    </row>
    <row r="151" spans="2:10" x14ac:dyDescent="0.5">
      <c r="B151" s="130">
        <f t="shared" si="7"/>
        <v>118</v>
      </c>
      <c r="C151" s="137"/>
      <c r="D151" s="131"/>
      <c r="E151" s="131"/>
      <c r="F151" s="131"/>
      <c r="G151" s="131"/>
      <c r="H151" s="131"/>
      <c r="I151" s="132">
        <f t="shared" si="8"/>
        <v>0</v>
      </c>
      <c r="J151" s="132">
        <f t="shared" si="9"/>
        <v>0</v>
      </c>
    </row>
    <row r="152" spans="2:10" x14ac:dyDescent="0.5">
      <c r="B152" s="130">
        <f t="shared" si="7"/>
        <v>119</v>
      </c>
      <c r="C152" s="137"/>
      <c r="D152" s="131"/>
      <c r="E152" s="131"/>
      <c r="F152" s="131"/>
      <c r="G152" s="131"/>
      <c r="H152" s="131"/>
      <c r="I152" s="132">
        <f t="shared" si="8"/>
        <v>0</v>
      </c>
      <c r="J152" s="132">
        <f t="shared" si="9"/>
        <v>0</v>
      </c>
    </row>
    <row r="153" spans="2:10" x14ac:dyDescent="0.5">
      <c r="B153" s="130">
        <f t="shared" si="7"/>
        <v>120</v>
      </c>
      <c r="C153" s="137"/>
      <c r="D153" s="131"/>
      <c r="E153" s="131"/>
      <c r="F153" s="131"/>
      <c r="G153" s="131"/>
      <c r="H153" s="131"/>
      <c r="I153" s="132">
        <f t="shared" si="8"/>
        <v>0</v>
      </c>
      <c r="J153" s="132">
        <f t="shared" si="9"/>
        <v>0</v>
      </c>
    </row>
    <row r="154" spans="2:10" x14ac:dyDescent="0.5">
      <c r="B154" s="130">
        <f t="shared" si="7"/>
        <v>121</v>
      </c>
      <c r="C154" s="137"/>
      <c r="D154" s="131"/>
      <c r="E154" s="131"/>
      <c r="F154" s="131"/>
      <c r="G154" s="131"/>
      <c r="H154" s="131"/>
      <c r="I154" s="132">
        <f t="shared" si="8"/>
        <v>0</v>
      </c>
      <c r="J154" s="132">
        <f t="shared" si="9"/>
        <v>0</v>
      </c>
    </row>
    <row r="155" spans="2:10" x14ac:dyDescent="0.5">
      <c r="B155" s="130">
        <f t="shared" si="7"/>
        <v>122</v>
      </c>
      <c r="C155" s="137"/>
      <c r="D155" s="131"/>
      <c r="E155" s="131"/>
      <c r="F155" s="131"/>
      <c r="G155" s="131"/>
      <c r="H155" s="131"/>
      <c r="I155" s="132">
        <f t="shared" si="8"/>
        <v>0</v>
      </c>
      <c r="J155" s="132">
        <f t="shared" si="9"/>
        <v>0</v>
      </c>
    </row>
    <row r="156" spans="2:10" x14ac:dyDescent="0.5">
      <c r="B156" s="130">
        <f t="shared" si="7"/>
        <v>123</v>
      </c>
      <c r="C156" s="137"/>
      <c r="D156" s="131"/>
      <c r="E156" s="131"/>
      <c r="F156" s="131"/>
      <c r="G156" s="131"/>
      <c r="H156" s="131"/>
      <c r="I156" s="132">
        <f t="shared" si="8"/>
        <v>0</v>
      </c>
      <c r="J156" s="132">
        <f t="shared" si="9"/>
        <v>0</v>
      </c>
    </row>
    <row r="157" spans="2:10" x14ac:dyDescent="0.5">
      <c r="B157" s="130">
        <f t="shared" si="7"/>
        <v>124</v>
      </c>
      <c r="C157" s="137"/>
      <c r="D157" s="131"/>
      <c r="E157" s="131"/>
      <c r="F157" s="131"/>
      <c r="G157" s="131"/>
      <c r="H157" s="131"/>
      <c r="I157" s="132">
        <f t="shared" si="8"/>
        <v>0</v>
      </c>
      <c r="J157" s="132">
        <f t="shared" si="9"/>
        <v>0</v>
      </c>
    </row>
    <row r="158" spans="2:10" x14ac:dyDescent="0.5">
      <c r="B158" s="130">
        <f t="shared" si="7"/>
        <v>125</v>
      </c>
      <c r="C158" s="137"/>
      <c r="D158" s="131"/>
      <c r="E158" s="131"/>
      <c r="F158" s="131"/>
      <c r="G158" s="131"/>
      <c r="H158" s="131"/>
      <c r="I158" s="132">
        <f t="shared" si="8"/>
        <v>0</v>
      </c>
      <c r="J158" s="132">
        <f t="shared" si="9"/>
        <v>0</v>
      </c>
    </row>
    <row r="159" spans="2:10" x14ac:dyDescent="0.5">
      <c r="B159" s="130">
        <f t="shared" si="7"/>
        <v>126</v>
      </c>
      <c r="C159" s="137"/>
      <c r="D159" s="131"/>
      <c r="E159" s="131"/>
      <c r="F159" s="131"/>
      <c r="G159" s="131"/>
      <c r="H159" s="131"/>
      <c r="I159" s="132">
        <f t="shared" si="8"/>
        <v>0</v>
      </c>
      <c r="J159" s="132">
        <f t="shared" si="9"/>
        <v>0</v>
      </c>
    </row>
    <row r="160" spans="2:10" x14ac:dyDescent="0.5">
      <c r="B160" s="130">
        <f t="shared" si="7"/>
        <v>127</v>
      </c>
      <c r="C160" s="137"/>
      <c r="D160" s="131"/>
      <c r="E160" s="131"/>
      <c r="F160" s="131"/>
      <c r="G160" s="131"/>
      <c r="H160" s="131"/>
      <c r="I160" s="132">
        <f t="shared" si="8"/>
        <v>0</v>
      </c>
      <c r="J160" s="132">
        <f t="shared" si="9"/>
        <v>0</v>
      </c>
    </row>
    <row r="161" spans="2:10" x14ac:dyDescent="0.5">
      <c r="B161" s="130">
        <f t="shared" si="7"/>
        <v>128</v>
      </c>
      <c r="C161" s="137"/>
      <c r="D161" s="131"/>
      <c r="E161" s="131"/>
      <c r="F161" s="131"/>
      <c r="G161" s="131"/>
      <c r="H161" s="131"/>
      <c r="I161" s="132">
        <f t="shared" si="8"/>
        <v>0</v>
      </c>
      <c r="J161" s="132">
        <f t="shared" si="9"/>
        <v>0</v>
      </c>
    </row>
    <row r="162" spans="2:10" x14ac:dyDescent="0.5">
      <c r="B162" s="130">
        <f t="shared" ref="B162:B225" si="10">B161+1</f>
        <v>129</v>
      </c>
      <c r="C162" s="137"/>
      <c r="D162" s="131"/>
      <c r="E162" s="131"/>
      <c r="F162" s="131"/>
      <c r="G162" s="131"/>
      <c r="H162" s="131"/>
      <c r="I162" s="132">
        <f t="shared" si="8"/>
        <v>0</v>
      </c>
      <c r="J162" s="132">
        <f t="shared" si="9"/>
        <v>0</v>
      </c>
    </row>
    <row r="163" spans="2:10" x14ac:dyDescent="0.5">
      <c r="B163" s="130">
        <f t="shared" si="10"/>
        <v>130</v>
      </c>
      <c r="C163" s="137"/>
      <c r="D163" s="131"/>
      <c r="E163" s="131"/>
      <c r="F163" s="131"/>
      <c r="G163" s="131"/>
      <c r="H163" s="131"/>
      <c r="I163" s="132">
        <f t="shared" ref="I163:I226" si="11">SUM(D163:G163)</f>
        <v>0</v>
      </c>
      <c r="J163" s="132">
        <f t="shared" ref="J163:J226" si="12">I163-H163</f>
        <v>0</v>
      </c>
    </row>
    <row r="164" spans="2:10" x14ac:dyDescent="0.5">
      <c r="B164" s="130">
        <f t="shared" si="10"/>
        <v>131</v>
      </c>
      <c r="C164" s="137"/>
      <c r="D164" s="131"/>
      <c r="E164" s="131"/>
      <c r="F164" s="131"/>
      <c r="G164" s="131"/>
      <c r="H164" s="131"/>
      <c r="I164" s="132">
        <f t="shared" si="11"/>
        <v>0</v>
      </c>
      <c r="J164" s="132">
        <f t="shared" si="12"/>
        <v>0</v>
      </c>
    </row>
    <row r="165" spans="2:10" x14ac:dyDescent="0.5">
      <c r="B165" s="130">
        <f t="shared" si="10"/>
        <v>132</v>
      </c>
      <c r="C165" s="137"/>
      <c r="D165" s="131"/>
      <c r="E165" s="131"/>
      <c r="F165" s="131"/>
      <c r="G165" s="131"/>
      <c r="H165" s="131"/>
      <c r="I165" s="132">
        <f t="shared" si="11"/>
        <v>0</v>
      </c>
      <c r="J165" s="132">
        <f t="shared" si="12"/>
        <v>0</v>
      </c>
    </row>
    <row r="166" spans="2:10" x14ac:dyDescent="0.5">
      <c r="B166" s="130">
        <f t="shared" si="10"/>
        <v>133</v>
      </c>
      <c r="C166" s="137"/>
      <c r="D166" s="131"/>
      <c r="E166" s="131"/>
      <c r="F166" s="131"/>
      <c r="G166" s="131"/>
      <c r="H166" s="131"/>
      <c r="I166" s="132">
        <f t="shared" si="11"/>
        <v>0</v>
      </c>
      <c r="J166" s="132">
        <f t="shared" si="12"/>
        <v>0</v>
      </c>
    </row>
    <row r="167" spans="2:10" x14ac:dyDescent="0.5">
      <c r="B167" s="130">
        <f t="shared" si="10"/>
        <v>134</v>
      </c>
      <c r="C167" s="137"/>
      <c r="D167" s="131"/>
      <c r="E167" s="131"/>
      <c r="F167" s="131"/>
      <c r="G167" s="131"/>
      <c r="H167" s="131"/>
      <c r="I167" s="132">
        <f t="shared" si="11"/>
        <v>0</v>
      </c>
      <c r="J167" s="132">
        <f t="shared" si="12"/>
        <v>0</v>
      </c>
    </row>
    <row r="168" spans="2:10" x14ac:dyDescent="0.5">
      <c r="B168" s="130">
        <f t="shared" si="10"/>
        <v>135</v>
      </c>
      <c r="C168" s="137"/>
      <c r="D168" s="131"/>
      <c r="E168" s="131"/>
      <c r="F168" s="131"/>
      <c r="G168" s="131"/>
      <c r="H168" s="131"/>
      <c r="I168" s="132">
        <f t="shared" si="11"/>
        <v>0</v>
      </c>
      <c r="J168" s="132">
        <f t="shared" si="12"/>
        <v>0</v>
      </c>
    </row>
    <row r="169" spans="2:10" x14ac:dyDescent="0.5">
      <c r="B169" s="130">
        <f t="shared" si="10"/>
        <v>136</v>
      </c>
      <c r="C169" s="137"/>
      <c r="D169" s="131"/>
      <c r="E169" s="131"/>
      <c r="F169" s="131"/>
      <c r="G169" s="131"/>
      <c r="H169" s="131"/>
      <c r="I169" s="132">
        <f t="shared" si="11"/>
        <v>0</v>
      </c>
      <c r="J169" s="132">
        <f t="shared" si="12"/>
        <v>0</v>
      </c>
    </row>
    <row r="170" spans="2:10" x14ac:dyDescent="0.5">
      <c r="B170" s="130">
        <f t="shared" si="10"/>
        <v>137</v>
      </c>
      <c r="C170" s="137"/>
      <c r="D170" s="131"/>
      <c r="E170" s="131"/>
      <c r="F170" s="131"/>
      <c r="G170" s="131"/>
      <c r="H170" s="131"/>
      <c r="I170" s="132">
        <f t="shared" si="11"/>
        <v>0</v>
      </c>
      <c r="J170" s="132">
        <f t="shared" si="12"/>
        <v>0</v>
      </c>
    </row>
    <row r="171" spans="2:10" x14ac:dyDescent="0.5">
      <c r="B171" s="130">
        <f t="shared" si="10"/>
        <v>138</v>
      </c>
      <c r="C171" s="137"/>
      <c r="D171" s="131"/>
      <c r="E171" s="131"/>
      <c r="F171" s="131"/>
      <c r="G171" s="131"/>
      <c r="H171" s="131"/>
      <c r="I171" s="132">
        <f t="shared" si="11"/>
        <v>0</v>
      </c>
      <c r="J171" s="132">
        <f t="shared" si="12"/>
        <v>0</v>
      </c>
    </row>
    <row r="172" spans="2:10" x14ac:dyDescent="0.5">
      <c r="B172" s="130">
        <f t="shared" si="10"/>
        <v>139</v>
      </c>
      <c r="C172" s="137"/>
      <c r="D172" s="131"/>
      <c r="E172" s="131"/>
      <c r="F172" s="131"/>
      <c r="G172" s="131"/>
      <c r="H172" s="131"/>
      <c r="I172" s="132">
        <f t="shared" si="11"/>
        <v>0</v>
      </c>
      <c r="J172" s="132">
        <f t="shared" si="12"/>
        <v>0</v>
      </c>
    </row>
    <row r="173" spans="2:10" x14ac:dyDescent="0.5">
      <c r="B173" s="130">
        <f t="shared" si="10"/>
        <v>140</v>
      </c>
      <c r="C173" s="137"/>
      <c r="D173" s="131"/>
      <c r="E173" s="131"/>
      <c r="F173" s="131"/>
      <c r="G173" s="131"/>
      <c r="H173" s="131"/>
      <c r="I173" s="132">
        <f t="shared" si="11"/>
        <v>0</v>
      </c>
      <c r="J173" s="132">
        <f t="shared" si="12"/>
        <v>0</v>
      </c>
    </row>
    <row r="174" spans="2:10" x14ac:dyDescent="0.5">
      <c r="B174" s="130">
        <f t="shared" si="10"/>
        <v>141</v>
      </c>
      <c r="C174" s="137"/>
      <c r="D174" s="131"/>
      <c r="E174" s="131"/>
      <c r="F174" s="131"/>
      <c r="G174" s="131"/>
      <c r="H174" s="131"/>
      <c r="I174" s="132">
        <f t="shared" si="11"/>
        <v>0</v>
      </c>
      <c r="J174" s="132">
        <f t="shared" si="12"/>
        <v>0</v>
      </c>
    </row>
    <row r="175" spans="2:10" x14ac:dyDescent="0.5">
      <c r="B175" s="130">
        <f t="shared" si="10"/>
        <v>142</v>
      </c>
      <c r="C175" s="137"/>
      <c r="D175" s="131"/>
      <c r="E175" s="131"/>
      <c r="F175" s="131"/>
      <c r="G175" s="131"/>
      <c r="H175" s="131"/>
      <c r="I175" s="132">
        <f t="shared" si="11"/>
        <v>0</v>
      </c>
      <c r="J175" s="132">
        <f t="shared" si="12"/>
        <v>0</v>
      </c>
    </row>
    <row r="176" spans="2:10" x14ac:dyDescent="0.5">
      <c r="B176" s="130">
        <f t="shared" si="10"/>
        <v>143</v>
      </c>
      <c r="C176" s="137"/>
      <c r="D176" s="131"/>
      <c r="E176" s="131"/>
      <c r="F176" s="131"/>
      <c r="G176" s="131"/>
      <c r="H176" s="131"/>
      <c r="I176" s="132">
        <f t="shared" si="11"/>
        <v>0</v>
      </c>
      <c r="J176" s="132">
        <f t="shared" si="12"/>
        <v>0</v>
      </c>
    </row>
    <row r="177" spans="2:10" x14ac:dyDescent="0.5">
      <c r="B177" s="130">
        <f t="shared" si="10"/>
        <v>144</v>
      </c>
      <c r="C177" s="137"/>
      <c r="D177" s="131"/>
      <c r="E177" s="131"/>
      <c r="F177" s="131"/>
      <c r="G177" s="131"/>
      <c r="H177" s="131"/>
      <c r="I177" s="132">
        <f t="shared" si="11"/>
        <v>0</v>
      </c>
      <c r="J177" s="132">
        <f t="shared" si="12"/>
        <v>0</v>
      </c>
    </row>
    <row r="178" spans="2:10" x14ac:dyDescent="0.5">
      <c r="B178" s="130">
        <f t="shared" si="10"/>
        <v>145</v>
      </c>
      <c r="C178" s="137"/>
      <c r="D178" s="131"/>
      <c r="E178" s="131"/>
      <c r="F178" s="131"/>
      <c r="G178" s="131"/>
      <c r="H178" s="131"/>
      <c r="I178" s="132">
        <f t="shared" si="11"/>
        <v>0</v>
      </c>
      <c r="J178" s="132">
        <f t="shared" si="12"/>
        <v>0</v>
      </c>
    </row>
    <row r="179" spans="2:10" x14ac:dyDescent="0.5">
      <c r="B179" s="130">
        <f t="shared" si="10"/>
        <v>146</v>
      </c>
      <c r="C179" s="137"/>
      <c r="D179" s="131"/>
      <c r="E179" s="131"/>
      <c r="F179" s="131"/>
      <c r="G179" s="131"/>
      <c r="H179" s="131"/>
      <c r="I179" s="132">
        <f t="shared" si="11"/>
        <v>0</v>
      </c>
      <c r="J179" s="132">
        <f t="shared" si="12"/>
        <v>0</v>
      </c>
    </row>
    <row r="180" spans="2:10" x14ac:dyDescent="0.5">
      <c r="B180" s="130">
        <f t="shared" si="10"/>
        <v>147</v>
      </c>
      <c r="C180" s="137"/>
      <c r="D180" s="131"/>
      <c r="E180" s="131"/>
      <c r="F180" s="131"/>
      <c r="G180" s="131"/>
      <c r="H180" s="131"/>
      <c r="I180" s="132">
        <f t="shared" si="11"/>
        <v>0</v>
      </c>
      <c r="J180" s="132">
        <f t="shared" si="12"/>
        <v>0</v>
      </c>
    </row>
    <row r="181" spans="2:10" x14ac:dyDescent="0.5">
      <c r="B181" s="130">
        <f t="shared" si="10"/>
        <v>148</v>
      </c>
      <c r="C181" s="137"/>
      <c r="D181" s="131"/>
      <c r="E181" s="131"/>
      <c r="F181" s="131"/>
      <c r="G181" s="131"/>
      <c r="H181" s="131"/>
      <c r="I181" s="132">
        <f t="shared" si="11"/>
        <v>0</v>
      </c>
      <c r="J181" s="132">
        <f t="shared" si="12"/>
        <v>0</v>
      </c>
    </row>
    <row r="182" spans="2:10" x14ac:dyDescent="0.5">
      <c r="B182" s="130">
        <f t="shared" si="10"/>
        <v>149</v>
      </c>
      <c r="C182" s="137"/>
      <c r="D182" s="131"/>
      <c r="E182" s="131"/>
      <c r="F182" s="131"/>
      <c r="G182" s="131"/>
      <c r="H182" s="131"/>
      <c r="I182" s="132">
        <f t="shared" si="11"/>
        <v>0</v>
      </c>
      <c r="J182" s="132">
        <f t="shared" si="12"/>
        <v>0</v>
      </c>
    </row>
    <row r="183" spans="2:10" x14ac:dyDescent="0.5">
      <c r="B183" s="130">
        <f t="shared" si="10"/>
        <v>150</v>
      </c>
      <c r="C183" s="137"/>
      <c r="D183" s="131"/>
      <c r="E183" s="131"/>
      <c r="F183" s="131"/>
      <c r="G183" s="131"/>
      <c r="H183" s="131"/>
      <c r="I183" s="132">
        <f t="shared" si="11"/>
        <v>0</v>
      </c>
      <c r="J183" s="132">
        <f t="shared" si="12"/>
        <v>0</v>
      </c>
    </row>
    <row r="184" spans="2:10" x14ac:dyDescent="0.5">
      <c r="B184" s="130">
        <f t="shared" si="10"/>
        <v>151</v>
      </c>
      <c r="C184" s="137"/>
      <c r="D184" s="131"/>
      <c r="E184" s="131"/>
      <c r="F184" s="131"/>
      <c r="G184" s="131"/>
      <c r="H184" s="131"/>
      <c r="I184" s="132">
        <f t="shared" si="11"/>
        <v>0</v>
      </c>
      <c r="J184" s="132">
        <f t="shared" si="12"/>
        <v>0</v>
      </c>
    </row>
    <row r="185" spans="2:10" x14ac:dyDescent="0.5">
      <c r="B185" s="130">
        <f t="shared" si="10"/>
        <v>152</v>
      </c>
      <c r="C185" s="137"/>
      <c r="D185" s="131"/>
      <c r="E185" s="131"/>
      <c r="F185" s="131"/>
      <c r="G185" s="131"/>
      <c r="H185" s="131"/>
      <c r="I185" s="132">
        <f t="shared" si="11"/>
        <v>0</v>
      </c>
      <c r="J185" s="132">
        <f t="shared" si="12"/>
        <v>0</v>
      </c>
    </row>
    <row r="186" spans="2:10" x14ac:dyDescent="0.5">
      <c r="B186" s="130">
        <f t="shared" si="10"/>
        <v>153</v>
      </c>
      <c r="C186" s="137"/>
      <c r="D186" s="131"/>
      <c r="E186" s="131"/>
      <c r="F186" s="131"/>
      <c r="G186" s="131"/>
      <c r="H186" s="131"/>
      <c r="I186" s="132">
        <f t="shared" si="11"/>
        <v>0</v>
      </c>
      <c r="J186" s="132">
        <f t="shared" si="12"/>
        <v>0</v>
      </c>
    </row>
    <row r="187" spans="2:10" x14ac:dyDescent="0.5">
      <c r="B187" s="130">
        <f t="shared" si="10"/>
        <v>154</v>
      </c>
      <c r="C187" s="137"/>
      <c r="D187" s="131"/>
      <c r="E187" s="131"/>
      <c r="F187" s="131"/>
      <c r="G187" s="131"/>
      <c r="H187" s="131"/>
      <c r="I187" s="132">
        <f t="shared" si="11"/>
        <v>0</v>
      </c>
      <c r="J187" s="132">
        <f t="shared" si="12"/>
        <v>0</v>
      </c>
    </row>
    <row r="188" spans="2:10" x14ac:dyDescent="0.5">
      <c r="B188" s="130">
        <f t="shared" si="10"/>
        <v>155</v>
      </c>
      <c r="C188" s="137"/>
      <c r="D188" s="131"/>
      <c r="E188" s="131"/>
      <c r="F188" s="131"/>
      <c r="G188" s="131"/>
      <c r="H188" s="131"/>
      <c r="I188" s="132">
        <f t="shared" si="11"/>
        <v>0</v>
      </c>
      <c r="J188" s="132">
        <f t="shared" si="12"/>
        <v>0</v>
      </c>
    </row>
    <row r="189" spans="2:10" x14ac:dyDescent="0.5">
      <c r="B189" s="130">
        <f t="shared" si="10"/>
        <v>156</v>
      </c>
      <c r="C189" s="137"/>
      <c r="D189" s="131"/>
      <c r="E189" s="131"/>
      <c r="F189" s="131"/>
      <c r="G189" s="131"/>
      <c r="H189" s="131"/>
      <c r="I189" s="132">
        <f t="shared" si="11"/>
        <v>0</v>
      </c>
      <c r="J189" s="132">
        <f t="shared" si="12"/>
        <v>0</v>
      </c>
    </row>
    <row r="190" spans="2:10" x14ac:dyDescent="0.5">
      <c r="B190" s="130">
        <f t="shared" si="10"/>
        <v>157</v>
      </c>
      <c r="C190" s="137"/>
      <c r="D190" s="131"/>
      <c r="E190" s="131"/>
      <c r="F190" s="131"/>
      <c r="G190" s="131"/>
      <c r="H190" s="131"/>
      <c r="I190" s="132">
        <f t="shared" si="11"/>
        <v>0</v>
      </c>
      <c r="J190" s="132">
        <f t="shared" si="12"/>
        <v>0</v>
      </c>
    </row>
    <row r="191" spans="2:10" x14ac:dyDescent="0.5">
      <c r="B191" s="130">
        <f t="shared" si="10"/>
        <v>158</v>
      </c>
      <c r="C191" s="137"/>
      <c r="D191" s="131"/>
      <c r="E191" s="131"/>
      <c r="F191" s="131"/>
      <c r="G191" s="131"/>
      <c r="H191" s="131"/>
      <c r="I191" s="132">
        <f t="shared" si="11"/>
        <v>0</v>
      </c>
      <c r="J191" s="132">
        <f t="shared" si="12"/>
        <v>0</v>
      </c>
    </row>
    <row r="192" spans="2:10" x14ac:dyDescent="0.5">
      <c r="B192" s="130">
        <f t="shared" si="10"/>
        <v>159</v>
      </c>
      <c r="C192" s="137"/>
      <c r="D192" s="131"/>
      <c r="E192" s="131"/>
      <c r="F192" s="131"/>
      <c r="G192" s="131"/>
      <c r="H192" s="131"/>
      <c r="I192" s="132">
        <f t="shared" si="11"/>
        <v>0</v>
      </c>
      <c r="J192" s="132">
        <f t="shared" si="12"/>
        <v>0</v>
      </c>
    </row>
    <row r="193" spans="2:10" x14ac:dyDescent="0.5">
      <c r="B193" s="130">
        <f t="shared" si="10"/>
        <v>160</v>
      </c>
      <c r="C193" s="137"/>
      <c r="D193" s="131"/>
      <c r="E193" s="131"/>
      <c r="F193" s="131"/>
      <c r="G193" s="131"/>
      <c r="H193" s="131"/>
      <c r="I193" s="132">
        <f t="shared" si="11"/>
        <v>0</v>
      </c>
      <c r="J193" s="132">
        <f t="shared" si="12"/>
        <v>0</v>
      </c>
    </row>
    <row r="194" spans="2:10" x14ac:dyDescent="0.5">
      <c r="B194" s="130">
        <f t="shared" si="10"/>
        <v>161</v>
      </c>
      <c r="C194" s="137"/>
      <c r="D194" s="131"/>
      <c r="E194" s="131"/>
      <c r="F194" s="131"/>
      <c r="G194" s="131"/>
      <c r="H194" s="131"/>
      <c r="I194" s="132">
        <f t="shared" si="11"/>
        <v>0</v>
      </c>
      <c r="J194" s="132">
        <f t="shared" si="12"/>
        <v>0</v>
      </c>
    </row>
    <row r="195" spans="2:10" x14ac:dyDescent="0.5">
      <c r="B195" s="130">
        <f t="shared" si="10"/>
        <v>162</v>
      </c>
      <c r="C195" s="137"/>
      <c r="D195" s="131"/>
      <c r="E195" s="131"/>
      <c r="F195" s="131"/>
      <c r="G195" s="131"/>
      <c r="H195" s="131"/>
      <c r="I195" s="132">
        <f t="shared" si="11"/>
        <v>0</v>
      </c>
      <c r="J195" s="132">
        <f t="shared" si="12"/>
        <v>0</v>
      </c>
    </row>
    <row r="196" spans="2:10" x14ac:dyDescent="0.5">
      <c r="B196" s="130">
        <f t="shared" si="10"/>
        <v>163</v>
      </c>
      <c r="C196" s="137"/>
      <c r="D196" s="131"/>
      <c r="E196" s="131"/>
      <c r="F196" s="131"/>
      <c r="G196" s="131"/>
      <c r="H196" s="131"/>
      <c r="I196" s="132">
        <f t="shared" si="11"/>
        <v>0</v>
      </c>
      <c r="J196" s="132">
        <f t="shared" si="12"/>
        <v>0</v>
      </c>
    </row>
    <row r="197" spans="2:10" x14ac:dyDescent="0.5">
      <c r="B197" s="130">
        <f t="shared" si="10"/>
        <v>164</v>
      </c>
      <c r="C197" s="137"/>
      <c r="D197" s="131"/>
      <c r="E197" s="131"/>
      <c r="F197" s="131"/>
      <c r="G197" s="131"/>
      <c r="H197" s="131"/>
      <c r="I197" s="132">
        <f t="shared" si="11"/>
        <v>0</v>
      </c>
      <c r="J197" s="132">
        <f t="shared" si="12"/>
        <v>0</v>
      </c>
    </row>
    <row r="198" spans="2:10" x14ac:dyDescent="0.5">
      <c r="B198" s="130">
        <f t="shared" si="10"/>
        <v>165</v>
      </c>
      <c r="C198" s="137"/>
      <c r="D198" s="131"/>
      <c r="E198" s="131"/>
      <c r="F198" s="131"/>
      <c r="G198" s="131"/>
      <c r="H198" s="131"/>
      <c r="I198" s="132">
        <f t="shared" si="11"/>
        <v>0</v>
      </c>
      <c r="J198" s="132">
        <f t="shared" si="12"/>
        <v>0</v>
      </c>
    </row>
    <row r="199" spans="2:10" x14ac:dyDescent="0.5">
      <c r="B199" s="130">
        <f t="shared" si="10"/>
        <v>166</v>
      </c>
      <c r="C199" s="137"/>
      <c r="D199" s="131"/>
      <c r="E199" s="131"/>
      <c r="F199" s="131"/>
      <c r="G199" s="131"/>
      <c r="H199" s="131"/>
      <c r="I199" s="132">
        <f t="shared" si="11"/>
        <v>0</v>
      </c>
      <c r="J199" s="132">
        <f t="shared" si="12"/>
        <v>0</v>
      </c>
    </row>
    <row r="200" spans="2:10" x14ac:dyDescent="0.5">
      <c r="B200" s="130">
        <f t="shared" si="10"/>
        <v>167</v>
      </c>
      <c r="C200" s="137"/>
      <c r="D200" s="131"/>
      <c r="E200" s="131"/>
      <c r="F200" s="131"/>
      <c r="G200" s="131"/>
      <c r="H200" s="131"/>
      <c r="I200" s="132">
        <f t="shared" si="11"/>
        <v>0</v>
      </c>
      <c r="J200" s="132">
        <f t="shared" si="12"/>
        <v>0</v>
      </c>
    </row>
    <row r="201" spans="2:10" x14ac:dyDescent="0.5">
      <c r="B201" s="130">
        <f t="shared" si="10"/>
        <v>168</v>
      </c>
      <c r="C201" s="137"/>
      <c r="D201" s="131"/>
      <c r="E201" s="131"/>
      <c r="F201" s="131"/>
      <c r="G201" s="131"/>
      <c r="H201" s="131"/>
      <c r="I201" s="132">
        <f t="shared" si="11"/>
        <v>0</v>
      </c>
      <c r="J201" s="132">
        <f t="shared" si="12"/>
        <v>0</v>
      </c>
    </row>
    <row r="202" spans="2:10" x14ac:dyDescent="0.5">
      <c r="B202" s="130">
        <f t="shared" si="10"/>
        <v>169</v>
      </c>
      <c r="C202" s="137"/>
      <c r="D202" s="131"/>
      <c r="E202" s="131"/>
      <c r="F202" s="131"/>
      <c r="G202" s="131"/>
      <c r="H202" s="131"/>
      <c r="I202" s="132">
        <f t="shared" si="11"/>
        <v>0</v>
      </c>
      <c r="J202" s="132">
        <f t="shared" si="12"/>
        <v>0</v>
      </c>
    </row>
    <row r="203" spans="2:10" x14ac:dyDescent="0.5">
      <c r="B203" s="130">
        <f t="shared" si="10"/>
        <v>170</v>
      </c>
      <c r="C203" s="137"/>
      <c r="D203" s="131"/>
      <c r="E203" s="131"/>
      <c r="F203" s="131"/>
      <c r="G203" s="131"/>
      <c r="H203" s="131"/>
      <c r="I203" s="132">
        <f t="shared" si="11"/>
        <v>0</v>
      </c>
      <c r="J203" s="132">
        <f t="shared" si="12"/>
        <v>0</v>
      </c>
    </row>
    <row r="204" spans="2:10" x14ac:dyDescent="0.5">
      <c r="B204" s="130">
        <f t="shared" si="10"/>
        <v>171</v>
      </c>
      <c r="C204" s="137"/>
      <c r="D204" s="131"/>
      <c r="E204" s="131"/>
      <c r="F204" s="131"/>
      <c r="G204" s="131"/>
      <c r="H204" s="131"/>
      <c r="I204" s="132">
        <f t="shared" si="11"/>
        <v>0</v>
      </c>
      <c r="J204" s="132">
        <f t="shared" si="12"/>
        <v>0</v>
      </c>
    </row>
    <row r="205" spans="2:10" x14ac:dyDescent="0.5">
      <c r="B205" s="130">
        <f t="shared" si="10"/>
        <v>172</v>
      </c>
      <c r="C205" s="137"/>
      <c r="D205" s="131"/>
      <c r="E205" s="131"/>
      <c r="F205" s="131"/>
      <c r="G205" s="131"/>
      <c r="H205" s="131"/>
      <c r="I205" s="132">
        <f t="shared" si="11"/>
        <v>0</v>
      </c>
      <c r="J205" s="132">
        <f t="shared" si="12"/>
        <v>0</v>
      </c>
    </row>
    <row r="206" spans="2:10" x14ac:dyDescent="0.5">
      <c r="B206" s="130">
        <f t="shared" si="10"/>
        <v>173</v>
      </c>
      <c r="C206" s="137"/>
      <c r="D206" s="131"/>
      <c r="E206" s="131"/>
      <c r="F206" s="131"/>
      <c r="G206" s="131"/>
      <c r="H206" s="131"/>
      <c r="I206" s="132">
        <f t="shared" si="11"/>
        <v>0</v>
      </c>
      <c r="J206" s="132">
        <f t="shared" si="12"/>
        <v>0</v>
      </c>
    </row>
    <row r="207" spans="2:10" x14ac:dyDescent="0.5">
      <c r="B207" s="130">
        <f t="shared" si="10"/>
        <v>174</v>
      </c>
      <c r="C207" s="137"/>
      <c r="D207" s="131"/>
      <c r="E207" s="131"/>
      <c r="F207" s="131"/>
      <c r="G207" s="131"/>
      <c r="H207" s="131"/>
      <c r="I207" s="132">
        <f t="shared" si="11"/>
        <v>0</v>
      </c>
      <c r="J207" s="132">
        <f t="shared" si="12"/>
        <v>0</v>
      </c>
    </row>
    <row r="208" spans="2:10" x14ac:dyDescent="0.5">
      <c r="B208" s="130">
        <f t="shared" si="10"/>
        <v>175</v>
      </c>
      <c r="C208" s="137"/>
      <c r="D208" s="131"/>
      <c r="E208" s="131"/>
      <c r="F208" s="131"/>
      <c r="G208" s="131"/>
      <c r="H208" s="131"/>
      <c r="I208" s="132">
        <f t="shared" si="11"/>
        <v>0</v>
      </c>
      <c r="J208" s="132">
        <f t="shared" si="12"/>
        <v>0</v>
      </c>
    </row>
    <row r="209" spans="2:10" x14ac:dyDescent="0.5">
      <c r="B209" s="130">
        <f t="shared" si="10"/>
        <v>176</v>
      </c>
      <c r="C209" s="137"/>
      <c r="D209" s="131"/>
      <c r="E209" s="131"/>
      <c r="F209" s="131"/>
      <c r="G209" s="131"/>
      <c r="H209" s="131"/>
      <c r="I209" s="132">
        <f t="shared" si="11"/>
        <v>0</v>
      </c>
      <c r="J209" s="132">
        <f t="shared" si="12"/>
        <v>0</v>
      </c>
    </row>
    <row r="210" spans="2:10" x14ac:dyDescent="0.5">
      <c r="B210" s="130">
        <f t="shared" si="10"/>
        <v>177</v>
      </c>
      <c r="C210" s="137"/>
      <c r="D210" s="131"/>
      <c r="E210" s="131"/>
      <c r="F210" s="131"/>
      <c r="G210" s="131"/>
      <c r="H210" s="131"/>
      <c r="I210" s="132">
        <f t="shared" si="11"/>
        <v>0</v>
      </c>
      <c r="J210" s="132">
        <f t="shared" si="12"/>
        <v>0</v>
      </c>
    </row>
    <row r="211" spans="2:10" x14ac:dyDescent="0.5">
      <c r="B211" s="130">
        <f t="shared" si="10"/>
        <v>178</v>
      </c>
      <c r="C211" s="137"/>
      <c r="D211" s="131"/>
      <c r="E211" s="131"/>
      <c r="F211" s="131"/>
      <c r="G211" s="131"/>
      <c r="H211" s="131"/>
      <c r="I211" s="132">
        <f t="shared" si="11"/>
        <v>0</v>
      </c>
      <c r="J211" s="132">
        <f t="shared" si="12"/>
        <v>0</v>
      </c>
    </row>
    <row r="212" spans="2:10" x14ac:dyDescent="0.5">
      <c r="B212" s="130">
        <f t="shared" si="10"/>
        <v>179</v>
      </c>
      <c r="C212" s="137"/>
      <c r="D212" s="131"/>
      <c r="E212" s="131"/>
      <c r="F212" s="131"/>
      <c r="G212" s="131"/>
      <c r="H212" s="131"/>
      <c r="I212" s="132">
        <f t="shared" si="11"/>
        <v>0</v>
      </c>
      <c r="J212" s="132">
        <f t="shared" si="12"/>
        <v>0</v>
      </c>
    </row>
    <row r="213" spans="2:10" x14ac:dyDescent="0.5">
      <c r="B213" s="130">
        <f t="shared" si="10"/>
        <v>180</v>
      </c>
      <c r="C213" s="137"/>
      <c r="D213" s="131"/>
      <c r="E213" s="131"/>
      <c r="F213" s="131"/>
      <c r="G213" s="131"/>
      <c r="H213" s="131"/>
      <c r="I213" s="132">
        <f t="shared" si="11"/>
        <v>0</v>
      </c>
      <c r="J213" s="132">
        <f t="shared" si="12"/>
        <v>0</v>
      </c>
    </row>
    <row r="214" spans="2:10" x14ac:dyDescent="0.5">
      <c r="B214" s="130">
        <f t="shared" si="10"/>
        <v>181</v>
      </c>
      <c r="C214" s="137"/>
      <c r="D214" s="131"/>
      <c r="E214" s="131"/>
      <c r="F214" s="131"/>
      <c r="G214" s="131"/>
      <c r="H214" s="131"/>
      <c r="I214" s="132">
        <f t="shared" si="11"/>
        <v>0</v>
      </c>
      <c r="J214" s="132">
        <f t="shared" si="12"/>
        <v>0</v>
      </c>
    </row>
    <row r="215" spans="2:10" x14ac:dyDescent="0.5">
      <c r="B215" s="130">
        <f t="shared" si="10"/>
        <v>182</v>
      </c>
      <c r="C215" s="137"/>
      <c r="D215" s="131"/>
      <c r="E215" s="131"/>
      <c r="F215" s="131"/>
      <c r="G215" s="131"/>
      <c r="H215" s="131"/>
      <c r="I215" s="132">
        <f t="shared" si="11"/>
        <v>0</v>
      </c>
      <c r="J215" s="132">
        <f t="shared" si="12"/>
        <v>0</v>
      </c>
    </row>
    <row r="216" spans="2:10" x14ac:dyDescent="0.5">
      <c r="B216" s="130">
        <f t="shared" si="10"/>
        <v>183</v>
      </c>
      <c r="C216" s="137"/>
      <c r="D216" s="131"/>
      <c r="E216" s="131"/>
      <c r="F216" s="131"/>
      <c r="G216" s="131"/>
      <c r="H216" s="131"/>
      <c r="I216" s="132">
        <f t="shared" si="11"/>
        <v>0</v>
      </c>
      <c r="J216" s="132">
        <f t="shared" si="12"/>
        <v>0</v>
      </c>
    </row>
    <row r="217" spans="2:10" x14ac:dyDescent="0.5">
      <c r="B217" s="130">
        <f t="shared" si="10"/>
        <v>184</v>
      </c>
      <c r="C217" s="137"/>
      <c r="D217" s="131"/>
      <c r="E217" s="131"/>
      <c r="F217" s="131"/>
      <c r="G217" s="131"/>
      <c r="H217" s="131"/>
      <c r="I217" s="132">
        <f t="shared" si="11"/>
        <v>0</v>
      </c>
      <c r="J217" s="132">
        <f t="shared" si="12"/>
        <v>0</v>
      </c>
    </row>
    <row r="218" spans="2:10" x14ac:dyDescent="0.5">
      <c r="B218" s="130">
        <f t="shared" si="10"/>
        <v>185</v>
      </c>
      <c r="C218" s="137"/>
      <c r="D218" s="131"/>
      <c r="E218" s="131"/>
      <c r="F218" s="131"/>
      <c r="G218" s="131"/>
      <c r="H218" s="131"/>
      <c r="I218" s="132">
        <f t="shared" si="11"/>
        <v>0</v>
      </c>
      <c r="J218" s="132">
        <f t="shared" si="12"/>
        <v>0</v>
      </c>
    </row>
    <row r="219" spans="2:10" x14ac:dyDescent="0.5">
      <c r="B219" s="130">
        <f t="shared" si="10"/>
        <v>186</v>
      </c>
      <c r="C219" s="137"/>
      <c r="D219" s="131"/>
      <c r="E219" s="131"/>
      <c r="F219" s="131"/>
      <c r="G219" s="131"/>
      <c r="H219" s="131"/>
      <c r="I219" s="132">
        <f t="shared" si="11"/>
        <v>0</v>
      </c>
      <c r="J219" s="132">
        <f t="shared" si="12"/>
        <v>0</v>
      </c>
    </row>
    <row r="220" spans="2:10" x14ac:dyDescent="0.5">
      <c r="B220" s="130">
        <f t="shared" si="10"/>
        <v>187</v>
      </c>
      <c r="C220" s="137"/>
      <c r="D220" s="131"/>
      <c r="E220" s="131"/>
      <c r="F220" s="131"/>
      <c r="G220" s="131"/>
      <c r="H220" s="131"/>
      <c r="I220" s="132">
        <f t="shared" si="11"/>
        <v>0</v>
      </c>
      <c r="J220" s="132">
        <f t="shared" si="12"/>
        <v>0</v>
      </c>
    </row>
    <row r="221" spans="2:10" x14ac:dyDescent="0.5">
      <c r="B221" s="130">
        <f t="shared" si="10"/>
        <v>188</v>
      </c>
      <c r="C221" s="137"/>
      <c r="D221" s="131"/>
      <c r="E221" s="131"/>
      <c r="F221" s="131"/>
      <c r="G221" s="131"/>
      <c r="H221" s="131"/>
      <c r="I221" s="132">
        <f t="shared" si="11"/>
        <v>0</v>
      </c>
      <c r="J221" s="132">
        <f t="shared" si="12"/>
        <v>0</v>
      </c>
    </row>
    <row r="222" spans="2:10" x14ac:dyDescent="0.5">
      <c r="B222" s="130">
        <f t="shared" si="10"/>
        <v>189</v>
      </c>
      <c r="C222" s="137"/>
      <c r="D222" s="131"/>
      <c r="E222" s="131"/>
      <c r="F222" s="131"/>
      <c r="G222" s="131"/>
      <c r="H222" s="131"/>
      <c r="I222" s="132">
        <f t="shared" si="11"/>
        <v>0</v>
      </c>
      <c r="J222" s="132">
        <f t="shared" si="12"/>
        <v>0</v>
      </c>
    </row>
    <row r="223" spans="2:10" x14ac:dyDescent="0.5">
      <c r="B223" s="130">
        <f t="shared" si="10"/>
        <v>190</v>
      </c>
      <c r="C223" s="137"/>
      <c r="D223" s="131"/>
      <c r="E223" s="131"/>
      <c r="F223" s="131"/>
      <c r="G223" s="131"/>
      <c r="H223" s="131"/>
      <c r="I223" s="132">
        <f t="shared" si="11"/>
        <v>0</v>
      </c>
      <c r="J223" s="132">
        <f t="shared" si="12"/>
        <v>0</v>
      </c>
    </row>
    <row r="224" spans="2:10" x14ac:dyDescent="0.5">
      <c r="B224" s="130">
        <f t="shared" si="10"/>
        <v>191</v>
      </c>
      <c r="C224" s="137"/>
      <c r="D224" s="131"/>
      <c r="E224" s="131"/>
      <c r="F224" s="131"/>
      <c r="G224" s="131"/>
      <c r="H224" s="131"/>
      <c r="I224" s="132">
        <f t="shared" si="11"/>
        <v>0</v>
      </c>
      <c r="J224" s="132">
        <f t="shared" si="12"/>
        <v>0</v>
      </c>
    </row>
    <row r="225" spans="2:10" x14ac:dyDescent="0.5">
      <c r="B225" s="130">
        <f t="shared" si="10"/>
        <v>192</v>
      </c>
      <c r="C225" s="137"/>
      <c r="D225" s="131"/>
      <c r="E225" s="131"/>
      <c r="F225" s="131"/>
      <c r="G225" s="131"/>
      <c r="H225" s="131"/>
      <c r="I225" s="132">
        <f t="shared" si="11"/>
        <v>0</v>
      </c>
      <c r="J225" s="132">
        <f t="shared" si="12"/>
        <v>0</v>
      </c>
    </row>
    <row r="226" spans="2:10" x14ac:dyDescent="0.5">
      <c r="B226" s="130">
        <f t="shared" ref="B226:B289" si="13">B225+1</f>
        <v>193</v>
      </c>
      <c r="C226" s="137"/>
      <c r="D226" s="131"/>
      <c r="E226" s="131"/>
      <c r="F226" s="131"/>
      <c r="G226" s="131"/>
      <c r="H226" s="131"/>
      <c r="I226" s="132">
        <f t="shared" si="11"/>
        <v>0</v>
      </c>
      <c r="J226" s="132">
        <f t="shared" si="12"/>
        <v>0</v>
      </c>
    </row>
    <row r="227" spans="2:10" x14ac:dyDescent="0.5">
      <c r="B227" s="130">
        <f t="shared" si="13"/>
        <v>194</v>
      </c>
      <c r="C227" s="137"/>
      <c r="D227" s="131"/>
      <c r="E227" s="131"/>
      <c r="F227" s="131"/>
      <c r="G227" s="131"/>
      <c r="H227" s="131"/>
      <c r="I227" s="132">
        <f t="shared" ref="I227:I290" si="14">SUM(D227:G227)</f>
        <v>0</v>
      </c>
      <c r="J227" s="132">
        <f t="shared" ref="J227:J290" si="15">I227-H227</f>
        <v>0</v>
      </c>
    </row>
    <row r="228" spans="2:10" x14ac:dyDescent="0.5">
      <c r="B228" s="130">
        <f t="shared" si="13"/>
        <v>195</v>
      </c>
      <c r="C228" s="137"/>
      <c r="D228" s="131"/>
      <c r="E228" s="131"/>
      <c r="F228" s="131"/>
      <c r="G228" s="131"/>
      <c r="H228" s="131"/>
      <c r="I228" s="132">
        <f t="shared" si="14"/>
        <v>0</v>
      </c>
      <c r="J228" s="132">
        <f t="shared" si="15"/>
        <v>0</v>
      </c>
    </row>
    <row r="229" spans="2:10" x14ac:dyDescent="0.5">
      <c r="B229" s="130">
        <f t="shared" si="13"/>
        <v>196</v>
      </c>
      <c r="C229" s="137"/>
      <c r="D229" s="131"/>
      <c r="E229" s="131"/>
      <c r="F229" s="131"/>
      <c r="G229" s="131"/>
      <c r="H229" s="131"/>
      <c r="I229" s="132">
        <f t="shared" si="14"/>
        <v>0</v>
      </c>
      <c r="J229" s="132">
        <f t="shared" si="15"/>
        <v>0</v>
      </c>
    </row>
    <row r="230" spans="2:10" x14ac:dyDescent="0.5">
      <c r="B230" s="130">
        <f t="shared" si="13"/>
        <v>197</v>
      </c>
      <c r="C230" s="137"/>
      <c r="D230" s="131"/>
      <c r="E230" s="131"/>
      <c r="F230" s="131"/>
      <c r="G230" s="131"/>
      <c r="H230" s="131"/>
      <c r="I230" s="132">
        <f t="shared" si="14"/>
        <v>0</v>
      </c>
      <c r="J230" s="132">
        <f t="shared" si="15"/>
        <v>0</v>
      </c>
    </row>
    <row r="231" spans="2:10" x14ac:dyDescent="0.5">
      <c r="B231" s="130">
        <f t="shared" si="13"/>
        <v>198</v>
      </c>
      <c r="C231" s="137"/>
      <c r="D231" s="131"/>
      <c r="E231" s="131"/>
      <c r="F231" s="131"/>
      <c r="G231" s="131"/>
      <c r="H231" s="131"/>
      <c r="I231" s="132">
        <f t="shared" si="14"/>
        <v>0</v>
      </c>
      <c r="J231" s="132">
        <f t="shared" si="15"/>
        <v>0</v>
      </c>
    </row>
    <row r="232" spans="2:10" x14ac:dyDescent="0.5">
      <c r="B232" s="130">
        <f t="shared" si="13"/>
        <v>199</v>
      </c>
      <c r="C232" s="137"/>
      <c r="D232" s="131"/>
      <c r="E232" s="131"/>
      <c r="F232" s="131"/>
      <c r="G232" s="131"/>
      <c r="H232" s="131"/>
      <c r="I232" s="132">
        <f t="shared" si="14"/>
        <v>0</v>
      </c>
      <c r="J232" s="132">
        <f t="shared" si="15"/>
        <v>0</v>
      </c>
    </row>
    <row r="233" spans="2:10" x14ac:dyDescent="0.5">
      <c r="B233" s="130">
        <f t="shared" si="13"/>
        <v>200</v>
      </c>
      <c r="C233" s="137"/>
      <c r="D233" s="131"/>
      <c r="E233" s="131"/>
      <c r="F233" s="131"/>
      <c r="G233" s="131"/>
      <c r="H233" s="131"/>
      <c r="I233" s="132">
        <f t="shared" si="14"/>
        <v>0</v>
      </c>
      <c r="J233" s="132">
        <f t="shared" si="15"/>
        <v>0</v>
      </c>
    </row>
    <row r="234" spans="2:10" x14ac:dyDescent="0.5">
      <c r="B234" s="130">
        <f t="shared" si="13"/>
        <v>201</v>
      </c>
      <c r="C234" s="137"/>
      <c r="D234" s="131"/>
      <c r="E234" s="131"/>
      <c r="F234" s="131"/>
      <c r="G234" s="131"/>
      <c r="H234" s="131"/>
      <c r="I234" s="132">
        <f t="shared" si="14"/>
        <v>0</v>
      </c>
      <c r="J234" s="132">
        <f t="shared" si="15"/>
        <v>0</v>
      </c>
    </row>
    <row r="235" spans="2:10" x14ac:dyDescent="0.5">
      <c r="B235" s="130">
        <f t="shared" si="13"/>
        <v>202</v>
      </c>
      <c r="C235" s="137"/>
      <c r="D235" s="131"/>
      <c r="E235" s="131"/>
      <c r="F235" s="131"/>
      <c r="G235" s="131"/>
      <c r="H235" s="131"/>
      <c r="I235" s="132">
        <f t="shared" si="14"/>
        <v>0</v>
      </c>
      <c r="J235" s="132">
        <f t="shared" si="15"/>
        <v>0</v>
      </c>
    </row>
    <row r="236" spans="2:10" x14ac:dyDescent="0.5">
      <c r="B236" s="130">
        <f t="shared" si="13"/>
        <v>203</v>
      </c>
      <c r="C236" s="137"/>
      <c r="D236" s="131"/>
      <c r="E236" s="131"/>
      <c r="F236" s="131"/>
      <c r="G236" s="131"/>
      <c r="H236" s="131"/>
      <c r="I236" s="132">
        <f t="shared" si="14"/>
        <v>0</v>
      </c>
      <c r="J236" s="132">
        <f t="shared" si="15"/>
        <v>0</v>
      </c>
    </row>
    <row r="237" spans="2:10" x14ac:dyDescent="0.5">
      <c r="B237" s="130">
        <f t="shared" si="13"/>
        <v>204</v>
      </c>
      <c r="C237" s="137"/>
      <c r="D237" s="131"/>
      <c r="E237" s="131"/>
      <c r="F237" s="131"/>
      <c r="G237" s="131"/>
      <c r="H237" s="131"/>
      <c r="I237" s="132">
        <f t="shared" si="14"/>
        <v>0</v>
      </c>
      <c r="J237" s="132">
        <f t="shared" si="15"/>
        <v>0</v>
      </c>
    </row>
    <row r="238" spans="2:10" x14ac:dyDescent="0.5">
      <c r="B238" s="130">
        <f t="shared" si="13"/>
        <v>205</v>
      </c>
      <c r="C238" s="137"/>
      <c r="D238" s="131"/>
      <c r="E238" s="131"/>
      <c r="F238" s="131"/>
      <c r="G238" s="131"/>
      <c r="H238" s="131"/>
      <c r="I238" s="132">
        <f t="shared" si="14"/>
        <v>0</v>
      </c>
      <c r="J238" s="132">
        <f t="shared" si="15"/>
        <v>0</v>
      </c>
    </row>
    <row r="239" spans="2:10" x14ac:dyDescent="0.5">
      <c r="B239" s="130">
        <f t="shared" si="13"/>
        <v>206</v>
      </c>
      <c r="C239" s="137"/>
      <c r="D239" s="131"/>
      <c r="E239" s="131"/>
      <c r="F239" s="131"/>
      <c r="G239" s="131"/>
      <c r="H239" s="131"/>
      <c r="I239" s="132">
        <f t="shared" si="14"/>
        <v>0</v>
      </c>
      <c r="J239" s="132">
        <f t="shared" si="15"/>
        <v>0</v>
      </c>
    </row>
    <row r="240" spans="2:10" x14ac:dyDescent="0.5">
      <c r="B240" s="130">
        <f t="shared" si="13"/>
        <v>207</v>
      </c>
      <c r="C240" s="137"/>
      <c r="D240" s="131"/>
      <c r="E240" s="131"/>
      <c r="F240" s="131"/>
      <c r="G240" s="131"/>
      <c r="H240" s="131"/>
      <c r="I240" s="132">
        <f t="shared" si="14"/>
        <v>0</v>
      </c>
      <c r="J240" s="132">
        <f t="shared" si="15"/>
        <v>0</v>
      </c>
    </row>
    <row r="241" spans="2:10" x14ac:dyDescent="0.5">
      <c r="B241" s="130">
        <f t="shared" si="13"/>
        <v>208</v>
      </c>
      <c r="C241" s="137"/>
      <c r="D241" s="131"/>
      <c r="E241" s="131"/>
      <c r="F241" s="131"/>
      <c r="G241" s="131"/>
      <c r="H241" s="131"/>
      <c r="I241" s="132">
        <f t="shared" si="14"/>
        <v>0</v>
      </c>
      <c r="J241" s="132">
        <f t="shared" si="15"/>
        <v>0</v>
      </c>
    </row>
    <row r="242" spans="2:10" x14ac:dyDescent="0.5">
      <c r="B242" s="130">
        <f t="shared" si="13"/>
        <v>209</v>
      </c>
      <c r="C242" s="137"/>
      <c r="D242" s="131"/>
      <c r="E242" s="131"/>
      <c r="F242" s="131"/>
      <c r="G242" s="131"/>
      <c r="H242" s="131"/>
      <c r="I242" s="132">
        <f t="shared" si="14"/>
        <v>0</v>
      </c>
      <c r="J242" s="132">
        <f t="shared" si="15"/>
        <v>0</v>
      </c>
    </row>
    <row r="243" spans="2:10" x14ac:dyDescent="0.5">
      <c r="B243" s="130">
        <f t="shared" si="13"/>
        <v>210</v>
      </c>
      <c r="C243" s="137"/>
      <c r="D243" s="131"/>
      <c r="E243" s="131"/>
      <c r="F243" s="131"/>
      <c r="G243" s="131"/>
      <c r="H243" s="131"/>
      <c r="I243" s="132">
        <f t="shared" si="14"/>
        <v>0</v>
      </c>
      <c r="J243" s="132">
        <f t="shared" si="15"/>
        <v>0</v>
      </c>
    </row>
    <row r="244" spans="2:10" x14ac:dyDescent="0.5">
      <c r="B244" s="130">
        <f t="shared" si="13"/>
        <v>211</v>
      </c>
      <c r="C244" s="137"/>
      <c r="D244" s="131"/>
      <c r="E244" s="131"/>
      <c r="F244" s="131"/>
      <c r="G244" s="131"/>
      <c r="H244" s="131"/>
      <c r="I244" s="132">
        <f t="shared" si="14"/>
        <v>0</v>
      </c>
      <c r="J244" s="132">
        <f t="shared" si="15"/>
        <v>0</v>
      </c>
    </row>
    <row r="245" spans="2:10" x14ac:dyDescent="0.5">
      <c r="B245" s="130">
        <f t="shared" si="13"/>
        <v>212</v>
      </c>
      <c r="C245" s="137"/>
      <c r="D245" s="131"/>
      <c r="E245" s="131"/>
      <c r="F245" s="131"/>
      <c r="G245" s="131"/>
      <c r="H245" s="131"/>
      <c r="I245" s="132">
        <f t="shared" si="14"/>
        <v>0</v>
      </c>
      <c r="J245" s="132">
        <f t="shared" si="15"/>
        <v>0</v>
      </c>
    </row>
    <row r="246" spans="2:10" x14ac:dyDescent="0.5">
      <c r="B246" s="130">
        <f t="shared" si="13"/>
        <v>213</v>
      </c>
      <c r="C246" s="137"/>
      <c r="D246" s="131"/>
      <c r="E246" s="131"/>
      <c r="F246" s="131"/>
      <c r="G246" s="131"/>
      <c r="H246" s="131"/>
      <c r="I246" s="132">
        <f t="shared" si="14"/>
        <v>0</v>
      </c>
      <c r="J246" s="132">
        <f t="shared" si="15"/>
        <v>0</v>
      </c>
    </row>
    <row r="247" spans="2:10" x14ac:dyDescent="0.5">
      <c r="B247" s="130">
        <f t="shared" si="13"/>
        <v>214</v>
      </c>
      <c r="C247" s="137"/>
      <c r="D247" s="131"/>
      <c r="E247" s="131"/>
      <c r="F247" s="131"/>
      <c r="G247" s="131"/>
      <c r="H247" s="131"/>
      <c r="I247" s="132">
        <f t="shared" si="14"/>
        <v>0</v>
      </c>
      <c r="J247" s="132">
        <f t="shared" si="15"/>
        <v>0</v>
      </c>
    </row>
    <row r="248" spans="2:10" x14ac:dyDescent="0.5">
      <c r="B248" s="130">
        <f t="shared" si="13"/>
        <v>215</v>
      </c>
      <c r="C248" s="137"/>
      <c r="D248" s="131"/>
      <c r="E248" s="131"/>
      <c r="F248" s="131"/>
      <c r="G248" s="131"/>
      <c r="H248" s="131"/>
      <c r="I248" s="132">
        <f t="shared" si="14"/>
        <v>0</v>
      </c>
      <c r="J248" s="132">
        <f t="shared" si="15"/>
        <v>0</v>
      </c>
    </row>
    <row r="249" spans="2:10" x14ac:dyDescent="0.5">
      <c r="B249" s="130">
        <f t="shared" si="13"/>
        <v>216</v>
      </c>
      <c r="C249" s="137"/>
      <c r="D249" s="131"/>
      <c r="E249" s="131"/>
      <c r="F249" s="131"/>
      <c r="G249" s="131"/>
      <c r="H249" s="131"/>
      <c r="I249" s="132">
        <f t="shared" si="14"/>
        <v>0</v>
      </c>
      <c r="J249" s="132">
        <f t="shared" si="15"/>
        <v>0</v>
      </c>
    </row>
    <row r="250" spans="2:10" x14ac:dyDescent="0.5">
      <c r="B250" s="130">
        <f t="shared" si="13"/>
        <v>217</v>
      </c>
      <c r="C250" s="137"/>
      <c r="D250" s="131"/>
      <c r="E250" s="131"/>
      <c r="F250" s="131"/>
      <c r="G250" s="131"/>
      <c r="H250" s="131"/>
      <c r="I250" s="132">
        <f t="shared" si="14"/>
        <v>0</v>
      </c>
      <c r="J250" s="132">
        <f t="shared" si="15"/>
        <v>0</v>
      </c>
    </row>
    <row r="251" spans="2:10" x14ac:dyDescent="0.5">
      <c r="B251" s="130">
        <f t="shared" si="13"/>
        <v>218</v>
      </c>
      <c r="C251" s="137"/>
      <c r="D251" s="131"/>
      <c r="E251" s="131"/>
      <c r="F251" s="131"/>
      <c r="G251" s="131"/>
      <c r="H251" s="131"/>
      <c r="I251" s="132">
        <f t="shared" si="14"/>
        <v>0</v>
      </c>
      <c r="J251" s="132">
        <f t="shared" si="15"/>
        <v>0</v>
      </c>
    </row>
    <row r="252" spans="2:10" x14ac:dyDescent="0.5">
      <c r="B252" s="130">
        <f t="shared" si="13"/>
        <v>219</v>
      </c>
      <c r="C252" s="137"/>
      <c r="D252" s="131"/>
      <c r="E252" s="131"/>
      <c r="F252" s="131"/>
      <c r="G252" s="131"/>
      <c r="H252" s="131"/>
      <c r="I252" s="132">
        <f t="shared" si="14"/>
        <v>0</v>
      </c>
      <c r="J252" s="132">
        <f t="shared" si="15"/>
        <v>0</v>
      </c>
    </row>
    <row r="253" spans="2:10" x14ac:dyDescent="0.5">
      <c r="B253" s="130">
        <f t="shared" si="13"/>
        <v>220</v>
      </c>
      <c r="C253" s="137"/>
      <c r="D253" s="131"/>
      <c r="E253" s="131"/>
      <c r="F253" s="131"/>
      <c r="G253" s="131"/>
      <c r="H253" s="131"/>
      <c r="I253" s="132">
        <f t="shared" si="14"/>
        <v>0</v>
      </c>
      <c r="J253" s="132">
        <f t="shared" si="15"/>
        <v>0</v>
      </c>
    </row>
    <row r="254" spans="2:10" x14ac:dyDescent="0.5">
      <c r="B254" s="130">
        <f t="shared" si="13"/>
        <v>221</v>
      </c>
      <c r="C254" s="137"/>
      <c r="D254" s="131"/>
      <c r="E254" s="131"/>
      <c r="F254" s="131"/>
      <c r="G254" s="131"/>
      <c r="H254" s="131"/>
      <c r="I254" s="132">
        <f t="shared" si="14"/>
        <v>0</v>
      </c>
      <c r="J254" s="132">
        <f t="shared" si="15"/>
        <v>0</v>
      </c>
    </row>
    <row r="255" spans="2:10" x14ac:dyDescent="0.5">
      <c r="B255" s="130">
        <f t="shared" si="13"/>
        <v>222</v>
      </c>
      <c r="C255" s="137"/>
      <c r="D255" s="131"/>
      <c r="E255" s="131"/>
      <c r="F255" s="131"/>
      <c r="G255" s="131"/>
      <c r="H255" s="131"/>
      <c r="I255" s="132">
        <f t="shared" si="14"/>
        <v>0</v>
      </c>
      <c r="J255" s="132">
        <f t="shared" si="15"/>
        <v>0</v>
      </c>
    </row>
    <row r="256" spans="2:10" x14ac:dyDescent="0.5">
      <c r="B256" s="130">
        <f t="shared" si="13"/>
        <v>223</v>
      </c>
      <c r="C256" s="137"/>
      <c r="D256" s="131"/>
      <c r="E256" s="131"/>
      <c r="F256" s="131"/>
      <c r="G256" s="131"/>
      <c r="H256" s="131"/>
      <c r="I256" s="132">
        <f t="shared" si="14"/>
        <v>0</v>
      </c>
      <c r="J256" s="132">
        <f t="shared" si="15"/>
        <v>0</v>
      </c>
    </row>
    <row r="257" spans="2:10" x14ac:dyDescent="0.5">
      <c r="B257" s="130">
        <f t="shared" si="13"/>
        <v>224</v>
      </c>
      <c r="C257" s="137"/>
      <c r="D257" s="131"/>
      <c r="E257" s="131"/>
      <c r="F257" s="131"/>
      <c r="G257" s="131"/>
      <c r="H257" s="131"/>
      <c r="I257" s="132">
        <f t="shared" si="14"/>
        <v>0</v>
      </c>
      <c r="J257" s="132">
        <f t="shared" si="15"/>
        <v>0</v>
      </c>
    </row>
    <row r="258" spans="2:10" x14ac:dyDescent="0.5">
      <c r="B258" s="130">
        <f t="shared" si="13"/>
        <v>225</v>
      </c>
      <c r="C258" s="137"/>
      <c r="D258" s="131"/>
      <c r="E258" s="131"/>
      <c r="F258" s="131"/>
      <c r="G258" s="131"/>
      <c r="H258" s="131"/>
      <c r="I258" s="132">
        <f t="shared" si="14"/>
        <v>0</v>
      </c>
      <c r="J258" s="132">
        <f t="shared" si="15"/>
        <v>0</v>
      </c>
    </row>
    <row r="259" spans="2:10" x14ac:dyDescent="0.5">
      <c r="B259" s="130">
        <f t="shared" si="13"/>
        <v>226</v>
      </c>
      <c r="C259" s="137"/>
      <c r="D259" s="131"/>
      <c r="E259" s="131"/>
      <c r="F259" s="131"/>
      <c r="G259" s="131"/>
      <c r="H259" s="131"/>
      <c r="I259" s="132">
        <f t="shared" si="14"/>
        <v>0</v>
      </c>
      <c r="J259" s="132">
        <f t="shared" si="15"/>
        <v>0</v>
      </c>
    </row>
    <row r="260" spans="2:10" x14ac:dyDescent="0.5">
      <c r="B260" s="130">
        <f t="shared" si="13"/>
        <v>227</v>
      </c>
      <c r="C260" s="137"/>
      <c r="D260" s="131"/>
      <c r="E260" s="131"/>
      <c r="F260" s="131"/>
      <c r="G260" s="131"/>
      <c r="H260" s="131"/>
      <c r="I260" s="132">
        <f t="shared" si="14"/>
        <v>0</v>
      </c>
      <c r="J260" s="132">
        <f t="shared" si="15"/>
        <v>0</v>
      </c>
    </row>
    <row r="261" spans="2:10" x14ac:dyDescent="0.5">
      <c r="B261" s="130">
        <f t="shared" si="13"/>
        <v>228</v>
      </c>
      <c r="C261" s="137"/>
      <c r="D261" s="131"/>
      <c r="E261" s="131"/>
      <c r="F261" s="131"/>
      <c r="G261" s="131"/>
      <c r="H261" s="131"/>
      <c r="I261" s="132">
        <f t="shared" si="14"/>
        <v>0</v>
      </c>
      <c r="J261" s="132">
        <f t="shared" si="15"/>
        <v>0</v>
      </c>
    </row>
    <row r="262" spans="2:10" x14ac:dyDescent="0.5">
      <c r="B262" s="130">
        <f t="shared" si="13"/>
        <v>229</v>
      </c>
      <c r="C262" s="137"/>
      <c r="D262" s="131"/>
      <c r="E262" s="131"/>
      <c r="F262" s="131"/>
      <c r="G262" s="131"/>
      <c r="H262" s="131"/>
      <c r="I262" s="132">
        <f t="shared" si="14"/>
        <v>0</v>
      </c>
      <c r="J262" s="132">
        <f t="shared" si="15"/>
        <v>0</v>
      </c>
    </row>
    <row r="263" spans="2:10" x14ac:dyDescent="0.5">
      <c r="B263" s="130">
        <f t="shared" si="13"/>
        <v>230</v>
      </c>
      <c r="C263" s="137"/>
      <c r="D263" s="131"/>
      <c r="E263" s="131"/>
      <c r="F263" s="131"/>
      <c r="G263" s="131"/>
      <c r="H263" s="131"/>
      <c r="I263" s="132">
        <f t="shared" si="14"/>
        <v>0</v>
      </c>
      <c r="J263" s="132">
        <f t="shared" si="15"/>
        <v>0</v>
      </c>
    </row>
    <row r="264" spans="2:10" x14ac:dyDescent="0.5">
      <c r="B264" s="130">
        <f t="shared" si="13"/>
        <v>231</v>
      </c>
      <c r="C264" s="137"/>
      <c r="D264" s="131"/>
      <c r="E264" s="131"/>
      <c r="F264" s="131"/>
      <c r="G264" s="131"/>
      <c r="H264" s="131"/>
      <c r="I264" s="132">
        <f t="shared" si="14"/>
        <v>0</v>
      </c>
      <c r="J264" s="132">
        <f t="shared" si="15"/>
        <v>0</v>
      </c>
    </row>
    <row r="265" spans="2:10" x14ac:dyDescent="0.5">
      <c r="B265" s="130">
        <f t="shared" si="13"/>
        <v>232</v>
      </c>
      <c r="C265" s="137"/>
      <c r="D265" s="131"/>
      <c r="E265" s="131"/>
      <c r="F265" s="131"/>
      <c r="G265" s="131"/>
      <c r="H265" s="131"/>
      <c r="I265" s="132">
        <f t="shared" si="14"/>
        <v>0</v>
      </c>
      <c r="J265" s="132">
        <f t="shared" si="15"/>
        <v>0</v>
      </c>
    </row>
    <row r="266" spans="2:10" x14ac:dyDescent="0.5">
      <c r="B266" s="130">
        <f t="shared" si="13"/>
        <v>233</v>
      </c>
      <c r="C266" s="137"/>
      <c r="D266" s="131"/>
      <c r="E266" s="131"/>
      <c r="F266" s="131"/>
      <c r="G266" s="131"/>
      <c r="H266" s="131"/>
      <c r="I266" s="132">
        <f t="shared" si="14"/>
        <v>0</v>
      </c>
      <c r="J266" s="132">
        <f t="shared" si="15"/>
        <v>0</v>
      </c>
    </row>
    <row r="267" spans="2:10" x14ac:dyDescent="0.5">
      <c r="B267" s="130">
        <f t="shared" si="13"/>
        <v>234</v>
      </c>
      <c r="C267" s="137"/>
      <c r="D267" s="131"/>
      <c r="E267" s="131"/>
      <c r="F267" s="131"/>
      <c r="G267" s="131"/>
      <c r="H267" s="131"/>
      <c r="I267" s="132">
        <f t="shared" si="14"/>
        <v>0</v>
      </c>
      <c r="J267" s="132">
        <f t="shared" si="15"/>
        <v>0</v>
      </c>
    </row>
    <row r="268" spans="2:10" x14ac:dyDescent="0.5">
      <c r="B268" s="130">
        <f t="shared" si="13"/>
        <v>235</v>
      </c>
      <c r="C268" s="137"/>
      <c r="D268" s="131"/>
      <c r="E268" s="131"/>
      <c r="F268" s="131"/>
      <c r="G268" s="131"/>
      <c r="H268" s="131"/>
      <c r="I268" s="132">
        <f t="shared" si="14"/>
        <v>0</v>
      </c>
      <c r="J268" s="132">
        <f t="shared" si="15"/>
        <v>0</v>
      </c>
    </row>
    <row r="269" spans="2:10" x14ac:dyDescent="0.5">
      <c r="B269" s="130">
        <f t="shared" si="13"/>
        <v>236</v>
      </c>
      <c r="C269" s="137"/>
      <c r="D269" s="131"/>
      <c r="E269" s="131"/>
      <c r="F269" s="131"/>
      <c r="G269" s="131"/>
      <c r="H269" s="131"/>
      <c r="I269" s="132">
        <f t="shared" si="14"/>
        <v>0</v>
      </c>
      <c r="J269" s="132">
        <f t="shared" si="15"/>
        <v>0</v>
      </c>
    </row>
    <row r="270" spans="2:10" x14ac:dyDescent="0.5">
      <c r="B270" s="130">
        <f t="shared" si="13"/>
        <v>237</v>
      </c>
      <c r="C270" s="137"/>
      <c r="D270" s="131"/>
      <c r="E270" s="131"/>
      <c r="F270" s="131"/>
      <c r="G270" s="131"/>
      <c r="H270" s="131"/>
      <c r="I270" s="132">
        <f t="shared" si="14"/>
        <v>0</v>
      </c>
      <c r="J270" s="132">
        <f t="shared" si="15"/>
        <v>0</v>
      </c>
    </row>
    <row r="271" spans="2:10" x14ac:dyDescent="0.5">
      <c r="B271" s="130">
        <f t="shared" si="13"/>
        <v>238</v>
      </c>
      <c r="C271" s="137"/>
      <c r="D271" s="131"/>
      <c r="E271" s="131"/>
      <c r="F271" s="131"/>
      <c r="G271" s="131"/>
      <c r="H271" s="131"/>
      <c r="I271" s="132">
        <f t="shared" si="14"/>
        <v>0</v>
      </c>
      <c r="J271" s="132">
        <f t="shared" si="15"/>
        <v>0</v>
      </c>
    </row>
    <row r="272" spans="2:10" x14ac:dyDescent="0.5">
      <c r="B272" s="130">
        <f t="shared" si="13"/>
        <v>239</v>
      </c>
      <c r="C272" s="137"/>
      <c r="D272" s="131"/>
      <c r="E272" s="131"/>
      <c r="F272" s="131"/>
      <c r="G272" s="131"/>
      <c r="H272" s="131"/>
      <c r="I272" s="132">
        <f t="shared" si="14"/>
        <v>0</v>
      </c>
      <c r="J272" s="132">
        <f t="shared" si="15"/>
        <v>0</v>
      </c>
    </row>
    <row r="273" spans="2:10" x14ac:dyDescent="0.5">
      <c r="B273" s="130">
        <f t="shared" si="13"/>
        <v>240</v>
      </c>
      <c r="C273" s="137"/>
      <c r="D273" s="131"/>
      <c r="E273" s="131"/>
      <c r="F273" s="131"/>
      <c r="G273" s="131"/>
      <c r="H273" s="131"/>
      <c r="I273" s="132">
        <f t="shared" si="14"/>
        <v>0</v>
      </c>
      <c r="J273" s="132">
        <f t="shared" si="15"/>
        <v>0</v>
      </c>
    </row>
    <row r="274" spans="2:10" x14ac:dyDescent="0.5">
      <c r="B274" s="130">
        <f t="shared" si="13"/>
        <v>241</v>
      </c>
      <c r="C274" s="137"/>
      <c r="D274" s="131"/>
      <c r="E274" s="131"/>
      <c r="F274" s="131"/>
      <c r="G274" s="131"/>
      <c r="H274" s="131"/>
      <c r="I274" s="132">
        <f t="shared" si="14"/>
        <v>0</v>
      </c>
      <c r="J274" s="132">
        <f t="shared" si="15"/>
        <v>0</v>
      </c>
    </row>
    <row r="275" spans="2:10" x14ac:dyDescent="0.5">
      <c r="B275" s="130">
        <f t="shared" si="13"/>
        <v>242</v>
      </c>
      <c r="C275" s="137"/>
      <c r="D275" s="131"/>
      <c r="E275" s="131"/>
      <c r="F275" s="131"/>
      <c r="G275" s="131"/>
      <c r="H275" s="131"/>
      <c r="I275" s="132">
        <f t="shared" si="14"/>
        <v>0</v>
      </c>
      <c r="J275" s="132">
        <f t="shared" si="15"/>
        <v>0</v>
      </c>
    </row>
    <row r="276" spans="2:10" x14ac:dyDescent="0.5">
      <c r="B276" s="130">
        <f t="shared" si="13"/>
        <v>243</v>
      </c>
      <c r="C276" s="137"/>
      <c r="D276" s="131"/>
      <c r="E276" s="131"/>
      <c r="F276" s="131"/>
      <c r="G276" s="131"/>
      <c r="H276" s="131"/>
      <c r="I276" s="132">
        <f t="shared" si="14"/>
        <v>0</v>
      </c>
      <c r="J276" s="132">
        <f t="shared" si="15"/>
        <v>0</v>
      </c>
    </row>
    <row r="277" spans="2:10" x14ac:dyDescent="0.5">
      <c r="B277" s="130">
        <f t="shared" si="13"/>
        <v>244</v>
      </c>
      <c r="C277" s="137"/>
      <c r="D277" s="131"/>
      <c r="E277" s="131"/>
      <c r="F277" s="131"/>
      <c r="G277" s="131"/>
      <c r="H277" s="131"/>
      <c r="I277" s="132">
        <f t="shared" si="14"/>
        <v>0</v>
      </c>
      <c r="J277" s="132">
        <f t="shared" si="15"/>
        <v>0</v>
      </c>
    </row>
    <row r="278" spans="2:10" x14ac:dyDescent="0.5">
      <c r="B278" s="130">
        <f t="shared" si="13"/>
        <v>245</v>
      </c>
      <c r="C278" s="137"/>
      <c r="D278" s="131"/>
      <c r="E278" s="131"/>
      <c r="F278" s="131"/>
      <c r="G278" s="131"/>
      <c r="H278" s="131"/>
      <c r="I278" s="132">
        <f t="shared" si="14"/>
        <v>0</v>
      </c>
      <c r="J278" s="132">
        <f t="shared" si="15"/>
        <v>0</v>
      </c>
    </row>
    <row r="279" spans="2:10" x14ac:dyDescent="0.5">
      <c r="B279" s="130">
        <f t="shared" si="13"/>
        <v>246</v>
      </c>
      <c r="C279" s="137"/>
      <c r="D279" s="131"/>
      <c r="E279" s="131"/>
      <c r="F279" s="131"/>
      <c r="G279" s="131"/>
      <c r="H279" s="131"/>
      <c r="I279" s="132">
        <f t="shared" si="14"/>
        <v>0</v>
      </c>
      <c r="J279" s="132">
        <f t="shared" si="15"/>
        <v>0</v>
      </c>
    </row>
    <row r="280" spans="2:10" x14ac:dyDescent="0.5">
      <c r="B280" s="130">
        <f t="shared" si="13"/>
        <v>247</v>
      </c>
      <c r="C280" s="137"/>
      <c r="D280" s="131"/>
      <c r="E280" s="131"/>
      <c r="F280" s="131"/>
      <c r="G280" s="131"/>
      <c r="H280" s="131"/>
      <c r="I280" s="132">
        <f t="shared" si="14"/>
        <v>0</v>
      </c>
      <c r="J280" s="132">
        <f t="shared" si="15"/>
        <v>0</v>
      </c>
    </row>
    <row r="281" spans="2:10" x14ac:dyDescent="0.5">
      <c r="B281" s="130">
        <f t="shared" si="13"/>
        <v>248</v>
      </c>
      <c r="C281" s="137"/>
      <c r="D281" s="131"/>
      <c r="E281" s="131"/>
      <c r="F281" s="131"/>
      <c r="G281" s="131"/>
      <c r="H281" s="131"/>
      <c r="I281" s="132">
        <f t="shared" si="14"/>
        <v>0</v>
      </c>
      <c r="J281" s="132">
        <f t="shared" si="15"/>
        <v>0</v>
      </c>
    </row>
    <row r="282" spans="2:10" x14ac:dyDescent="0.5">
      <c r="B282" s="130">
        <f t="shared" si="13"/>
        <v>249</v>
      </c>
      <c r="C282" s="137"/>
      <c r="D282" s="131"/>
      <c r="E282" s="131"/>
      <c r="F282" s="131"/>
      <c r="G282" s="131"/>
      <c r="H282" s="131"/>
      <c r="I282" s="132">
        <f t="shared" si="14"/>
        <v>0</v>
      </c>
      <c r="J282" s="132">
        <f t="shared" si="15"/>
        <v>0</v>
      </c>
    </row>
    <row r="283" spans="2:10" x14ac:dyDescent="0.5">
      <c r="B283" s="130">
        <f t="shared" si="13"/>
        <v>250</v>
      </c>
      <c r="C283" s="137"/>
      <c r="D283" s="131"/>
      <c r="E283" s="131"/>
      <c r="F283" s="131"/>
      <c r="G283" s="131"/>
      <c r="H283" s="131"/>
      <c r="I283" s="132">
        <f t="shared" si="14"/>
        <v>0</v>
      </c>
      <c r="J283" s="132">
        <f t="shared" si="15"/>
        <v>0</v>
      </c>
    </row>
    <row r="284" spans="2:10" x14ac:dyDescent="0.5">
      <c r="B284" s="130">
        <f t="shared" si="13"/>
        <v>251</v>
      </c>
      <c r="C284" s="137"/>
      <c r="D284" s="131"/>
      <c r="E284" s="131"/>
      <c r="F284" s="131"/>
      <c r="G284" s="131"/>
      <c r="H284" s="131"/>
      <c r="I284" s="132">
        <f t="shared" si="14"/>
        <v>0</v>
      </c>
      <c r="J284" s="132">
        <f t="shared" si="15"/>
        <v>0</v>
      </c>
    </row>
    <row r="285" spans="2:10" x14ac:dyDescent="0.5">
      <c r="B285" s="130">
        <f t="shared" si="13"/>
        <v>252</v>
      </c>
      <c r="C285" s="137"/>
      <c r="D285" s="131"/>
      <c r="E285" s="131"/>
      <c r="F285" s="131"/>
      <c r="G285" s="131"/>
      <c r="H285" s="131"/>
      <c r="I285" s="132">
        <f t="shared" si="14"/>
        <v>0</v>
      </c>
      <c r="J285" s="132">
        <f t="shared" si="15"/>
        <v>0</v>
      </c>
    </row>
    <row r="286" spans="2:10" x14ac:dyDescent="0.5">
      <c r="B286" s="130">
        <f t="shared" si="13"/>
        <v>253</v>
      </c>
      <c r="C286" s="137"/>
      <c r="D286" s="131"/>
      <c r="E286" s="131"/>
      <c r="F286" s="131"/>
      <c r="G286" s="131"/>
      <c r="H286" s="131"/>
      <c r="I286" s="132">
        <f t="shared" si="14"/>
        <v>0</v>
      </c>
      <c r="J286" s="132">
        <f t="shared" si="15"/>
        <v>0</v>
      </c>
    </row>
    <row r="287" spans="2:10" x14ac:dyDescent="0.5">
      <c r="B287" s="130">
        <f t="shared" si="13"/>
        <v>254</v>
      </c>
      <c r="C287" s="137"/>
      <c r="D287" s="131"/>
      <c r="E287" s="131"/>
      <c r="F287" s="131"/>
      <c r="G287" s="131"/>
      <c r="H287" s="131"/>
      <c r="I287" s="132">
        <f t="shared" si="14"/>
        <v>0</v>
      </c>
      <c r="J287" s="132">
        <f t="shared" si="15"/>
        <v>0</v>
      </c>
    </row>
    <row r="288" spans="2:10" x14ac:dyDescent="0.5">
      <c r="B288" s="130">
        <f t="shared" si="13"/>
        <v>255</v>
      </c>
      <c r="C288" s="137"/>
      <c r="D288" s="131"/>
      <c r="E288" s="131"/>
      <c r="F288" s="131"/>
      <c r="G288" s="131"/>
      <c r="H288" s="131"/>
      <c r="I288" s="132">
        <f t="shared" si="14"/>
        <v>0</v>
      </c>
      <c r="J288" s="132">
        <f t="shared" si="15"/>
        <v>0</v>
      </c>
    </row>
    <row r="289" spans="2:10" x14ac:dyDescent="0.5">
      <c r="B289" s="130">
        <f t="shared" si="13"/>
        <v>256</v>
      </c>
      <c r="C289" s="137"/>
      <c r="D289" s="131"/>
      <c r="E289" s="131"/>
      <c r="F289" s="131"/>
      <c r="G289" s="131"/>
      <c r="H289" s="131"/>
      <c r="I289" s="132">
        <f t="shared" si="14"/>
        <v>0</v>
      </c>
      <c r="J289" s="132">
        <f t="shared" si="15"/>
        <v>0</v>
      </c>
    </row>
    <row r="290" spans="2:10" x14ac:dyDescent="0.5">
      <c r="B290" s="130">
        <f t="shared" ref="B290:B353" si="16">B289+1</f>
        <v>257</v>
      </c>
      <c r="C290" s="137"/>
      <c r="D290" s="131"/>
      <c r="E290" s="131"/>
      <c r="F290" s="131"/>
      <c r="G290" s="131"/>
      <c r="H290" s="131"/>
      <c r="I290" s="132">
        <f t="shared" si="14"/>
        <v>0</v>
      </c>
      <c r="J290" s="132">
        <f t="shared" si="15"/>
        <v>0</v>
      </c>
    </row>
    <row r="291" spans="2:10" x14ac:dyDescent="0.5">
      <c r="B291" s="130">
        <f t="shared" si="16"/>
        <v>258</v>
      </c>
      <c r="C291" s="137"/>
      <c r="D291" s="131"/>
      <c r="E291" s="131"/>
      <c r="F291" s="131"/>
      <c r="G291" s="131"/>
      <c r="H291" s="131"/>
      <c r="I291" s="132">
        <f t="shared" ref="I291:I354" si="17">SUM(D291:G291)</f>
        <v>0</v>
      </c>
      <c r="J291" s="132">
        <f t="shared" ref="J291:J354" si="18">I291-H291</f>
        <v>0</v>
      </c>
    </row>
    <row r="292" spans="2:10" x14ac:dyDescent="0.5">
      <c r="B292" s="130">
        <f t="shared" si="16"/>
        <v>259</v>
      </c>
      <c r="C292" s="137"/>
      <c r="D292" s="131"/>
      <c r="E292" s="131"/>
      <c r="F292" s="131"/>
      <c r="G292" s="131"/>
      <c r="H292" s="131"/>
      <c r="I292" s="132">
        <f t="shared" si="17"/>
        <v>0</v>
      </c>
      <c r="J292" s="132">
        <f t="shared" si="18"/>
        <v>0</v>
      </c>
    </row>
    <row r="293" spans="2:10" x14ac:dyDescent="0.5">
      <c r="B293" s="130">
        <f t="shared" si="16"/>
        <v>260</v>
      </c>
      <c r="C293" s="137"/>
      <c r="D293" s="131"/>
      <c r="E293" s="131"/>
      <c r="F293" s="131"/>
      <c r="G293" s="131"/>
      <c r="H293" s="131"/>
      <c r="I293" s="132">
        <f t="shared" si="17"/>
        <v>0</v>
      </c>
      <c r="J293" s="132">
        <f t="shared" si="18"/>
        <v>0</v>
      </c>
    </row>
    <row r="294" spans="2:10" x14ac:dyDescent="0.5">
      <c r="B294" s="130">
        <f t="shared" si="16"/>
        <v>261</v>
      </c>
      <c r="C294" s="137"/>
      <c r="D294" s="131"/>
      <c r="E294" s="131"/>
      <c r="F294" s="131"/>
      <c r="G294" s="131"/>
      <c r="H294" s="131"/>
      <c r="I294" s="132">
        <f t="shared" si="17"/>
        <v>0</v>
      </c>
      <c r="J294" s="132">
        <f t="shared" si="18"/>
        <v>0</v>
      </c>
    </row>
    <row r="295" spans="2:10" x14ac:dyDescent="0.5">
      <c r="B295" s="130">
        <f t="shared" si="16"/>
        <v>262</v>
      </c>
      <c r="C295" s="137"/>
      <c r="D295" s="131"/>
      <c r="E295" s="131"/>
      <c r="F295" s="131"/>
      <c r="G295" s="131"/>
      <c r="H295" s="131"/>
      <c r="I295" s="132">
        <f t="shared" si="17"/>
        <v>0</v>
      </c>
      <c r="J295" s="132">
        <f t="shared" si="18"/>
        <v>0</v>
      </c>
    </row>
    <row r="296" spans="2:10" x14ac:dyDescent="0.5">
      <c r="B296" s="130">
        <f t="shared" si="16"/>
        <v>263</v>
      </c>
      <c r="C296" s="137"/>
      <c r="D296" s="131"/>
      <c r="E296" s="131"/>
      <c r="F296" s="131"/>
      <c r="G296" s="131"/>
      <c r="H296" s="131"/>
      <c r="I296" s="132">
        <f t="shared" si="17"/>
        <v>0</v>
      </c>
      <c r="J296" s="132">
        <f t="shared" si="18"/>
        <v>0</v>
      </c>
    </row>
    <row r="297" spans="2:10" x14ac:dyDescent="0.5">
      <c r="B297" s="130">
        <f t="shared" si="16"/>
        <v>264</v>
      </c>
      <c r="C297" s="137"/>
      <c r="D297" s="131"/>
      <c r="E297" s="131"/>
      <c r="F297" s="131"/>
      <c r="G297" s="131"/>
      <c r="H297" s="131"/>
      <c r="I297" s="132">
        <f t="shared" si="17"/>
        <v>0</v>
      </c>
      <c r="J297" s="132">
        <f t="shared" si="18"/>
        <v>0</v>
      </c>
    </row>
    <row r="298" spans="2:10" x14ac:dyDescent="0.5">
      <c r="B298" s="130">
        <f t="shared" si="16"/>
        <v>265</v>
      </c>
      <c r="C298" s="137"/>
      <c r="D298" s="131"/>
      <c r="E298" s="131"/>
      <c r="F298" s="131"/>
      <c r="G298" s="131"/>
      <c r="H298" s="131"/>
      <c r="I298" s="132">
        <f t="shared" si="17"/>
        <v>0</v>
      </c>
      <c r="J298" s="132">
        <f t="shared" si="18"/>
        <v>0</v>
      </c>
    </row>
    <row r="299" spans="2:10" x14ac:dyDescent="0.5">
      <c r="B299" s="130">
        <f t="shared" si="16"/>
        <v>266</v>
      </c>
      <c r="C299" s="137"/>
      <c r="D299" s="131"/>
      <c r="E299" s="131"/>
      <c r="F299" s="131"/>
      <c r="G299" s="131"/>
      <c r="H299" s="131"/>
      <c r="I299" s="132">
        <f t="shared" si="17"/>
        <v>0</v>
      </c>
      <c r="J299" s="132">
        <f t="shared" si="18"/>
        <v>0</v>
      </c>
    </row>
    <row r="300" spans="2:10" x14ac:dyDescent="0.5">
      <c r="B300" s="130">
        <f t="shared" si="16"/>
        <v>267</v>
      </c>
      <c r="C300" s="137"/>
      <c r="D300" s="131"/>
      <c r="E300" s="131"/>
      <c r="F300" s="131"/>
      <c r="G300" s="131"/>
      <c r="H300" s="131"/>
      <c r="I300" s="132">
        <f t="shared" si="17"/>
        <v>0</v>
      </c>
      <c r="J300" s="132">
        <f t="shared" si="18"/>
        <v>0</v>
      </c>
    </row>
    <row r="301" spans="2:10" x14ac:dyDescent="0.5">
      <c r="B301" s="130">
        <f t="shared" si="16"/>
        <v>268</v>
      </c>
      <c r="C301" s="137"/>
      <c r="D301" s="131"/>
      <c r="E301" s="131"/>
      <c r="F301" s="131"/>
      <c r="G301" s="131"/>
      <c r="H301" s="131"/>
      <c r="I301" s="132">
        <f t="shared" si="17"/>
        <v>0</v>
      </c>
      <c r="J301" s="132">
        <f t="shared" si="18"/>
        <v>0</v>
      </c>
    </row>
    <row r="302" spans="2:10" x14ac:dyDescent="0.5">
      <c r="B302" s="130">
        <f t="shared" si="16"/>
        <v>269</v>
      </c>
      <c r="C302" s="137"/>
      <c r="D302" s="131"/>
      <c r="E302" s="131"/>
      <c r="F302" s="131"/>
      <c r="G302" s="131"/>
      <c r="H302" s="131"/>
      <c r="I302" s="132">
        <f t="shared" si="17"/>
        <v>0</v>
      </c>
      <c r="J302" s="132">
        <f t="shared" si="18"/>
        <v>0</v>
      </c>
    </row>
    <row r="303" spans="2:10" x14ac:dyDescent="0.5">
      <c r="B303" s="130">
        <f t="shared" si="16"/>
        <v>270</v>
      </c>
      <c r="C303" s="137"/>
      <c r="D303" s="131"/>
      <c r="E303" s="131"/>
      <c r="F303" s="131"/>
      <c r="G303" s="131"/>
      <c r="H303" s="131"/>
      <c r="I303" s="132">
        <f t="shared" si="17"/>
        <v>0</v>
      </c>
      <c r="J303" s="132">
        <f t="shared" si="18"/>
        <v>0</v>
      </c>
    </row>
    <row r="304" spans="2:10" x14ac:dyDescent="0.5">
      <c r="B304" s="130">
        <f t="shared" si="16"/>
        <v>271</v>
      </c>
      <c r="C304" s="137"/>
      <c r="D304" s="131"/>
      <c r="E304" s="131"/>
      <c r="F304" s="131"/>
      <c r="G304" s="131"/>
      <c r="H304" s="131"/>
      <c r="I304" s="132">
        <f t="shared" si="17"/>
        <v>0</v>
      </c>
      <c r="J304" s="132">
        <f t="shared" si="18"/>
        <v>0</v>
      </c>
    </row>
    <row r="305" spans="2:10" x14ac:dyDescent="0.5">
      <c r="B305" s="130">
        <f t="shared" si="16"/>
        <v>272</v>
      </c>
      <c r="C305" s="137"/>
      <c r="D305" s="131"/>
      <c r="E305" s="131"/>
      <c r="F305" s="131"/>
      <c r="G305" s="131"/>
      <c r="H305" s="131"/>
      <c r="I305" s="132">
        <f t="shared" si="17"/>
        <v>0</v>
      </c>
      <c r="J305" s="132">
        <f t="shared" si="18"/>
        <v>0</v>
      </c>
    </row>
    <row r="306" spans="2:10" x14ac:dyDescent="0.5">
      <c r="B306" s="130">
        <f t="shared" si="16"/>
        <v>273</v>
      </c>
      <c r="C306" s="137"/>
      <c r="D306" s="131"/>
      <c r="E306" s="131"/>
      <c r="F306" s="131"/>
      <c r="G306" s="131"/>
      <c r="H306" s="131"/>
      <c r="I306" s="132">
        <f t="shared" si="17"/>
        <v>0</v>
      </c>
      <c r="J306" s="132">
        <f t="shared" si="18"/>
        <v>0</v>
      </c>
    </row>
    <row r="307" spans="2:10" x14ac:dyDescent="0.5">
      <c r="B307" s="130">
        <f t="shared" si="16"/>
        <v>274</v>
      </c>
      <c r="C307" s="137"/>
      <c r="D307" s="131"/>
      <c r="E307" s="131"/>
      <c r="F307" s="131"/>
      <c r="G307" s="131"/>
      <c r="H307" s="131"/>
      <c r="I307" s="132">
        <f t="shared" si="17"/>
        <v>0</v>
      </c>
      <c r="J307" s="132">
        <f t="shared" si="18"/>
        <v>0</v>
      </c>
    </row>
    <row r="308" spans="2:10" x14ac:dyDescent="0.5">
      <c r="B308" s="130">
        <f t="shared" si="16"/>
        <v>275</v>
      </c>
      <c r="C308" s="137"/>
      <c r="D308" s="131"/>
      <c r="E308" s="131"/>
      <c r="F308" s="131"/>
      <c r="G308" s="131"/>
      <c r="H308" s="131"/>
      <c r="I308" s="132">
        <f t="shared" si="17"/>
        <v>0</v>
      </c>
      <c r="J308" s="132">
        <f t="shared" si="18"/>
        <v>0</v>
      </c>
    </row>
    <row r="309" spans="2:10" x14ac:dyDescent="0.5">
      <c r="B309" s="130">
        <f t="shared" si="16"/>
        <v>276</v>
      </c>
      <c r="C309" s="137"/>
      <c r="D309" s="131"/>
      <c r="E309" s="131"/>
      <c r="F309" s="131"/>
      <c r="G309" s="131"/>
      <c r="H309" s="131"/>
      <c r="I309" s="132">
        <f t="shared" si="17"/>
        <v>0</v>
      </c>
      <c r="J309" s="132">
        <f t="shared" si="18"/>
        <v>0</v>
      </c>
    </row>
    <row r="310" spans="2:10" x14ac:dyDescent="0.5">
      <c r="B310" s="130">
        <f t="shared" si="16"/>
        <v>277</v>
      </c>
      <c r="C310" s="137"/>
      <c r="D310" s="131"/>
      <c r="E310" s="131"/>
      <c r="F310" s="131"/>
      <c r="G310" s="131"/>
      <c r="H310" s="131"/>
      <c r="I310" s="132">
        <f t="shared" si="17"/>
        <v>0</v>
      </c>
      <c r="J310" s="132">
        <f t="shared" si="18"/>
        <v>0</v>
      </c>
    </row>
    <row r="311" spans="2:10" x14ac:dyDescent="0.5">
      <c r="B311" s="130">
        <f t="shared" si="16"/>
        <v>278</v>
      </c>
      <c r="C311" s="137"/>
      <c r="D311" s="131"/>
      <c r="E311" s="131"/>
      <c r="F311" s="131"/>
      <c r="G311" s="131"/>
      <c r="H311" s="131"/>
      <c r="I311" s="132">
        <f t="shared" si="17"/>
        <v>0</v>
      </c>
      <c r="J311" s="132">
        <f t="shared" si="18"/>
        <v>0</v>
      </c>
    </row>
    <row r="312" spans="2:10" x14ac:dyDescent="0.5">
      <c r="B312" s="130">
        <f t="shared" si="16"/>
        <v>279</v>
      </c>
      <c r="C312" s="137"/>
      <c r="D312" s="131"/>
      <c r="E312" s="131"/>
      <c r="F312" s="131"/>
      <c r="G312" s="131"/>
      <c r="H312" s="131"/>
      <c r="I312" s="132">
        <f t="shared" si="17"/>
        <v>0</v>
      </c>
      <c r="J312" s="132">
        <f t="shared" si="18"/>
        <v>0</v>
      </c>
    </row>
    <row r="313" spans="2:10" x14ac:dyDescent="0.5">
      <c r="B313" s="130">
        <f t="shared" si="16"/>
        <v>280</v>
      </c>
      <c r="C313" s="137"/>
      <c r="D313" s="131"/>
      <c r="E313" s="131"/>
      <c r="F313" s="131"/>
      <c r="G313" s="131"/>
      <c r="H313" s="131"/>
      <c r="I313" s="132">
        <f t="shared" si="17"/>
        <v>0</v>
      </c>
      <c r="J313" s="132">
        <f t="shared" si="18"/>
        <v>0</v>
      </c>
    </row>
    <row r="314" spans="2:10" x14ac:dyDescent="0.5">
      <c r="B314" s="130">
        <f t="shared" si="16"/>
        <v>281</v>
      </c>
      <c r="C314" s="137"/>
      <c r="D314" s="131"/>
      <c r="E314" s="131"/>
      <c r="F314" s="131"/>
      <c r="G314" s="131"/>
      <c r="H314" s="131"/>
      <c r="I314" s="132">
        <f t="shared" si="17"/>
        <v>0</v>
      </c>
      <c r="J314" s="132">
        <f t="shared" si="18"/>
        <v>0</v>
      </c>
    </row>
    <row r="315" spans="2:10" x14ac:dyDescent="0.5">
      <c r="B315" s="130">
        <f t="shared" si="16"/>
        <v>282</v>
      </c>
      <c r="C315" s="137"/>
      <c r="D315" s="131"/>
      <c r="E315" s="131"/>
      <c r="F315" s="131"/>
      <c r="G315" s="131"/>
      <c r="H315" s="131"/>
      <c r="I315" s="132">
        <f t="shared" si="17"/>
        <v>0</v>
      </c>
      <c r="J315" s="132">
        <f t="shared" si="18"/>
        <v>0</v>
      </c>
    </row>
    <row r="316" spans="2:10" x14ac:dyDescent="0.5">
      <c r="B316" s="130">
        <f t="shared" si="16"/>
        <v>283</v>
      </c>
      <c r="C316" s="137"/>
      <c r="D316" s="131"/>
      <c r="E316" s="131"/>
      <c r="F316" s="131"/>
      <c r="G316" s="131"/>
      <c r="H316" s="131"/>
      <c r="I316" s="132">
        <f t="shared" si="17"/>
        <v>0</v>
      </c>
      <c r="J316" s="132">
        <f t="shared" si="18"/>
        <v>0</v>
      </c>
    </row>
    <row r="317" spans="2:10" x14ac:dyDescent="0.5">
      <c r="B317" s="130">
        <f t="shared" si="16"/>
        <v>284</v>
      </c>
      <c r="C317" s="137"/>
      <c r="D317" s="131"/>
      <c r="E317" s="131"/>
      <c r="F317" s="131"/>
      <c r="G317" s="131"/>
      <c r="H317" s="131"/>
      <c r="I317" s="132">
        <f t="shared" si="17"/>
        <v>0</v>
      </c>
      <c r="J317" s="132">
        <f t="shared" si="18"/>
        <v>0</v>
      </c>
    </row>
    <row r="318" spans="2:10" x14ac:dyDescent="0.5">
      <c r="B318" s="130">
        <f t="shared" si="16"/>
        <v>285</v>
      </c>
      <c r="C318" s="137"/>
      <c r="D318" s="131"/>
      <c r="E318" s="131"/>
      <c r="F318" s="131"/>
      <c r="G318" s="131"/>
      <c r="H318" s="131"/>
      <c r="I318" s="132">
        <f t="shared" si="17"/>
        <v>0</v>
      </c>
      <c r="J318" s="132">
        <f t="shared" si="18"/>
        <v>0</v>
      </c>
    </row>
    <row r="319" spans="2:10" x14ac:dyDescent="0.5">
      <c r="B319" s="130">
        <f t="shared" si="16"/>
        <v>286</v>
      </c>
      <c r="C319" s="137"/>
      <c r="D319" s="131"/>
      <c r="E319" s="131"/>
      <c r="F319" s="131"/>
      <c r="G319" s="131"/>
      <c r="H319" s="131"/>
      <c r="I319" s="132">
        <f t="shared" si="17"/>
        <v>0</v>
      </c>
      <c r="J319" s="132">
        <f t="shared" si="18"/>
        <v>0</v>
      </c>
    </row>
    <row r="320" spans="2:10" x14ac:dyDescent="0.5">
      <c r="B320" s="130">
        <f t="shared" si="16"/>
        <v>287</v>
      </c>
      <c r="C320" s="137"/>
      <c r="D320" s="131"/>
      <c r="E320" s="131"/>
      <c r="F320" s="131"/>
      <c r="G320" s="131"/>
      <c r="H320" s="131"/>
      <c r="I320" s="132">
        <f t="shared" si="17"/>
        <v>0</v>
      </c>
      <c r="J320" s="132">
        <f t="shared" si="18"/>
        <v>0</v>
      </c>
    </row>
    <row r="321" spans="2:10" x14ac:dyDescent="0.5">
      <c r="B321" s="130">
        <f t="shared" si="16"/>
        <v>288</v>
      </c>
      <c r="C321" s="137"/>
      <c r="D321" s="131"/>
      <c r="E321" s="131"/>
      <c r="F321" s="131"/>
      <c r="G321" s="131"/>
      <c r="H321" s="131"/>
      <c r="I321" s="132">
        <f t="shared" si="17"/>
        <v>0</v>
      </c>
      <c r="J321" s="132">
        <f t="shared" si="18"/>
        <v>0</v>
      </c>
    </row>
    <row r="322" spans="2:10" x14ac:dyDescent="0.5">
      <c r="B322" s="130">
        <f t="shared" si="16"/>
        <v>289</v>
      </c>
      <c r="C322" s="137"/>
      <c r="D322" s="131"/>
      <c r="E322" s="131"/>
      <c r="F322" s="131"/>
      <c r="G322" s="131"/>
      <c r="H322" s="131"/>
      <c r="I322" s="132">
        <f t="shared" si="17"/>
        <v>0</v>
      </c>
      <c r="J322" s="132">
        <f t="shared" si="18"/>
        <v>0</v>
      </c>
    </row>
    <row r="323" spans="2:10" x14ac:dyDescent="0.5">
      <c r="B323" s="130">
        <f t="shared" si="16"/>
        <v>290</v>
      </c>
      <c r="C323" s="137"/>
      <c r="D323" s="131"/>
      <c r="E323" s="131"/>
      <c r="F323" s="131"/>
      <c r="G323" s="131"/>
      <c r="H323" s="131"/>
      <c r="I323" s="132">
        <f t="shared" si="17"/>
        <v>0</v>
      </c>
      <c r="J323" s="132">
        <f t="shared" si="18"/>
        <v>0</v>
      </c>
    </row>
    <row r="324" spans="2:10" x14ac:dyDescent="0.5">
      <c r="B324" s="130">
        <f t="shared" si="16"/>
        <v>291</v>
      </c>
      <c r="C324" s="137"/>
      <c r="D324" s="131"/>
      <c r="E324" s="131"/>
      <c r="F324" s="131"/>
      <c r="G324" s="131"/>
      <c r="H324" s="131"/>
      <c r="I324" s="132">
        <f t="shared" si="17"/>
        <v>0</v>
      </c>
      <c r="J324" s="132">
        <f t="shared" si="18"/>
        <v>0</v>
      </c>
    </row>
    <row r="325" spans="2:10" x14ac:dyDescent="0.5">
      <c r="B325" s="130">
        <f t="shared" si="16"/>
        <v>292</v>
      </c>
      <c r="C325" s="137"/>
      <c r="D325" s="131"/>
      <c r="E325" s="131"/>
      <c r="F325" s="131"/>
      <c r="G325" s="131"/>
      <c r="H325" s="131"/>
      <c r="I325" s="132">
        <f t="shared" si="17"/>
        <v>0</v>
      </c>
      <c r="J325" s="132">
        <f t="shared" si="18"/>
        <v>0</v>
      </c>
    </row>
    <row r="326" spans="2:10" x14ac:dyDescent="0.5">
      <c r="B326" s="130">
        <f t="shared" si="16"/>
        <v>293</v>
      </c>
      <c r="C326" s="137"/>
      <c r="D326" s="131"/>
      <c r="E326" s="131"/>
      <c r="F326" s="131"/>
      <c r="G326" s="131"/>
      <c r="H326" s="131"/>
      <c r="I326" s="132">
        <f t="shared" si="17"/>
        <v>0</v>
      </c>
      <c r="J326" s="132">
        <f t="shared" si="18"/>
        <v>0</v>
      </c>
    </row>
    <row r="327" spans="2:10" x14ac:dyDescent="0.5">
      <c r="B327" s="130">
        <f t="shared" si="16"/>
        <v>294</v>
      </c>
      <c r="C327" s="137"/>
      <c r="D327" s="131"/>
      <c r="E327" s="131"/>
      <c r="F327" s="131"/>
      <c r="G327" s="131"/>
      <c r="H327" s="131"/>
      <c r="I327" s="132">
        <f t="shared" si="17"/>
        <v>0</v>
      </c>
      <c r="J327" s="132">
        <f t="shared" si="18"/>
        <v>0</v>
      </c>
    </row>
    <row r="328" spans="2:10" x14ac:dyDescent="0.5">
      <c r="B328" s="130">
        <f t="shared" si="16"/>
        <v>295</v>
      </c>
      <c r="C328" s="137"/>
      <c r="D328" s="131"/>
      <c r="E328" s="131"/>
      <c r="F328" s="131"/>
      <c r="G328" s="131"/>
      <c r="H328" s="131"/>
      <c r="I328" s="132">
        <f t="shared" si="17"/>
        <v>0</v>
      </c>
      <c r="J328" s="132">
        <f t="shared" si="18"/>
        <v>0</v>
      </c>
    </row>
    <row r="329" spans="2:10" x14ac:dyDescent="0.5">
      <c r="B329" s="130">
        <f t="shared" si="16"/>
        <v>296</v>
      </c>
      <c r="C329" s="137"/>
      <c r="D329" s="131"/>
      <c r="E329" s="131"/>
      <c r="F329" s="131"/>
      <c r="G329" s="131"/>
      <c r="H329" s="131"/>
      <c r="I329" s="132">
        <f t="shared" si="17"/>
        <v>0</v>
      </c>
      <c r="J329" s="132">
        <f t="shared" si="18"/>
        <v>0</v>
      </c>
    </row>
    <row r="330" spans="2:10" x14ac:dyDescent="0.5">
      <c r="B330" s="130">
        <f t="shared" si="16"/>
        <v>297</v>
      </c>
      <c r="C330" s="137"/>
      <c r="D330" s="131"/>
      <c r="E330" s="131"/>
      <c r="F330" s="131"/>
      <c r="G330" s="131"/>
      <c r="H330" s="131"/>
      <c r="I330" s="132">
        <f t="shared" si="17"/>
        <v>0</v>
      </c>
      <c r="J330" s="132">
        <f t="shared" si="18"/>
        <v>0</v>
      </c>
    </row>
    <row r="331" spans="2:10" x14ac:dyDescent="0.5">
      <c r="B331" s="130">
        <f t="shared" si="16"/>
        <v>298</v>
      </c>
      <c r="C331" s="137"/>
      <c r="D331" s="131"/>
      <c r="E331" s="131"/>
      <c r="F331" s="131"/>
      <c r="G331" s="131"/>
      <c r="H331" s="131"/>
      <c r="I331" s="132">
        <f t="shared" si="17"/>
        <v>0</v>
      </c>
      <c r="J331" s="132">
        <f t="shared" si="18"/>
        <v>0</v>
      </c>
    </row>
    <row r="332" spans="2:10" x14ac:dyDescent="0.5">
      <c r="B332" s="130">
        <f t="shared" si="16"/>
        <v>299</v>
      </c>
      <c r="C332" s="137"/>
      <c r="D332" s="131"/>
      <c r="E332" s="131"/>
      <c r="F332" s="131"/>
      <c r="G332" s="131"/>
      <c r="H332" s="131"/>
      <c r="I332" s="132">
        <f t="shared" si="17"/>
        <v>0</v>
      </c>
      <c r="J332" s="132">
        <f t="shared" si="18"/>
        <v>0</v>
      </c>
    </row>
    <row r="333" spans="2:10" x14ac:dyDescent="0.5">
      <c r="B333" s="130">
        <f t="shared" si="16"/>
        <v>300</v>
      </c>
      <c r="C333" s="137"/>
      <c r="D333" s="131"/>
      <c r="E333" s="131"/>
      <c r="F333" s="131"/>
      <c r="G333" s="131"/>
      <c r="H333" s="131"/>
      <c r="I333" s="132">
        <f t="shared" si="17"/>
        <v>0</v>
      </c>
      <c r="J333" s="132">
        <f t="shared" si="18"/>
        <v>0</v>
      </c>
    </row>
    <row r="334" spans="2:10" x14ac:dyDescent="0.5">
      <c r="B334" s="130">
        <f t="shared" si="16"/>
        <v>301</v>
      </c>
      <c r="C334" s="137"/>
      <c r="D334" s="131"/>
      <c r="E334" s="131"/>
      <c r="F334" s="131"/>
      <c r="G334" s="131"/>
      <c r="H334" s="131"/>
      <c r="I334" s="132">
        <f t="shared" si="17"/>
        <v>0</v>
      </c>
      <c r="J334" s="132">
        <f t="shared" si="18"/>
        <v>0</v>
      </c>
    </row>
    <row r="335" spans="2:10" x14ac:dyDescent="0.5">
      <c r="B335" s="130">
        <f t="shared" si="16"/>
        <v>302</v>
      </c>
      <c r="C335" s="137"/>
      <c r="D335" s="131"/>
      <c r="E335" s="131"/>
      <c r="F335" s="131"/>
      <c r="G335" s="131"/>
      <c r="H335" s="131"/>
      <c r="I335" s="132">
        <f t="shared" si="17"/>
        <v>0</v>
      </c>
      <c r="J335" s="132">
        <f t="shared" si="18"/>
        <v>0</v>
      </c>
    </row>
    <row r="336" spans="2:10" x14ac:dyDescent="0.5">
      <c r="B336" s="130">
        <f t="shared" si="16"/>
        <v>303</v>
      </c>
      <c r="C336" s="137"/>
      <c r="D336" s="131"/>
      <c r="E336" s="131"/>
      <c r="F336" s="131"/>
      <c r="G336" s="131"/>
      <c r="H336" s="131"/>
      <c r="I336" s="132">
        <f t="shared" si="17"/>
        <v>0</v>
      </c>
      <c r="J336" s="132">
        <f t="shared" si="18"/>
        <v>0</v>
      </c>
    </row>
    <row r="337" spans="2:10" x14ac:dyDescent="0.5">
      <c r="B337" s="130">
        <f t="shared" si="16"/>
        <v>304</v>
      </c>
      <c r="C337" s="137"/>
      <c r="D337" s="131"/>
      <c r="E337" s="131"/>
      <c r="F337" s="131"/>
      <c r="G337" s="131"/>
      <c r="H337" s="131"/>
      <c r="I337" s="132">
        <f t="shared" si="17"/>
        <v>0</v>
      </c>
      <c r="J337" s="132">
        <f t="shared" si="18"/>
        <v>0</v>
      </c>
    </row>
    <row r="338" spans="2:10" x14ac:dyDescent="0.5">
      <c r="B338" s="130">
        <f t="shared" si="16"/>
        <v>305</v>
      </c>
      <c r="C338" s="137"/>
      <c r="D338" s="131"/>
      <c r="E338" s="131"/>
      <c r="F338" s="131"/>
      <c r="G338" s="131"/>
      <c r="H338" s="131"/>
      <c r="I338" s="132">
        <f t="shared" si="17"/>
        <v>0</v>
      </c>
      <c r="J338" s="132">
        <f t="shared" si="18"/>
        <v>0</v>
      </c>
    </row>
    <row r="339" spans="2:10" x14ac:dyDescent="0.5">
      <c r="B339" s="130">
        <f t="shared" si="16"/>
        <v>306</v>
      </c>
      <c r="C339" s="137"/>
      <c r="D339" s="131"/>
      <c r="E339" s="131"/>
      <c r="F339" s="131"/>
      <c r="G339" s="131"/>
      <c r="H339" s="131"/>
      <c r="I339" s="132">
        <f t="shared" si="17"/>
        <v>0</v>
      </c>
      <c r="J339" s="132">
        <f t="shared" si="18"/>
        <v>0</v>
      </c>
    </row>
    <row r="340" spans="2:10" x14ac:dyDescent="0.5">
      <c r="B340" s="130">
        <f t="shared" si="16"/>
        <v>307</v>
      </c>
      <c r="C340" s="137"/>
      <c r="D340" s="131"/>
      <c r="E340" s="131"/>
      <c r="F340" s="131"/>
      <c r="G340" s="131"/>
      <c r="H340" s="131"/>
      <c r="I340" s="132">
        <f t="shared" si="17"/>
        <v>0</v>
      </c>
      <c r="J340" s="132">
        <f t="shared" si="18"/>
        <v>0</v>
      </c>
    </row>
    <row r="341" spans="2:10" x14ac:dyDescent="0.5">
      <c r="B341" s="130">
        <f t="shared" si="16"/>
        <v>308</v>
      </c>
      <c r="C341" s="137"/>
      <c r="D341" s="131"/>
      <c r="E341" s="131"/>
      <c r="F341" s="131"/>
      <c r="G341" s="131"/>
      <c r="H341" s="131"/>
      <c r="I341" s="132">
        <f t="shared" si="17"/>
        <v>0</v>
      </c>
      <c r="J341" s="132">
        <f t="shared" si="18"/>
        <v>0</v>
      </c>
    </row>
    <row r="342" spans="2:10" x14ac:dyDescent="0.5">
      <c r="B342" s="130">
        <f t="shared" si="16"/>
        <v>309</v>
      </c>
      <c r="C342" s="137"/>
      <c r="D342" s="131"/>
      <c r="E342" s="131"/>
      <c r="F342" s="131"/>
      <c r="G342" s="131"/>
      <c r="H342" s="131"/>
      <c r="I342" s="132">
        <f t="shared" si="17"/>
        <v>0</v>
      </c>
      <c r="J342" s="132">
        <f t="shared" si="18"/>
        <v>0</v>
      </c>
    </row>
    <row r="343" spans="2:10" x14ac:dyDescent="0.5">
      <c r="B343" s="130">
        <f t="shared" si="16"/>
        <v>310</v>
      </c>
      <c r="C343" s="137"/>
      <c r="D343" s="131"/>
      <c r="E343" s="131"/>
      <c r="F343" s="131"/>
      <c r="G343" s="131"/>
      <c r="H343" s="131"/>
      <c r="I343" s="132">
        <f t="shared" si="17"/>
        <v>0</v>
      </c>
      <c r="J343" s="132">
        <f t="shared" si="18"/>
        <v>0</v>
      </c>
    </row>
    <row r="344" spans="2:10" x14ac:dyDescent="0.5">
      <c r="B344" s="130">
        <f t="shared" si="16"/>
        <v>311</v>
      </c>
      <c r="C344" s="137"/>
      <c r="D344" s="131"/>
      <c r="E344" s="131"/>
      <c r="F344" s="131"/>
      <c r="G344" s="131"/>
      <c r="H344" s="131"/>
      <c r="I344" s="132">
        <f t="shared" si="17"/>
        <v>0</v>
      </c>
      <c r="J344" s="132">
        <f t="shared" si="18"/>
        <v>0</v>
      </c>
    </row>
    <row r="345" spans="2:10" x14ac:dyDescent="0.5">
      <c r="B345" s="130">
        <f t="shared" si="16"/>
        <v>312</v>
      </c>
      <c r="C345" s="137"/>
      <c r="D345" s="131"/>
      <c r="E345" s="131"/>
      <c r="F345" s="131"/>
      <c r="G345" s="131"/>
      <c r="H345" s="131"/>
      <c r="I345" s="132">
        <f t="shared" si="17"/>
        <v>0</v>
      </c>
      <c r="J345" s="132">
        <f t="shared" si="18"/>
        <v>0</v>
      </c>
    </row>
    <row r="346" spans="2:10" x14ac:dyDescent="0.5">
      <c r="B346" s="130">
        <f t="shared" si="16"/>
        <v>313</v>
      </c>
      <c r="C346" s="137"/>
      <c r="D346" s="131"/>
      <c r="E346" s="131"/>
      <c r="F346" s="131"/>
      <c r="G346" s="131"/>
      <c r="H346" s="131"/>
      <c r="I346" s="132">
        <f t="shared" si="17"/>
        <v>0</v>
      </c>
      <c r="J346" s="132">
        <f t="shared" si="18"/>
        <v>0</v>
      </c>
    </row>
    <row r="347" spans="2:10" x14ac:dyDescent="0.5">
      <c r="B347" s="130">
        <f t="shared" si="16"/>
        <v>314</v>
      </c>
      <c r="C347" s="137"/>
      <c r="D347" s="131"/>
      <c r="E347" s="131"/>
      <c r="F347" s="131"/>
      <c r="G347" s="131"/>
      <c r="H347" s="131"/>
      <c r="I347" s="132">
        <f t="shared" si="17"/>
        <v>0</v>
      </c>
      <c r="J347" s="132">
        <f t="shared" si="18"/>
        <v>0</v>
      </c>
    </row>
    <row r="348" spans="2:10" x14ac:dyDescent="0.5">
      <c r="B348" s="130">
        <f t="shared" si="16"/>
        <v>315</v>
      </c>
      <c r="C348" s="137"/>
      <c r="D348" s="131"/>
      <c r="E348" s="131"/>
      <c r="F348" s="131"/>
      <c r="G348" s="131"/>
      <c r="H348" s="131"/>
      <c r="I348" s="132">
        <f t="shared" si="17"/>
        <v>0</v>
      </c>
      <c r="J348" s="132">
        <f t="shared" si="18"/>
        <v>0</v>
      </c>
    </row>
    <row r="349" spans="2:10" x14ac:dyDescent="0.5">
      <c r="B349" s="130">
        <f t="shared" si="16"/>
        <v>316</v>
      </c>
      <c r="C349" s="137"/>
      <c r="D349" s="131"/>
      <c r="E349" s="131"/>
      <c r="F349" s="131"/>
      <c r="G349" s="131"/>
      <c r="H349" s="131"/>
      <c r="I349" s="132">
        <f t="shared" si="17"/>
        <v>0</v>
      </c>
      <c r="J349" s="132">
        <f t="shared" si="18"/>
        <v>0</v>
      </c>
    </row>
    <row r="350" spans="2:10" x14ac:dyDescent="0.5">
      <c r="B350" s="130">
        <f t="shared" si="16"/>
        <v>317</v>
      </c>
      <c r="C350" s="137"/>
      <c r="D350" s="131"/>
      <c r="E350" s="131"/>
      <c r="F350" s="131"/>
      <c r="G350" s="131"/>
      <c r="H350" s="131"/>
      <c r="I350" s="132">
        <f t="shared" si="17"/>
        <v>0</v>
      </c>
      <c r="J350" s="132">
        <f t="shared" si="18"/>
        <v>0</v>
      </c>
    </row>
    <row r="351" spans="2:10" x14ac:dyDescent="0.5">
      <c r="B351" s="130">
        <f t="shared" si="16"/>
        <v>318</v>
      </c>
      <c r="C351" s="137"/>
      <c r="D351" s="131"/>
      <c r="E351" s="131"/>
      <c r="F351" s="131"/>
      <c r="G351" s="131"/>
      <c r="H351" s="131"/>
      <c r="I351" s="132">
        <f t="shared" si="17"/>
        <v>0</v>
      </c>
      <c r="J351" s="132">
        <f t="shared" si="18"/>
        <v>0</v>
      </c>
    </row>
    <row r="352" spans="2:10" x14ac:dyDescent="0.5">
      <c r="B352" s="130">
        <f t="shared" si="16"/>
        <v>319</v>
      </c>
      <c r="C352" s="137"/>
      <c r="D352" s="131"/>
      <c r="E352" s="131"/>
      <c r="F352" s="131"/>
      <c r="G352" s="131"/>
      <c r="H352" s="131"/>
      <c r="I352" s="132">
        <f t="shared" si="17"/>
        <v>0</v>
      </c>
      <c r="J352" s="132">
        <f t="shared" si="18"/>
        <v>0</v>
      </c>
    </row>
    <row r="353" spans="2:10" x14ac:dyDescent="0.5">
      <c r="B353" s="130">
        <f t="shared" si="16"/>
        <v>320</v>
      </c>
      <c r="C353" s="137"/>
      <c r="D353" s="131"/>
      <c r="E353" s="131"/>
      <c r="F353" s="131"/>
      <c r="G353" s="131"/>
      <c r="H353" s="131"/>
      <c r="I353" s="132">
        <f t="shared" si="17"/>
        <v>0</v>
      </c>
      <c r="J353" s="132">
        <f t="shared" si="18"/>
        <v>0</v>
      </c>
    </row>
    <row r="354" spans="2:10" x14ac:dyDescent="0.5">
      <c r="B354" s="130">
        <f t="shared" ref="B354:B417" si="19">B353+1</f>
        <v>321</v>
      </c>
      <c r="C354" s="137"/>
      <c r="D354" s="131"/>
      <c r="E354" s="131"/>
      <c r="F354" s="131"/>
      <c r="G354" s="131"/>
      <c r="H354" s="131"/>
      <c r="I354" s="132">
        <f t="shared" si="17"/>
        <v>0</v>
      </c>
      <c r="J354" s="132">
        <f t="shared" si="18"/>
        <v>0</v>
      </c>
    </row>
    <row r="355" spans="2:10" x14ac:dyDescent="0.5">
      <c r="B355" s="130">
        <f t="shared" si="19"/>
        <v>322</v>
      </c>
      <c r="C355" s="137"/>
      <c r="D355" s="131"/>
      <c r="E355" s="131"/>
      <c r="F355" s="131"/>
      <c r="G355" s="131"/>
      <c r="H355" s="131"/>
      <c r="I355" s="132">
        <f t="shared" ref="I355:I418" si="20">SUM(D355:G355)</f>
        <v>0</v>
      </c>
      <c r="J355" s="132">
        <f t="shared" ref="J355:J418" si="21">I355-H355</f>
        <v>0</v>
      </c>
    </row>
    <row r="356" spans="2:10" x14ac:dyDescent="0.5">
      <c r="B356" s="130">
        <f t="shared" si="19"/>
        <v>323</v>
      </c>
      <c r="C356" s="137"/>
      <c r="D356" s="131"/>
      <c r="E356" s="131"/>
      <c r="F356" s="131"/>
      <c r="G356" s="131"/>
      <c r="H356" s="131"/>
      <c r="I356" s="132">
        <f t="shared" si="20"/>
        <v>0</v>
      </c>
      <c r="J356" s="132">
        <f t="shared" si="21"/>
        <v>0</v>
      </c>
    </row>
    <row r="357" spans="2:10" x14ac:dyDescent="0.5">
      <c r="B357" s="130">
        <f t="shared" si="19"/>
        <v>324</v>
      </c>
      <c r="C357" s="137"/>
      <c r="D357" s="131"/>
      <c r="E357" s="131"/>
      <c r="F357" s="131"/>
      <c r="G357" s="131"/>
      <c r="H357" s="131"/>
      <c r="I357" s="132">
        <f t="shared" si="20"/>
        <v>0</v>
      </c>
      <c r="J357" s="132">
        <f t="shared" si="21"/>
        <v>0</v>
      </c>
    </row>
    <row r="358" spans="2:10" x14ac:dyDescent="0.5">
      <c r="B358" s="130">
        <f t="shared" si="19"/>
        <v>325</v>
      </c>
      <c r="C358" s="137"/>
      <c r="D358" s="131"/>
      <c r="E358" s="131"/>
      <c r="F358" s="131"/>
      <c r="G358" s="131"/>
      <c r="H358" s="131"/>
      <c r="I358" s="132">
        <f t="shared" si="20"/>
        <v>0</v>
      </c>
      <c r="J358" s="132">
        <f t="shared" si="21"/>
        <v>0</v>
      </c>
    </row>
    <row r="359" spans="2:10" x14ac:dyDescent="0.5">
      <c r="B359" s="130">
        <f t="shared" si="19"/>
        <v>326</v>
      </c>
      <c r="C359" s="137"/>
      <c r="D359" s="131"/>
      <c r="E359" s="131"/>
      <c r="F359" s="131"/>
      <c r="G359" s="131"/>
      <c r="H359" s="131"/>
      <c r="I359" s="132">
        <f t="shared" si="20"/>
        <v>0</v>
      </c>
      <c r="J359" s="132">
        <f t="shared" si="21"/>
        <v>0</v>
      </c>
    </row>
    <row r="360" spans="2:10" x14ac:dyDescent="0.5">
      <c r="B360" s="130">
        <f t="shared" si="19"/>
        <v>327</v>
      </c>
      <c r="C360" s="137"/>
      <c r="D360" s="131"/>
      <c r="E360" s="131"/>
      <c r="F360" s="131"/>
      <c r="G360" s="131"/>
      <c r="H360" s="131"/>
      <c r="I360" s="132">
        <f t="shared" si="20"/>
        <v>0</v>
      </c>
      <c r="J360" s="132">
        <f t="shared" si="21"/>
        <v>0</v>
      </c>
    </row>
    <row r="361" spans="2:10" x14ac:dyDescent="0.5">
      <c r="B361" s="130">
        <f t="shared" si="19"/>
        <v>328</v>
      </c>
      <c r="C361" s="137"/>
      <c r="D361" s="131"/>
      <c r="E361" s="131"/>
      <c r="F361" s="131"/>
      <c r="G361" s="131"/>
      <c r="H361" s="131"/>
      <c r="I361" s="132">
        <f t="shared" si="20"/>
        <v>0</v>
      </c>
      <c r="J361" s="132">
        <f t="shared" si="21"/>
        <v>0</v>
      </c>
    </row>
    <row r="362" spans="2:10" x14ac:dyDescent="0.5">
      <c r="B362" s="130">
        <f t="shared" si="19"/>
        <v>329</v>
      </c>
      <c r="C362" s="137"/>
      <c r="D362" s="131"/>
      <c r="E362" s="131"/>
      <c r="F362" s="131"/>
      <c r="G362" s="131"/>
      <c r="H362" s="131"/>
      <c r="I362" s="132">
        <f t="shared" si="20"/>
        <v>0</v>
      </c>
      <c r="J362" s="132">
        <f t="shared" si="21"/>
        <v>0</v>
      </c>
    </row>
    <row r="363" spans="2:10" x14ac:dyDescent="0.5">
      <c r="B363" s="130">
        <f t="shared" si="19"/>
        <v>330</v>
      </c>
      <c r="C363" s="137"/>
      <c r="D363" s="131"/>
      <c r="E363" s="131"/>
      <c r="F363" s="131"/>
      <c r="G363" s="131"/>
      <c r="H363" s="131"/>
      <c r="I363" s="132">
        <f t="shared" si="20"/>
        <v>0</v>
      </c>
      <c r="J363" s="132">
        <f t="shared" si="21"/>
        <v>0</v>
      </c>
    </row>
    <row r="364" spans="2:10" x14ac:dyDescent="0.5">
      <c r="B364" s="130">
        <f t="shared" si="19"/>
        <v>331</v>
      </c>
      <c r="C364" s="137"/>
      <c r="D364" s="131"/>
      <c r="E364" s="131"/>
      <c r="F364" s="131"/>
      <c r="G364" s="131"/>
      <c r="H364" s="131"/>
      <c r="I364" s="132">
        <f t="shared" si="20"/>
        <v>0</v>
      </c>
      <c r="J364" s="132">
        <f t="shared" si="21"/>
        <v>0</v>
      </c>
    </row>
    <row r="365" spans="2:10" x14ac:dyDescent="0.5">
      <c r="B365" s="130">
        <f t="shared" si="19"/>
        <v>332</v>
      </c>
      <c r="C365" s="137"/>
      <c r="D365" s="131"/>
      <c r="E365" s="131"/>
      <c r="F365" s="131"/>
      <c r="G365" s="131"/>
      <c r="H365" s="131"/>
      <c r="I365" s="132">
        <f t="shared" si="20"/>
        <v>0</v>
      </c>
      <c r="J365" s="132">
        <f t="shared" si="21"/>
        <v>0</v>
      </c>
    </row>
    <row r="366" spans="2:10" x14ac:dyDescent="0.5">
      <c r="B366" s="130">
        <f t="shared" si="19"/>
        <v>333</v>
      </c>
      <c r="C366" s="137"/>
      <c r="D366" s="131"/>
      <c r="E366" s="131"/>
      <c r="F366" s="131"/>
      <c r="G366" s="131"/>
      <c r="H366" s="131"/>
      <c r="I366" s="132">
        <f t="shared" si="20"/>
        <v>0</v>
      </c>
      <c r="J366" s="132">
        <f t="shared" si="21"/>
        <v>0</v>
      </c>
    </row>
    <row r="367" spans="2:10" x14ac:dyDescent="0.5">
      <c r="B367" s="130">
        <f t="shared" si="19"/>
        <v>334</v>
      </c>
      <c r="C367" s="137"/>
      <c r="D367" s="131"/>
      <c r="E367" s="131"/>
      <c r="F367" s="131"/>
      <c r="G367" s="131"/>
      <c r="H367" s="131"/>
      <c r="I367" s="132">
        <f t="shared" si="20"/>
        <v>0</v>
      </c>
      <c r="J367" s="132">
        <f t="shared" si="21"/>
        <v>0</v>
      </c>
    </row>
    <row r="368" spans="2:10" x14ac:dyDescent="0.5">
      <c r="B368" s="130">
        <f t="shared" si="19"/>
        <v>335</v>
      </c>
      <c r="C368" s="137"/>
      <c r="D368" s="131"/>
      <c r="E368" s="131"/>
      <c r="F368" s="131"/>
      <c r="G368" s="131"/>
      <c r="H368" s="131"/>
      <c r="I368" s="132">
        <f t="shared" si="20"/>
        <v>0</v>
      </c>
      <c r="J368" s="132">
        <f t="shared" si="21"/>
        <v>0</v>
      </c>
    </row>
    <row r="369" spans="2:10" x14ac:dyDescent="0.5">
      <c r="B369" s="130">
        <f t="shared" si="19"/>
        <v>336</v>
      </c>
      <c r="C369" s="137"/>
      <c r="D369" s="131"/>
      <c r="E369" s="131"/>
      <c r="F369" s="131"/>
      <c r="G369" s="131"/>
      <c r="H369" s="131"/>
      <c r="I369" s="132">
        <f t="shared" si="20"/>
        <v>0</v>
      </c>
      <c r="J369" s="132">
        <f t="shared" si="21"/>
        <v>0</v>
      </c>
    </row>
    <row r="370" spans="2:10" x14ac:dyDescent="0.5">
      <c r="B370" s="130">
        <f t="shared" si="19"/>
        <v>337</v>
      </c>
      <c r="C370" s="137"/>
      <c r="D370" s="131"/>
      <c r="E370" s="131"/>
      <c r="F370" s="131"/>
      <c r="G370" s="131"/>
      <c r="H370" s="131"/>
      <c r="I370" s="132">
        <f t="shared" si="20"/>
        <v>0</v>
      </c>
      <c r="J370" s="132">
        <f t="shared" si="21"/>
        <v>0</v>
      </c>
    </row>
    <row r="371" spans="2:10" x14ac:dyDescent="0.5">
      <c r="B371" s="130">
        <f t="shared" si="19"/>
        <v>338</v>
      </c>
      <c r="C371" s="137"/>
      <c r="D371" s="131"/>
      <c r="E371" s="131"/>
      <c r="F371" s="131"/>
      <c r="G371" s="131"/>
      <c r="H371" s="131"/>
      <c r="I371" s="132">
        <f t="shared" si="20"/>
        <v>0</v>
      </c>
      <c r="J371" s="132">
        <f t="shared" si="21"/>
        <v>0</v>
      </c>
    </row>
    <row r="372" spans="2:10" x14ac:dyDescent="0.5">
      <c r="B372" s="130">
        <f t="shared" si="19"/>
        <v>339</v>
      </c>
      <c r="C372" s="137"/>
      <c r="D372" s="131"/>
      <c r="E372" s="131"/>
      <c r="F372" s="131"/>
      <c r="G372" s="131"/>
      <c r="H372" s="131"/>
      <c r="I372" s="132">
        <f t="shared" si="20"/>
        <v>0</v>
      </c>
      <c r="J372" s="132">
        <f t="shared" si="21"/>
        <v>0</v>
      </c>
    </row>
    <row r="373" spans="2:10" x14ac:dyDescent="0.5">
      <c r="B373" s="130">
        <f t="shared" si="19"/>
        <v>340</v>
      </c>
      <c r="C373" s="137"/>
      <c r="D373" s="131"/>
      <c r="E373" s="131"/>
      <c r="F373" s="131"/>
      <c r="G373" s="131"/>
      <c r="H373" s="131"/>
      <c r="I373" s="132">
        <f t="shared" si="20"/>
        <v>0</v>
      </c>
      <c r="J373" s="132">
        <f t="shared" si="21"/>
        <v>0</v>
      </c>
    </row>
    <row r="374" spans="2:10" x14ac:dyDescent="0.5">
      <c r="B374" s="130">
        <f t="shared" si="19"/>
        <v>341</v>
      </c>
      <c r="C374" s="137"/>
      <c r="D374" s="131"/>
      <c r="E374" s="131"/>
      <c r="F374" s="131"/>
      <c r="G374" s="131"/>
      <c r="H374" s="131"/>
      <c r="I374" s="132">
        <f t="shared" si="20"/>
        <v>0</v>
      </c>
      <c r="J374" s="132">
        <f t="shared" si="21"/>
        <v>0</v>
      </c>
    </row>
    <row r="375" spans="2:10" x14ac:dyDescent="0.5">
      <c r="B375" s="130">
        <f t="shared" si="19"/>
        <v>342</v>
      </c>
      <c r="C375" s="137"/>
      <c r="D375" s="131"/>
      <c r="E375" s="131"/>
      <c r="F375" s="131"/>
      <c r="G375" s="131"/>
      <c r="H375" s="131"/>
      <c r="I375" s="132">
        <f t="shared" si="20"/>
        <v>0</v>
      </c>
      <c r="J375" s="132">
        <f t="shared" si="21"/>
        <v>0</v>
      </c>
    </row>
    <row r="376" spans="2:10" x14ac:dyDescent="0.5">
      <c r="B376" s="130">
        <f t="shared" si="19"/>
        <v>343</v>
      </c>
      <c r="C376" s="137"/>
      <c r="D376" s="131"/>
      <c r="E376" s="131"/>
      <c r="F376" s="131"/>
      <c r="G376" s="131"/>
      <c r="H376" s="131"/>
      <c r="I376" s="132">
        <f t="shared" si="20"/>
        <v>0</v>
      </c>
      <c r="J376" s="132">
        <f t="shared" si="21"/>
        <v>0</v>
      </c>
    </row>
    <row r="377" spans="2:10" x14ac:dyDescent="0.5">
      <c r="B377" s="130">
        <f t="shared" si="19"/>
        <v>344</v>
      </c>
      <c r="C377" s="137"/>
      <c r="D377" s="131"/>
      <c r="E377" s="131"/>
      <c r="F377" s="131"/>
      <c r="G377" s="131"/>
      <c r="H377" s="131"/>
      <c r="I377" s="132">
        <f t="shared" si="20"/>
        <v>0</v>
      </c>
      <c r="J377" s="132">
        <f t="shared" si="21"/>
        <v>0</v>
      </c>
    </row>
    <row r="378" spans="2:10" x14ac:dyDescent="0.5">
      <c r="B378" s="130">
        <f t="shared" si="19"/>
        <v>345</v>
      </c>
      <c r="C378" s="137"/>
      <c r="D378" s="131"/>
      <c r="E378" s="131"/>
      <c r="F378" s="131"/>
      <c r="G378" s="131"/>
      <c r="H378" s="131"/>
      <c r="I378" s="132">
        <f t="shared" si="20"/>
        <v>0</v>
      </c>
      <c r="J378" s="132">
        <f t="shared" si="21"/>
        <v>0</v>
      </c>
    </row>
    <row r="379" spans="2:10" x14ac:dyDescent="0.5">
      <c r="B379" s="130">
        <f t="shared" si="19"/>
        <v>346</v>
      </c>
      <c r="C379" s="137"/>
      <c r="D379" s="131"/>
      <c r="E379" s="131"/>
      <c r="F379" s="131"/>
      <c r="G379" s="131"/>
      <c r="H379" s="131"/>
      <c r="I379" s="132">
        <f t="shared" si="20"/>
        <v>0</v>
      </c>
      <c r="J379" s="132">
        <f t="shared" si="21"/>
        <v>0</v>
      </c>
    </row>
    <row r="380" spans="2:10" x14ac:dyDescent="0.5">
      <c r="B380" s="130">
        <f t="shared" si="19"/>
        <v>347</v>
      </c>
      <c r="C380" s="137"/>
      <c r="D380" s="131"/>
      <c r="E380" s="131"/>
      <c r="F380" s="131"/>
      <c r="G380" s="131"/>
      <c r="H380" s="131"/>
      <c r="I380" s="132">
        <f t="shared" si="20"/>
        <v>0</v>
      </c>
      <c r="J380" s="132">
        <f t="shared" si="21"/>
        <v>0</v>
      </c>
    </row>
    <row r="381" spans="2:10" x14ac:dyDescent="0.5">
      <c r="B381" s="130">
        <f t="shared" si="19"/>
        <v>348</v>
      </c>
      <c r="C381" s="137"/>
      <c r="D381" s="131"/>
      <c r="E381" s="131"/>
      <c r="F381" s="131"/>
      <c r="G381" s="131"/>
      <c r="H381" s="131"/>
      <c r="I381" s="132">
        <f t="shared" si="20"/>
        <v>0</v>
      </c>
      <c r="J381" s="132">
        <f t="shared" si="21"/>
        <v>0</v>
      </c>
    </row>
    <row r="382" spans="2:10" x14ac:dyDescent="0.5">
      <c r="B382" s="130">
        <f t="shared" si="19"/>
        <v>349</v>
      </c>
      <c r="C382" s="137"/>
      <c r="D382" s="131"/>
      <c r="E382" s="131"/>
      <c r="F382" s="131"/>
      <c r="G382" s="131"/>
      <c r="H382" s="131"/>
      <c r="I382" s="132">
        <f t="shared" si="20"/>
        <v>0</v>
      </c>
      <c r="J382" s="132">
        <f t="shared" si="21"/>
        <v>0</v>
      </c>
    </row>
    <row r="383" spans="2:10" x14ac:dyDescent="0.5">
      <c r="B383" s="130">
        <f t="shared" si="19"/>
        <v>350</v>
      </c>
      <c r="C383" s="137"/>
      <c r="D383" s="131"/>
      <c r="E383" s="131"/>
      <c r="F383" s="131"/>
      <c r="G383" s="131"/>
      <c r="H383" s="131"/>
      <c r="I383" s="132">
        <f t="shared" si="20"/>
        <v>0</v>
      </c>
      <c r="J383" s="132">
        <f t="shared" si="21"/>
        <v>0</v>
      </c>
    </row>
    <row r="384" spans="2:10" x14ac:dyDescent="0.5">
      <c r="B384" s="130">
        <f t="shared" si="19"/>
        <v>351</v>
      </c>
      <c r="C384" s="137"/>
      <c r="D384" s="131"/>
      <c r="E384" s="131"/>
      <c r="F384" s="131"/>
      <c r="G384" s="131"/>
      <c r="H384" s="131"/>
      <c r="I384" s="132">
        <f t="shared" si="20"/>
        <v>0</v>
      </c>
      <c r="J384" s="132">
        <f t="shared" si="21"/>
        <v>0</v>
      </c>
    </row>
    <row r="385" spans="2:10" x14ac:dyDescent="0.5">
      <c r="B385" s="130">
        <f t="shared" si="19"/>
        <v>352</v>
      </c>
      <c r="C385" s="137"/>
      <c r="D385" s="131"/>
      <c r="E385" s="131"/>
      <c r="F385" s="131"/>
      <c r="G385" s="131"/>
      <c r="H385" s="131"/>
      <c r="I385" s="132">
        <f t="shared" si="20"/>
        <v>0</v>
      </c>
      <c r="J385" s="132">
        <f t="shared" si="21"/>
        <v>0</v>
      </c>
    </row>
    <row r="386" spans="2:10" x14ac:dyDescent="0.5">
      <c r="B386" s="130">
        <f t="shared" si="19"/>
        <v>353</v>
      </c>
      <c r="C386" s="137"/>
      <c r="D386" s="131"/>
      <c r="E386" s="131"/>
      <c r="F386" s="131"/>
      <c r="G386" s="131"/>
      <c r="H386" s="131"/>
      <c r="I386" s="132">
        <f t="shared" si="20"/>
        <v>0</v>
      </c>
      <c r="J386" s="132">
        <f t="shared" si="21"/>
        <v>0</v>
      </c>
    </row>
    <row r="387" spans="2:10" x14ac:dyDescent="0.5">
      <c r="B387" s="130">
        <f t="shared" si="19"/>
        <v>354</v>
      </c>
      <c r="C387" s="137"/>
      <c r="D387" s="131"/>
      <c r="E387" s="131"/>
      <c r="F387" s="131"/>
      <c r="G387" s="131"/>
      <c r="H387" s="131"/>
      <c r="I387" s="132">
        <f t="shared" si="20"/>
        <v>0</v>
      </c>
      <c r="J387" s="132">
        <f t="shared" si="21"/>
        <v>0</v>
      </c>
    </row>
    <row r="388" spans="2:10" x14ac:dyDescent="0.5">
      <c r="B388" s="130">
        <f t="shared" si="19"/>
        <v>355</v>
      </c>
      <c r="C388" s="137"/>
      <c r="D388" s="131"/>
      <c r="E388" s="131"/>
      <c r="F388" s="131"/>
      <c r="G388" s="131"/>
      <c r="H388" s="131"/>
      <c r="I388" s="132">
        <f t="shared" si="20"/>
        <v>0</v>
      </c>
      <c r="J388" s="132">
        <f t="shared" si="21"/>
        <v>0</v>
      </c>
    </row>
    <row r="389" spans="2:10" x14ac:dyDescent="0.5">
      <c r="B389" s="130">
        <f t="shared" si="19"/>
        <v>356</v>
      </c>
      <c r="C389" s="137"/>
      <c r="D389" s="131"/>
      <c r="E389" s="131"/>
      <c r="F389" s="131"/>
      <c r="G389" s="131"/>
      <c r="H389" s="131"/>
      <c r="I389" s="132">
        <f t="shared" si="20"/>
        <v>0</v>
      </c>
      <c r="J389" s="132">
        <f t="shared" si="21"/>
        <v>0</v>
      </c>
    </row>
    <row r="390" spans="2:10" x14ac:dyDescent="0.5">
      <c r="B390" s="130">
        <f t="shared" si="19"/>
        <v>357</v>
      </c>
      <c r="C390" s="137"/>
      <c r="D390" s="131"/>
      <c r="E390" s="131"/>
      <c r="F390" s="131"/>
      <c r="G390" s="131"/>
      <c r="H390" s="131"/>
      <c r="I390" s="132">
        <f t="shared" si="20"/>
        <v>0</v>
      </c>
      <c r="J390" s="132">
        <f t="shared" si="21"/>
        <v>0</v>
      </c>
    </row>
    <row r="391" spans="2:10" x14ac:dyDescent="0.5">
      <c r="B391" s="130">
        <f t="shared" si="19"/>
        <v>358</v>
      </c>
      <c r="C391" s="137"/>
      <c r="D391" s="131"/>
      <c r="E391" s="131"/>
      <c r="F391" s="131"/>
      <c r="G391" s="131"/>
      <c r="H391" s="131"/>
      <c r="I391" s="132">
        <f t="shared" si="20"/>
        <v>0</v>
      </c>
      <c r="J391" s="132">
        <f t="shared" si="21"/>
        <v>0</v>
      </c>
    </row>
    <row r="392" spans="2:10" x14ac:dyDescent="0.5">
      <c r="B392" s="130">
        <f t="shared" si="19"/>
        <v>359</v>
      </c>
      <c r="C392" s="137"/>
      <c r="D392" s="131"/>
      <c r="E392" s="131"/>
      <c r="F392" s="131"/>
      <c r="G392" s="131"/>
      <c r="H392" s="131"/>
      <c r="I392" s="132">
        <f t="shared" si="20"/>
        <v>0</v>
      </c>
      <c r="J392" s="132">
        <f t="shared" si="21"/>
        <v>0</v>
      </c>
    </row>
    <row r="393" spans="2:10" x14ac:dyDescent="0.5">
      <c r="B393" s="130">
        <f t="shared" si="19"/>
        <v>360</v>
      </c>
      <c r="C393" s="137"/>
      <c r="D393" s="131"/>
      <c r="E393" s="131"/>
      <c r="F393" s="131"/>
      <c r="G393" s="131"/>
      <c r="H393" s="131"/>
      <c r="I393" s="132">
        <f t="shared" si="20"/>
        <v>0</v>
      </c>
      <c r="J393" s="132">
        <f t="shared" si="21"/>
        <v>0</v>
      </c>
    </row>
    <row r="394" spans="2:10" x14ac:dyDescent="0.5">
      <c r="B394" s="130">
        <f t="shared" si="19"/>
        <v>361</v>
      </c>
      <c r="C394" s="137"/>
      <c r="D394" s="131"/>
      <c r="E394" s="131"/>
      <c r="F394" s="131"/>
      <c r="G394" s="131"/>
      <c r="H394" s="131"/>
      <c r="I394" s="132">
        <f t="shared" si="20"/>
        <v>0</v>
      </c>
      <c r="J394" s="132">
        <f t="shared" si="21"/>
        <v>0</v>
      </c>
    </row>
    <row r="395" spans="2:10" x14ac:dyDescent="0.5">
      <c r="B395" s="130">
        <f t="shared" si="19"/>
        <v>362</v>
      </c>
      <c r="C395" s="137"/>
      <c r="D395" s="131"/>
      <c r="E395" s="131"/>
      <c r="F395" s="131"/>
      <c r="G395" s="131"/>
      <c r="H395" s="131"/>
      <c r="I395" s="132">
        <f t="shared" si="20"/>
        <v>0</v>
      </c>
      <c r="J395" s="132">
        <f t="shared" si="21"/>
        <v>0</v>
      </c>
    </row>
    <row r="396" spans="2:10" x14ac:dyDescent="0.5">
      <c r="B396" s="130">
        <f t="shared" si="19"/>
        <v>363</v>
      </c>
      <c r="C396" s="137"/>
      <c r="D396" s="131"/>
      <c r="E396" s="131"/>
      <c r="F396" s="131"/>
      <c r="G396" s="131"/>
      <c r="H396" s="131"/>
      <c r="I396" s="132">
        <f t="shared" si="20"/>
        <v>0</v>
      </c>
      <c r="J396" s="132">
        <f t="shared" si="21"/>
        <v>0</v>
      </c>
    </row>
    <row r="397" spans="2:10" x14ac:dyDescent="0.5">
      <c r="B397" s="130">
        <f t="shared" si="19"/>
        <v>364</v>
      </c>
      <c r="C397" s="137"/>
      <c r="D397" s="131"/>
      <c r="E397" s="131"/>
      <c r="F397" s="131"/>
      <c r="G397" s="131"/>
      <c r="H397" s="131"/>
      <c r="I397" s="132">
        <f t="shared" si="20"/>
        <v>0</v>
      </c>
      <c r="J397" s="132">
        <f t="shared" si="21"/>
        <v>0</v>
      </c>
    </row>
    <row r="398" spans="2:10" x14ac:dyDescent="0.5">
      <c r="B398" s="130">
        <f t="shared" si="19"/>
        <v>365</v>
      </c>
      <c r="C398" s="137"/>
      <c r="D398" s="131"/>
      <c r="E398" s="131"/>
      <c r="F398" s="131"/>
      <c r="G398" s="131"/>
      <c r="H398" s="131"/>
      <c r="I398" s="132">
        <f t="shared" si="20"/>
        <v>0</v>
      </c>
      <c r="J398" s="132">
        <f t="shared" si="21"/>
        <v>0</v>
      </c>
    </row>
    <row r="399" spans="2:10" x14ac:dyDescent="0.5">
      <c r="B399" s="130">
        <f t="shared" si="19"/>
        <v>366</v>
      </c>
      <c r="C399" s="137"/>
      <c r="D399" s="131"/>
      <c r="E399" s="131"/>
      <c r="F399" s="131"/>
      <c r="G399" s="131"/>
      <c r="H399" s="131"/>
      <c r="I399" s="132">
        <f t="shared" si="20"/>
        <v>0</v>
      </c>
      <c r="J399" s="132">
        <f t="shared" si="21"/>
        <v>0</v>
      </c>
    </row>
    <row r="400" spans="2:10" x14ac:dyDescent="0.5">
      <c r="B400" s="130">
        <f t="shared" si="19"/>
        <v>367</v>
      </c>
      <c r="C400" s="137"/>
      <c r="D400" s="131"/>
      <c r="E400" s="131"/>
      <c r="F400" s="131"/>
      <c r="G400" s="131"/>
      <c r="H400" s="131"/>
      <c r="I400" s="132">
        <f t="shared" si="20"/>
        <v>0</v>
      </c>
      <c r="J400" s="132">
        <f t="shared" si="21"/>
        <v>0</v>
      </c>
    </row>
    <row r="401" spans="2:10" x14ac:dyDescent="0.5">
      <c r="B401" s="130">
        <f t="shared" si="19"/>
        <v>368</v>
      </c>
      <c r="C401" s="137"/>
      <c r="D401" s="131"/>
      <c r="E401" s="131"/>
      <c r="F401" s="131"/>
      <c r="G401" s="131"/>
      <c r="H401" s="131"/>
      <c r="I401" s="132">
        <f t="shared" si="20"/>
        <v>0</v>
      </c>
      <c r="J401" s="132">
        <f t="shared" si="21"/>
        <v>0</v>
      </c>
    </row>
    <row r="402" spans="2:10" x14ac:dyDescent="0.5">
      <c r="B402" s="130">
        <f t="shared" si="19"/>
        <v>369</v>
      </c>
      <c r="C402" s="137"/>
      <c r="D402" s="131"/>
      <c r="E402" s="131"/>
      <c r="F402" s="131"/>
      <c r="G402" s="131"/>
      <c r="H402" s="131"/>
      <c r="I402" s="132">
        <f t="shared" si="20"/>
        <v>0</v>
      </c>
      <c r="J402" s="132">
        <f t="shared" si="21"/>
        <v>0</v>
      </c>
    </row>
    <row r="403" spans="2:10" x14ac:dyDescent="0.5">
      <c r="B403" s="130">
        <f t="shared" si="19"/>
        <v>370</v>
      </c>
      <c r="C403" s="137"/>
      <c r="D403" s="131"/>
      <c r="E403" s="131"/>
      <c r="F403" s="131"/>
      <c r="G403" s="131"/>
      <c r="H403" s="131"/>
      <c r="I403" s="132">
        <f t="shared" si="20"/>
        <v>0</v>
      </c>
      <c r="J403" s="132">
        <f t="shared" si="21"/>
        <v>0</v>
      </c>
    </row>
    <row r="404" spans="2:10" x14ac:dyDescent="0.5">
      <c r="B404" s="130">
        <f t="shared" si="19"/>
        <v>371</v>
      </c>
      <c r="C404" s="137"/>
      <c r="D404" s="131"/>
      <c r="E404" s="131"/>
      <c r="F404" s="131"/>
      <c r="G404" s="131"/>
      <c r="H404" s="131"/>
      <c r="I404" s="132">
        <f t="shared" si="20"/>
        <v>0</v>
      </c>
      <c r="J404" s="132">
        <f t="shared" si="21"/>
        <v>0</v>
      </c>
    </row>
    <row r="405" spans="2:10" x14ac:dyDescent="0.5">
      <c r="B405" s="130">
        <f t="shared" si="19"/>
        <v>372</v>
      </c>
      <c r="C405" s="137"/>
      <c r="D405" s="131"/>
      <c r="E405" s="131"/>
      <c r="F405" s="131"/>
      <c r="G405" s="131"/>
      <c r="H405" s="131"/>
      <c r="I405" s="132">
        <f t="shared" si="20"/>
        <v>0</v>
      </c>
      <c r="J405" s="132">
        <f t="shared" si="21"/>
        <v>0</v>
      </c>
    </row>
    <row r="406" spans="2:10" x14ac:dyDescent="0.5">
      <c r="B406" s="130">
        <f t="shared" si="19"/>
        <v>373</v>
      </c>
      <c r="C406" s="137"/>
      <c r="D406" s="131"/>
      <c r="E406" s="131"/>
      <c r="F406" s="131"/>
      <c r="G406" s="131"/>
      <c r="H406" s="131"/>
      <c r="I406" s="132">
        <f t="shared" si="20"/>
        <v>0</v>
      </c>
      <c r="J406" s="132">
        <f t="shared" si="21"/>
        <v>0</v>
      </c>
    </row>
    <row r="407" spans="2:10" x14ac:dyDescent="0.5">
      <c r="B407" s="130">
        <f t="shared" si="19"/>
        <v>374</v>
      </c>
      <c r="C407" s="137"/>
      <c r="D407" s="131"/>
      <c r="E407" s="131"/>
      <c r="F407" s="131"/>
      <c r="G407" s="131"/>
      <c r="H407" s="131"/>
      <c r="I407" s="132">
        <f t="shared" si="20"/>
        <v>0</v>
      </c>
      <c r="J407" s="132">
        <f t="shared" si="21"/>
        <v>0</v>
      </c>
    </row>
    <row r="408" spans="2:10" x14ac:dyDescent="0.5">
      <c r="B408" s="130">
        <f t="shared" si="19"/>
        <v>375</v>
      </c>
      <c r="C408" s="137"/>
      <c r="D408" s="131"/>
      <c r="E408" s="131"/>
      <c r="F408" s="131"/>
      <c r="G408" s="131"/>
      <c r="H408" s="131"/>
      <c r="I408" s="132">
        <f t="shared" si="20"/>
        <v>0</v>
      </c>
      <c r="J408" s="132">
        <f t="shared" si="21"/>
        <v>0</v>
      </c>
    </row>
    <row r="409" spans="2:10" x14ac:dyDescent="0.5">
      <c r="B409" s="130">
        <f t="shared" si="19"/>
        <v>376</v>
      </c>
      <c r="C409" s="137"/>
      <c r="D409" s="131"/>
      <c r="E409" s="131"/>
      <c r="F409" s="131"/>
      <c r="G409" s="131"/>
      <c r="H409" s="131"/>
      <c r="I409" s="132">
        <f t="shared" si="20"/>
        <v>0</v>
      </c>
      <c r="J409" s="132">
        <f t="shared" si="21"/>
        <v>0</v>
      </c>
    </row>
    <row r="410" spans="2:10" x14ac:dyDescent="0.5">
      <c r="B410" s="130">
        <f t="shared" si="19"/>
        <v>377</v>
      </c>
      <c r="C410" s="137"/>
      <c r="D410" s="131"/>
      <c r="E410" s="131"/>
      <c r="F410" s="131"/>
      <c r="G410" s="131"/>
      <c r="H410" s="131"/>
      <c r="I410" s="132">
        <f t="shared" si="20"/>
        <v>0</v>
      </c>
      <c r="J410" s="132">
        <f t="shared" si="21"/>
        <v>0</v>
      </c>
    </row>
    <row r="411" spans="2:10" x14ac:dyDescent="0.5">
      <c r="B411" s="130">
        <f t="shared" si="19"/>
        <v>378</v>
      </c>
      <c r="C411" s="137"/>
      <c r="D411" s="131"/>
      <c r="E411" s="131"/>
      <c r="F411" s="131"/>
      <c r="G411" s="131"/>
      <c r="H411" s="131"/>
      <c r="I411" s="132">
        <f t="shared" si="20"/>
        <v>0</v>
      </c>
      <c r="J411" s="132">
        <f t="shared" si="21"/>
        <v>0</v>
      </c>
    </row>
    <row r="412" spans="2:10" x14ac:dyDescent="0.5">
      <c r="B412" s="130">
        <f t="shared" si="19"/>
        <v>379</v>
      </c>
      <c r="C412" s="137"/>
      <c r="D412" s="131"/>
      <c r="E412" s="131"/>
      <c r="F412" s="131"/>
      <c r="G412" s="131"/>
      <c r="H412" s="131"/>
      <c r="I412" s="132">
        <f t="shared" si="20"/>
        <v>0</v>
      </c>
      <c r="J412" s="132">
        <f t="shared" si="21"/>
        <v>0</v>
      </c>
    </row>
    <row r="413" spans="2:10" x14ac:dyDescent="0.5">
      <c r="B413" s="130">
        <f t="shared" si="19"/>
        <v>380</v>
      </c>
      <c r="C413" s="137"/>
      <c r="D413" s="131"/>
      <c r="E413" s="131"/>
      <c r="F413" s="131"/>
      <c r="G413" s="131"/>
      <c r="H413" s="131"/>
      <c r="I413" s="132">
        <f t="shared" si="20"/>
        <v>0</v>
      </c>
      <c r="J413" s="132">
        <f t="shared" si="21"/>
        <v>0</v>
      </c>
    </row>
    <row r="414" spans="2:10" x14ac:dyDescent="0.5">
      <c r="B414" s="130">
        <f t="shared" si="19"/>
        <v>381</v>
      </c>
      <c r="C414" s="137"/>
      <c r="D414" s="131"/>
      <c r="E414" s="131"/>
      <c r="F414" s="131"/>
      <c r="G414" s="131"/>
      <c r="H414" s="131"/>
      <c r="I414" s="132">
        <f t="shared" si="20"/>
        <v>0</v>
      </c>
      <c r="J414" s="132">
        <f t="shared" si="21"/>
        <v>0</v>
      </c>
    </row>
    <row r="415" spans="2:10" x14ac:dyDescent="0.5">
      <c r="B415" s="130">
        <f t="shared" si="19"/>
        <v>382</v>
      </c>
      <c r="C415" s="137"/>
      <c r="D415" s="131"/>
      <c r="E415" s="131"/>
      <c r="F415" s="131"/>
      <c r="G415" s="131"/>
      <c r="H415" s="131"/>
      <c r="I415" s="132">
        <f t="shared" si="20"/>
        <v>0</v>
      </c>
      <c r="J415" s="132">
        <f t="shared" si="21"/>
        <v>0</v>
      </c>
    </row>
    <row r="416" spans="2:10" x14ac:dyDescent="0.5">
      <c r="B416" s="130">
        <f t="shared" si="19"/>
        <v>383</v>
      </c>
      <c r="C416" s="137"/>
      <c r="D416" s="131"/>
      <c r="E416" s="131"/>
      <c r="F416" s="131"/>
      <c r="G416" s="131"/>
      <c r="H416" s="131"/>
      <c r="I416" s="132">
        <f t="shared" si="20"/>
        <v>0</v>
      </c>
      <c r="J416" s="132">
        <f t="shared" si="21"/>
        <v>0</v>
      </c>
    </row>
    <row r="417" spans="2:10" x14ac:dyDescent="0.5">
      <c r="B417" s="130">
        <f t="shared" si="19"/>
        <v>384</v>
      </c>
      <c r="C417" s="137"/>
      <c r="D417" s="131"/>
      <c r="E417" s="131"/>
      <c r="F417" s="131"/>
      <c r="G417" s="131"/>
      <c r="H417" s="131"/>
      <c r="I417" s="132">
        <f t="shared" si="20"/>
        <v>0</v>
      </c>
      <c r="J417" s="132">
        <f t="shared" si="21"/>
        <v>0</v>
      </c>
    </row>
    <row r="418" spans="2:10" x14ac:dyDescent="0.5">
      <c r="B418" s="130">
        <f t="shared" ref="B418:B481" si="22">B417+1</f>
        <v>385</v>
      </c>
      <c r="C418" s="137"/>
      <c r="D418" s="131"/>
      <c r="E418" s="131"/>
      <c r="F418" s="131"/>
      <c r="G418" s="131"/>
      <c r="H418" s="131"/>
      <c r="I418" s="132">
        <f t="shared" si="20"/>
        <v>0</v>
      </c>
      <c r="J418" s="132">
        <f t="shared" si="21"/>
        <v>0</v>
      </c>
    </row>
    <row r="419" spans="2:10" x14ac:dyDescent="0.5">
      <c r="B419" s="130">
        <f t="shared" si="22"/>
        <v>386</v>
      </c>
      <c r="C419" s="137"/>
      <c r="D419" s="131"/>
      <c r="E419" s="131"/>
      <c r="F419" s="131"/>
      <c r="G419" s="131"/>
      <c r="H419" s="131"/>
      <c r="I419" s="132">
        <f t="shared" ref="I419:I482" si="23">SUM(D419:G419)</f>
        <v>0</v>
      </c>
      <c r="J419" s="132">
        <f t="shared" ref="J419:J482" si="24">I419-H419</f>
        <v>0</v>
      </c>
    </row>
    <row r="420" spans="2:10" x14ac:dyDescent="0.5">
      <c r="B420" s="130">
        <f t="shared" si="22"/>
        <v>387</v>
      </c>
      <c r="C420" s="137"/>
      <c r="D420" s="131"/>
      <c r="E420" s="131"/>
      <c r="F420" s="131"/>
      <c r="G420" s="131"/>
      <c r="H420" s="131"/>
      <c r="I420" s="132">
        <f t="shared" si="23"/>
        <v>0</v>
      </c>
      <c r="J420" s="132">
        <f t="shared" si="24"/>
        <v>0</v>
      </c>
    </row>
    <row r="421" spans="2:10" x14ac:dyDescent="0.5">
      <c r="B421" s="130">
        <f t="shared" si="22"/>
        <v>388</v>
      </c>
      <c r="C421" s="137"/>
      <c r="D421" s="131"/>
      <c r="E421" s="131"/>
      <c r="F421" s="131"/>
      <c r="G421" s="131"/>
      <c r="H421" s="131"/>
      <c r="I421" s="132">
        <f t="shared" si="23"/>
        <v>0</v>
      </c>
      <c r="J421" s="132">
        <f t="shared" si="24"/>
        <v>0</v>
      </c>
    </row>
    <row r="422" spans="2:10" x14ac:dyDescent="0.5">
      <c r="B422" s="130">
        <f t="shared" si="22"/>
        <v>389</v>
      </c>
      <c r="C422" s="137"/>
      <c r="D422" s="131"/>
      <c r="E422" s="131"/>
      <c r="F422" s="131"/>
      <c r="G422" s="131"/>
      <c r="H422" s="131"/>
      <c r="I422" s="132">
        <f t="shared" si="23"/>
        <v>0</v>
      </c>
      <c r="J422" s="132">
        <f t="shared" si="24"/>
        <v>0</v>
      </c>
    </row>
    <row r="423" spans="2:10" x14ac:dyDescent="0.5">
      <c r="B423" s="130">
        <f t="shared" si="22"/>
        <v>390</v>
      </c>
      <c r="C423" s="137"/>
      <c r="D423" s="131"/>
      <c r="E423" s="131"/>
      <c r="F423" s="131"/>
      <c r="G423" s="131"/>
      <c r="H423" s="131"/>
      <c r="I423" s="132">
        <f t="shared" si="23"/>
        <v>0</v>
      </c>
      <c r="J423" s="132">
        <f t="shared" si="24"/>
        <v>0</v>
      </c>
    </row>
    <row r="424" spans="2:10" x14ac:dyDescent="0.5">
      <c r="B424" s="130">
        <f t="shared" si="22"/>
        <v>391</v>
      </c>
      <c r="C424" s="137"/>
      <c r="D424" s="131"/>
      <c r="E424" s="131"/>
      <c r="F424" s="131"/>
      <c r="G424" s="131"/>
      <c r="H424" s="131"/>
      <c r="I424" s="132">
        <f t="shared" si="23"/>
        <v>0</v>
      </c>
      <c r="J424" s="132">
        <f t="shared" si="24"/>
        <v>0</v>
      </c>
    </row>
    <row r="425" spans="2:10" x14ac:dyDescent="0.5">
      <c r="B425" s="130">
        <f t="shared" si="22"/>
        <v>392</v>
      </c>
      <c r="C425" s="137"/>
      <c r="D425" s="131"/>
      <c r="E425" s="131"/>
      <c r="F425" s="131"/>
      <c r="G425" s="131"/>
      <c r="H425" s="131"/>
      <c r="I425" s="132">
        <f t="shared" si="23"/>
        <v>0</v>
      </c>
      <c r="J425" s="132">
        <f t="shared" si="24"/>
        <v>0</v>
      </c>
    </row>
    <row r="426" spans="2:10" x14ac:dyDescent="0.5">
      <c r="B426" s="130">
        <f t="shared" si="22"/>
        <v>393</v>
      </c>
      <c r="C426" s="137"/>
      <c r="D426" s="131"/>
      <c r="E426" s="131"/>
      <c r="F426" s="131"/>
      <c r="G426" s="131"/>
      <c r="H426" s="131"/>
      <c r="I426" s="132">
        <f t="shared" si="23"/>
        <v>0</v>
      </c>
      <c r="J426" s="132">
        <f t="shared" si="24"/>
        <v>0</v>
      </c>
    </row>
    <row r="427" spans="2:10" x14ac:dyDescent="0.5">
      <c r="B427" s="130">
        <f t="shared" si="22"/>
        <v>394</v>
      </c>
      <c r="C427" s="137"/>
      <c r="D427" s="131"/>
      <c r="E427" s="131"/>
      <c r="F427" s="131"/>
      <c r="G427" s="131"/>
      <c r="H427" s="131"/>
      <c r="I427" s="132">
        <f t="shared" si="23"/>
        <v>0</v>
      </c>
      <c r="J427" s="132">
        <f t="shared" si="24"/>
        <v>0</v>
      </c>
    </row>
    <row r="428" spans="2:10" x14ac:dyDescent="0.5">
      <c r="B428" s="130">
        <f t="shared" si="22"/>
        <v>395</v>
      </c>
      <c r="C428" s="137"/>
      <c r="D428" s="131"/>
      <c r="E428" s="131"/>
      <c r="F428" s="131"/>
      <c r="G428" s="131"/>
      <c r="H428" s="131"/>
      <c r="I428" s="132">
        <f t="shared" si="23"/>
        <v>0</v>
      </c>
      <c r="J428" s="132">
        <f t="shared" si="24"/>
        <v>0</v>
      </c>
    </row>
    <row r="429" spans="2:10" x14ac:dyDescent="0.5">
      <c r="B429" s="130">
        <f t="shared" si="22"/>
        <v>396</v>
      </c>
      <c r="C429" s="137"/>
      <c r="D429" s="131"/>
      <c r="E429" s="131"/>
      <c r="F429" s="131"/>
      <c r="G429" s="131"/>
      <c r="H429" s="131"/>
      <c r="I429" s="132">
        <f t="shared" si="23"/>
        <v>0</v>
      </c>
      <c r="J429" s="132">
        <f t="shared" si="24"/>
        <v>0</v>
      </c>
    </row>
    <row r="430" spans="2:10" x14ac:dyDescent="0.5">
      <c r="B430" s="130">
        <f t="shared" si="22"/>
        <v>397</v>
      </c>
      <c r="C430" s="137"/>
      <c r="D430" s="131"/>
      <c r="E430" s="131"/>
      <c r="F430" s="131"/>
      <c r="G430" s="131"/>
      <c r="H430" s="131"/>
      <c r="I430" s="132">
        <f t="shared" si="23"/>
        <v>0</v>
      </c>
      <c r="J430" s="132">
        <f t="shared" si="24"/>
        <v>0</v>
      </c>
    </row>
    <row r="431" spans="2:10" x14ac:dyDescent="0.5">
      <c r="B431" s="130">
        <f t="shared" si="22"/>
        <v>398</v>
      </c>
      <c r="C431" s="137"/>
      <c r="D431" s="131"/>
      <c r="E431" s="131"/>
      <c r="F431" s="131"/>
      <c r="G431" s="131"/>
      <c r="H431" s="131"/>
      <c r="I431" s="132">
        <f t="shared" si="23"/>
        <v>0</v>
      </c>
      <c r="J431" s="132">
        <f t="shared" si="24"/>
        <v>0</v>
      </c>
    </row>
    <row r="432" spans="2:10" x14ac:dyDescent="0.5">
      <c r="B432" s="130">
        <f t="shared" si="22"/>
        <v>399</v>
      </c>
      <c r="C432" s="137"/>
      <c r="D432" s="131"/>
      <c r="E432" s="131"/>
      <c r="F432" s="131"/>
      <c r="G432" s="131"/>
      <c r="H432" s="131"/>
      <c r="I432" s="132">
        <f t="shared" si="23"/>
        <v>0</v>
      </c>
      <c r="J432" s="132">
        <f t="shared" si="24"/>
        <v>0</v>
      </c>
    </row>
    <row r="433" spans="2:10" x14ac:dyDescent="0.5">
      <c r="B433" s="130">
        <f t="shared" si="22"/>
        <v>400</v>
      </c>
      <c r="C433" s="137"/>
      <c r="D433" s="131"/>
      <c r="E433" s="131"/>
      <c r="F433" s="131"/>
      <c r="G433" s="131"/>
      <c r="H433" s="131"/>
      <c r="I433" s="132">
        <f t="shared" si="23"/>
        <v>0</v>
      </c>
      <c r="J433" s="132">
        <f t="shared" si="24"/>
        <v>0</v>
      </c>
    </row>
    <row r="434" spans="2:10" x14ac:dyDescent="0.5">
      <c r="B434" s="130">
        <f t="shared" si="22"/>
        <v>401</v>
      </c>
      <c r="C434" s="137"/>
      <c r="D434" s="131"/>
      <c r="E434" s="131"/>
      <c r="F434" s="131"/>
      <c r="G434" s="131"/>
      <c r="H434" s="131"/>
      <c r="I434" s="132">
        <f t="shared" si="23"/>
        <v>0</v>
      </c>
      <c r="J434" s="132">
        <f t="shared" si="24"/>
        <v>0</v>
      </c>
    </row>
    <row r="435" spans="2:10" x14ac:dyDescent="0.5">
      <c r="B435" s="130">
        <f t="shared" si="22"/>
        <v>402</v>
      </c>
      <c r="C435" s="137"/>
      <c r="D435" s="131"/>
      <c r="E435" s="131"/>
      <c r="F435" s="131"/>
      <c r="G435" s="131"/>
      <c r="H435" s="131"/>
      <c r="I435" s="132">
        <f t="shared" si="23"/>
        <v>0</v>
      </c>
      <c r="J435" s="132">
        <f t="shared" si="24"/>
        <v>0</v>
      </c>
    </row>
    <row r="436" spans="2:10" x14ac:dyDescent="0.5">
      <c r="B436" s="130">
        <f t="shared" si="22"/>
        <v>403</v>
      </c>
      <c r="C436" s="137"/>
      <c r="D436" s="131"/>
      <c r="E436" s="131"/>
      <c r="F436" s="131"/>
      <c r="G436" s="131"/>
      <c r="H436" s="131"/>
      <c r="I436" s="132">
        <f t="shared" si="23"/>
        <v>0</v>
      </c>
      <c r="J436" s="132">
        <f t="shared" si="24"/>
        <v>0</v>
      </c>
    </row>
    <row r="437" spans="2:10" x14ac:dyDescent="0.5">
      <c r="B437" s="130">
        <f t="shared" si="22"/>
        <v>404</v>
      </c>
      <c r="C437" s="137"/>
      <c r="D437" s="131"/>
      <c r="E437" s="131"/>
      <c r="F437" s="131"/>
      <c r="G437" s="131"/>
      <c r="H437" s="131"/>
      <c r="I437" s="132">
        <f t="shared" si="23"/>
        <v>0</v>
      </c>
      <c r="J437" s="132">
        <f t="shared" si="24"/>
        <v>0</v>
      </c>
    </row>
    <row r="438" spans="2:10" x14ac:dyDescent="0.5">
      <c r="B438" s="130">
        <f t="shared" si="22"/>
        <v>405</v>
      </c>
      <c r="C438" s="137"/>
      <c r="D438" s="131"/>
      <c r="E438" s="131"/>
      <c r="F438" s="131"/>
      <c r="G438" s="131"/>
      <c r="H438" s="131"/>
      <c r="I438" s="132">
        <f t="shared" si="23"/>
        <v>0</v>
      </c>
      <c r="J438" s="132">
        <f t="shared" si="24"/>
        <v>0</v>
      </c>
    </row>
    <row r="439" spans="2:10" x14ac:dyDescent="0.5">
      <c r="B439" s="130">
        <f t="shared" si="22"/>
        <v>406</v>
      </c>
      <c r="C439" s="137"/>
      <c r="D439" s="131"/>
      <c r="E439" s="131"/>
      <c r="F439" s="131"/>
      <c r="G439" s="131"/>
      <c r="H439" s="131"/>
      <c r="I439" s="132">
        <f t="shared" si="23"/>
        <v>0</v>
      </c>
      <c r="J439" s="132">
        <f t="shared" si="24"/>
        <v>0</v>
      </c>
    </row>
    <row r="440" spans="2:10" x14ac:dyDescent="0.5">
      <c r="B440" s="130">
        <f t="shared" si="22"/>
        <v>407</v>
      </c>
      <c r="C440" s="137"/>
      <c r="D440" s="131"/>
      <c r="E440" s="131"/>
      <c r="F440" s="131"/>
      <c r="G440" s="131"/>
      <c r="H440" s="131"/>
      <c r="I440" s="132">
        <f t="shared" si="23"/>
        <v>0</v>
      </c>
      <c r="J440" s="132">
        <f t="shared" si="24"/>
        <v>0</v>
      </c>
    </row>
    <row r="441" spans="2:10" x14ac:dyDescent="0.5">
      <c r="B441" s="130">
        <f t="shared" si="22"/>
        <v>408</v>
      </c>
      <c r="C441" s="137"/>
      <c r="D441" s="131"/>
      <c r="E441" s="131"/>
      <c r="F441" s="131"/>
      <c r="G441" s="131"/>
      <c r="H441" s="131"/>
      <c r="I441" s="132">
        <f t="shared" si="23"/>
        <v>0</v>
      </c>
      <c r="J441" s="132">
        <f t="shared" si="24"/>
        <v>0</v>
      </c>
    </row>
    <row r="442" spans="2:10" x14ac:dyDescent="0.5">
      <c r="B442" s="130">
        <f t="shared" si="22"/>
        <v>409</v>
      </c>
      <c r="C442" s="137"/>
      <c r="D442" s="131"/>
      <c r="E442" s="131"/>
      <c r="F442" s="131"/>
      <c r="G442" s="131"/>
      <c r="H442" s="131"/>
      <c r="I442" s="132">
        <f t="shared" si="23"/>
        <v>0</v>
      </c>
      <c r="J442" s="132">
        <f t="shared" si="24"/>
        <v>0</v>
      </c>
    </row>
    <row r="443" spans="2:10" x14ac:dyDescent="0.5">
      <c r="B443" s="130">
        <f t="shared" si="22"/>
        <v>410</v>
      </c>
      <c r="C443" s="137"/>
      <c r="D443" s="131"/>
      <c r="E443" s="131"/>
      <c r="F443" s="131"/>
      <c r="G443" s="131"/>
      <c r="H443" s="131"/>
      <c r="I443" s="132">
        <f t="shared" si="23"/>
        <v>0</v>
      </c>
      <c r="J443" s="132">
        <f t="shared" si="24"/>
        <v>0</v>
      </c>
    </row>
    <row r="444" spans="2:10" x14ac:dyDescent="0.5">
      <c r="B444" s="130">
        <f t="shared" si="22"/>
        <v>411</v>
      </c>
      <c r="C444" s="137"/>
      <c r="D444" s="131"/>
      <c r="E444" s="131"/>
      <c r="F444" s="131"/>
      <c r="G444" s="131"/>
      <c r="H444" s="131"/>
      <c r="I444" s="132">
        <f t="shared" si="23"/>
        <v>0</v>
      </c>
      <c r="J444" s="132">
        <f t="shared" si="24"/>
        <v>0</v>
      </c>
    </row>
    <row r="445" spans="2:10" x14ac:dyDescent="0.5">
      <c r="B445" s="130">
        <f t="shared" si="22"/>
        <v>412</v>
      </c>
      <c r="C445" s="137"/>
      <c r="D445" s="131"/>
      <c r="E445" s="131"/>
      <c r="F445" s="131"/>
      <c r="G445" s="131"/>
      <c r="H445" s="131"/>
      <c r="I445" s="132">
        <f t="shared" si="23"/>
        <v>0</v>
      </c>
      <c r="J445" s="132">
        <f t="shared" si="24"/>
        <v>0</v>
      </c>
    </row>
    <row r="446" spans="2:10" x14ac:dyDescent="0.5">
      <c r="B446" s="130">
        <f t="shared" si="22"/>
        <v>413</v>
      </c>
      <c r="C446" s="137"/>
      <c r="D446" s="131"/>
      <c r="E446" s="131"/>
      <c r="F446" s="131"/>
      <c r="G446" s="131"/>
      <c r="H446" s="131"/>
      <c r="I446" s="132">
        <f t="shared" si="23"/>
        <v>0</v>
      </c>
      <c r="J446" s="132">
        <f t="shared" si="24"/>
        <v>0</v>
      </c>
    </row>
    <row r="447" spans="2:10" x14ac:dyDescent="0.5">
      <c r="B447" s="130">
        <f t="shared" si="22"/>
        <v>414</v>
      </c>
      <c r="C447" s="137"/>
      <c r="D447" s="131"/>
      <c r="E447" s="131"/>
      <c r="F447" s="131"/>
      <c r="G447" s="131"/>
      <c r="H447" s="131"/>
      <c r="I447" s="132">
        <f t="shared" si="23"/>
        <v>0</v>
      </c>
      <c r="J447" s="132">
        <f t="shared" si="24"/>
        <v>0</v>
      </c>
    </row>
    <row r="448" spans="2:10" x14ac:dyDescent="0.5">
      <c r="B448" s="130">
        <f t="shared" si="22"/>
        <v>415</v>
      </c>
      <c r="C448" s="137"/>
      <c r="D448" s="131"/>
      <c r="E448" s="131"/>
      <c r="F448" s="131"/>
      <c r="G448" s="131"/>
      <c r="H448" s="131"/>
      <c r="I448" s="132">
        <f t="shared" si="23"/>
        <v>0</v>
      </c>
      <c r="J448" s="132">
        <f t="shared" si="24"/>
        <v>0</v>
      </c>
    </row>
    <row r="449" spans="2:10" x14ac:dyDescent="0.5">
      <c r="B449" s="130">
        <f t="shared" si="22"/>
        <v>416</v>
      </c>
      <c r="C449" s="137"/>
      <c r="D449" s="131"/>
      <c r="E449" s="131"/>
      <c r="F449" s="131"/>
      <c r="G449" s="131"/>
      <c r="H449" s="131"/>
      <c r="I449" s="132">
        <f t="shared" si="23"/>
        <v>0</v>
      </c>
      <c r="J449" s="132">
        <f t="shared" si="24"/>
        <v>0</v>
      </c>
    </row>
    <row r="450" spans="2:10" x14ac:dyDescent="0.5">
      <c r="B450" s="130">
        <f t="shared" si="22"/>
        <v>417</v>
      </c>
      <c r="C450" s="137"/>
      <c r="D450" s="131"/>
      <c r="E450" s="131"/>
      <c r="F450" s="131"/>
      <c r="G450" s="131"/>
      <c r="H450" s="131"/>
      <c r="I450" s="132">
        <f t="shared" si="23"/>
        <v>0</v>
      </c>
      <c r="J450" s="132">
        <f t="shared" si="24"/>
        <v>0</v>
      </c>
    </row>
    <row r="451" spans="2:10" x14ac:dyDescent="0.5">
      <c r="B451" s="130">
        <f t="shared" si="22"/>
        <v>418</v>
      </c>
      <c r="C451" s="137"/>
      <c r="D451" s="131"/>
      <c r="E451" s="131"/>
      <c r="F451" s="131"/>
      <c r="G451" s="131"/>
      <c r="H451" s="131"/>
      <c r="I451" s="132">
        <f t="shared" si="23"/>
        <v>0</v>
      </c>
      <c r="J451" s="132">
        <f t="shared" si="24"/>
        <v>0</v>
      </c>
    </row>
    <row r="452" spans="2:10" x14ac:dyDescent="0.5">
      <c r="B452" s="130">
        <f t="shared" si="22"/>
        <v>419</v>
      </c>
      <c r="C452" s="137"/>
      <c r="D452" s="131"/>
      <c r="E452" s="131"/>
      <c r="F452" s="131"/>
      <c r="G452" s="131"/>
      <c r="H452" s="131"/>
      <c r="I452" s="132">
        <f t="shared" si="23"/>
        <v>0</v>
      </c>
      <c r="J452" s="132">
        <f t="shared" si="24"/>
        <v>0</v>
      </c>
    </row>
    <row r="453" spans="2:10" x14ac:dyDescent="0.5">
      <c r="B453" s="130">
        <f t="shared" si="22"/>
        <v>420</v>
      </c>
      <c r="C453" s="137"/>
      <c r="D453" s="131"/>
      <c r="E453" s="131"/>
      <c r="F453" s="131"/>
      <c r="G453" s="131"/>
      <c r="H453" s="131"/>
      <c r="I453" s="132">
        <f t="shared" si="23"/>
        <v>0</v>
      </c>
      <c r="J453" s="132">
        <f t="shared" si="24"/>
        <v>0</v>
      </c>
    </row>
    <row r="454" spans="2:10" x14ac:dyDescent="0.5">
      <c r="B454" s="130">
        <f t="shared" si="22"/>
        <v>421</v>
      </c>
      <c r="C454" s="137"/>
      <c r="D454" s="131"/>
      <c r="E454" s="131"/>
      <c r="F454" s="131"/>
      <c r="G454" s="131"/>
      <c r="H454" s="131"/>
      <c r="I454" s="132">
        <f t="shared" si="23"/>
        <v>0</v>
      </c>
      <c r="J454" s="132">
        <f t="shared" si="24"/>
        <v>0</v>
      </c>
    </row>
    <row r="455" spans="2:10" x14ac:dyDescent="0.5">
      <c r="B455" s="130">
        <f t="shared" si="22"/>
        <v>422</v>
      </c>
      <c r="C455" s="137"/>
      <c r="D455" s="131"/>
      <c r="E455" s="131"/>
      <c r="F455" s="131"/>
      <c r="G455" s="131"/>
      <c r="H455" s="131"/>
      <c r="I455" s="132">
        <f t="shared" si="23"/>
        <v>0</v>
      </c>
      <c r="J455" s="132">
        <f t="shared" si="24"/>
        <v>0</v>
      </c>
    </row>
    <row r="456" spans="2:10" x14ac:dyDescent="0.5">
      <c r="B456" s="130">
        <f t="shared" si="22"/>
        <v>423</v>
      </c>
      <c r="C456" s="137"/>
      <c r="D456" s="131"/>
      <c r="E456" s="131"/>
      <c r="F456" s="131"/>
      <c r="G456" s="131"/>
      <c r="H456" s="131"/>
      <c r="I456" s="132">
        <f t="shared" si="23"/>
        <v>0</v>
      </c>
      <c r="J456" s="132">
        <f t="shared" si="24"/>
        <v>0</v>
      </c>
    </row>
    <row r="457" spans="2:10" x14ac:dyDescent="0.5">
      <c r="B457" s="130">
        <f t="shared" si="22"/>
        <v>424</v>
      </c>
      <c r="C457" s="137"/>
      <c r="D457" s="131"/>
      <c r="E457" s="131"/>
      <c r="F457" s="131"/>
      <c r="G457" s="131"/>
      <c r="H457" s="131"/>
      <c r="I457" s="132">
        <f t="shared" si="23"/>
        <v>0</v>
      </c>
      <c r="J457" s="132">
        <f t="shared" si="24"/>
        <v>0</v>
      </c>
    </row>
    <row r="458" spans="2:10" x14ac:dyDescent="0.5">
      <c r="B458" s="130">
        <f t="shared" si="22"/>
        <v>425</v>
      </c>
      <c r="C458" s="137"/>
      <c r="D458" s="131"/>
      <c r="E458" s="131"/>
      <c r="F458" s="131"/>
      <c r="G458" s="131"/>
      <c r="H458" s="131"/>
      <c r="I458" s="132">
        <f t="shared" si="23"/>
        <v>0</v>
      </c>
      <c r="J458" s="132">
        <f t="shared" si="24"/>
        <v>0</v>
      </c>
    </row>
    <row r="459" spans="2:10" x14ac:dyDescent="0.5">
      <c r="B459" s="130">
        <f t="shared" si="22"/>
        <v>426</v>
      </c>
      <c r="C459" s="137"/>
      <c r="D459" s="131"/>
      <c r="E459" s="131"/>
      <c r="F459" s="131"/>
      <c r="G459" s="131"/>
      <c r="H459" s="131"/>
      <c r="I459" s="132">
        <f t="shared" si="23"/>
        <v>0</v>
      </c>
      <c r="J459" s="132">
        <f t="shared" si="24"/>
        <v>0</v>
      </c>
    </row>
    <row r="460" spans="2:10" x14ac:dyDescent="0.5">
      <c r="B460" s="130">
        <f t="shared" si="22"/>
        <v>427</v>
      </c>
      <c r="C460" s="137"/>
      <c r="D460" s="131"/>
      <c r="E460" s="131"/>
      <c r="F460" s="131"/>
      <c r="G460" s="131"/>
      <c r="H460" s="131"/>
      <c r="I460" s="132">
        <f t="shared" si="23"/>
        <v>0</v>
      </c>
      <c r="J460" s="132">
        <f t="shared" si="24"/>
        <v>0</v>
      </c>
    </row>
    <row r="461" spans="2:10" x14ac:dyDescent="0.5">
      <c r="B461" s="130">
        <f t="shared" si="22"/>
        <v>428</v>
      </c>
      <c r="C461" s="137"/>
      <c r="D461" s="131"/>
      <c r="E461" s="131"/>
      <c r="F461" s="131"/>
      <c r="G461" s="131"/>
      <c r="H461" s="131"/>
      <c r="I461" s="132">
        <f t="shared" si="23"/>
        <v>0</v>
      </c>
      <c r="J461" s="132">
        <f t="shared" si="24"/>
        <v>0</v>
      </c>
    </row>
    <row r="462" spans="2:10" x14ac:dyDescent="0.5">
      <c r="B462" s="130">
        <f t="shared" si="22"/>
        <v>429</v>
      </c>
      <c r="C462" s="137"/>
      <c r="D462" s="131"/>
      <c r="E462" s="131"/>
      <c r="F462" s="131"/>
      <c r="G462" s="131"/>
      <c r="H462" s="131"/>
      <c r="I462" s="132">
        <f t="shared" si="23"/>
        <v>0</v>
      </c>
      <c r="J462" s="132">
        <f t="shared" si="24"/>
        <v>0</v>
      </c>
    </row>
    <row r="463" spans="2:10" x14ac:dyDescent="0.5">
      <c r="B463" s="130">
        <f t="shared" si="22"/>
        <v>430</v>
      </c>
      <c r="C463" s="137"/>
      <c r="D463" s="131"/>
      <c r="E463" s="131"/>
      <c r="F463" s="131"/>
      <c r="G463" s="131"/>
      <c r="H463" s="131"/>
      <c r="I463" s="132">
        <f t="shared" si="23"/>
        <v>0</v>
      </c>
      <c r="J463" s="132">
        <f t="shared" si="24"/>
        <v>0</v>
      </c>
    </row>
    <row r="464" spans="2:10" x14ac:dyDescent="0.5">
      <c r="B464" s="130">
        <f t="shared" si="22"/>
        <v>431</v>
      </c>
      <c r="C464" s="137"/>
      <c r="D464" s="131"/>
      <c r="E464" s="131"/>
      <c r="F464" s="131"/>
      <c r="G464" s="131"/>
      <c r="H464" s="131"/>
      <c r="I464" s="132">
        <f t="shared" si="23"/>
        <v>0</v>
      </c>
      <c r="J464" s="132">
        <f t="shared" si="24"/>
        <v>0</v>
      </c>
    </row>
    <row r="465" spans="2:10" x14ac:dyDescent="0.5">
      <c r="B465" s="130">
        <f t="shared" si="22"/>
        <v>432</v>
      </c>
      <c r="C465" s="137"/>
      <c r="D465" s="131"/>
      <c r="E465" s="131"/>
      <c r="F465" s="131"/>
      <c r="G465" s="131"/>
      <c r="H465" s="131"/>
      <c r="I465" s="132">
        <f t="shared" si="23"/>
        <v>0</v>
      </c>
      <c r="J465" s="132">
        <f t="shared" si="24"/>
        <v>0</v>
      </c>
    </row>
    <row r="466" spans="2:10" x14ac:dyDescent="0.5">
      <c r="B466" s="130">
        <f t="shared" si="22"/>
        <v>433</v>
      </c>
      <c r="C466" s="137"/>
      <c r="D466" s="131"/>
      <c r="E466" s="131"/>
      <c r="F466" s="131"/>
      <c r="G466" s="131"/>
      <c r="H466" s="131"/>
      <c r="I466" s="132">
        <f t="shared" si="23"/>
        <v>0</v>
      </c>
      <c r="J466" s="132">
        <f t="shared" si="24"/>
        <v>0</v>
      </c>
    </row>
    <row r="467" spans="2:10" x14ac:dyDescent="0.5">
      <c r="B467" s="130">
        <f t="shared" si="22"/>
        <v>434</v>
      </c>
      <c r="C467" s="137"/>
      <c r="D467" s="131"/>
      <c r="E467" s="131"/>
      <c r="F467" s="131"/>
      <c r="G467" s="131"/>
      <c r="H467" s="131"/>
      <c r="I467" s="132">
        <f t="shared" si="23"/>
        <v>0</v>
      </c>
      <c r="J467" s="132">
        <f t="shared" si="24"/>
        <v>0</v>
      </c>
    </row>
    <row r="468" spans="2:10" x14ac:dyDescent="0.5">
      <c r="B468" s="130">
        <f t="shared" si="22"/>
        <v>435</v>
      </c>
      <c r="C468" s="137"/>
      <c r="D468" s="131"/>
      <c r="E468" s="131"/>
      <c r="F468" s="131"/>
      <c r="G468" s="131"/>
      <c r="H468" s="131"/>
      <c r="I468" s="132">
        <f t="shared" si="23"/>
        <v>0</v>
      </c>
      <c r="J468" s="132">
        <f t="shared" si="24"/>
        <v>0</v>
      </c>
    </row>
    <row r="469" spans="2:10" x14ac:dyDescent="0.5">
      <c r="B469" s="130">
        <f t="shared" si="22"/>
        <v>436</v>
      </c>
      <c r="C469" s="137"/>
      <c r="D469" s="131"/>
      <c r="E469" s="131"/>
      <c r="F469" s="131"/>
      <c r="G469" s="131"/>
      <c r="H469" s="131"/>
      <c r="I469" s="132">
        <f t="shared" si="23"/>
        <v>0</v>
      </c>
      <c r="J469" s="132">
        <f t="shared" si="24"/>
        <v>0</v>
      </c>
    </row>
    <row r="470" spans="2:10" x14ac:dyDescent="0.5">
      <c r="B470" s="130">
        <f t="shared" si="22"/>
        <v>437</v>
      </c>
      <c r="C470" s="137"/>
      <c r="D470" s="131"/>
      <c r="E470" s="131"/>
      <c r="F470" s="131"/>
      <c r="G470" s="131"/>
      <c r="H470" s="131"/>
      <c r="I470" s="132">
        <f t="shared" si="23"/>
        <v>0</v>
      </c>
      <c r="J470" s="132">
        <f t="shared" si="24"/>
        <v>0</v>
      </c>
    </row>
    <row r="471" spans="2:10" x14ac:dyDescent="0.5">
      <c r="B471" s="130">
        <f t="shared" si="22"/>
        <v>438</v>
      </c>
      <c r="C471" s="137"/>
      <c r="D471" s="131"/>
      <c r="E471" s="131"/>
      <c r="F471" s="131"/>
      <c r="G471" s="131"/>
      <c r="H471" s="131"/>
      <c r="I471" s="132">
        <f t="shared" si="23"/>
        <v>0</v>
      </c>
      <c r="J471" s="132">
        <f t="shared" si="24"/>
        <v>0</v>
      </c>
    </row>
    <row r="472" spans="2:10" x14ac:dyDescent="0.5">
      <c r="B472" s="130">
        <f t="shared" si="22"/>
        <v>439</v>
      </c>
      <c r="C472" s="137"/>
      <c r="D472" s="131"/>
      <c r="E472" s="131"/>
      <c r="F472" s="131"/>
      <c r="G472" s="131"/>
      <c r="H472" s="131"/>
      <c r="I472" s="132">
        <f t="shared" si="23"/>
        <v>0</v>
      </c>
      <c r="J472" s="132">
        <f t="shared" si="24"/>
        <v>0</v>
      </c>
    </row>
    <row r="473" spans="2:10" x14ac:dyDescent="0.5">
      <c r="B473" s="130">
        <f t="shared" si="22"/>
        <v>440</v>
      </c>
      <c r="C473" s="137"/>
      <c r="D473" s="131"/>
      <c r="E473" s="131"/>
      <c r="F473" s="131"/>
      <c r="G473" s="131"/>
      <c r="H473" s="131"/>
      <c r="I473" s="132">
        <f t="shared" si="23"/>
        <v>0</v>
      </c>
      <c r="J473" s="132">
        <f t="shared" si="24"/>
        <v>0</v>
      </c>
    </row>
    <row r="474" spans="2:10" x14ac:dyDescent="0.5">
      <c r="B474" s="130">
        <f t="shared" si="22"/>
        <v>441</v>
      </c>
      <c r="C474" s="137"/>
      <c r="D474" s="131"/>
      <c r="E474" s="131"/>
      <c r="F474" s="131"/>
      <c r="G474" s="131"/>
      <c r="H474" s="131"/>
      <c r="I474" s="132">
        <f t="shared" si="23"/>
        <v>0</v>
      </c>
      <c r="J474" s="132">
        <f t="shared" si="24"/>
        <v>0</v>
      </c>
    </row>
    <row r="475" spans="2:10" x14ac:dyDescent="0.5">
      <c r="B475" s="130">
        <f t="shared" si="22"/>
        <v>442</v>
      </c>
      <c r="C475" s="137"/>
      <c r="D475" s="131"/>
      <c r="E475" s="131"/>
      <c r="F475" s="131"/>
      <c r="G475" s="131"/>
      <c r="H475" s="131"/>
      <c r="I475" s="132">
        <f t="shared" si="23"/>
        <v>0</v>
      </c>
      <c r="J475" s="132">
        <f t="shared" si="24"/>
        <v>0</v>
      </c>
    </row>
    <row r="476" spans="2:10" x14ac:dyDescent="0.5">
      <c r="B476" s="130">
        <f t="shared" si="22"/>
        <v>443</v>
      </c>
      <c r="C476" s="137"/>
      <c r="D476" s="131"/>
      <c r="E476" s="131"/>
      <c r="F476" s="131"/>
      <c r="G476" s="131"/>
      <c r="H476" s="131"/>
      <c r="I476" s="132">
        <f t="shared" si="23"/>
        <v>0</v>
      </c>
      <c r="J476" s="132">
        <f t="shared" si="24"/>
        <v>0</v>
      </c>
    </row>
    <row r="477" spans="2:10" x14ac:dyDescent="0.5">
      <c r="B477" s="130">
        <f t="shared" si="22"/>
        <v>444</v>
      </c>
      <c r="C477" s="137"/>
      <c r="D477" s="131"/>
      <c r="E477" s="131"/>
      <c r="F477" s="131"/>
      <c r="G477" s="131"/>
      <c r="H477" s="131"/>
      <c r="I477" s="132">
        <f t="shared" si="23"/>
        <v>0</v>
      </c>
      <c r="J477" s="132">
        <f t="shared" si="24"/>
        <v>0</v>
      </c>
    </row>
    <row r="478" spans="2:10" x14ac:dyDescent="0.5">
      <c r="B478" s="130">
        <f t="shared" si="22"/>
        <v>445</v>
      </c>
      <c r="C478" s="137"/>
      <c r="D478" s="131"/>
      <c r="E478" s="131"/>
      <c r="F478" s="131"/>
      <c r="G478" s="131"/>
      <c r="H478" s="131"/>
      <c r="I478" s="132">
        <f t="shared" si="23"/>
        <v>0</v>
      </c>
      <c r="J478" s="132">
        <f t="shared" si="24"/>
        <v>0</v>
      </c>
    </row>
    <row r="479" spans="2:10" x14ac:dyDescent="0.5">
      <c r="B479" s="130">
        <f t="shared" si="22"/>
        <v>446</v>
      </c>
      <c r="C479" s="137"/>
      <c r="D479" s="131"/>
      <c r="E479" s="131"/>
      <c r="F479" s="131"/>
      <c r="G479" s="131"/>
      <c r="H479" s="131"/>
      <c r="I479" s="132">
        <f t="shared" si="23"/>
        <v>0</v>
      </c>
      <c r="J479" s="132">
        <f t="shared" si="24"/>
        <v>0</v>
      </c>
    </row>
    <row r="480" spans="2:10" x14ac:dyDescent="0.5">
      <c r="B480" s="130">
        <f t="shared" si="22"/>
        <v>447</v>
      </c>
      <c r="C480" s="137"/>
      <c r="D480" s="131"/>
      <c r="E480" s="131"/>
      <c r="F480" s="131"/>
      <c r="G480" s="131"/>
      <c r="H480" s="131"/>
      <c r="I480" s="132">
        <f t="shared" si="23"/>
        <v>0</v>
      </c>
      <c r="J480" s="132">
        <f t="shared" si="24"/>
        <v>0</v>
      </c>
    </row>
    <row r="481" spans="2:10" x14ac:dyDescent="0.5">
      <c r="B481" s="130">
        <f t="shared" si="22"/>
        <v>448</v>
      </c>
      <c r="C481" s="137"/>
      <c r="D481" s="131"/>
      <c r="E481" s="131"/>
      <c r="F481" s="131"/>
      <c r="G481" s="131"/>
      <c r="H481" s="131"/>
      <c r="I481" s="132">
        <f t="shared" si="23"/>
        <v>0</v>
      </c>
      <c r="J481" s="132">
        <f t="shared" si="24"/>
        <v>0</v>
      </c>
    </row>
    <row r="482" spans="2:10" x14ac:dyDescent="0.5">
      <c r="B482" s="130">
        <f t="shared" ref="B482:B533" si="25">B481+1</f>
        <v>449</v>
      </c>
      <c r="C482" s="137"/>
      <c r="D482" s="131"/>
      <c r="E482" s="131"/>
      <c r="F482" s="131"/>
      <c r="G482" s="131"/>
      <c r="H482" s="131"/>
      <c r="I482" s="132">
        <f t="shared" si="23"/>
        <v>0</v>
      </c>
      <c r="J482" s="132">
        <f t="shared" si="24"/>
        <v>0</v>
      </c>
    </row>
    <row r="483" spans="2:10" x14ac:dyDescent="0.5">
      <c r="B483" s="130">
        <f t="shared" si="25"/>
        <v>450</v>
      </c>
      <c r="C483" s="137"/>
      <c r="D483" s="131"/>
      <c r="E483" s="131"/>
      <c r="F483" s="131"/>
      <c r="G483" s="131"/>
      <c r="H483" s="131"/>
      <c r="I483" s="132">
        <f t="shared" ref="I483:I533" si="26">SUM(D483:G483)</f>
        <v>0</v>
      </c>
      <c r="J483" s="132">
        <f t="shared" ref="J483:J533" si="27">I483-H483</f>
        <v>0</v>
      </c>
    </row>
    <row r="484" spans="2:10" x14ac:dyDescent="0.5">
      <c r="B484" s="130">
        <f t="shared" si="25"/>
        <v>451</v>
      </c>
      <c r="C484" s="137"/>
      <c r="D484" s="131"/>
      <c r="E484" s="131"/>
      <c r="F484" s="131"/>
      <c r="G484" s="131"/>
      <c r="H484" s="131"/>
      <c r="I484" s="132">
        <f t="shared" si="26"/>
        <v>0</v>
      </c>
      <c r="J484" s="132">
        <f t="shared" si="27"/>
        <v>0</v>
      </c>
    </row>
    <row r="485" spans="2:10" x14ac:dyDescent="0.5">
      <c r="B485" s="130">
        <f t="shared" si="25"/>
        <v>452</v>
      </c>
      <c r="C485" s="137"/>
      <c r="D485" s="131"/>
      <c r="E485" s="131"/>
      <c r="F485" s="131"/>
      <c r="G485" s="131"/>
      <c r="H485" s="131"/>
      <c r="I485" s="132">
        <f t="shared" si="26"/>
        <v>0</v>
      </c>
      <c r="J485" s="132">
        <f t="shared" si="27"/>
        <v>0</v>
      </c>
    </row>
    <row r="486" spans="2:10" x14ac:dyDescent="0.5">
      <c r="B486" s="130">
        <f t="shared" si="25"/>
        <v>453</v>
      </c>
      <c r="C486" s="137"/>
      <c r="D486" s="131"/>
      <c r="E486" s="131"/>
      <c r="F486" s="131"/>
      <c r="G486" s="131"/>
      <c r="H486" s="131"/>
      <c r="I486" s="132">
        <f t="shared" si="26"/>
        <v>0</v>
      </c>
      <c r="J486" s="132">
        <f t="shared" si="27"/>
        <v>0</v>
      </c>
    </row>
    <row r="487" spans="2:10" x14ac:dyDescent="0.5">
      <c r="B487" s="130">
        <f t="shared" si="25"/>
        <v>454</v>
      </c>
      <c r="C487" s="137"/>
      <c r="D487" s="131"/>
      <c r="E487" s="131"/>
      <c r="F487" s="131"/>
      <c r="G487" s="131"/>
      <c r="H487" s="131"/>
      <c r="I487" s="132">
        <f t="shared" si="26"/>
        <v>0</v>
      </c>
      <c r="J487" s="132">
        <f t="shared" si="27"/>
        <v>0</v>
      </c>
    </row>
    <row r="488" spans="2:10" x14ac:dyDescent="0.5">
      <c r="B488" s="130">
        <f t="shared" si="25"/>
        <v>455</v>
      </c>
      <c r="C488" s="137"/>
      <c r="D488" s="131"/>
      <c r="E488" s="131"/>
      <c r="F488" s="131"/>
      <c r="G488" s="131"/>
      <c r="H488" s="131"/>
      <c r="I488" s="132">
        <f t="shared" si="26"/>
        <v>0</v>
      </c>
      <c r="J488" s="132">
        <f t="shared" si="27"/>
        <v>0</v>
      </c>
    </row>
    <row r="489" spans="2:10" x14ac:dyDescent="0.5">
      <c r="B489" s="130">
        <f t="shared" si="25"/>
        <v>456</v>
      </c>
      <c r="C489" s="137"/>
      <c r="D489" s="131"/>
      <c r="E489" s="131"/>
      <c r="F489" s="131"/>
      <c r="G489" s="131"/>
      <c r="H489" s="131"/>
      <c r="I489" s="132">
        <f t="shared" si="26"/>
        <v>0</v>
      </c>
      <c r="J489" s="132">
        <f t="shared" si="27"/>
        <v>0</v>
      </c>
    </row>
    <row r="490" spans="2:10" x14ac:dyDescent="0.5">
      <c r="B490" s="130">
        <f t="shared" si="25"/>
        <v>457</v>
      </c>
      <c r="C490" s="137"/>
      <c r="D490" s="131"/>
      <c r="E490" s="131"/>
      <c r="F490" s="131"/>
      <c r="G490" s="131"/>
      <c r="H490" s="131"/>
      <c r="I490" s="132">
        <f t="shared" si="26"/>
        <v>0</v>
      </c>
      <c r="J490" s="132">
        <f t="shared" si="27"/>
        <v>0</v>
      </c>
    </row>
    <row r="491" spans="2:10" x14ac:dyDescent="0.5">
      <c r="B491" s="130">
        <f t="shared" si="25"/>
        <v>458</v>
      </c>
      <c r="C491" s="137"/>
      <c r="D491" s="131"/>
      <c r="E491" s="131"/>
      <c r="F491" s="131"/>
      <c r="G491" s="131"/>
      <c r="H491" s="131"/>
      <c r="I491" s="132">
        <f t="shared" si="26"/>
        <v>0</v>
      </c>
      <c r="J491" s="132">
        <f t="shared" si="27"/>
        <v>0</v>
      </c>
    </row>
    <row r="492" spans="2:10" x14ac:dyDescent="0.5">
      <c r="B492" s="130">
        <f t="shared" si="25"/>
        <v>459</v>
      </c>
      <c r="C492" s="137"/>
      <c r="D492" s="131"/>
      <c r="E492" s="131"/>
      <c r="F492" s="131"/>
      <c r="G492" s="131"/>
      <c r="H492" s="131"/>
      <c r="I492" s="132">
        <f t="shared" si="26"/>
        <v>0</v>
      </c>
      <c r="J492" s="132">
        <f t="shared" si="27"/>
        <v>0</v>
      </c>
    </row>
    <row r="493" spans="2:10" x14ac:dyDescent="0.5">
      <c r="B493" s="130">
        <f t="shared" si="25"/>
        <v>460</v>
      </c>
      <c r="C493" s="137"/>
      <c r="D493" s="131"/>
      <c r="E493" s="131"/>
      <c r="F493" s="131"/>
      <c r="G493" s="131"/>
      <c r="H493" s="131"/>
      <c r="I493" s="132">
        <f t="shared" si="26"/>
        <v>0</v>
      </c>
      <c r="J493" s="132">
        <f t="shared" si="27"/>
        <v>0</v>
      </c>
    </row>
    <row r="494" spans="2:10" x14ac:dyDescent="0.5">
      <c r="B494" s="130">
        <f t="shared" si="25"/>
        <v>461</v>
      </c>
      <c r="C494" s="137"/>
      <c r="D494" s="131"/>
      <c r="E494" s="131"/>
      <c r="F494" s="131"/>
      <c r="G494" s="131"/>
      <c r="H494" s="131"/>
      <c r="I494" s="132">
        <f t="shared" si="26"/>
        <v>0</v>
      </c>
      <c r="J494" s="132">
        <f t="shared" si="27"/>
        <v>0</v>
      </c>
    </row>
    <row r="495" spans="2:10" x14ac:dyDescent="0.5">
      <c r="B495" s="130">
        <f t="shared" si="25"/>
        <v>462</v>
      </c>
      <c r="C495" s="137"/>
      <c r="D495" s="131"/>
      <c r="E495" s="131"/>
      <c r="F495" s="131"/>
      <c r="G495" s="131"/>
      <c r="H495" s="131"/>
      <c r="I495" s="132">
        <f t="shared" si="26"/>
        <v>0</v>
      </c>
      <c r="J495" s="132">
        <f t="shared" si="27"/>
        <v>0</v>
      </c>
    </row>
    <row r="496" spans="2:10" x14ac:dyDescent="0.5">
      <c r="B496" s="130">
        <f t="shared" si="25"/>
        <v>463</v>
      </c>
      <c r="C496" s="137"/>
      <c r="D496" s="131"/>
      <c r="E496" s="131"/>
      <c r="F496" s="131"/>
      <c r="G496" s="131"/>
      <c r="H496" s="131"/>
      <c r="I496" s="132">
        <f t="shared" si="26"/>
        <v>0</v>
      </c>
      <c r="J496" s="132">
        <f t="shared" si="27"/>
        <v>0</v>
      </c>
    </row>
    <row r="497" spans="2:10" x14ac:dyDescent="0.5">
      <c r="B497" s="130">
        <f t="shared" si="25"/>
        <v>464</v>
      </c>
      <c r="C497" s="137"/>
      <c r="D497" s="131"/>
      <c r="E497" s="131"/>
      <c r="F497" s="131"/>
      <c r="G497" s="131"/>
      <c r="H497" s="131"/>
      <c r="I497" s="132">
        <f t="shared" si="26"/>
        <v>0</v>
      </c>
      <c r="J497" s="132">
        <f t="shared" si="27"/>
        <v>0</v>
      </c>
    </row>
    <row r="498" spans="2:10" x14ac:dyDescent="0.5">
      <c r="B498" s="130">
        <f t="shared" si="25"/>
        <v>465</v>
      </c>
      <c r="C498" s="137"/>
      <c r="D498" s="131"/>
      <c r="E498" s="131"/>
      <c r="F498" s="131"/>
      <c r="G498" s="131"/>
      <c r="H498" s="131"/>
      <c r="I498" s="132">
        <f t="shared" si="26"/>
        <v>0</v>
      </c>
      <c r="J498" s="132">
        <f t="shared" si="27"/>
        <v>0</v>
      </c>
    </row>
    <row r="499" spans="2:10" x14ac:dyDescent="0.5">
      <c r="B499" s="130">
        <f t="shared" si="25"/>
        <v>466</v>
      </c>
      <c r="C499" s="137"/>
      <c r="D499" s="131"/>
      <c r="E499" s="131"/>
      <c r="F499" s="131"/>
      <c r="G499" s="131"/>
      <c r="H499" s="131"/>
      <c r="I499" s="132">
        <f t="shared" si="26"/>
        <v>0</v>
      </c>
      <c r="J499" s="132">
        <f t="shared" si="27"/>
        <v>0</v>
      </c>
    </row>
    <row r="500" spans="2:10" x14ac:dyDescent="0.5">
      <c r="B500" s="130">
        <f t="shared" si="25"/>
        <v>467</v>
      </c>
      <c r="C500" s="137"/>
      <c r="D500" s="131"/>
      <c r="E500" s="131"/>
      <c r="F500" s="131"/>
      <c r="G500" s="131"/>
      <c r="H500" s="131"/>
      <c r="I500" s="132">
        <f t="shared" si="26"/>
        <v>0</v>
      </c>
      <c r="J500" s="132">
        <f t="shared" si="27"/>
        <v>0</v>
      </c>
    </row>
    <row r="501" spans="2:10" x14ac:dyDescent="0.5">
      <c r="B501" s="130">
        <f t="shared" si="25"/>
        <v>468</v>
      </c>
      <c r="C501" s="137"/>
      <c r="D501" s="131"/>
      <c r="E501" s="131"/>
      <c r="F501" s="131"/>
      <c r="G501" s="131"/>
      <c r="H501" s="131"/>
      <c r="I501" s="132">
        <f t="shared" si="26"/>
        <v>0</v>
      </c>
      <c r="J501" s="132">
        <f t="shared" si="27"/>
        <v>0</v>
      </c>
    </row>
    <row r="502" spans="2:10" x14ac:dyDescent="0.5">
      <c r="B502" s="130">
        <f t="shared" si="25"/>
        <v>469</v>
      </c>
      <c r="C502" s="137"/>
      <c r="D502" s="131"/>
      <c r="E502" s="131"/>
      <c r="F502" s="131"/>
      <c r="G502" s="131"/>
      <c r="H502" s="131"/>
      <c r="I502" s="132">
        <f t="shared" si="26"/>
        <v>0</v>
      </c>
      <c r="J502" s="132">
        <f t="shared" si="27"/>
        <v>0</v>
      </c>
    </row>
    <row r="503" spans="2:10" x14ac:dyDescent="0.5">
      <c r="B503" s="130">
        <f t="shared" si="25"/>
        <v>470</v>
      </c>
      <c r="C503" s="137"/>
      <c r="D503" s="131"/>
      <c r="E503" s="131"/>
      <c r="F503" s="131"/>
      <c r="G503" s="131"/>
      <c r="H503" s="131"/>
      <c r="I503" s="132">
        <f t="shared" si="26"/>
        <v>0</v>
      </c>
      <c r="J503" s="132">
        <f t="shared" si="27"/>
        <v>0</v>
      </c>
    </row>
    <row r="504" spans="2:10" x14ac:dyDescent="0.5">
      <c r="B504" s="130">
        <f t="shared" si="25"/>
        <v>471</v>
      </c>
      <c r="C504" s="137"/>
      <c r="D504" s="131"/>
      <c r="E504" s="131"/>
      <c r="F504" s="131"/>
      <c r="G504" s="131"/>
      <c r="H504" s="131"/>
      <c r="I504" s="132">
        <f t="shared" si="26"/>
        <v>0</v>
      </c>
      <c r="J504" s="132">
        <f t="shared" si="27"/>
        <v>0</v>
      </c>
    </row>
    <row r="505" spans="2:10" x14ac:dyDescent="0.5">
      <c r="B505" s="130">
        <f t="shared" si="25"/>
        <v>472</v>
      </c>
      <c r="C505" s="137"/>
      <c r="D505" s="131"/>
      <c r="E505" s="131"/>
      <c r="F505" s="131"/>
      <c r="G505" s="131"/>
      <c r="H505" s="131"/>
      <c r="I505" s="132">
        <f t="shared" si="26"/>
        <v>0</v>
      </c>
      <c r="J505" s="132">
        <f t="shared" si="27"/>
        <v>0</v>
      </c>
    </row>
    <row r="506" spans="2:10" x14ac:dyDescent="0.5">
      <c r="B506" s="130">
        <f t="shared" si="25"/>
        <v>473</v>
      </c>
      <c r="C506" s="137"/>
      <c r="D506" s="131"/>
      <c r="E506" s="131"/>
      <c r="F506" s="131"/>
      <c r="G506" s="131"/>
      <c r="H506" s="131"/>
      <c r="I506" s="132">
        <f t="shared" si="26"/>
        <v>0</v>
      </c>
      <c r="J506" s="132">
        <f t="shared" si="27"/>
        <v>0</v>
      </c>
    </row>
    <row r="507" spans="2:10" x14ac:dyDescent="0.5">
      <c r="B507" s="130">
        <f t="shared" si="25"/>
        <v>474</v>
      </c>
      <c r="C507" s="137"/>
      <c r="D507" s="131"/>
      <c r="E507" s="131"/>
      <c r="F507" s="131"/>
      <c r="G507" s="131"/>
      <c r="H507" s="131"/>
      <c r="I507" s="132">
        <f t="shared" si="26"/>
        <v>0</v>
      </c>
      <c r="J507" s="132">
        <f t="shared" si="27"/>
        <v>0</v>
      </c>
    </row>
    <row r="508" spans="2:10" x14ac:dyDescent="0.5">
      <c r="B508" s="130">
        <f t="shared" si="25"/>
        <v>475</v>
      </c>
      <c r="C508" s="137"/>
      <c r="D508" s="131"/>
      <c r="E508" s="131"/>
      <c r="F508" s="131"/>
      <c r="G508" s="131"/>
      <c r="H508" s="131"/>
      <c r="I508" s="132">
        <f t="shared" si="26"/>
        <v>0</v>
      </c>
      <c r="J508" s="132">
        <f t="shared" si="27"/>
        <v>0</v>
      </c>
    </row>
    <row r="509" spans="2:10" x14ac:dyDescent="0.5">
      <c r="B509" s="130">
        <f t="shared" si="25"/>
        <v>476</v>
      </c>
      <c r="C509" s="137"/>
      <c r="D509" s="131"/>
      <c r="E509" s="131"/>
      <c r="F509" s="131"/>
      <c r="G509" s="131"/>
      <c r="H509" s="131"/>
      <c r="I509" s="132">
        <f t="shared" si="26"/>
        <v>0</v>
      </c>
      <c r="J509" s="132">
        <f t="shared" si="27"/>
        <v>0</v>
      </c>
    </row>
    <row r="510" spans="2:10" x14ac:dyDescent="0.5">
      <c r="B510" s="130">
        <f t="shared" si="25"/>
        <v>477</v>
      </c>
      <c r="C510" s="137"/>
      <c r="D510" s="131"/>
      <c r="E510" s="131"/>
      <c r="F510" s="131"/>
      <c r="G510" s="131"/>
      <c r="H510" s="131"/>
      <c r="I510" s="132">
        <f t="shared" si="26"/>
        <v>0</v>
      </c>
      <c r="J510" s="132">
        <f t="shared" si="27"/>
        <v>0</v>
      </c>
    </row>
    <row r="511" spans="2:10" x14ac:dyDescent="0.5">
      <c r="B511" s="130">
        <f t="shared" si="25"/>
        <v>478</v>
      </c>
      <c r="C511" s="137"/>
      <c r="D511" s="131"/>
      <c r="E511" s="131"/>
      <c r="F511" s="131"/>
      <c r="G511" s="131"/>
      <c r="H511" s="131"/>
      <c r="I511" s="132">
        <f t="shared" si="26"/>
        <v>0</v>
      </c>
      <c r="J511" s="132">
        <f t="shared" si="27"/>
        <v>0</v>
      </c>
    </row>
    <row r="512" spans="2:10" x14ac:dyDescent="0.5">
      <c r="B512" s="130">
        <f t="shared" si="25"/>
        <v>479</v>
      </c>
      <c r="C512" s="137"/>
      <c r="D512" s="131"/>
      <c r="E512" s="131"/>
      <c r="F512" s="131"/>
      <c r="G512" s="131"/>
      <c r="H512" s="131"/>
      <c r="I512" s="132">
        <f t="shared" si="26"/>
        <v>0</v>
      </c>
      <c r="J512" s="132">
        <f t="shared" si="27"/>
        <v>0</v>
      </c>
    </row>
    <row r="513" spans="2:10" x14ac:dyDescent="0.5">
      <c r="B513" s="130">
        <f t="shared" si="25"/>
        <v>480</v>
      </c>
      <c r="C513" s="137"/>
      <c r="D513" s="131"/>
      <c r="E513" s="131"/>
      <c r="F513" s="131"/>
      <c r="G513" s="131"/>
      <c r="H513" s="131"/>
      <c r="I513" s="132">
        <f t="shared" si="26"/>
        <v>0</v>
      </c>
      <c r="J513" s="132">
        <f t="shared" si="27"/>
        <v>0</v>
      </c>
    </row>
    <row r="514" spans="2:10" x14ac:dyDescent="0.5">
      <c r="B514" s="130">
        <f t="shared" si="25"/>
        <v>481</v>
      </c>
      <c r="C514" s="137"/>
      <c r="D514" s="131"/>
      <c r="E514" s="131"/>
      <c r="F514" s="131"/>
      <c r="G514" s="131"/>
      <c r="H514" s="131"/>
      <c r="I514" s="132">
        <f t="shared" si="26"/>
        <v>0</v>
      </c>
      <c r="J514" s="132">
        <f t="shared" si="27"/>
        <v>0</v>
      </c>
    </row>
    <row r="515" spans="2:10" x14ac:dyDescent="0.5">
      <c r="B515" s="130">
        <f t="shared" si="25"/>
        <v>482</v>
      </c>
      <c r="C515" s="137"/>
      <c r="D515" s="131"/>
      <c r="E515" s="131"/>
      <c r="F515" s="131"/>
      <c r="G515" s="131"/>
      <c r="H515" s="131"/>
      <c r="I515" s="132">
        <f t="shared" si="26"/>
        <v>0</v>
      </c>
      <c r="J515" s="132">
        <f t="shared" si="27"/>
        <v>0</v>
      </c>
    </row>
    <row r="516" spans="2:10" x14ac:dyDescent="0.5">
      <c r="B516" s="130">
        <f t="shared" si="25"/>
        <v>483</v>
      </c>
      <c r="C516" s="137"/>
      <c r="D516" s="131"/>
      <c r="E516" s="131"/>
      <c r="F516" s="131"/>
      <c r="G516" s="131"/>
      <c r="H516" s="131"/>
      <c r="I516" s="132">
        <f t="shared" si="26"/>
        <v>0</v>
      </c>
      <c r="J516" s="132">
        <f t="shared" si="27"/>
        <v>0</v>
      </c>
    </row>
    <row r="517" spans="2:10" x14ac:dyDescent="0.5">
      <c r="B517" s="130">
        <f t="shared" si="25"/>
        <v>484</v>
      </c>
      <c r="C517" s="137"/>
      <c r="D517" s="131"/>
      <c r="E517" s="131"/>
      <c r="F517" s="131"/>
      <c r="G517" s="131"/>
      <c r="H517" s="131"/>
      <c r="I517" s="132">
        <f t="shared" si="26"/>
        <v>0</v>
      </c>
      <c r="J517" s="132">
        <f t="shared" si="27"/>
        <v>0</v>
      </c>
    </row>
    <row r="518" spans="2:10" x14ac:dyDescent="0.5">
      <c r="B518" s="130">
        <f t="shared" si="25"/>
        <v>485</v>
      </c>
      <c r="C518" s="137"/>
      <c r="D518" s="131"/>
      <c r="E518" s="131"/>
      <c r="F518" s="131"/>
      <c r="G518" s="131"/>
      <c r="H518" s="131"/>
      <c r="I518" s="132">
        <f t="shared" si="26"/>
        <v>0</v>
      </c>
      <c r="J518" s="132">
        <f t="shared" si="27"/>
        <v>0</v>
      </c>
    </row>
    <row r="519" spans="2:10" x14ac:dyDescent="0.5">
      <c r="B519" s="130">
        <f t="shared" si="25"/>
        <v>486</v>
      </c>
      <c r="C519" s="137"/>
      <c r="D519" s="131"/>
      <c r="E519" s="131"/>
      <c r="F519" s="131"/>
      <c r="G519" s="131"/>
      <c r="H519" s="131"/>
      <c r="I519" s="132">
        <f t="shared" si="26"/>
        <v>0</v>
      </c>
      <c r="J519" s="132">
        <f t="shared" si="27"/>
        <v>0</v>
      </c>
    </row>
    <row r="520" spans="2:10" x14ac:dyDescent="0.5">
      <c r="B520" s="130">
        <f t="shared" si="25"/>
        <v>487</v>
      </c>
      <c r="C520" s="137"/>
      <c r="D520" s="131"/>
      <c r="E520" s="131"/>
      <c r="F520" s="131"/>
      <c r="G520" s="131"/>
      <c r="H520" s="131"/>
      <c r="I520" s="132">
        <f t="shared" si="26"/>
        <v>0</v>
      </c>
      <c r="J520" s="132">
        <f t="shared" si="27"/>
        <v>0</v>
      </c>
    </row>
    <row r="521" spans="2:10" x14ac:dyDescent="0.5">
      <c r="B521" s="130">
        <f t="shared" si="25"/>
        <v>488</v>
      </c>
      <c r="C521" s="137"/>
      <c r="D521" s="131"/>
      <c r="E521" s="131"/>
      <c r="F521" s="131"/>
      <c r="G521" s="131"/>
      <c r="H521" s="131"/>
      <c r="I521" s="132">
        <f t="shared" si="26"/>
        <v>0</v>
      </c>
      <c r="J521" s="132">
        <f t="shared" si="27"/>
        <v>0</v>
      </c>
    </row>
    <row r="522" spans="2:10" x14ac:dyDescent="0.5">
      <c r="B522" s="130">
        <f t="shared" si="25"/>
        <v>489</v>
      </c>
      <c r="C522" s="137"/>
      <c r="D522" s="131"/>
      <c r="E522" s="131"/>
      <c r="F522" s="131"/>
      <c r="G522" s="131"/>
      <c r="H522" s="131"/>
      <c r="I522" s="132">
        <f t="shared" si="26"/>
        <v>0</v>
      </c>
      <c r="J522" s="132">
        <f t="shared" si="27"/>
        <v>0</v>
      </c>
    </row>
    <row r="523" spans="2:10" x14ac:dyDescent="0.5">
      <c r="B523" s="130">
        <f t="shared" si="25"/>
        <v>490</v>
      </c>
      <c r="C523" s="137"/>
      <c r="D523" s="131"/>
      <c r="E523" s="131"/>
      <c r="F523" s="131"/>
      <c r="G523" s="131"/>
      <c r="H523" s="131"/>
      <c r="I523" s="132">
        <f t="shared" si="26"/>
        <v>0</v>
      </c>
      <c r="J523" s="132">
        <f t="shared" si="27"/>
        <v>0</v>
      </c>
    </row>
    <row r="524" spans="2:10" x14ac:dyDescent="0.5">
      <c r="B524" s="130">
        <f t="shared" si="25"/>
        <v>491</v>
      </c>
      <c r="C524" s="137"/>
      <c r="D524" s="131"/>
      <c r="E524" s="131"/>
      <c r="F524" s="131"/>
      <c r="G524" s="131"/>
      <c r="H524" s="131"/>
      <c r="I524" s="132">
        <f t="shared" si="26"/>
        <v>0</v>
      </c>
      <c r="J524" s="132">
        <f t="shared" si="27"/>
        <v>0</v>
      </c>
    </row>
    <row r="525" spans="2:10" x14ac:dyDescent="0.5">
      <c r="B525" s="130">
        <f t="shared" si="25"/>
        <v>492</v>
      </c>
      <c r="C525" s="137"/>
      <c r="D525" s="131"/>
      <c r="E525" s="131"/>
      <c r="F525" s="131"/>
      <c r="G525" s="131"/>
      <c r="H525" s="131"/>
      <c r="I525" s="132">
        <f t="shared" si="26"/>
        <v>0</v>
      </c>
      <c r="J525" s="132">
        <f t="shared" si="27"/>
        <v>0</v>
      </c>
    </row>
    <row r="526" spans="2:10" x14ac:dyDescent="0.5">
      <c r="B526" s="130">
        <f t="shared" si="25"/>
        <v>493</v>
      </c>
      <c r="C526" s="137"/>
      <c r="D526" s="131"/>
      <c r="E526" s="131"/>
      <c r="F526" s="131"/>
      <c r="G526" s="131"/>
      <c r="H526" s="131"/>
      <c r="I526" s="132">
        <f t="shared" si="26"/>
        <v>0</v>
      </c>
      <c r="J526" s="132">
        <f t="shared" si="27"/>
        <v>0</v>
      </c>
    </row>
    <row r="527" spans="2:10" x14ac:dyDescent="0.5">
      <c r="B527" s="130">
        <f t="shared" si="25"/>
        <v>494</v>
      </c>
      <c r="C527" s="137"/>
      <c r="D527" s="131"/>
      <c r="E527" s="131"/>
      <c r="F527" s="131"/>
      <c r="G527" s="131"/>
      <c r="H527" s="131"/>
      <c r="I527" s="132">
        <f t="shared" si="26"/>
        <v>0</v>
      </c>
      <c r="J527" s="132">
        <f t="shared" si="27"/>
        <v>0</v>
      </c>
    </row>
    <row r="528" spans="2:10" x14ac:dyDescent="0.5">
      <c r="B528" s="130">
        <f t="shared" si="25"/>
        <v>495</v>
      </c>
      <c r="C528" s="137"/>
      <c r="D528" s="131"/>
      <c r="E528" s="131"/>
      <c r="F528" s="131"/>
      <c r="G528" s="131"/>
      <c r="H528" s="131"/>
      <c r="I528" s="132">
        <f t="shared" si="26"/>
        <v>0</v>
      </c>
      <c r="J528" s="132">
        <f t="shared" si="27"/>
        <v>0</v>
      </c>
    </row>
    <row r="529" spans="2:10" x14ac:dyDescent="0.5">
      <c r="B529" s="130">
        <f t="shared" si="25"/>
        <v>496</v>
      </c>
      <c r="C529" s="137"/>
      <c r="D529" s="131"/>
      <c r="E529" s="131"/>
      <c r="F529" s="131"/>
      <c r="G529" s="131"/>
      <c r="H529" s="131"/>
      <c r="I529" s="132">
        <f t="shared" si="26"/>
        <v>0</v>
      </c>
      <c r="J529" s="132">
        <f t="shared" si="27"/>
        <v>0</v>
      </c>
    </row>
    <row r="530" spans="2:10" x14ac:dyDescent="0.5">
      <c r="B530" s="130">
        <f t="shared" si="25"/>
        <v>497</v>
      </c>
      <c r="C530" s="137"/>
      <c r="D530" s="131"/>
      <c r="E530" s="131"/>
      <c r="F530" s="131"/>
      <c r="G530" s="131"/>
      <c r="H530" s="131"/>
      <c r="I530" s="132">
        <f t="shared" si="26"/>
        <v>0</v>
      </c>
      <c r="J530" s="132">
        <f t="shared" si="27"/>
        <v>0</v>
      </c>
    </row>
    <row r="531" spans="2:10" x14ac:dyDescent="0.5">
      <c r="B531" s="130">
        <f t="shared" si="25"/>
        <v>498</v>
      </c>
      <c r="C531" s="137"/>
      <c r="D531" s="131"/>
      <c r="E531" s="131"/>
      <c r="F531" s="131"/>
      <c r="G531" s="131"/>
      <c r="H531" s="131"/>
      <c r="I531" s="132">
        <f t="shared" si="26"/>
        <v>0</v>
      </c>
      <c r="J531" s="132">
        <f t="shared" si="27"/>
        <v>0</v>
      </c>
    </row>
    <row r="532" spans="2:10" x14ac:dyDescent="0.5">
      <c r="B532" s="130">
        <f t="shared" si="25"/>
        <v>499</v>
      </c>
      <c r="C532" s="137"/>
      <c r="D532" s="131"/>
      <c r="E532" s="131"/>
      <c r="F532" s="131"/>
      <c r="G532" s="131"/>
      <c r="H532" s="131"/>
      <c r="I532" s="132">
        <f t="shared" si="26"/>
        <v>0</v>
      </c>
      <c r="J532" s="132">
        <f t="shared" si="27"/>
        <v>0</v>
      </c>
    </row>
    <row r="533" spans="2:10" x14ac:dyDescent="0.5">
      <c r="B533" s="130">
        <f t="shared" si="25"/>
        <v>500</v>
      </c>
      <c r="C533" s="137"/>
      <c r="D533" s="131"/>
      <c r="E533" s="131"/>
      <c r="F533" s="131"/>
      <c r="G533" s="131"/>
      <c r="H533" s="131"/>
      <c r="I533" s="132">
        <f t="shared" si="26"/>
        <v>0</v>
      </c>
      <c r="J533" s="132">
        <f t="shared" si="27"/>
        <v>0</v>
      </c>
    </row>
  </sheetData>
  <protectedRanges>
    <protectedRange sqref="C37:H533 D18:H27 D14:H16" name="Range1"/>
    <protectedRange sqref="C34:C36 H34:H36" name="Range2"/>
    <protectedRange sqref="D34:G34" name="Range2_1"/>
    <protectedRange sqref="D35:G35" name="Range2_2"/>
    <protectedRange sqref="D36:G36" name="Range2_3"/>
  </protectedRanges>
  <mergeCells count="8">
    <mergeCell ref="B30:B33"/>
    <mergeCell ref="D30:G30"/>
    <mergeCell ref="B8:C8"/>
    <mergeCell ref="B9:J9"/>
    <mergeCell ref="B10:B13"/>
    <mergeCell ref="D10:G10"/>
    <mergeCell ref="B28:C28"/>
    <mergeCell ref="B29:J29"/>
  </mergeCells>
  <dataValidations count="1">
    <dataValidation type="whole" operator="greaterThan" allowBlank="1" showInputMessage="1" showErrorMessage="1" errorTitle="Input Value" error="Please input a value greater than 0 and no decimal places" promptTitle="Input Value" prompt="Please input a value greater than 0 and no decimal places" sqref="D17:H17 D34:H36" xr:uid="{347E76E6-3BA4-417C-A470-3205B02B0977}">
      <formula1>0</formula1>
    </dataValidation>
  </dataValidation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fa2d9f5-199c-4212-8ee5-c011be210f49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C098080B38DD147A7B7AA467507026F" ma:contentTypeVersion="10" ma:contentTypeDescription="Create a new document." ma:contentTypeScope="" ma:versionID="a8f1fb657bf2cd47f0fde71b10fd28b8">
  <xsd:schema xmlns:xsd="http://www.w3.org/2001/XMLSchema" xmlns:xs="http://www.w3.org/2001/XMLSchema" xmlns:p="http://schemas.microsoft.com/office/2006/metadata/properties" xmlns:ns2="dfa2d9f5-199c-4212-8ee5-c011be210f49" targetNamespace="http://schemas.microsoft.com/office/2006/metadata/properties" ma:root="true" ma:fieldsID="d4b3e96af636654b9533073474238ce3" ns2:_="">
    <xsd:import namespace="dfa2d9f5-199c-4212-8ee5-c011be210f4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fa2d9f5-199c-4212-8ee5-c011be210f4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1c775f1b-94bf-41d1-bd5b-4e74f3913fa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5C02105-156F-40D2-A2E8-81134EB69A0C}">
  <ds:schemaRefs>
    <ds:schemaRef ds:uri="http://purl.org/dc/elements/1.1/"/>
    <ds:schemaRef ds:uri="http://purl.org/dc/terms/"/>
    <ds:schemaRef ds:uri="http://purl.org/dc/dcmitype/"/>
    <ds:schemaRef ds:uri="3af122c7-9b09-49b4-b379-a72fc6a2a0d6"/>
    <ds:schemaRef ds:uri="a85853f5-89f9-4b3e-a605-01cf45a7bc70"/>
    <ds:schemaRef ds:uri="http://schemas.microsoft.com/office/infopath/2007/PartnerControls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http://www.w3.org/XML/1998/namespace"/>
    <ds:schemaRef ds:uri="dfa2d9f5-199c-4212-8ee5-c011be210f49"/>
  </ds:schemaRefs>
</ds:datastoreItem>
</file>

<file path=customXml/itemProps2.xml><?xml version="1.0" encoding="utf-8"?>
<ds:datastoreItem xmlns:ds="http://schemas.openxmlformats.org/officeDocument/2006/customXml" ds:itemID="{92D06A05-1360-4EB3-8629-05437999151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2E2C73B-45F7-4B83-B55A-0F66EF7C6D2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fa2d9f5-199c-4212-8ee5-c011be210f4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41-1A</vt:lpstr>
      <vt:lpstr>41-1B</vt:lpstr>
      <vt:lpstr>41-1C</vt:lpstr>
      <vt:lpstr>41-1D</vt:lpstr>
      <vt:lpstr>41-1E</vt:lpstr>
      <vt:lpstr>41-1F</vt:lpstr>
      <vt:lpstr>41-1</vt:lpstr>
      <vt:lpstr>Valuation Results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Faith Mbula</dc:creator>
  <cp:keywords/>
  <dc:description/>
  <cp:lastModifiedBy>Rosemary Nyawira</cp:lastModifiedBy>
  <cp:revision/>
  <dcterms:created xsi:type="dcterms:W3CDTF">2025-02-05T07:38:38Z</dcterms:created>
  <dcterms:modified xsi:type="dcterms:W3CDTF">2025-11-25T13:20:55Z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0x010100FC098080B38DD147A7B7AA467507026F</vt:lpwstr>
  </property>
  <property fmtid="{D5CDD505-2E9C-101B-9397-08002B2CF9AE}" pid="3" name="MediaServiceImageTags">
    <vt:lpwstr/>
  </property>
</Properties>
</file>