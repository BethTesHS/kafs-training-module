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ing Module/Training Modules/Module 5_Capital Adequacy/Data/"/>
    </mc:Choice>
  </mc:AlternateContent>
  <xr:revisionPtr revIDLastSave="73" documentId="8_{F02FECC8-6D48-45BC-AB43-B9569B0706AD}" xr6:coauthVersionLast="47" xr6:coauthVersionMax="47" xr10:uidLastSave="{69997480-B578-4221-8B4F-744EDF1A2FC7}"/>
  <bookViews>
    <workbookView xWindow="-103" yWindow="-103" windowWidth="26537" windowHeight="15943" xr2:uid="{1A3FA5EF-7400-44B5-8B44-3AB20BA1B1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" l="1"/>
  <c r="D42" i="1"/>
  <c r="D31" i="1"/>
  <c r="D23" i="1"/>
  <c r="D11" i="1"/>
  <c r="D44" i="1" l="1"/>
  <c r="D55" i="1" l="1"/>
  <c r="D57" i="1" s="1"/>
</calcChain>
</file>

<file path=xl/sharedStrings.xml><?xml version="1.0" encoding="utf-8"?>
<sst xmlns="http://schemas.openxmlformats.org/spreadsheetml/2006/main" count="43" uniqueCount="42">
  <si>
    <t>STATEMENT OF FINANCIAL POSITION</t>
  </si>
  <si>
    <t>FOR THE PERIOD ENDED 31 December 2025</t>
  </si>
  <si>
    <t>Ksh '000</t>
  </si>
  <si>
    <t>Share Capital:</t>
  </si>
  <si>
    <t>Issued</t>
  </si>
  <si>
    <t>Revaluation Reserves</t>
  </si>
  <si>
    <t>Retained Earnings</t>
  </si>
  <si>
    <t>Total Reserves</t>
  </si>
  <si>
    <t>Represented by:-</t>
  </si>
  <si>
    <t>ASSETS</t>
  </si>
  <si>
    <t>Fixed assets:</t>
  </si>
  <si>
    <t>Freehold property</t>
  </si>
  <si>
    <t>Motor vehicles</t>
  </si>
  <si>
    <t>Intangible Asset</t>
  </si>
  <si>
    <t>Computers</t>
  </si>
  <si>
    <t>Furniture, fittings &amp; equipment</t>
  </si>
  <si>
    <t>Right-of-use assets</t>
  </si>
  <si>
    <t>Total Fixed Assets</t>
  </si>
  <si>
    <t xml:space="preserve">Government Securities </t>
  </si>
  <si>
    <t>Equity Shares</t>
  </si>
  <si>
    <t>Mortgage loans</t>
  </si>
  <si>
    <t>Banks deposits</t>
  </si>
  <si>
    <t>Land &amp; Buildings</t>
  </si>
  <si>
    <t>Total other investments</t>
  </si>
  <si>
    <t>CURRENT ASSETS</t>
  </si>
  <si>
    <t>Cash and bank balances</t>
  </si>
  <si>
    <t>Reinsurance contracts assets</t>
  </si>
  <si>
    <t>Insurance contracts assets</t>
  </si>
  <si>
    <t>Investment in Kenya Motor Ins. Pool</t>
  </si>
  <si>
    <t>Taxation</t>
  </si>
  <si>
    <t>Deferred tax  Asset</t>
  </si>
  <si>
    <t xml:space="preserve">Prepayments </t>
  </si>
  <si>
    <t>Total Current Assets</t>
  </si>
  <si>
    <t>TOTAL ASSETS</t>
  </si>
  <si>
    <t>LIABILITIES</t>
  </si>
  <si>
    <t>Insurance contracts liabilities</t>
  </si>
  <si>
    <t>Deferred tax Liability</t>
  </si>
  <si>
    <t>Lease liabilities</t>
  </si>
  <si>
    <t>Other payables</t>
  </si>
  <si>
    <t>TOTAL LIABILITIES</t>
  </si>
  <si>
    <t>NET ASSETS</t>
  </si>
  <si>
    <t>Balancing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</si>
</sst>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]d\ mmm\ yyyy;@" x16r2:formatCode16="[$-en-KE,1]d\ mmm\ yyyy;@"/>
    <numFmt numFmtId="165" formatCode="_(* #,##0_);_(* \(#,##0\);_(* &quot;-&quot;??_);_(@_)"/>
    <numFmt numFmtId="166" formatCode="#,##0;[Red]\(#,##0\)"/>
  </numFmts>
  <fonts count="5">
    <font>
      <sz val="11"/>
      <color theme="1"/>
      <name val="Aptos Narrow"/>
      <family val="2"/>
      <scheme val="minor"/>
    </font>
    <font>
      <b/>
      <sz val="9"/>
      <color theme="1"/>
      <name val="Nunito"/>
    </font>
    <font>
      <b/>
      <sz val="9"/>
      <color theme="0"/>
      <name val="Nunito"/>
    </font>
    <font>
      <sz val="9"/>
      <color theme="1"/>
      <name val="Nunito"/>
    </font>
    <font>
      <i/>
      <sz val="9"/>
      <color rgb="FFFF0000"/>
      <name val="Nunito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164" fontId="2" fillId="0" borderId="3" xfId="0" applyNumberFormat="1" applyFont="1" applyBorder="1" applyAlignment="1">
      <alignment horizontal="right"/>
    </xf>
    <xf numFmtId="0" fontId="2" fillId="0" borderId="6" xfId="0" applyFont="1" applyBorder="1"/>
    <xf numFmtId="0" fontId="2" fillId="0" borderId="7" xfId="0" applyFont="1" applyBorder="1"/>
    <xf numFmtId="165" fontId="2" fillId="0" borderId="8" xfId="0" applyNumberFormat="1" applyFont="1" applyBorder="1" applyAlignment="1">
      <alignment horizontal="right"/>
    </xf>
    <xf numFmtId="0" fontId="3" fillId="0" borderId="2" xfId="0" applyFont="1" applyBorder="1"/>
    <xf numFmtId="166" fontId="3" fillId="0" borderId="3" xfId="0" applyNumberFormat="1" applyFont="1" applyBorder="1"/>
    <xf numFmtId="0" fontId="3" fillId="0" borderId="4" xfId="0" applyFont="1" applyBorder="1"/>
    <xf numFmtId="0" fontId="3" fillId="0" borderId="0" xfId="0" applyFont="1"/>
    <xf numFmtId="166" fontId="3" fillId="0" borderId="5" xfId="0" applyNumberFormat="1" applyFont="1" applyBorder="1"/>
    <xf numFmtId="0" fontId="1" fillId="0" borderId="9" xfId="0" applyFont="1" applyBorder="1"/>
    <xf numFmtId="0" fontId="1" fillId="0" borderId="10" xfId="0" applyFont="1" applyBorder="1"/>
    <xf numFmtId="166" fontId="1" fillId="0" borderId="11" xfId="0" applyNumberFormat="1" applyFont="1" applyBorder="1"/>
    <xf numFmtId="166" fontId="1" fillId="0" borderId="5" xfId="0" applyNumberFormat="1" applyFont="1" applyBorder="1"/>
    <xf numFmtId="0" fontId="3" fillId="0" borderId="5" xfId="0" applyFont="1" applyBorder="1"/>
    <xf numFmtId="0" fontId="4" fillId="0" borderId="12" xfId="0" applyFont="1" applyBorder="1"/>
    <xf numFmtId="0" fontId="4" fillId="0" borderId="13" xfId="0" applyFont="1" applyBorder="1"/>
    <xf numFmtId="166" fontId="4" fillId="0" borderId="1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2162-20D8-4E68-B4E3-3A44415B912E}">
  <dimension ref="B1:D57"/>
  <sheetViews>
    <sheetView tabSelected="1" workbookViewId="0">
      <selection activeCell="B1" sqref="B1:D1048576"/>
    </sheetView>
  </sheetViews>
  <sheetFormatPr defaultRowHeight="15"/>
  <cols>
    <col min="2" max="2" width="9.28515625" style="19"/>
    <col min="3" max="3" width="30.28515625" style="19" customWidth="1"/>
    <col min="4" max="4" width="14.5703125" style="19" bestFit="1" customWidth="1"/>
  </cols>
  <sheetData>
    <row r="1" spans="2:4">
      <c r="B1" s="1"/>
      <c r="C1" s="2"/>
      <c r="D1" s="3"/>
    </row>
    <row r="2" spans="2:4">
      <c r="B2" s="4" t="s">
        <v>0</v>
      </c>
      <c r="C2" s="5"/>
      <c r="D2" s="6"/>
    </row>
    <row r="3" spans="2:4">
      <c r="B3" s="7" t="s">
        <v>1</v>
      </c>
      <c r="C3" s="8"/>
      <c r="D3" s="9"/>
    </row>
    <row r="4" spans="2:4">
      <c r="B4" s="10"/>
      <c r="C4" s="11"/>
      <c r="D4" s="12">
        <v>45657</v>
      </c>
    </row>
    <row r="5" spans="2:4">
      <c r="B5" s="13"/>
      <c r="C5" s="14"/>
      <c r="D5" s="15" t="s">
        <v>2</v>
      </c>
    </row>
    <row r="6" spans="2:4">
      <c r="B6" s="1" t="s">
        <v>3</v>
      </c>
      <c r="C6" s="16"/>
      <c r="D6" s="17"/>
    </row>
    <row r="7" spans="2:4">
      <c r="B7" s="18" t="s">
        <v>4</v>
      </c>
      <c r="D7" s="20">
        <v>500000000</v>
      </c>
    </row>
    <row r="8" spans="2:4">
      <c r="B8" s="18" t="s">
        <v>5</v>
      </c>
      <c r="D8" s="20">
        <v>80000000</v>
      </c>
    </row>
    <row r="9" spans="2:4">
      <c r="B9" s="18" t="s">
        <v>6</v>
      </c>
      <c r="D9" s="20">
        <v>450000000</v>
      </c>
    </row>
    <row r="10" spans="2:4">
      <c r="B10" s="18"/>
      <c r="D10" s="20"/>
    </row>
    <row r="11" spans="2:4" ht="15.4" thickBot="1">
      <c r="B11" s="21" t="s">
        <v>7</v>
      </c>
      <c r="C11" s="22"/>
      <c r="D11" s="23">
        <f>SUM(D7:D10)</f>
        <v>1030000000</v>
      </c>
    </row>
    <row r="12" spans="2:4" ht="15.4" thickTop="1">
      <c r="B12" s="18"/>
      <c r="D12" s="20"/>
    </row>
    <row r="13" spans="2:4">
      <c r="B13" s="4" t="s">
        <v>8</v>
      </c>
      <c r="D13" s="20"/>
    </row>
    <row r="14" spans="2:4">
      <c r="B14" s="4" t="s">
        <v>9</v>
      </c>
      <c r="C14" s="5"/>
      <c r="D14" s="24"/>
    </row>
    <row r="15" spans="2:4">
      <c r="B15" s="4" t="s">
        <v>10</v>
      </c>
      <c r="C15" s="5"/>
      <c r="D15" s="24"/>
    </row>
    <row r="16" spans="2:4">
      <c r="B16" s="18" t="s">
        <v>11</v>
      </c>
      <c r="D16" s="20">
        <v>250000000</v>
      </c>
    </row>
    <row r="17" spans="2:4">
      <c r="B17" s="18" t="s">
        <v>12</v>
      </c>
      <c r="D17" s="20">
        <v>5000000</v>
      </c>
    </row>
    <row r="18" spans="2:4">
      <c r="B18" s="18" t="s">
        <v>13</v>
      </c>
      <c r="D18" s="20">
        <v>3500000</v>
      </c>
    </row>
    <row r="19" spans="2:4">
      <c r="B19" s="18" t="s">
        <v>14</v>
      </c>
      <c r="D19" s="20">
        <v>5600000</v>
      </c>
    </row>
    <row r="20" spans="2:4">
      <c r="B20" s="18" t="s">
        <v>15</v>
      </c>
      <c r="D20" s="20">
        <v>6000000</v>
      </c>
    </row>
    <row r="21" spans="2:4">
      <c r="B21" s="18" t="s">
        <v>16</v>
      </c>
      <c r="D21" s="20">
        <v>10000000</v>
      </c>
    </row>
    <row r="22" spans="2:4">
      <c r="B22" s="18"/>
      <c r="D22" s="20"/>
    </row>
    <row r="23" spans="2:4">
      <c r="B23" s="4" t="s">
        <v>17</v>
      </c>
      <c r="C23" s="5"/>
      <c r="D23" s="24">
        <f>SUM(D16:D22)</f>
        <v>280100000</v>
      </c>
    </row>
    <row r="24" spans="2:4">
      <c r="B24" s="18"/>
      <c r="D24" s="20"/>
    </row>
    <row r="25" spans="2:4">
      <c r="B25" s="18" t="s">
        <v>18</v>
      </c>
      <c r="D25" s="20">
        <v>1500000000</v>
      </c>
    </row>
    <row r="26" spans="2:4">
      <c r="B26" s="18" t="s">
        <v>19</v>
      </c>
      <c r="D26" s="20">
        <v>50000000</v>
      </c>
    </row>
    <row r="27" spans="2:4">
      <c r="B27" s="18" t="s">
        <v>20</v>
      </c>
      <c r="D27" s="20">
        <v>30000000</v>
      </c>
    </row>
    <row r="28" spans="2:4">
      <c r="B28" s="18" t="s">
        <v>21</v>
      </c>
      <c r="D28" s="20">
        <v>335000000</v>
      </c>
    </row>
    <row r="29" spans="2:4">
      <c r="B29" s="18" t="s">
        <v>22</v>
      </c>
      <c r="D29" s="20">
        <v>1500000000</v>
      </c>
    </row>
    <row r="30" spans="2:4">
      <c r="B30" s="18"/>
      <c r="D30" s="20"/>
    </row>
    <row r="31" spans="2:4">
      <c r="B31" s="4" t="s">
        <v>23</v>
      </c>
      <c r="C31" s="5"/>
      <c r="D31" s="24">
        <f>SUM(D25:D30)</f>
        <v>3415000000</v>
      </c>
    </row>
    <row r="32" spans="2:4">
      <c r="B32" s="18"/>
      <c r="D32" s="20"/>
    </row>
    <row r="33" spans="2:4">
      <c r="B33" s="4" t="s">
        <v>24</v>
      </c>
      <c r="C33" s="5"/>
      <c r="D33" s="24"/>
    </row>
    <row r="34" spans="2:4">
      <c r="B34" s="18" t="s">
        <v>25</v>
      </c>
      <c r="D34" s="20">
        <v>220000000</v>
      </c>
    </row>
    <row r="35" spans="2:4">
      <c r="B35" s="18" t="s">
        <v>26</v>
      </c>
      <c r="D35" s="20">
        <v>800000000</v>
      </c>
    </row>
    <row r="36" spans="2:4">
      <c r="B36" s="18" t="s">
        <v>27</v>
      </c>
      <c r="D36" s="20">
        <v>0</v>
      </c>
    </row>
    <row r="37" spans="2:4">
      <c r="B37" s="18" t="s">
        <v>28</v>
      </c>
      <c r="D37" s="20">
        <v>35000000</v>
      </c>
    </row>
    <row r="38" spans="2:4">
      <c r="B38" s="18" t="s">
        <v>29</v>
      </c>
      <c r="D38" s="20">
        <v>45000000</v>
      </c>
    </row>
    <row r="39" spans="2:4">
      <c r="B39" s="18" t="s">
        <v>30</v>
      </c>
      <c r="D39" s="20">
        <v>12000000</v>
      </c>
    </row>
    <row r="40" spans="2:4">
      <c r="B40" s="18" t="s">
        <v>31</v>
      </c>
      <c r="D40" s="20">
        <v>63000000</v>
      </c>
    </row>
    <row r="41" spans="2:4">
      <c r="B41" s="18"/>
      <c r="D41" s="20"/>
    </row>
    <row r="42" spans="2:4">
      <c r="B42" s="4" t="s">
        <v>32</v>
      </c>
      <c r="C42" s="5"/>
      <c r="D42" s="24">
        <f>SUM(D34:D41)</f>
        <v>1175000000</v>
      </c>
    </row>
    <row r="43" spans="2:4">
      <c r="B43" s="18"/>
      <c r="D43" s="20"/>
    </row>
    <row r="44" spans="2:4">
      <c r="B44" s="4" t="s">
        <v>33</v>
      </c>
      <c r="C44" s="5"/>
      <c r="D44" s="24">
        <f>D23+D31+D42</f>
        <v>4870100000</v>
      </c>
    </row>
    <row r="45" spans="2:4">
      <c r="B45" s="18"/>
      <c r="D45" s="20"/>
    </row>
    <row r="46" spans="2:4">
      <c r="B46" s="4" t="s">
        <v>34</v>
      </c>
      <c r="C46" s="5"/>
      <c r="D46" s="24"/>
    </row>
    <row r="47" spans="2:4">
      <c r="B47" s="18" t="s">
        <v>35</v>
      </c>
      <c r="D47" s="20">
        <v>3615100000</v>
      </c>
    </row>
    <row r="48" spans="2:4">
      <c r="B48" s="18" t="s">
        <v>36</v>
      </c>
      <c r="D48" s="20">
        <v>0</v>
      </c>
    </row>
    <row r="49" spans="2:4">
      <c r="B49" s="18" t="s">
        <v>29</v>
      </c>
      <c r="D49" s="20">
        <v>0</v>
      </c>
    </row>
    <row r="50" spans="2:4">
      <c r="B50" s="18" t="s">
        <v>37</v>
      </c>
      <c r="D50" s="20">
        <v>25000000</v>
      </c>
    </row>
    <row r="51" spans="2:4">
      <c r="B51" s="18" t="s">
        <v>38</v>
      </c>
      <c r="D51" s="20">
        <v>200000000</v>
      </c>
    </row>
    <row r="52" spans="2:4">
      <c r="B52" s="18"/>
      <c r="D52" s="20"/>
    </row>
    <row r="53" spans="2:4">
      <c r="B53" s="4" t="s">
        <v>39</v>
      </c>
      <c r="C53" s="5"/>
      <c r="D53" s="24">
        <f>SUM(D47:D52)</f>
        <v>3840100000</v>
      </c>
    </row>
    <row r="54" spans="2:4">
      <c r="B54" s="18"/>
      <c r="D54" s="20"/>
    </row>
    <row r="55" spans="2:4" ht="15.4" thickBot="1">
      <c r="B55" s="21" t="s">
        <v>40</v>
      </c>
      <c r="C55" s="22"/>
      <c r="D55" s="23">
        <f>D44-D53</f>
        <v>1030000000</v>
      </c>
    </row>
    <row r="56" spans="2:4" ht="15.4" thickTop="1">
      <c r="B56" s="18"/>
      <c r="D56" s="25"/>
    </row>
    <row r="57" spans="2:4">
      <c r="B57" s="26" t="s">
        <v>41</v>
      </c>
      <c r="C57" s="27"/>
      <c r="D57" s="28">
        <f>D55-D11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a8f1fb657bf2cd47f0fde71b10fd2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d4b3e96af636654b9533073474238ce3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816564-0898-4F6A-BD19-EC10877856C3}"/>
</file>

<file path=customXml/itemProps2.xml><?xml version="1.0" encoding="utf-8"?>
<ds:datastoreItem xmlns:ds="http://schemas.openxmlformats.org/officeDocument/2006/customXml" ds:itemID="{52A10E2C-FE84-49A4-954D-7DB86CA87D94}"/>
</file>

<file path=customXml/itemProps3.xml><?xml version="1.0" encoding="utf-8"?>
<ds:datastoreItem xmlns:ds="http://schemas.openxmlformats.org/officeDocument/2006/customXml" ds:itemID="{0305520D-3A60-443B-9EAA-9A985D6F63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Rosemary Nyawira</dc:creator>
  <cp:keywords/>
  <dc:description/>
  <cp:lastModifiedBy>Aliyah Njeri</cp:lastModifiedBy>
  <cp:revision/>
  <dcterms:created xsi:type="dcterms:W3CDTF">2025-09-23T13:21:50Z</dcterms:created>
  <dcterms:modified xsi:type="dcterms:W3CDTF">2025-11-24T12:08:14Z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