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kenbright.sharepoint.com/sites/KENBRIGHTAI317-Automation/Shared Documents/Automation/New Joiners Training Module/Training Modules/Module 5_Capital Adequacy/Data/"/>
    </mc:Choice>
  </mc:AlternateContent>
  <xr:revisionPtr revIDLastSave="84" documentId="8_{1E307F91-11B1-462C-ABD0-598BEA8BD8E6}" xr6:coauthVersionLast="47" xr6:coauthVersionMax="47" xr10:uidLastSave="{8D2FE7C5-CED9-44B9-82C1-64AB514F1B79}"/>
  <bookViews>
    <workbookView xWindow="-103" yWindow="-103" windowWidth="26537" windowHeight="15943" xr2:uid="{1A3FA5EF-7400-44B5-8B44-3AB20BA1B109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0" i="1" l="1"/>
  <c r="E44" i="1"/>
  <c r="E34" i="1"/>
  <c r="E46" i="1" s="1"/>
</calcChain>
</file>

<file path=xl/sharedStrings.xml><?xml version="1.0" encoding="utf-8"?>
<sst xmlns="http://schemas.openxmlformats.org/spreadsheetml/2006/main" count="36" uniqueCount="36">
  <si>
    <t>STATEMENT OF FINANCIAL POSITION</t>
  </si>
  <si>
    <t>Balancing</t>
  </si>
  <si>
    <t>FOR THE PERIOD ENDED 31 December 2025</t>
  </si>
  <si>
    <t>CAPITAL EMPLOYED</t>
  </si>
  <si>
    <t>Share capital</t>
  </si>
  <si>
    <t>Retained earnings</t>
  </si>
  <si>
    <t>Statutory reserve</t>
  </si>
  <si>
    <t>Revaluation reserve</t>
  </si>
  <si>
    <t>Equity</t>
  </si>
  <si>
    <t>REPRESENTED BY:</t>
  </si>
  <si>
    <t>Assets</t>
  </si>
  <si>
    <t>Intangible assets</t>
  </si>
  <si>
    <t>Right of use assets</t>
  </si>
  <si>
    <t>Investment property</t>
  </si>
  <si>
    <t>Reinsurance contract assets</t>
  </si>
  <si>
    <t>Insurance contract assets</t>
  </si>
  <si>
    <t>Other Receivables &amp; Prepayments</t>
  </si>
  <si>
    <t>Due from related party</t>
  </si>
  <si>
    <t>Loans receivables</t>
  </si>
  <si>
    <t xml:space="preserve">Government securities at amortised cost </t>
  </si>
  <si>
    <t>Cash &amp; cash equivalents</t>
  </si>
  <si>
    <t>Total assets</t>
  </si>
  <si>
    <t>Liabilities</t>
  </si>
  <si>
    <t>Current tax liabilities</t>
  </si>
  <si>
    <t>Lease Liability</t>
  </si>
  <si>
    <t>Insurance contract liabilitiies</t>
  </si>
  <si>
    <t>Investment contract liabilites</t>
  </si>
  <si>
    <t>Other payable</t>
  </si>
  <si>
    <t>Deferred tax liabilities</t>
  </si>
  <si>
    <t>Total liabilities</t>
  </si>
  <si>
    <t>Net assets</t>
  </si>
  <si>
    <t>Corporate bonds</t>
  </si>
  <si>
    <t>Quoted equity investments</t>
  </si>
  <si>
    <t>Deposits with financial institutions</t>
  </si>
  <si>
    <t>Deferred tax assets</t>
  </si>
  <si>
    <t>Computers and Office equipment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</si>
</sst>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-* #,##0.00_-;\-* #,##0.00_-;_-* &quot;-&quot;??_-;_-@_-"/>
    <numFmt numFmtId="164" formatCode="#,##0;[Red]\(#,##0\)"/>
    <numFmt numFmtId="165" formatCode="_(* #,##0.00_);_(* \(#,##0.00\);_(* &quot;-&quot;??_);_(@_)"/>
    <numFmt numFmtId="166" formatCode="_-* #,##0_-;\-* #,##0_-;_-* &quot;-&quot;??_-;_-@_-"/>
  </numFmts>
  <fonts count="8" x14ac:knownFonts="1">
    <font>
      <sz val="11"/>
      <color theme="1"/>
      <name val="Aptos Narrow"/>
      <family val="2"/>
      <scheme val="minor"/>
    </font>
    <font>
      <b/>
      <sz val="9"/>
      <color theme="1"/>
      <name val="Nunito"/>
    </font>
    <font>
      <b/>
      <sz val="9"/>
      <color theme="0"/>
      <name val="Nunito"/>
    </font>
    <font>
      <sz val="9"/>
      <color theme="1"/>
      <name val="Nunito"/>
    </font>
    <font>
      <i/>
      <sz val="9"/>
      <color rgb="FFFF0000"/>
      <name val="Nunito"/>
    </font>
    <font>
      <sz val="11"/>
      <color theme="1"/>
      <name val="Aptos Narrow"/>
      <family val="2"/>
      <scheme val="minor"/>
    </font>
    <font>
      <sz val="9"/>
      <color theme="1"/>
      <name val="Lato"/>
      <family val="2"/>
    </font>
    <font>
      <sz val="9"/>
      <color theme="1"/>
      <name val="Nunito Sans"/>
    </font>
  </fonts>
  <fills count="2">
    <fill>
      <patternFill patternType="none"/>
    </fill>
    <fill>
      <patternFill patternType="gray125"/>
    </fill>
  </fills>
  <borders count="15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double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43" fontId="5" fillId="0" borderId="0" applyFont="0" applyFill="0" applyBorder="0" applyAlignment="0" applyProtection="0"/>
    <xf numFmtId="0" fontId="6" fillId="0" borderId="0"/>
    <xf numFmtId="165" fontId="6" fillId="0" borderId="0" applyFont="0" applyFill="0" applyBorder="0" applyAlignment="0" applyProtection="0"/>
  </cellStyleXfs>
  <cellXfs count="31">
    <xf numFmtId="0" fontId="0" fillId="0" borderId="0" xfId="0"/>
    <xf numFmtId="0" fontId="1" fillId="0" borderId="1" xfId="0" applyFont="1" applyBorder="1"/>
    <xf numFmtId="0" fontId="1" fillId="0" borderId="2" xfId="0" applyFont="1" applyBorder="1"/>
    <xf numFmtId="0" fontId="1" fillId="0" borderId="4" xfId="0" applyFont="1" applyBorder="1"/>
    <xf numFmtId="0" fontId="1" fillId="0" borderId="0" xfId="0" applyFont="1"/>
    <xf numFmtId="0" fontId="1" fillId="0" borderId="6" xfId="0" applyFont="1" applyBorder="1"/>
    <xf numFmtId="0" fontId="1" fillId="0" borderId="7" xfId="0" applyFont="1" applyBorder="1"/>
    <xf numFmtId="0" fontId="2" fillId="0" borderId="1" xfId="0" applyFont="1" applyBorder="1"/>
    <xf numFmtId="0" fontId="2" fillId="0" borderId="2" xfId="0" applyFont="1" applyBorder="1"/>
    <xf numFmtId="0" fontId="2" fillId="0" borderId="6" xfId="0" applyFont="1" applyBorder="1"/>
    <xf numFmtId="0" fontId="2" fillId="0" borderId="7" xfId="0" applyFont="1" applyBorder="1"/>
    <xf numFmtId="0" fontId="3" fillId="0" borderId="2" xfId="0" applyFont="1" applyBorder="1"/>
    <xf numFmtId="0" fontId="3" fillId="0" borderId="4" xfId="0" applyFont="1" applyBorder="1"/>
    <xf numFmtId="0" fontId="3" fillId="0" borderId="0" xfId="0" applyFont="1"/>
    <xf numFmtId="0" fontId="1" fillId="0" borderId="9" xfId="0" applyFont="1" applyBorder="1"/>
    <xf numFmtId="0" fontId="1" fillId="0" borderId="10" xfId="0" applyFont="1" applyBorder="1"/>
    <xf numFmtId="0" fontId="4" fillId="0" borderId="12" xfId="0" applyFont="1" applyBorder="1"/>
    <xf numFmtId="0" fontId="4" fillId="0" borderId="13" xfId="0" applyFont="1" applyBorder="1"/>
    <xf numFmtId="0" fontId="3" fillId="0" borderId="1" xfId="0" applyFont="1" applyBorder="1"/>
    <xf numFmtId="164" fontId="0" fillId="0" borderId="0" xfId="0" applyNumberFormat="1"/>
    <xf numFmtId="166" fontId="1" fillId="0" borderId="3" xfId="1" applyNumberFormat="1" applyFont="1" applyBorder="1"/>
    <xf numFmtId="166" fontId="1" fillId="0" borderId="5" xfId="1" applyNumberFormat="1" applyFont="1" applyBorder="1"/>
    <xf numFmtId="166" fontId="1" fillId="0" borderId="8" xfId="1" applyNumberFormat="1" applyFont="1" applyBorder="1" applyAlignment="1">
      <alignment horizontal="right"/>
    </xf>
    <xf numFmtId="166" fontId="2" fillId="0" borderId="3" xfId="1" applyNumberFormat="1" applyFont="1" applyBorder="1" applyAlignment="1">
      <alignment horizontal="right"/>
    </xf>
    <xf numFmtId="166" fontId="2" fillId="0" borderId="8" xfId="1" applyNumberFormat="1" applyFont="1" applyBorder="1" applyAlignment="1">
      <alignment horizontal="right"/>
    </xf>
    <xf numFmtId="166" fontId="3" fillId="0" borderId="3" xfId="1" applyNumberFormat="1" applyFont="1" applyBorder="1"/>
    <xf numFmtId="166" fontId="3" fillId="0" borderId="5" xfId="1" applyNumberFormat="1" applyFont="1" applyBorder="1"/>
    <xf numFmtId="166" fontId="1" fillId="0" borderId="11" xfId="1" applyNumberFormat="1" applyFont="1" applyBorder="1"/>
    <xf numFmtId="166" fontId="4" fillId="0" borderId="14" xfId="1" applyNumberFormat="1" applyFont="1" applyBorder="1"/>
    <xf numFmtId="166" fontId="3" fillId="0" borderId="0" xfId="1" applyNumberFormat="1" applyFont="1"/>
    <xf numFmtId="0" fontId="7" fillId="0" borderId="4" xfId="0" applyFont="1" applyBorder="1"/>
  </cellXfs>
  <cellStyles count="4">
    <cellStyle name="Comma" xfId="1" builtinId="3"/>
    <cellStyle name="Comma 3" xfId="3" xr:uid="{ED0658D9-0C2B-48FA-A35A-879AD2E4F0DA}"/>
    <cellStyle name="Normal" xfId="0" builtinId="0"/>
    <cellStyle name="Normal 3" xfId="2" xr:uid="{10848031-BCFC-4262-8E98-E690E463A98E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072162-20D8-4E68-B4E3-3A44415B912E}">
  <dimension ref="C1:F50"/>
  <sheetViews>
    <sheetView tabSelected="1" topLeftCell="A15" workbookViewId="0">
      <selection activeCell="H23" sqref="H23"/>
    </sheetView>
  </sheetViews>
  <sheetFormatPr defaultRowHeight="15" x14ac:dyDescent="0.45"/>
  <cols>
    <col min="3" max="3" width="36.3046875" style="13" customWidth="1"/>
    <col min="4" max="4" width="5.23046875" style="13" customWidth="1"/>
    <col min="5" max="5" width="16.15234375" style="29" customWidth="1"/>
    <col min="6" max="6" width="12.4609375" bestFit="1" customWidth="1"/>
  </cols>
  <sheetData>
    <row r="1" spans="3:5" x14ac:dyDescent="0.45">
      <c r="C1" s="1"/>
      <c r="D1" s="2"/>
      <c r="E1" s="20"/>
    </row>
    <row r="2" spans="3:5" x14ac:dyDescent="0.45">
      <c r="C2" s="3" t="s">
        <v>0</v>
      </c>
      <c r="D2" s="4"/>
      <c r="E2" s="21"/>
    </row>
    <row r="3" spans="3:5" x14ac:dyDescent="0.45">
      <c r="C3" s="5" t="s">
        <v>2</v>
      </c>
      <c r="D3" s="6"/>
      <c r="E3" s="22"/>
    </row>
    <row r="4" spans="3:5" x14ac:dyDescent="0.45">
      <c r="C4" s="7" t="s">
        <v>3</v>
      </c>
      <c r="D4" s="8"/>
      <c r="E4" s="23"/>
    </row>
    <row r="5" spans="3:5" x14ac:dyDescent="0.45">
      <c r="C5" s="9"/>
      <c r="D5" s="10"/>
      <c r="E5" s="24"/>
    </row>
    <row r="6" spans="3:5" x14ac:dyDescent="0.45">
      <c r="C6" s="18" t="s">
        <v>4</v>
      </c>
      <c r="D6" s="11"/>
      <c r="E6" s="25">
        <v>450000000</v>
      </c>
    </row>
    <row r="7" spans="3:5" x14ac:dyDescent="0.45">
      <c r="C7" s="12" t="s">
        <v>5</v>
      </c>
      <c r="E7" s="26">
        <v>60000000</v>
      </c>
    </row>
    <row r="8" spans="3:5" x14ac:dyDescent="0.45">
      <c r="C8" s="12" t="s">
        <v>6</v>
      </c>
      <c r="E8" s="26">
        <v>400000000</v>
      </c>
    </row>
    <row r="9" spans="3:5" x14ac:dyDescent="0.45">
      <c r="C9" s="12" t="s">
        <v>7</v>
      </c>
      <c r="E9" s="26">
        <v>350000000</v>
      </c>
    </row>
    <row r="10" spans="3:5" x14ac:dyDescent="0.45">
      <c r="C10" s="12"/>
      <c r="E10" s="26"/>
    </row>
    <row r="11" spans="3:5" ht="15.45" thickBot="1" x14ac:dyDescent="0.5">
      <c r="C11" s="14" t="s">
        <v>8</v>
      </c>
      <c r="D11" s="15"/>
      <c r="E11" s="27">
        <v>1260000000</v>
      </c>
    </row>
    <row r="12" spans="3:5" ht="15.45" thickTop="1" x14ac:dyDescent="0.45">
      <c r="C12" s="12"/>
      <c r="E12" s="26"/>
    </row>
    <row r="13" spans="3:5" x14ac:dyDescent="0.45">
      <c r="C13" s="3"/>
      <c r="E13" s="26"/>
    </row>
    <row r="14" spans="3:5" x14ac:dyDescent="0.45">
      <c r="C14" s="3" t="s">
        <v>9</v>
      </c>
      <c r="D14" s="4"/>
      <c r="E14" s="21"/>
    </row>
    <row r="15" spans="3:5" x14ac:dyDescent="0.45">
      <c r="C15" s="3"/>
      <c r="D15" s="4"/>
      <c r="E15" s="21"/>
    </row>
    <row r="16" spans="3:5" x14ac:dyDescent="0.45">
      <c r="C16" s="12" t="s">
        <v>10</v>
      </c>
      <c r="E16" s="26"/>
    </row>
    <row r="17" spans="3:5" ht="15.45" x14ac:dyDescent="0.5">
      <c r="C17" s="30" t="s">
        <v>35</v>
      </c>
      <c r="E17" s="26">
        <v>15000000</v>
      </c>
    </row>
    <row r="18" spans="3:5" x14ac:dyDescent="0.45">
      <c r="C18" s="12" t="s">
        <v>11</v>
      </c>
      <c r="E18" s="26">
        <v>3900000</v>
      </c>
    </row>
    <row r="19" spans="3:5" x14ac:dyDescent="0.45">
      <c r="C19" s="12" t="s">
        <v>12</v>
      </c>
      <c r="E19" s="26">
        <v>14000000</v>
      </c>
    </row>
    <row r="20" spans="3:5" x14ac:dyDescent="0.45">
      <c r="C20" s="12" t="s">
        <v>13</v>
      </c>
      <c r="E20" s="26">
        <v>74000000</v>
      </c>
    </row>
    <row r="21" spans="3:5" x14ac:dyDescent="0.45">
      <c r="C21" s="12" t="s">
        <v>14</v>
      </c>
      <c r="E21" s="26">
        <v>600000000</v>
      </c>
    </row>
    <row r="22" spans="3:5" x14ac:dyDescent="0.45">
      <c r="C22" s="12" t="s">
        <v>15</v>
      </c>
      <c r="E22" s="26">
        <v>0</v>
      </c>
    </row>
    <row r="23" spans="3:5" x14ac:dyDescent="0.45">
      <c r="C23" s="12" t="s">
        <v>34</v>
      </c>
      <c r="E23" s="26">
        <v>12000000</v>
      </c>
    </row>
    <row r="24" spans="3:5" x14ac:dyDescent="0.45">
      <c r="C24" s="12" t="s">
        <v>16</v>
      </c>
      <c r="E24" s="26">
        <v>41000000</v>
      </c>
    </row>
    <row r="25" spans="3:5" x14ac:dyDescent="0.45">
      <c r="C25" s="12" t="s">
        <v>17</v>
      </c>
      <c r="E25" s="26">
        <v>150000000</v>
      </c>
    </row>
    <row r="26" spans="3:5" x14ac:dyDescent="0.45">
      <c r="C26" s="12" t="s">
        <v>18</v>
      </c>
      <c r="E26" s="26">
        <v>16000000</v>
      </c>
    </row>
    <row r="27" spans="3:5" x14ac:dyDescent="0.45">
      <c r="C27" s="12" t="s">
        <v>19</v>
      </c>
      <c r="E27" s="26">
        <v>1600000000</v>
      </c>
    </row>
    <row r="28" spans="3:5" x14ac:dyDescent="0.45">
      <c r="C28" s="12" t="s">
        <v>31</v>
      </c>
      <c r="D28" s="4"/>
      <c r="E28" s="26">
        <v>4200000</v>
      </c>
    </row>
    <row r="29" spans="3:5" x14ac:dyDescent="0.45">
      <c r="C29" s="12" t="s">
        <v>32</v>
      </c>
      <c r="E29" s="26">
        <v>35000000</v>
      </c>
    </row>
    <row r="30" spans="3:5" x14ac:dyDescent="0.45">
      <c r="C30" s="12" t="s">
        <v>33</v>
      </c>
      <c r="D30" s="4"/>
      <c r="E30" s="26">
        <v>535000000</v>
      </c>
    </row>
    <row r="31" spans="3:5" x14ac:dyDescent="0.45">
      <c r="C31" s="12" t="s">
        <v>20</v>
      </c>
      <c r="E31" s="26">
        <v>120000000</v>
      </c>
    </row>
    <row r="32" spans="3:5" x14ac:dyDescent="0.45">
      <c r="C32" s="12"/>
      <c r="E32" s="26"/>
    </row>
    <row r="33" spans="3:6" x14ac:dyDescent="0.45">
      <c r="C33" s="12"/>
      <c r="E33" s="26"/>
    </row>
    <row r="34" spans="3:6" x14ac:dyDescent="0.45">
      <c r="C34" s="3" t="s">
        <v>21</v>
      </c>
      <c r="D34" s="4"/>
      <c r="E34" s="21">
        <f>SUM(E17:E31)</f>
        <v>3220100000</v>
      </c>
    </row>
    <row r="35" spans="3:6" x14ac:dyDescent="0.45">
      <c r="C35" s="12"/>
      <c r="E35" s="26"/>
    </row>
    <row r="36" spans="3:6" x14ac:dyDescent="0.45">
      <c r="C36" s="3" t="s">
        <v>22</v>
      </c>
      <c r="E36" s="26"/>
    </row>
    <row r="37" spans="3:6" x14ac:dyDescent="0.45">
      <c r="C37" s="12" t="s">
        <v>23</v>
      </c>
      <c r="E37" s="26">
        <v>0</v>
      </c>
    </row>
    <row r="38" spans="3:6" x14ac:dyDescent="0.45">
      <c r="C38" s="12" t="s">
        <v>24</v>
      </c>
      <c r="E38" s="26">
        <v>22000000</v>
      </c>
    </row>
    <row r="39" spans="3:6" x14ac:dyDescent="0.45">
      <c r="C39" s="12" t="s">
        <v>25</v>
      </c>
      <c r="E39" s="26">
        <v>1051100000</v>
      </c>
    </row>
    <row r="40" spans="3:6" x14ac:dyDescent="0.45">
      <c r="C40" s="12" t="s">
        <v>26</v>
      </c>
      <c r="E40" s="26">
        <v>750000000</v>
      </c>
    </row>
    <row r="41" spans="3:6" x14ac:dyDescent="0.45">
      <c r="C41" s="12" t="s">
        <v>27</v>
      </c>
      <c r="E41" s="26">
        <v>82000000</v>
      </c>
    </row>
    <row r="42" spans="3:6" x14ac:dyDescent="0.45">
      <c r="C42" s="12" t="s">
        <v>28</v>
      </c>
      <c r="E42" s="26">
        <v>55000000</v>
      </c>
    </row>
    <row r="43" spans="3:6" x14ac:dyDescent="0.45">
      <c r="C43" s="12"/>
      <c r="E43" s="26"/>
    </row>
    <row r="44" spans="3:6" x14ac:dyDescent="0.45">
      <c r="C44" s="3" t="s">
        <v>29</v>
      </c>
      <c r="D44" s="4"/>
      <c r="E44" s="21">
        <f>SUM(E37:E43)</f>
        <v>1960100000</v>
      </c>
    </row>
    <row r="45" spans="3:6" x14ac:dyDescent="0.45">
      <c r="C45" s="12"/>
      <c r="E45" s="26"/>
      <c r="F45" s="19"/>
    </row>
    <row r="46" spans="3:6" x14ac:dyDescent="0.45">
      <c r="C46" s="3" t="s">
        <v>30</v>
      </c>
      <c r="D46" s="4"/>
      <c r="E46" s="21">
        <f>E34-E44</f>
        <v>1260000000</v>
      </c>
    </row>
    <row r="47" spans="3:6" x14ac:dyDescent="0.45">
      <c r="C47" s="12"/>
      <c r="E47" s="26"/>
    </row>
    <row r="48" spans="3:6" ht="15.45" thickBot="1" x14ac:dyDescent="0.5">
      <c r="C48" s="14"/>
      <c r="D48" s="15"/>
      <c r="E48" s="27"/>
    </row>
    <row r="49" spans="3:5" ht="15.45" thickTop="1" x14ac:dyDescent="0.45">
      <c r="C49" s="12"/>
      <c r="E49" s="26"/>
    </row>
    <row r="50" spans="3:5" x14ac:dyDescent="0.45">
      <c r="C50" s="16" t="s">
        <v>1</v>
      </c>
      <c r="D50" s="17"/>
      <c r="E50" s="28">
        <f>E46-E11</f>
        <v>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C098080B38DD147A7B7AA467507026F" ma:contentTypeVersion="10" ma:contentTypeDescription="Create a new document." ma:contentTypeScope="" ma:versionID="a8f1fb657bf2cd47f0fde71b10fd28b8">
  <xsd:schema xmlns:xsd="http://www.w3.org/2001/XMLSchema" xmlns:xs="http://www.w3.org/2001/XMLSchema" xmlns:p="http://schemas.microsoft.com/office/2006/metadata/properties" xmlns:ns2="dfa2d9f5-199c-4212-8ee5-c011be210f49" targetNamespace="http://schemas.microsoft.com/office/2006/metadata/properties" ma:root="true" ma:fieldsID="d4b3e96af636654b9533073474238ce3" ns2:_="">
    <xsd:import namespace="dfa2d9f5-199c-4212-8ee5-c011be210f4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lcf76f155ced4ddcb4097134ff3c332f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fa2d9f5-199c-4212-8ee5-c011be210f4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16" nillable="true" ma:taxonomy="true" ma:internalName="lcf76f155ced4ddcb4097134ff3c332f" ma:taxonomyFieldName="MediaServiceImageTags" ma:displayName="Image Tags" ma:readOnly="false" ma:fieldId="{5cf76f15-5ced-4ddc-b409-7134ff3c332f}" ma:taxonomyMulti="true" ma:sspId="1c775f1b-94bf-41d1-bd5b-4e74f3913fab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dfa2d9f5-199c-4212-8ee5-c011be210f49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BE3191D1-73FF-4164-B8CA-DBF856C2A4B6}"/>
</file>

<file path=customXml/itemProps2.xml><?xml version="1.0" encoding="utf-8"?>
<ds:datastoreItem xmlns:ds="http://schemas.openxmlformats.org/officeDocument/2006/customXml" ds:itemID="{30E733A9-103D-4983-9BBE-09315F9B5DCD}">
  <ds:schemaRefs>
    <ds:schemaRef ds:uri="http://schemas.microsoft.com/office/2006/metadata/properties"/>
    <ds:schemaRef ds:uri="http://schemas.microsoft.com/office/infopath/2007/PartnerControls"/>
    <ds:schemaRef ds:uri="dfa2d9f5-199c-4212-8ee5-c011be210f49"/>
  </ds:schemaRefs>
</ds:datastoreItem>
</file>

<file path=customXml/itemProps3.xml><?xml version="1.0" encoding="utf-8"?>
<ds:datastoreItem xmlns:ds="http://schemas.openxmlformats.org/officeDocument/2006/customXml" ds:itemID="{BDB686E8-9F20-4689-8E0F-9A00CC212E05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Rosemary Nyawira</dc:creator>
  <cp:lastModifiedBy>Rosemary Nyawira</cp:lastModifiedBy>
  <dcterms:created xsi:type="dcterms:W3CDTF">2025-09-23T13:21:50Z</dcterms:created>
  <dcterms:modified xsi:type="dcterms:W3CDTF">2025-09-26T09:41:12Z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0x010100FC098080B38DD147A7B7AA467507026F</vt:lpwstr>
  </property>
  <property fmtid="{D5CDD505-2E9C-101B-9397-08002B2CF9AE}" pid="3" name="MediaServiceImageTags">
    <vt:lpwstr/>
  </property>
</Properties>
</file>