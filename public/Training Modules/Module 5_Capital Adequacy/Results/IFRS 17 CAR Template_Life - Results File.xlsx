
<file path=[Content_Types].xml><?xml version="1.0" encoding="utf-8"?>
<Types xmlns="http://schemas.openxmlformats.org/package/2006/content-types">
  <Default Extension="emf" ContentType="image/x-emf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ink/ink1.xml" ContentType="application/inkml+xml"/>
  <Override PartName="/xl/ink/ink2.xml" ContentType="application/inkml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https://kenbright.sharepoint.com/sites/KENBRIGHTAI317-Automation/Shared Documents/Automation/New Joiners Training Module/Training Modules/Module 5_Capital Adequacy/Results/"/>
    </mc:Choice>
  </mc:AlternateContent>
  <xr:revisionPtr revIDLastSave="576" documentId="13_ncr:1_{138B5414-CB65-446E-9EA7-EC090660D1C4}" xr6:coauthVersionLast="47" xr6:coauthVersionMax="47" xr10:uidLastSave="{BE05B862-AE92-4A35-97F6-14CED586F07F}"/>
  <bookViews>
    <workbookView minimized="1" xWindow="12891" yWindow="8931" windowWidth="13895" windowHeight="7218" tabRatio="863" activeTab="8" xr2:uid="{4A4877B6-DD8A-4109-9DCD-F24390686311}"/>
  </bookViews>
  <sheets>
    <sheet name="41-1A" sheetId="9" r:id="rId1"/>
    <sheet name="41-1B" sheetId="13" r:id="rId2"/>
    <sheet name="41-1C" sheetId="14" r:id="rId3"/>
    <sheet name="41-1D" sheetId="15" r:id="rId4"/>
    <sheet name="41-1E" sheetId="16" r:id="rId5"/>
    <sheet name="41-1F" sheetId="17" r:id="rId6"/>
    <sheet name="41-1" sheetId="1" r:id="rId7"/>
    <sheet name="Balance Sheet" sheetId="18" r:id="rId8"/>
    <sheet name="Calculations " sheetId="19" r:id="rId9"/>
  </sheets>
  <definedNames>
    <definedName name="anscount" hidden="1">6</definedName>
    <definedName name="limcount" hidden="1">2</definedName>
    <definedName name="sencount" hidden="1">2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41" i="15" l="1"/>
  <c r="D33" i="9"/>
  <c r="L43" i="13" l="1"/>
  <c r="K43" i="13"/>
  <c r="J43" i="13"/>
  <c r="I43" i="13"/>
  <c r="H43" i="13"/>
  <c r="G43" i="13"/>
  <c r="L42" i="13"/>
  <c r="K42" i="13"/>
  <c r="J42" i="13"/>
  <c r="I42" i="13"/>
  <c r="H42" i="13"/>
  <c r="G42" i="13"/>
  <c r="L41" i="13"/>
  <c r="K41" i="13"/>
  <c r="J41" i="13"/>
  <c r="I41" i="13"/>
  <c r="H41" i="13"/>
  <c r="G41" i="13"/>
  <c r="L40" i="13"/>
  <c r="K40" i="13"/>
  <c r="J40" i="13"/>
  <c r="I40" i="13"/>
  <c r="H40" i="13"/>
  <c r="G40" i="13"/>
  <c r="L38" i="13"/>
  <c r="K38" i="13"/>
  <c r="J38" i="13"/>
  <c r="I38" i="13"/>
  <c r="H38" i="13"/>
  <c r="G38" i="13"/>
  <c r="L37" i="13"/>
  <c r="K37" i="13"/>
  <c r="J37" i="13"/>
  <c r="I37" i="13"/>
  <c r="H37" i="13"/>
  <c r="G37" i="13"/>
  <c r="L36" i="13"/>
  <c r="K36" i="13"/>
  <c r="J36" i="13"/>
  <c r="I36" i="13"/>
  <c r="H36" i="13"/>
  <c r="G36" i="13"/>
  <c r="L34" i="13"/>
  <c r="K34" i="13"/>
  <c r="J34" i="13"/>
  <c r="I34" i="13"/>
  <c r="H34" i="13"/>
  <c r="G34" i="13"/>
  <c r="L33" i="13"/>
  <c r="K33" i="13"/>
  <c r="J33" i="13"/>
  <c r="I33" i="13"/>
  <c r="H33" i="13"/>
  <c r="G33" i="13"/>
  <c r="L32" i="13"/>
  <c r="K32" i="13"/>
  <c r="J32" i="13"/>
  <c r="I32" i="13"/>
  <c r="H32" i="13"/>
  <c r="G32" i="13"/>
  <c r="L31" i="13"/>
  <c r="K31" i="13"/>
  <c r="J31" i="13"/>
  <c r="I31" i="13"/>
  <c r="H31" i="13"/>
  <c r="G31" i="13"/>
  <c r="L30" i="13"/>
  <c r="K30" i="13"/>
  <c r="J30" i="13"/>
  <c r="I30" i="13"/>
  <c r="H30" i="13"/>
  <c r="G30" i="13"/>
  <c r="L25" i="13"/>
  <c r="K25" i="13"/>
  <c r="J25" i="13"/>
  <c r="I25" i="13"/>
  <c r="H25" i="13"/>
  <c r="G25" i="13"/>
  <c r="L24" i="13"/>
  <c r="K24" i="13"/>
  <c r="J24" i="13"/>
  <c r="I24" i="13"/>
  <c r="H24" i="13"/>
  <c r="G24" i="13"/>
  <c r="L23" i="13"/>
  <c r="K23" i="13"/>
  <c r="J23" i="13"/>
  <c r="I23" i="13"/>
  <c r="H23" i="13"/>
  <c r="G23" i="13"/>
  <c r="L22" i="13"/>
  <c r="K22" i="13"/>
  <c r="J22" i="13"/>
  <c r="I22" i="13"/>
  <c r="H22" i="13"/>
  <c r="G22" i="13"/>
  <c r="L20" i="13"/>
  <c r="K20" i="13"/>
  <c r="J20" i="13"/>
  <c r="I20" i="13"/>
  <c r="H20" i="13"/>
  <c r="G20" i="13"/>
  <c r="L19" i="13"/>
  <c r="K19" i="13"/>
  <c r="J19" i="13"/>
  <c r="I19" i="13"/>
  <c r="H19" i="13"/>
  <c r="G19" i="13"/>
  <c r="L18" i="13"/>
  <c r="K18" i="13"/>
  <c r="J18" i="13"/>
  <c r="I18" i="13"/>
  <c r="H18" i="13"/>
  <c r="G18" i="13"/>
  <c r="L16" i="13"/>
  <c r="K16" i="13"/>
  <c r="J16" i="13"/>
  <c r="I16" i="13"/>
  <c r="H16" i="13"/>
  <c r="G16" i="13"/>
  <c r="L15" i="13"/>
  <c r="K15" i="13"/>
  <c r="J15" i="13"/>
  <c r="I15" i="13"/>
  <c r="H15" i="13"/>
  <c r="G15" i="13"/>
  <c r="L14" i="13"/>
  <c r="K14" i="13"/>
  <c r="J14" i="13"/>
  <c r="I14" i="13"/>
  <c r="H14" i="13"/>
  <c r="G14" i="13"/>
  <c r="L13" i="13"/>
  <c r="K13" i="13"/>
  <c r="J13" i="13"/>
  <c r="I13" i="13"/>
  <c r="H13" i="13"/>
  <c r="G13" i="13"/>
  <c r="K12" i="13"/>
  <c r="J12" i="13"/>
  <c r="I12" i="13"/>
  <c r="H12" i="13"/>
  <c r="G12" i="13"/>
  <c r="L12" i="13"/>
  <c r="D41" i="13"/>
  <c r="E41" i="13"/>
  <c r="D42" i="13"/>
  <c r="E42" i="13"/>
  <c r="D43" i="13"/>
  <c r="E43" i="13"/>
  <c r="D37" i="13"/>
  <c r="E37" i="13"/>
  <c r="D38" i="13"/>
  <c r="E38" i="13"/>
  <c r="D31" i="13"/>
  <c r="E31" i="13"/>
  <c r="D32" i="13"/>
  <c r="E32" i="13"/>
  <c r="D33" i="13"/>
  <c r="E33" i="13"/>
  <c r="D34" i="13"/>
  <c r="E34" i="13"/>
  <c r="E40" i="13"/>
  <c r="F40" i="13" s="1"/>
  <c r="D40" i="13"/>
  <c r="E36" i="13"/>
  <c r="D36" i="13"/>
  <c r="E30" i="13"/>
  <c r="D30" i="13"/>
  <c r="R46" i="19"/>
  <c r="Q46" i="19"/>
  <c r="D19" i="13"/>
  <c r="E19" i="13"/>
  <c r="D20" i="13"/>
  <c r="E20" i="13"/>
  <c r="E18" i="13"/>
  <c r="D18" i="13"/>
  <c r="D13" i="13"/>
  <c r="E13" i="13"/>
  <c r="D14" i="13"/>
  <c r="E14" i="13"/>
  <c r="D15" i="13"/>
  <c r="E15" i="13"/>
  <c r="D16" i="13"/>
  <c r="F16" i="13" s="1"/>
  <c r="E16" i="13"/>
  <c r="E12" i="13"/>
  <c r="D12" i="13"/>
  <c r="D23" i="13"/>
  <c r="E23" i="13"/>
  <c r="D24" i="13"/>
  <c r="E24" i="13"/>
  <c r="F24" i="13" s="1"/>
  <c r="D25" i="13"/>
  <c r="F25" i="13" s="1"/>
  <c r="E25" i="13"/>
  <c r="E22" i="13"/>
  <c r="D22" i="13"/>
  <c r="M46" i="19"/>
  <c r="L46" i="19"/>
  <c r="M29" i="19"/>
  <c r="L29" i="19"/>
  <c r="L2" i="19" s="1"/>
  <c r="F23" i="13"/>
  <c r="F14" i="13"/>
  <c r="F15" i="13"/>
  <c r="F43" i="13"/>
  <c r="F42" i="13"/>
  <c r="F41" i="13"/>
  <c r="F38" i="13"/>
  <c r="F37" i="13"/>
  <c r="F34" i="13"/>
  <c r="F33" i="13"/>
  <c r="F32" i="13"/>
  <c r="F31" i="13"/>
  <c r="F30" i="13"/>
  <c r="F20" i="13"/>
  <c r="F19" i="13"/>
  <c r="F13" i="13"/>
  <c r="L16" i="19"/>
  <c r="Q9" i="19"/>
  <c r="P9" i="19"/>
  <c r="L9" i="19"/>
  <c r="D30" i="19"/>
  <c r="D32" i="19" s="1"/>
  <c r="F16" i="19"/>
  <c r="F15" i="19"/>
  <c r="F14" i="19"/>
  <c r="D7" i="19"/>
  <c r="D5" i="19"/>
  <c r="E51" i="13"/>
  <c r="F51" i="13"/>
  <c r="F50" i="13"/>
  <c r="E50" i="13"/>
  <c r="K51" i="13"/>
  <c r="K50" i="13"/>
  <c r="E58" i="13"/>
  <c r="E57" i="13"/>
  <c r="D38" i="15"/>
  <c r="F36" i="13" l="1"/>
  <c r="F18" i="13"/>
  <c r="F12" i="13"/>
  <c r="D26" i="13"/>
  <c r="F22" i="13"/>
  <c r="F26" i="13" s="1"/>
  <c r="D28" i="15" l="1"/>
  <c r="D27" i="15"/>
  <c r="D35" i="15"/>
  <c r="D19" i="15"/>
  <c r="D18" i="15"/>
  <c r="D10" i="15"/>
  <c r="D14" i="15"/>
  <c r="D19" i="14"/>
  <c r="D31" i="9"/>
  <c r="D10" i="14"/>
  <c r="D29" i="9" l="1"/>
  <c r="D34" i="9"/>
  <c r="D21" i="9" l="1"/>
  <c r="D13" i="9"/>
  <c r="D12" i="9"/>
  <c r="D10" i="9"/>
  <c r="D11" i="18"/>
  <c r="D44" i="18"/>
  <c r="D34" i="18"/>
  <c r="D14" i="9" l="1"/>
  <c r="D12" i="19"/>
  <c r="D8" i="19"/>
  <c r="D9" i="19" s="1"/>
  <c r="D46" i="18"/>
  <c r="D50" i="18" s="1"/>
  <c r="D28" i="9"/>
  <c r="E16" i="19" l="1"/>
  <c r="E15" i="19"/>
  <c r="G15" i="19" s="1"/>
  <c r="E14" i="19"/>
  <c r="G14" i="19" s="1"/>
  <c r="G17" i="19" l="1"/>
  <c r="E31" i="19"/>
  <c r="F31" i="19" s="1"/>
  <c r="E27" i="19"/>
  <c r="F27" i="19" s="1"/>
  <c r="E26" i="19"/>
  <c r="F26" i="19" s="1"/>
  <c r="E30" i="19"/>
  <c r="F30" i="19" s="1"/>
  <c r="E29" i="19"/>
  <c r="F29" i="19" s="1"/>
  <c r="E28" i="19"/>
  <c r="F28" i="19" s="1"/>
  <c r="E25" i="19"/>
  <c r="F25" i="19" s="1"/>
  <c r="E24" i="19"/>
  <c r="F24" i="19" s="1"/>
  <c r="E23" i="19"/>
  <c r="F23" i="19" s="1"/>
  <c r="F32" i="19" l="1"/>
  <c r="D32" i="9"/>
  <c r="C5" i="14" l="1"/>
  <c r="C5" i="13"/>
  <c r="C5" i="15"/>
  <c r="C5" i="16"/>
  <c r="C5" i="17"/>
  <c r="C5" i="1"/>
  <c r="C4" i="1"/>
  <c r="C4" i="17"/>
  <c r="C4" i="16"/>
  <c r="C4" i="15"/>
  <c r="C4" i="13"/>
  <c r="C4" i="14"/>
  <c r="D25" i="9"/>
  <c r="L51" i="13" l="1"/>
  <c r="L50" i="13"/>
  <c r="F57" i="13"/>
  <c r="F58" i="13"/>
  <c r="F38" i="15"/>
  <c r="F35" i="15"/>
  <c r="F25" i="15"/>
  <c r="F19" i="15"/>
  <c r="F18" i="15"/>
  <c r="F10" i="15"/>
  <c r="F19" i="14"/>
  <c r="D15" i="14"/>
  <c r="D15" i="16"/>
  <c r="F43" i="15"/>
  <c r="F42" i="15"/>
  <c r="F34" i="15"/>
  <c r="F33" i="15"/>
  <c r="F32" i="15"/>
  <c r="F31" i="15"/>
  <c r="F28" i="15"/>
  <c r="F27" i="15"/>
  <c r="F26" i="15"/>
  <c r="F24" i="15"/>
  <c r="F23" i="15"/>
  <c r="F22" i="15"/>
  <c r="F14" i="15"/>
  <c r="F13" i="15"/>
  <c r="F12" i="15"/>
  <c r="F11" i="15"/>
  <c r="G60" i="14"/>
  <c r="F60" i="14"/>
  <c r="G61" i="14" s="1"/>
  <c r="G63" i="14" s="1"/>
  <c r="F28" i="14"/>
  <c r="F27" i="14"/>
  <c r="F26" i="14"/>
  <c r="F29" i="14" s="1"/>
  <c r="F20" i="14"/>
  <c r="F13" i="14"/>
  <c r="F12" i="14"/>
  <c r="F11" i="14"/>
  <c r="L44" i="13"/>
  <c r="K44" i="13"/>
  <c r="J44" i="13"/>
  <c r="I44" i="13"/>
  <c r="H44" i="13"/>
  <c r="G44" i="13"/>
  <c r="F44" i="13"/>
  <c r="E44" i="13"/>
  <c r="D44" i="13"/>
  <c r="M43" i="13"/>
  <c r="M42" i="13"/>
  <c r="M41" i="13"/>
  <c r="M40" i="13"/>
  <c r="M38" i="13"/>
  <c r="M37" i="13"/>
  <c r="M36" i="13"/>
  <c r="M34" i="13"/>
  <c r="M33" i="13"/>
  <c r="M32" i="13"/>
  <c r="M31" i="13"/>
  <c r="M30" i="13"/>
  <c r="L26" i="13"/>
  <c r="K26" i="13"/>
  <c r="J26" i="13"/>
  <c r="I26" i="13"/>
  <c r="H26" i="13"/>
  <c r="G26" i="13"/>
  <c r="E26" i="13"/>
  <c r="M25" i="13"/>
  <c r="M24" i="13"/>
  <c r="M23" i="13"/>
  <c r="M22" i="13"/>
  <c r="M20" i="13"/>
  <c r="M19" i="13"/>
  <c r="M18" i="13"/>
  <c r="M16" i="13"/>
  <c r="M15" i="13"/>
  <c r="M14" i="13"/>
  <c r="M13" i="13"/>
  <c r="M12" i="13"/>
  <c r="C30" i="9"/>
  <c r="C31" i="9" s="1"/>
  <c r="C32" i="9" s="1"/>
  <c r="C33" i="9" s="1"/>
  <c r="C34" i="9" s="1"/>
  <c r="C35" i="9" s="1"/>
  <c r="C37" i="9" s="1"/>
  <c r="C29" i="9"/>
  <c r="M44" i="13" l="1"/>
  <c r="M26" i="13"/>
  <c r="D10" i="1"/>
  <c r="F52" i="13"/>
  <c r="E59" i="13"/>
  <c r="K52" i="13"/>
  <c r="G51" i="13"/>
  <c r="H51" i="13" s="1"/>
  <c r="D11" i="1"/>
  <c r="E52" i="13"/>
  <c r="G50" i="13"/>
  <c r="H50" i="13" s="1"/>
  <c r="L52" i="13"/>
  <c r="F59" i="13"/>
  <c r="D21" i="14"/>
  <c r="F14" i="14"/>
  <c r="F18" i="14"/>
  <c r="F21" i="14" s="1"/>
  <c r="F10" i="14"/>
  <c r="F15" i="14" s="1"/>
  <c r="H52" i="13" l="1"/>
  <c r="G61" i="13" s="1"/>
  <c r="G52" i="13"/>
  <c r="D16" i="1" s="1"/>
  <c r="F41" i="15"/>
  <c r="F45" i="15" s="1"/>
  <c r="F68" i="14"/>
  <c r="D11" i="17" l="1"/>
  <c r="D11" i="16"/>
  <c r="D12" i="16"/>
  <c r="D10" i="16"/>
  <c r="D12" i="17"/>
  <c r="D10" i="17"/>
  <c r="D14" i="16" l="1"/>
  <c r="D19" i="16" s="1"/>
  <c r="D35" i="9"/>
  <c r="D37" i="9" s="1"/>
  <c r="D12" i="1" l="1"/>
  <c r="D13" i="1" s="1"/>
  <c r="D15" i="1" s="1"/>
  <c r="D13" i="17"/>
  <c r="D15" i="17" s="1"/>
  <c r="D17" i="1" l="1"/>
  <c r="D18" i="1" s="1"/>
  <c r="D20" i="1" s="1"/>
</calcChain>
</file>

<file path=xl/sharedStrings.xml><?xml version="1.0" encoding="utf-8"?>
<sst xmlns="http://schemas.openxmlformats.org/spreadsheetml/2006/main" count="428" uniqueCount="282">
  <si>
    <t>FORM No. INS 41-1A</t>
  </si>
  <si>
    <t>Total Capital Available</t>
  </si>
  <si>
    <t xml:space="preserve">Company: </t>
  </si>
  <si>
    <t xml:space="preserve">Reporting Period: </t>
  </si>
  <si>
    <t>Line</t>
  </si>
  <si>
    <t>Life Business</t>
  </si>
  <si>
    <t>All amounts in KES</t>
  </si>
  <si>
    <t>[B]</t>
  </si>
  <si>
    <t>Tier-1 Capital</t>
  </si>
  <si>
    <t>Fully paid-up ordinary shares</t>
  </si>
  <si>
    <t>Share Premiums</t>
  </si>
  <si>
    <t xml:space="preserve">Statutory Reserves </t>
  </si>
  <si>
    <t xml:space="preserve">Retained profits/(accumulated losses) </t>
  </si>
  <si>
    <t>Total Amount</t>
  </si>
  <si>
    <t>Tier-2 Capital</t>
  </si>
  <si>
    <t>Irredeemable preference shares</t>
  </si>
  <si>
    <t>Capital loan stocks or similar instruments</t>
  </si>
  <si>
    <t>Subordinated loans</t>
  </si>
  <si>
    <t>Convertible preference shares</t>
  </si>
  <si>
    <t>Revaluation reserves</t>
  </si>
  <si>
    <t>Fair value reserves for financial  reserves measured at FVOCI</t>
  </si>
  <si>
    <t>Proposed dividends</t>
  </si>
  <si>
    <t>Other reserves</t>
  </si>
  <si>
    <t>Deductions</t>
  </si>
  <si>
    <t xml:space="preserve">Goodwill &amp; other intangible assets </t>
  </si>
  <si>
    <t>Deferred tax assets</t>
  </si>
  <si>
    <t>Assets pledged to support credit facilities obtained by an insurer</t>
  </si>
  <si>
    <r>
      <t xml:space="preserve">Other Fixed Assets </t>
    </r>
    <r>
      <rPr>
        <vertAlign val="superscript"/>
        <sz val="10"/>
        <rFont val="Bookman Old Style"/>
        <family val="1"/>
      </rPr>
      <t>1</t>
    </r>
  </si>
  <si>
    <t>Assets with over concentration limits</t>
  </si>
  <si>
    <t>Under-reserving</t>
  </si>
  <si>
    <t>Other deductions</t>
  </si>
  <si>
    <r>
      <rPr>
        <vertAlign val="superscript"/>
        <sz val="11"/>
        <color theme="1"/>
        <rFont val="Bookman Old Style"/>
        <family val="1"/>
      </rPr>
      <t>1</t>
    </r>
    <r>
      <rPr>
        <sz val="11"/>
        <color theme="1"/>
        <rFont val="Bookman Old Style"/>
        <family val="1"/>
      </rPr>
      <t xml:space="preserve"> Includes Computer equipments, Office Equipments , Motor Vehicles and Furniture and Fittings.</t>
    </r>
  </si>
  <si>
    <t xml:space="preserve"> </t>
  </si>
  <si>
    <t>FORM No. INS 41-1B</t>
  </si>
  <si>
    <t>Life Insurance Risk Charge (Gross less reinsurance)</t>
  </si>
  <si>
    <t>Class of Business</t>
  </si>
  <si>
    <t>Liability for Remaining Coverage</t>
  </si>
  <si>
    <t>Life Insurance Risk Capital Charge</t>
  </si>
  <si>
    <t>Total Life Insurance Risk Capital Charge</t>
  </si>
  <si>
    <t>Best Estimate Liability (Gross BEL minus Reinsurance BEL)</t>
  </si>
  <si>
    <t xml:space="preserve">Risk Adjustment </t>
  </si>
  <si>
    <t>Total LRC</t>
  </si>
  <si>
    <t>Mortality</t>
  </si>
  <si>
    <t>Longevity</t>
  </si>
  <si>
    <t>Morbidity/Disability</t>
  </si>
  <si>
    <t>Expenses</t>
  </si>
  <si>
    <t>Lapses</t>
  </si>
  <si>
    <t>Catastrophe</t>
  </si>
  <si>
    <t>[C]</t>
  </si>
  <si>
    <t>[D]</t>
  </si>
  <si>
    <t>[E]</t>
  </si>
  <si>
    <t>[F]</t>
  </si>
  <si>
    <t>[G]</t>
  </si>
  <si>
    <t>[H]</t>
  </si>
  <si>
    <t>[I]</t>
  </si>
  <si>
    <t>[J]</t>
  </si>
  <si>
    <t>[K]</t>
  </si>
  <si>
    <t>Participating Business</t>
  </si>
  <si>
    <t>Ordinary Individual Life</t>
  </si>
  <si>
    <t>Whole Life</t>
  </si>
  <si>
    <t>Endowment</t>
  </si>
  <si>
    <t xml:space="preserve">Term </t>
  </si>
  <si>
    <t>Riders</t>
  </si>
  <si>
    <t>Other Provisions</t>
  </si>
  <si>
    <t>Annuities Individual Life</t>
  </si>
  <si>
    <t>Immediate annuities</t>
  </si>
  <si>
    <t>Deferred annuities</t>
  </si>
  <si>
    <t>Investment Linked Individual Life</t>
  </si>
  <si>
    <t>Total</t>
  </si>
  <si>
    <t>Non Participating Business</t>
  </si>
  <si>
    <t>Liability for Incurred Claims</t>
  </si>
  <si>
    <t>Risk Charge</t>
  </si>
  <si>
    <t>Best Estimate Liability</t>
  </si>
  <si>
    <t>Risk Adjustment</t>
  </si>
  <si>
    <t>Capital Charge</t>
  </si>
  <si>
    <t>LRC</t>
  </si>
  <si>
    <t>[A]</t>
  </si>
  <si>
    <t>[E]=A*D</t>
  </si>
  <si>
    <t>[G]=E*F</t>
  </si>
  <si>
    <t>Short Term Life Insurance Business</t>
  </si>
  <si>
    <t>Group Life</t>
  </si>
  <si>
    <t>Group Credit</t>
  </si>
  <si>
    <t>Fund Amount</t>
  </si>
  <si>
    <t>RC</t>
  </si>
  <si>
    <t>Retirement Savings Business</t>
  </si>
  <si>
    <t>Pension Savings Plans</t>
  </si>
  <si>
    <t>Deposit Administration</t>
  </si>
  <si>
    <t>Insurance Risk Charge</t>
  </si>
  <si>
    <t>FORM No. INS 41-1C</t>
  </si>
  <si>
    <t>Market Risk Charge</t>
  </si>
  <si>
    <t>Total exposure</t>
  </si>
  <si>
    <t>Risk charge</t>
  </si>
  <si>
    <t xml:space="preserve">Capital charge </t>
  </si>
  <si>
    <t>Equity Risk</t>
  </si>
  <si>
    <t xml:space="preserve">Listed Ordinary Shares on the NSE </t>
  </si>
  <si>
    <t xml:space="preserve">Listed Ordinary Shares on other recognized stock exchanges </t>
  </si>
  <si>
    <t xml:space="preserve">Listed Preference Shares on the NSE </t>
  </si>
  <si>
    <t xml:space="preserve">Listed Preference Shares on other recognized stock exchanges </t>
  </si>
  <si>
    <t>Unlisted Shares and/or private equity (including venture capital)</t>
  </si>
  <si>
    <t>XX</t>
  </si>
  <si>
    <t>Property Risks</t>
  </si>
  <si>
    <t>Land and Self-occupied properties</t>
  </si>
  <si>
    <t>Investment property and property-related investments</t>
  </si>
  <si>
    <t>Real Estate Investment Trusts(REITS)</t>
  </si>
  <si>
    <t>Interest Rate Risk</t>
  </si>
  <si>
    <t>General Insurance Fund</t>
  </si>
  <si>
    <t>Scenario</t>
  </si>
  <si>
    <r>
      <t>Asset Value</t>
    </r>
    <r>
      <rPr>
        <b/>
        <vertAlign val="superscript"/>
        <sz val="10"/>
        <rFont val="Bookman Old Style"/>
        <family val="1"/>
      </rPr>
      <t xml:space="preserve"> 1</t>
    </r>
  </si>
  <si>
    <r>
      <t xml:space="preserve">Liability Value </t>
    </r>
    <r>
      <rPr>
        <b/>
        <vertAlign val="superscript"/>
        <sz val="10"/>
        <rFont val="Bookman Old Style"/>
        <family val="1"/>
      </rPr>
      <t>2</t>
    </r>
  </si>
  <si>
    <t>Surplus</t>
  </si>
  <si>
    <r>
      <t>Base Interest Rate</t>
    </r>
    <r>
      <rPr>
        <vertAlign val="superscript"/>
        <sz val="10"/>
        <rFont val="Bookman Old Style"/>
        <family val="1"/>
      </rPr>
      <t>3</t>
    </r>
  </si>
  <si>
    <t xml:space="preserve">Increasing interest rate </t>
  </si>
  <si>
    <t>Decreasing interest rate</t>
  </si>
  <si>
    <t>Interest Rate Risk Charge</t>
  </si>
  <si>
    <t>Note:</t>
  </si>
  <si>
    <t>1 Refers to interest rate related securities held by the insurer</t>
  </si>
  <si>
    <t>2 The base liability is the value derived based on the valuation basis which includes the provision of risk margin for adverse deviation as prescribed and discounted at the risk-free rate</t>
  </si>
  <si>
    <t>3 The amount of capital charges for each fund is the higher of zero or the reduction in surplus based on the dominant scenario at the company level</t>
  </si>
  <si>
    <t>Currency Risk</t>
  </si>
  <si>
    <t>Types of currency</t>
  </si>
  <si>
    <r>
      <t xml:space="preserve">Net On Balance Sheet Position </t>
    </r>
    <r>
      <rPr>
        <vertAlign val="superscript"/>
        <sz val="10"/>
        <rFont val="Bookman Old Style"/>
        <family val="1"/>
      </rPr>
      <t>1/</t>
    </r>
  </si>
  <si>
    <r>
      <t xml:space="preserve">Net Forward Position </t>
    </r>
    <r>
      <rPr>
        <vertAlign val="superscript"/>
        <sz val="10"/>
        <rFont val="Bookman Old Style"/>
        <family val="1"/>
      </rPr>
      <t>2/</t>
    </r>
  </si>
  <si>
    <t>Net Long Position</t>
  </si>
  <si>
    <t>Net Short Position</t>
  </si>
  <si>
    <t>Total Position</t>
  </si>
  <si>
    <t>Exposure</t>
  </si>
  <si>
    <t>Currency risk charge</t>
  </si>
  <si>
    <t>1 - equivalent value of all foreign currency assets less all foreign currency liabilities in a particular foreign currency.</t>
  </si>
  <si>
    <t>2 - equivalent value of all amounts to be received less the value of all amounts to be paid under unsettled spot transactions, forward foreign exchange transactions,</t>
  </si>
  <si>
    <t xml:space="preserve"> including currency futures, the principal on currency swaps position and interest rate transactions such as futures, swaps etc. denominated in a foreign currency. </t>
  </si>
  <si>
    <r>
      <t>Market Risk Charge</t>
    </r>
    <r>
      <rPr>
        <b/>
        <vertAlign val="superscript"/>
        <sz val="10"/>
        <rFont val="Bookman Old Style"/>
        <family val="1"/>
      </rPr>
      <t>3</t>
    </r>
  </si>
  <si>
    <t>Notes</t>
  </si>
  <si>
    <r>
      <t xml:space="preserve">3 </t>
    </r>
    <r>
      <rPr>
        <sz val="10"/>
        <color theme="1"/>
        <rFont val="Bookman Old Style"/>
        <family val="1"/>
      </rPr>
      <t>Square root of the sum of squares of the capital required for Equity Risk,Property Risks,Interest Rate Risk plus Currency Risk</t>
    </r>
  </si>
  <si>
    <t>FORM No. INS 41-1D</t>
  </si>
  <si>
    <t>Credit Risk Charge</t>
  </si>
  <si>
    <t>Securities</t>
  </si>
  <si>
    <t>Kenyan Government Bonds</t>
  </si>
  <si>
    <t>Kenyan Government Treasury Bills</t>
  </si>
  <si>
    <t>Foreign Government Bonds</t>
  </si>
  <si>
    <t>County Government Bonds</t>
  </si>
  <si>
    <t>Corporations and other organisations bonds</t>
  </si>
  <si>
    <t>Term Deposits and Cash</t>
  </si>
  <si>
    <t>Term Deposits</t>
  </si>
  <si>
    <t>Cash and Cash Balances</t>
  </si>
  <si>
    <t>Debt Obligations</t>
  </si>
  <si>
    <t>Policy loans</t>
  </si>
  <si>
    <t xml:space="preserve">Secured Loans- Corporations and other organisations </t>
  </si>
  <si>
    <t>Secured Loans-Staff and Individuals</t>
  </si>
  <si>
    <t>Investment in Subsidiaries,Associates and Joint Ventures</t>
  </si>
  <si>
    <t>Reinsurers</t>
  </si>
  <si>
    <t>Recoveries</t>
  </si>
  <si>
    <t>Mortgages</t>
  </si>
  <si>
    <t>Africa Re</t>
  </si>
  <si>
    <t>Unsecured Loans</t>
  </si>
  <si>
    <t>Munich Re</t>
  </si>
  <si>
    <t>Secured Loans to related parties</t>
  </si>
  <si>
    <t>Swiss Re/Sirius Intl</t>
  </si>
  <si>
    <t>Credit exposures to (re)insurers with the following rating categories:</t>
  </si>
  <si>
    <t>Trust Intl</t>
  </si>
  <si>
    <t>Category 1 - Reinsurers with rated above A-</t>
  </si>
  <si>
    <t>Scor Re</t>
  </si>
  <si>
    <t>Category 2 - Reinsurers with rated above BBB</t>
  </si>
  <si>
    <t>Santam Re</t>
  </si>
  <si>
    <t>Category 3 - Reinsurers with rated below BBB</t>
  </si>
  <si>
    <t>Oddssey Re</t>
  </si>
  <si>
    <t>Category 4 - Reinsurers Unrated</t>
  </si>
  <si>
    <t>Zep - Re/PTA</t>
  </si>
  <si>
    <t xml:space="preserve">Category 5 - Reinsurers licenced under the Insurance Act </t>
  </si>
  <si>
    <t>Namib Re/GIC Re/BMIC/MISR Re/Tunis Re/Ethiopia Re/Kuwait Re</t>
  </si>
  <si>
    <t>Kenya Re</t>
  </si>
  <si>
    <t>Other Assets</t>
  </si>
  <si>
    <t>Premium Receivables</t>
  </si>
  <si>
    <t>Assets under management</t>
  </si>
  <si>
    <t>Below BBB</t>
  </si>
  <si>
    <t>Assets under deposit administration</t>
  </si>
  <si>
    <t xml:space="preserve">Unrated </t>
  </si>
  <si>
    <t>Assets under group/umbrella pension savings plans</t>
  </si>
  <si>
    <t>Assets under unit linked</t>
  </si>
  <si>
    <t>FORM No. INS 41-1E</t>
  </si>
  <si>
    <t>Operational Risk Charge</t>
  </si>
  <si>
    <t xml:space="preserve">Risk </t>
  </si>
  <si>
    <t>Credit risk capital charges</t>
  </si>
  <si>
    <t>Market risk capital charges</t>
  </si>
  <si>
    <t>Insurance risk capital charges</t>
  </si>
  <si>
    <r>
      <t>Basic Operational Risk Charge</t>
    </r>
    <r>
      <rPr>
        <vertAlign val="superscript"/>
        <sz val="10"/>
        <rFont val="Bookman Old Style"/>
        <family val="1"/>
      </rPr>
      <t>1</t>
    </r>
  </si>
  <si>
    <r>
      <t>Basic Operational Risk Charge</t>
    </r>
    <r>
      <rPr>
        <vertAlign val="superscript"/>
        <sz val="10"/>
        <rFont val="Bookman Old Style"/>
        <family val="1"/>
      </rPr>
      <t>2</t>
    </r>
    <r>
      <rPr>
        <sz val="11"/>
        <color theme="1"/>
        <rFont val="Aptos Narrow"/>
        <family val="2"/>
        <scheme val="minor"/>
      </rPr>
      <t/>
    </r>
  </si>
  <si>
    <t>Prior Year Gross Earned Premium</t>
  </si>
  <si>
    <t>Prior Year Net Earned Premium</t>
  </si>
  <si>
    <r>
      <t xml:space="preserve">1 </t>
    </r>
    <r>
      <rPr>
        <sz val="10"/>
        <color theme="1"/>
        <rFont val="Bookman Old Style"/>
        <family val="1"/>
      </rPr>
      <t xml:space="preserve">30% of the square root of the sum of squares of the capital required for </t>
    </r>
  </si>
  <si>
    <t>Insurance, Market and Credit risk</t>
  </si>
  <si>
    <t>FORM No. INS 41-1F</t>
  </si>
  <si>
    <t>Capital Required</t>
  </si>
  <si>
    <t>Operational risk capital charges</t>
  </si>
  <si>
    <r>
      <t>Risk Based Capital</t>
    </r>
    <r>
      <rPr>
        <b/>
        <vertAlign val="superscript"/>
        <sz val="10"/>
        <rFont val="Bookman Old Style"/>
        <family val="1"/>
      </rPr>
      <t>1</t>
    </r>
  </si>
  <si>
    <r>
      <t xml:space="preserve">1 </t>
    </r>
    <r>
      <rPr>
        <sz val="10"/>
        <color theme="1"/>
        <rFont val="Bookman Old Style"/>
        <family val="1"/>
      </rPr>
      <t>Square root of the sum of squares of the capital required for Insurance,</t>
    </r>
  </si>
  <si>
    <t>Market and Credit risk plus the Operational Risk</t>
  </si>
  <si>
    <t>FORM No. INS 41-1</t>
  </si>
  <si>
    <t>Capital Adequacy Ratio</t>
  </si>
  <si>
    <t>Capital</t>
  </si>
  <si>
    <t>Total Capital Available (TCA)</t>
  </si>
  <si>
    <r>
      <t>Absolute Amount Minimum</t>
    </r>
    <r>
      <rPr>
        <vertAlign val="superscript"/>
        <sz val="10"/>
        <rFont val="Bookman Old Style"/>
        <family val="1"/>
      </rPr>
      <t>1</t>
    </r>
  </si>
  <si>
    <r>
      <t>Volume of Business Minimum</t>
    </r>
    <r>
      <rPr>
        <vertAlign val="superscript"/>
        <sz val="10"/>
        <rFont val="Bookman Old Style"/>
        <family val="1"/>
      </rPr>
      <t>2</t>
    </r>
  </si>
  <si>
    <t>Risk Based Capital Minimum</t>
  </si>
  <si>
    <t>Minimum Required Capital</t>
  </si>
  <si>
    <t>STATEMENT OF FINANCIAL POSITION</t>
  </si>
  <si>
    <t>FOR THE PERIOD ENDED 31 December 2025</t>
  </si>
  <si>
    <t>CAPITAL EMPLOYED</t>
  </si>
  <si>
    <t>Share capital</t>
  </si>
  <si>
    <t>Retained earnings</t>
  </si>
  <si>
    <t>Statutory reserve</t>
  </si>
  <si>
    <t>Revaluation reserve</t>
  </si>
  <si>
    <t>Equity</t>
  </si>
  <si>
    <t>REPRESENTED BY:</t>
  </si>
  <si>
    <t>Assets</t>
  </si>
  <si>
    <t>Intangible assets</t>
  </si>
  <si>
    <t>Right of use assets</t>
  </si>
  <si>
    <t>Investment property</t>
  </si>
  <si>
    <t>Reinsurance contract assets</t>
  </si>
  <si>
    <t>Insurance contract assets</t>
  </si>
  <si>
    <t>Other Receivables &amp; Prepayments</t>
  </si>
  <si>
    <t>Due from related party</t>
  </si>
  <si>
    <t>Loans receivables</t>
  </si>
  <si>
    <t xml:space="preserve">Government securities at amortised cost </t>
  </si>
  <si>
    <t>Corporate bonds</t>
  </si>
  <si>
    <t>Quoted equity investments</t>
  </si>
  <si>
    <t>Deposits with financial institutions</t>
  </si>
  <si>
    <t>Cash &amp; cash equivalents</t>
  </si>
  <si>
    <t>Total assets</t>
  </si>
  <si>
    <t>Liabilities</t>
  </si>
  <si>
    <t>Current tax liabilities</t>
  </si>
  <si>
    <t>Lease Liability</t>
  </si>
  <si>
    <t>Insurance contract liabilitiies</t>
  </si>
  <si>
    <t>Investment contract liabilites</t>
  </si>
  <si>
    <t>Other payable</t>
  </si>
  <si>
    <t>Deferred tax liabilities</t>
  </si>
  <si>
    <t>Total liabilities</t>
  </si>
  <si>
    <t>Net assets</t>
  </si>
  <si>
    <t>Balancing</t>
  </si>
  <si>
    <t>YY INSURANCE COMPANY LIMITED</t>
  </si>
  <si>
    <t>Intangible Assets</t>
  </si>
  <si>
    <t>ROU</t>
  </si>
  <si>
    <t>DAC</t>
  </si>
  <si>
    <t>Total Assets</t>
  </si>
  <si>
    <t>5% of Total Assets</t>
  </si>
  <si>
    <t>Goodwill and Intangible Assets</t>
  </si>
  <si>
    <t>Computers and Office equipment</t>
  </si>
  <si>
    <t>Asset Class</t>
  </si>
  <si>
    <t>% of Total Assets</t>
  </si>
  <si>
    <t>Limits</t>
  </si>
  <si>
    <t>Over Conc</t>
  </si>
  <si>
    <t>Property</t>
  </si>
  <si>
    <t>Any one Financial Institution</t>
  </si>
  <si>
    <t>Fixed Deposit Amount</t>
  </si>
  <si>
    <t>Premium Receivables Shared</t>
  </si>
  <si>
    <t>Class</t>
  </si>
  <si>
    <t>Grand Total</t>
  </si>
  <si>
    <t>DA &amp; IPP</t>
  </si>
  <si>
    <t xml:space="preserve">Liability for Remaining Coverage </t>
  </si>
  <si>
    <t xml:space="preserve">Individual Pension Plans </t>
  </si>
  <si>
    <t>BEL</t>
  </si>
  <si>
    <t>RA</t>
  </si>
  <si>
    <t>ORDINARY LIFE ASSURANCES</t>
  </si>
  <si>
    <t>Group Net LRC</t>
  </si>
  <si>
    <t>Group Net  LIC</t>
  </si>
  <si>
    <t>Ordinary Individual Life_With Profit</t>
  </si>
  <si>
    <t>Annuities Individual Life_With Profit</t>
  </si>
  <si>
    <t>Investment Linked Individual Life_With Profit</t>
  </si>
  <si>
    <t>Ordinary Individual Life_Without Profit</t>
  </si>
  <si>
    <t>Annuities Individual Life_Without Profit</t>
  </si>
  <si>
    <t>Investment Linked Individual Life_Without Profit</t>
  </si>
  <si>
    <t>Without Profit</t>
  </si>
  <si>
    <t>With Profit</t>
  </si>
  <si>
    <t>Total Liabilities</t>
  </si>
  <si>
    <t>Bank 1</t>
  </si>
  <si>
    <t>Bank 2</t>
  </si>
  <si>
    <t>Bank 3</t>
  </si>
  <si>
    <t>Bank 4</t>
  </si>
  <si>
    <t>Bank 5</t>
  </si>
  <si>
    <t>Bank 6</t>
  </si>
  <si>
    <t>Bank 7</t>
  </si>
  <si>
    <t>Bank 8</t>
  </si>
  <si>
    <t>Bank 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</si>
</sst>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3" formatCode="_-* #,##0.00_-;\-* #,##0.00_-;_-* &quot;-&quot;??_-;_-@_-"/>
    <numFmt numFmtId="164" formatCode="_(* #,##0.00_);_(* \(#,##0.00\);_(* &quot;-&quot;??_);_(@_)"/>
    <numFmt numFmtId="165" formatCode="#,##0;\(#,##0\);\-_)"/>
    <numFmt numFmtId="166" formatCode="0.0000%"/>
    <numFmt numFmtId="167" formatCode="_-* #,##0_-;\-* #,##0_-;_-* &quot;-&quot;??_-;_-@_-"/>
    <numFmt numFmtId="168" formatCode="0.0%"/>
    <numFmt numFmtId="169" formatCode="_(* #,##0_);_(* \(#,##0\);_(* &quot;-&quot;??_);_(@_)"/>
    <numFmt numFmtId="170" formatCode="#,##0;[Red]\(#,##0\)"/>
  </numFmts>
  <fonts count="3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0"/>
      <color rgb="FF663300"/>
      <name val="Bookman Old Style"/>
      <family val="1"/>
    </font>
    <font>
      <sz val="11"/>
      <color theme="1"/>
      <name val="Bookman Old Style"/>
      <family val="1"/>
    </font>
    <font>
      <b/>
      <sz val="11"/>
      <color rgb="FFFF0000"/>
      <name val="Bookman Old Style"/>
      <family val="1"/>
    </font>
    <font>
      <b/>
      <sz val="12"/>
      <color rgb="FF663300"/>
      <name val="Bookman Old Style"/>
      <family val="1"/>
    </font>
    <font>
      <sz val="10"/>
      <color rgb="FF663300"/>
      <name val="Bookman Old Style"/>
      <family val="1"/>
    </font>
    <font>
      <i/>
      <sz val="10"/>
      <color rgb="FF663300"/>
      <name val="Bookman Old Style"/>
      <family val="1"/>
    </font>
    <font>
      <sz val="10"/>
      <name val="Bookman Old Style"/>
      <family val="1"/>
    </font>
    <font>
      <b/>
      <sz val="10"/>
      <name val="Bookman Old Style"/>
      <family val="1"/>
    </font>
    <font>
      <vertAlign val="superscript"/>
      <sz val="10"/>
      <name val="Bookman Old Style"/>
      <family val="1"/>
    </font>
    <font>
      <b/>
      <sz val="10"/>
      <color theme="1"/>
      <name val="Bookman Old Style"/>
      <family val="1"/>
    </font>
    <font>
      <b/>
      <vertAlign val="superscript"/>
      <sz val="10"/>
      <color theme="1"/>
      <name val="Bookman Old Style"/>
      <family val="1"/>
    </font>
    <font>
      <sz val="10"/>
      <color theme="1"/>
      <name val="Bookman Old Style"/>
      <family val="1"/>
    </font>
    <font>
      <b/>
      <sz val="11"/>
      <color theme="1"/>
      <name val="Bookman Old Style"/>
      <family val="1"/>
    </font>
    <font>
      <i/>
      <sz val="10"/>
      <name val="Bookman Old Style"/>
      <family val="1"/>
    </font>
    <font>
      <vertAlign val="superscript"/>
      <sz val="11"/>
      <color theme="1"/>
      <name val="Bookman Old Style"/>
      <family val="1"/>
    </font>
    <font>
      <b/>
      <sz val="11"/>
      <name val="Bookman Old Style"/>
      <family val="1"/>
    </font>
    <font>
      <b/>
      <vertAlign val="superscript"/>
      <sz val="10"/>
      <name val="Bookman Old Style"/>
      <family val="1"/>
    </font>
    <font>
      <vertAlign val="superscript"/>
      <sz val="10"/>
      <color theme="1"/>
      <name val="Bookman Old Style"/>
      <family val="1"/>
    </font>
    <font>
      <sz val="9"/>
      <color rgb="FF303030"/>
      <name val="Bookman Old Style"/>
      <family val="1"/>
    </font>
    <font>
      <sz val="10"/>
      <color theme="1"/>
      <name val="Lato"/>
      <family val="2"/>
    </font>
    <font>
      <sz val="9"/>
      <color theme="1"/>
      <name val="Lato"/>
      <family val="2"/>
    </font>
    <font>
      <sz val="10"/>
      <color theme="1"/>
      <name val="Century Gothic"/>
      <family val="2"/>
    </font>
    <font>
      <sz val="10"/>
      <name val="MS Sans Serif"/>
      <family val="2"/>
    </font>
    <font>
      <b/>
      <sz val="9"/>
      <color theme="1"/>
      <name val="Nunito Sans"/>
    </font>
    <font>
      <b/>
      <sz val="9"/>
      <color theme="0"/>
      <name val="Nunito Sans"/>
    </font>
    <font>
      <sz val="9"/>
      <color theme="1"/>
      <name val="Nunito Sans"/>
    </font>
    <font>
      <i/>
      <sz val="9"/>
      <color rgb="FFFF0000"/>
      <name val="Nunito Sans"/>
    </font>
    <font>
      <sz val="9"/>
      <color rgb="FF0137A6"/>
      <name val="Nunito Sans"/>
    </font>
    <font>
      <b/>
      <sz val="9"/>
      <color rgb="FF0137A6"/>
      <name val="Nunito Sans"/>
    </font>
    <font>
      <sz val="8"/>
      <name val="Aptos Narrow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CC990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FFFF66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rgb="FF0137A6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FFFFC000"/>
        <bgColor indexed="64"/>
      </patternFill>
    </fill>
  </fills>
  <borders count="32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auto="1"/>
      </left>
      <right style="double">
        <color rgb="FF663300"/>
      </right>
      <top style="medium">
        <color auto="1"/>
      </top>
      <bottom style="double">
        <color rgb="FF663300"/>
      </bottom>
      <diagonal/>
    </border>
    <border>
      <left style="double">
        <color rgb="FF663300"/>
      </left>
      <right/>
      <top style="medium">
        <color auto="1"/>
      </top>
      <bottom style="double">
        <color rgb="FF663300"/>
      </bottom>
      <diagonal/>
    </border>
    <border>
      <left style="medium">
        <color auto="1"/>
      </left>
      <right style="double">
        <color rgb="FF663300"/>
      </right>
      <top style="double">
        <color rgb="FF663300"/>
      </top>
      <bottom style="double">
        <color rgb="FF663300"/>
      </bottom>
      <diagonal/>
    </border>
    <border>
      <left style="double">
        <color rgb="FF663300"/>
      </left>
      <right/>
      <top style="double">
        <color rgb="FF663300"/>
      </top>
      <bottom style="double">
        <color rgb="FF663300"/>
      </bottom>
      <diagonal/>
    </border>
    <border>
      <left style="medium">
        <color auto="1"/>
      </left>
      <right style="double">
        <color rgb="FF663300"/>
      </right>
      <top style="double">
        <color rgb="FF663300"/>
      </top>
      <bottom style="medium">
        <color auto="1"/>
      </bottom>
      <diagonal/>
    </border>
    <border>
      <left style="medium">
        <color auto="1"/>
      </left>
      <right style="double">
        <color rgb="FF663300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double">
        <color rgb="FF663300"/>
      </left>
      <right/>
      <top/>
      <bottom style="double">
        <color rgb="FF663300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thin">
        <color rgb="FFA0A0A0"/>
      </left>
      <right style="thin">
        <color rgb="FFA0A0A0"/>
      </right>
      <top style="thin">
        <color rgb="FFA0A0A0"/>
      </top>
      <bottom style="thin">
        <color rgb="FFA0A0A0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double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/>
      <top/>
      <bottom style="thin">
        <color theme="5" tint="-0.24994659260841701"/>
      </bottom>
      <diagonal/>
    </border>
  </borders>
  <cellStyleXfs count="15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164" fontId="22" fillId="0" borderId="0" applyFont="0" applyFill="0" applyBorder="0" applyAlignment="0" applyProtection="0"/>
    <xf numFmtId="0" fontId="22" fillId="0" borderId="0"/>
    <xf numFmtId="9" fontId="22" fillId="0" borderId="0" applyFont="0" applyFill="0" applyBorder="0" applyAlignment="0" applyProtection="0"/>
    <xf numFmtId="0" fontId="21" fillId="0" borderId="0"/>
    <xf numFmtId="9" fontId="1" fillId="0" borderId="0" applyFont="0" applyFill="0" applyBorder="0" applyAlignment="0" applyProtection="0"/>
    <xf numFmtId="0" fontId="23" fillId="0" borderId="0"/>
    <xf numFmtId="0" fontId="24" fillId="0" borderId="0"/>
    <xf numFmtId="0" fontId="1" fillId="0" borderId="0"/>
    <xf numFmtId="0" fontId="21" fillId="0" borderId="0"/>
  </cellStyleXfs>
  <cellXfs count="167">
    <xf numFmtId="0" fontId="0" fillId="0" borderId="0" xfId="0"/>
    <xf numFmtId="0" fontId="2" fillId="2" borderId="0" xfId="0" applyFont="1" applyFill="1" applyAlignment="1">
      <alignment horizontal="left"/>
    </xf>
    <xf numFmtId="0" fontId="3" fillId="2" borderId="0" xfId="0" applyFont="1" applyFill="1"/>
    <xf numFmtId="0" fontId="4" fillId="2" borderId="0" xfId="0" applyFont="1" applyFill="1"/>
    <xf numFmtId="0" fontId="5" fillId="2" borderId="0" xfId="0" applyFont="1" applyFill="1" applyAlignment="1">
      <alignment horizontal="center"/>
    </xf>
    <xf numFmtId="0" fontId="6" fillId="2" borderId="0" xfId="0" applyFont="1" applyFill="1"/>
    <xf numFmtId="0" fontId="7" fillId="2" borderId="0" xfId="0" applyFont="1" applyFill="1"/>
    <xf numFmtId="0" fontId="6" fillId="2" borderId="1" xfId="0" applyFont="1" applyFill="1" applyBorder="1"/>
    <xf numFmtId="14" fontId="7" fillId="2" borderId="1" xfId="0" applyNumberFormat="1" applyFont="1" applyFill="1" applyBorder="1"/>
    <xf numFmtId="165" fontId="8" fillId="2" borderId="1" xfId="0" applyNumberFormat="1" applyFont="1" applyFill="1" applyBorder="1"/>
    <xf numFmtId="0" fontId="9" fillId="2" borderId="0" xfId="0" applyFont="1" applyFill="1"/>
    <xf numFmtId="165" fontId="9" fillId="3" borderId="4" xfId="0" applyNumberFormat="1" applyFont="1" applyFill="1" applyBorder="1" applyAlignment="1">
      <alignment horizontal="center" vertical="center" wrapText="1"/>
    </xf>
    <xf numFmtId="165" fontId="9" fillId="3" borderId="6" xfId="0" applyNumberFormat="1" applyFont="1" applyFill="1" applyBorder="1" applyAlignment="1">
      <alignment horizontal="center" vertical="center" wrapText="1"/>
    </xf>
    <xf numFmtId="0" fontId="8" fillId="4" borderId="4" xfId="0" applyFont="1" applyFill="1" applyBorder="1"/>
    <xf numFmtId="0" fontId="8" fillId="4" borderId="4" xfId="0" applyFont="1" applyFill="1" applyBorder="1" applyAlignment="1">
      <alignment horizontal="center"/>
    </xf>
    <xf numFmtId="165" fontId="9" fillId="5" borderId="4" xfId="0" applyNumberFormat="1" applyFont="1" applyFill="1" applyBorder="1"/>
    <xf numFmtId="164" fontId="4" fillId="2" borderId="0" xfId="0" applyNumberFormat="1" applyFont="1" applyFill="1"/>
    <xf numFmtId="0" fontId="9" fillId="4" borderId="4" xfId="0" applyFont="1" applyFill="1" applyBorder="1"/>
    <xf numFmtId="166" fontId="4" fillId="2" borderId="0" xfId="2" applyNumberFormat="1" applyFont="1" applyFill="1"/>
    <xf numFmtId="9" fontId="9" fillId="5" borderId="4" xfId="2" applyFont="1" applyFill="1" applyBorder="1" applyProtection="1"/>
    <xf numFmtId="0" fontId="11" fillId="2" borderId="0" xfId="0" applyFont="1" applyFill="1" applyAlignment="1">
      <alignment horizontal="right"/>
    </xf>
    <xf numFmtId="0" fontId="12" fillId="2" borderId="0" xfId="0" applyFont="1" applyFill="1"/>
    <xf numFmtId="0" fontId="13" fillId="2" borderId="0" xfId="0" applyFont="1" applyFill="1"/>
    <xf numFmtId="165" fontId="8" fillId="2" borderId="0" xfId="0" applyNumberFormat="1" applyFont="1" applyFill="1"/>
    <xf numFmtId="0" fontId="14" fillId="2" borderId="0" xfId="0" applyFont="1" applyFill="1"/>
    <xf numFmtId="0" fontId="15" fillId="2" borderId="0" xfId="0" applyFont="1" applyFill="1"/>
    <xf numFmtId="0" fontId="15" fillId="0" borderId="0" xfId="0" applyFont="1"/>
    <xf numFmtId="0" fontId="8" fillId="4" borderId="7" xfId="0" applyFont="1" applyFill="1" applyBorder="1"/>
    <xf numFmtId="0" fontId="8" fillId="4" borderId="8" xfId="0" applyFont="1" applyFill="1" applyBorder="1" applyAlignment="1">
      <alignment horizontal="center"/>
    </xf>
    <xf numFmtId="0" fontId="8" fillId="4" borderId="9" xfId="0" applyFont="1" applyFill="1" applyBorder="1"/>
    <xf numFmtId="0" fontId="8" fillId="4" borderId="10" xfId="0" applyFont="1" applyFill="1" applyBorder="1" applyAlignment="1">
      <alignment horizontal="center"/>
    </xf>
    <xf numFmtId="0" fontId="9" fillId="4" borderId="11" xfId="0" applyFont="1" applyFill="1" applyBorder="1"/>
    <xf numFmtId="37" fontId="3" fillId="2" borderId="0" xfId="0" applyNumberFormat="1" applyFont="1" applyFill="1"/>
    <xf numFmtId="0" fontId="8" fillId="4" borderId="12" xfId="0" applyFont="1" applyFill="1" applyBorder="1"/>
    <xf numFmtId="0" fontId="3" fillId="2" borderId="0" xfId="0" applyFont="1" applyFill="1" applyAlignment="1">
      <alignment horizontal="left"/>
    </xf>
    <xf numFmtId="0" fontId="7" fillId="2" borderId="1" xfId="0" applyFont="1" applyFill="1" applyBorder="1"/>
    <xf numFmtId="165" fontId="9" fillId="3" borderId="13" xfId="0" applyNumberFormat="1" applyFont="1" applyFill="1" applyBorder="1" applyAlignment="1">
      <alignment horizontal="center" vertical="center" wrapText="1"/>
    </xf>
    <xf numFmtId="165" fontId="9" fillId="3" borderId="17" xfId="0" applyNumberFormat="1" applyFont="1" applyFill="1" applyBorder="1" applyAlignment="1">
      <alignment horizontal="center" vertical="center" wrapText="1"/>
    </xf>
    <xf numFmtId="0" fontId="8" fillId="4" borderId="15" xfId="0" applyFont="1" applyFill="1" applyBorder="1" applyAlignment="1">
      <alignment horizontal="center"/>
    </xf>
    <xf numFmtId="167" fontId="9" fillId="6" borderId="4" xfId="1" applyNumberFormat="1" applyFont="1" applyFill="1" applyBorder="1"/>
    <xf numFmtId="167" fontId="3" fillId="2" borderId="0" xfId="1" applyNumberFormat="1" applyFont="1" applyFill="1"/>
    <xf numFmtId="0" fontId="8" fillId="4" borderId="4" xfId="0" applyFont="1" applyFill="1" applyBorder="1" applyAlignment="1">
      <alignment horizontal="left" indent="2"/>
    </xf>
    <xf numFmtId="167" fontId="9" fillId="7" borderId="4" xfId="1" applyNumberFormat="1" applyFont="1" applyFill="1" applyBorder="1"/>
    <xf numFmtId="0" fontId="8" fillId="4" borderId="17" xfId="0" applyFont="1" applyFill="1" applyBorder="1" applyAlignment="1">
      <alignment horizontal="left" indent="2"/>
    </xf>
    <xf numFmtId="0" fontId="8" fillId="4" borderId="16" xfId="0" applyFont="1" applyFill="1" applyBorder="1" applyAlignment="1">
      <alignment horizontal="left" indent="2"/>
    </xf>
    <xf numFmtId="0" fontId="8" fillId="4" borderId="3" xfId="0" applyFont="1" applyFill="1" applyBorder="1" applyAlignment="1">
      <alignment horizontal="center"/>
    </xf>
    <xf numFmtId="167" fontId="9" fillId="7" borderId="16" xfId="1" applyNumberFormat="1" applyFont="1" applyFill="1" applyBorder="1"/>
    <xf numFmtId="0" fontId="9" fillId="4" borderId="4" xfId="0" applyFont="1" applyFill="1" applyBorder="1" applyAlignment="1">
      <alignment horizontal="left"/>
    </xf>
    <xf numFmtId="0" fontId="3" fillId="2" borderId="4" xfId="0" applyFont="1" applyFill="1" applyBorder="1"/>
    <xf numFmtId="167" fontId="3" fillId="2" borderId="4" xfId="1" applyNumberFormat="1" applyFont="1" applyFill="1" applyBorder="1"/>
    <xf numFmtId="167" fontId="9" fillId="2" borderId="0" xfId="1" applyNumberFormat="1" applyFont="1" applyFill="1"/>
    <xf numFmtId="0" fontId="9" fillId="2" borderId="0" xfId="0" applyFont="1" applyFill="1" applyAlignment="1">
      <alignment horizontal="left"/>
    </xf>
    <xf numFmtId="165" fontId="3" fillId="2" borderId="0" xfId="0" applyNumberFormat="1" applyFont="1" applyFill="1"/>
    <xf numFmtId="0" fontId="3" fillId="2" borderId="18" xfId="0" applyFont="1" applyFill="1" applyBorder="1"/>
    <xf numFmtId="165" fontId="17" fillId="3" borderId="4" xfId="0" applyNumberFormat="1" applyFont="1" applyFill="1" applyBorder="1" applyAlignment="1">
      <alignment horizontal="center" vertical="center" wrapText="1"/>
    </xf>
    <xf numFmtId="0" fontId="8" fillId="4" borderId="4" xfId="0" applyFont="1" applyFill="1" applyBorder="1" applyAlignment="1">
      <alignment horizontal="left"/>
    </xf>
    <xf numFmtId="9" fontId="9" fillId="5" borderId="4" xfId="2" applyFont="1" applyFill="1" applyBorder="1" applyAlignment="1">
      <alignment horizontal="center"/>
    </xf>
    <xf numFmtId="167" fontId="9" fillId="7" borderId="4" xfId="1" applyNumberFormat="1" applyFont="1" applyFill="1" applyBorder="1" applyAlignment="1" applyProtection="1">
      <alignment horizontal="center"/>
    </xf>
    <xf numFmtId="167" fontId="17" fillId="5" borderId="4" xfId="1" applyNumberFormat="1" applyFont="1" applyFill="1" applyBorder="1"/>
    <xf numFmtId="9" fontId="9" fillId="5" borderId="4" xfId="2" applyFont="1" applyFill="1" applyBorder="1"/>
    <xf numFmtId="167" fontId="17" fillId="8" borderId="4" xfId="1" applyNumberFormat="1" applyFont="1" applyFill="1" applyBorder="1"/>
    <xf numFmtId="165" fontId="3" fillId="2" borderId="4" xfId="0" applyNumberFormat="1" applyFont="1" applyFill="1" applyBorder="1"/>
    <xf numFmtId="167" fontId="14" fillId="2" borderId="4" xfId="1" applyNumberFormat="1" applyFont="1" applyFill="1" applyBorder="1"/>
    <xf numFmtId="165" fontId="14" fillId="2" borderId="4" xfId="0" applyNumberFormat="1" applyFont="1" applyFill="1" applyBorder="1"/>
    <xf numFmtId="167" fontId="9" fillId="5" borderId="4" xfId="1" applyNumberFormat="1" applyFont="1" applyFill="1" applyBorder="1"/>
    <xf numFmtId="0" fontId="3" fillId="2" borderId="19" xfId="0" applyFont="1" applyFill="1" applyBorder="1"/>
    <xf numFmtId="167" fontId="3" fillId="2" borderId="19" xfId="1" applyNumberFormat="1" applyFont="1" applyFill="1" applyBorder="1"/>
    <xf numFmtId="167" fontId="3" fillId="2" borderId="20" xfId="1" applyNumberFormat="1" applyFont="1" applyFill="1" applyBorder="1"/>
    <xf numFmtId="167" fontId="9" fillId="5" borderId="20" xfId="1" applyNumberFormat="1" applyFont="1" applyFill="1" applyBorder="1"/>
    <xf numFmtId="168" fontId="9" fillId="4" borderId="4" xfId="2" applyNumberFormat="1" applyFont="1" applyFill="1" applyBorder="1" applyAlignment="1" applyProtection="1">
      <alignment horizontal="center"/>
    </xf>
    <xf numFmtId="0" fontId="8" fillId="4" borderId="21" xfId="0" applyFont="1" applyFill="1" applyBorder="1" applyAlignment="1">
      <alignment horizontal="center"/>
    </xf>
    <xf numFmtId="167" fontId="9" fillId="3" borderId="4" xfId="1" applyNumberFormat="1" applyFont="1" applyFill="1" applyBorder="1" applyAlignment="1">
      <alignment horizontal="center" vertical="center" wrapText="1"/>
    </xf>
    <xf numFmtId="0" fontId="8" fillId="9" borderId="0" xfId="0" applyFont="1" applyFill="1" applyAlignment="1">
      <alignment horizontal="left" vertical="top"/>
    </xf>
    <xf numFmtId="0" fontId="8" fillId="9" borderId="0" xfId="0" applyFont="1" applyFill="1" applyAlignment="1">
      <alignment vertical="top"/>
    </xf>
    <xf numFmtId="167" fontId="8" fillId="7" borderId="4" xfId="1" applyNumberFormat="1" applyFont="1" applyFill="1" applyBorder="1" applyAlignment="1" applyProtection="1">
      <alignment horizontal="right" vertical="top"/>
      <protection locked="0"/>
    </xf>
    <xf numFmtId="167" fontId="8" fillId="7" borderId="4" xfId="1" applyNumberFormat="1" applyFont="1" applyFill="1" applyBorder="1" applyAlignment="1" applyProtection="1">
      <alignment horizontal="center" vertical="top"/>
      <protection locked="0"/>
    </xf>
    <xf numFmtId="0" fontId="8" fillId="9" borderId="0" xfId="0" applyFont="1" applyFill="1" applyAlignment="1">
      <alignment horizontal="right" vertical="top"/>
    </xf>
    <xf numFmtId="0" fontId="11" fillId="2" borderId="0" xfId="0" applyFont="1" applyFill="1"/>
    <xf numFmtId="0" fontId="8" fillId="9" borderId="0" xfId="0" applyFont="1" applyFill="1" applyAlignment="1">
      <alignment vertical="top" wrapText="1"/>
    </xf>
    <xf numFmtId="164" fontId="8" fillId="9" borderId="0" xfId="3" applyFont="1" applyFill="1" applyAlignment="1" applyProtection="1">
      <alignment vertical="top" wrapText="1"/>
    </xf>
    <xf numFmtId="0" fontId="8" fillId="7" borderId="13" xfId="0" applyFont="1" applyFill="1" applyBorder="1" applyAlignment="1" applyProtection="1">
      <alignment horizontal="left" vertical="top"/>
      <protection locked="0"/>
    </xf>
    <xf numFmtId="0" fontId="8" fillId="7" borderId="13" xfId="0" applyFont="1" applyFill="1" applyBorder="1" applyAlignment="1" applyProtection="1">
      <alignment horizontal="right" wrapText="1"/>
      <protection locked="0"/>
    </xf>
    <xf numFmtId="0" fontId="8" fillId="7" borderId="22" xfId="0" applyFont="1" applyFill="1" applyBorder="1" applyAlignment="1" applyProtection="1">
      <alignment horizontal="left" vertical="top"/>
      <protection locked="0"/>
    </xf>
    <xf numFmtId="0" fontId="8" fillId="4" borderId="13" xfId="0" applyFont="1" applyFill="1" applyBorder="1"/>
    <xf numFmtId="167" fontId="8" fillId="4" borderId="4" xfId="1" applyNumberFormat="1" applyFont="1" applyFill="1" applyBorder="1" applyAlignment="1">
      <alignment horizontal="center"/>
    </xf>
    <xf numFmtId="0" fontId="9" fillId="2" borderId="23" xfId="0" applyFont="1" applyFill="1" applyBorder="1"/>
    <xf numFmtId="0" fontId="3" fillId="2" borderId="20" xfId="0" applyFont="1" applyFill="1" applyBorder="1"/>
    <xf numFmtId="0" fontId="11" fillId="2" borderId="0" xfId="0" applyFont="1" applyFill="1" applyAlignment="1">
      <alignment horizontal="left"/>
    </xf>
    <xf numFmtId="0" fontId="19" fillId="2" borderId="0" xfId="0" applyFont="1" applyFill="1"/>
    <xf numFmtId="167" fontId="9" fillId="6" borderId="15" xfId="1" applyNumberFormat="1" applyFont="1" applyFill="1" applyBorder="1"/>
    <xf numFmtId="167" fontId="9" fillId="6" borderId="17" xfId="1" applyNumberFormat="1" applyFont="1" applyFill="1" applyBorder="1"/>
    <xf numFmtId="168" fontId="9" fillId="4" borderId="17" xfId="2" applyNumberFormat="1" applyFont="1" applyFill="1" applyBorder="1" applyAlignment="1" applyProtection="1">
      <alignment horizontal="center"/>
    </xf>
    <xf numFmtId="3" fontId="20" fillId="0" borderId="24" xfId="0" applyNumberFormat="1" applyFont="1" applyBorder="1" applyAlignment="1">
      <alignment horizontal="right"/>
    </xf>
    <xf numFmtId="3" fontId="3" fillId="2" borderId="0" xfId="0" applyNumberFormat="1" applyFont="1" applyFill="1"/>
    <xf numFmtId="0" fontId="3" fillId="2" borderId="0" xfId="0" applyFont="1" applyFill="1" applyAlignment="1">
      <alignment wrapText="1"/>
    </xf>
    <xf numFmtId="167" fontId="3" fillId="2" borderId="0" xfId="3" applyNumberFormat="1" applyFont="1" applyFill="1"/>
    <xf numFmtId="3" fontId="20" fillId="0" borderId="0" xfId="0" applyNumberFormat="1" applyFont="1" applyAlignment="1">
      <alignment horizontal="right"/>
    </xf>
    <xf numFmtId="167" fontId="9" fillId="0" borderId="0" xfId="1" applyNumberFormat="1" applyFont="1"/>
    <xf numFmtId="165" fontId="9" fillId="5" borderId="20" xfId="0" applyNumberFormat="1" applyFont="1" applyFill="1" applyBorder="1"/>
    <xf numFmtId="169" fontId="4" fillId="2" borderId="0" xfId="3" applyNumberFormat="1" applyFont="1" applyFill="1" applyAlignment="1">
      <alignment horizontal="right"/>
    </xf>
    <xf numFmtId="14" fontId="7" fillId="2" borderId="31" xfId="0" applyNumberFormat="1" applyFont="1" applyFill="1" applyBorder="1"/>
    <xf numFmtId="167" fontId="25" fillId="0" borderId="6" xfId="1" applyNumberFormat="1" applyFont="1" applyBorder="1" applyAlignment="1">
      <alignment horizontal="right" vertical="center"/>
    </xf>
    <xf numFmtId="167" fontId="26" fillId="0" borderId="3" xfId="1" applyNumberFormat="1" applyFont="1" applyBorder="1" applyAlignment="1">
      <alignment horizontal="right" vertical="center"/>
    </xf>
    <xf numFmtId="167" fontId="26" fillId="0" borderId="6" xfId="1" applyNumberFormat="1" applyFont="1" applyBorder="1" applyAlignment="1">
      <alignment horizontal="right" vertical="center"/>
    </xf>
    <xf numFmtId="0" fontId="27" fillId="2" borderId="0" xfId="7" applyFont="1" applyFill="1" applyAlignment="1">
      <alignment horizontal="right" vertical="center"/>
    </xf>
    <xf numFmtId="0" fontId="30" fillId="13" borderId="0" xfId="7" applyFont="1" applyFill="1" applyAlignment="1">
      <alignment horizontal="right" vertical="center"/>
    </xf>
    <xf numFmtId="0" fontId="25" fillId="0" borderId="22" xfId="0" applyFont="1" applyBorder="1" applyAlignment="1">
      <alignment horizontal="right" vertical="center"/>
    </xf>
    <xf numFmtId="0" fontId="25" fillId="0" borderId="18" xfId="0" applyFont="1" applyBorder="1" applyAlignment="1">
      <alignment horizontal="right" vertical="center"/>
    </xf>
    <xf numFmtId="167" fontId="25" fillId="0" borderId="3" xfId="1" applyNumberFormat="1" applyFont="1" applyBorder="1" applyAlignment="1">
      <alignment horizontal="right" vertical="center"/>
    </xf>
    <xf numFmtId="0" fontId="27" fillId="0" borderId="0" xfId="0" applyFont="1" applyAlignment="1">
      <alignment horizontal="right" vertical="center"/>
    </xf>
    <xf numFmtId="0" fontId="25" fillId="0" borderId="25" xfId="0" applyFont="1" applyBorder="1" applyAlignment="1">
      <alignment horizontal="right" vertical="center"/>
    </xf>
    <xf numFmtId="0" fontId="25" fillId="0" borderId="0" xfId="0" applyFont="1" applyAlignment="1">
      <alignment horizontal="right" vertical="center"/>
    </xf>
    <xf numFmtId="167" fontId="25" fillId="0" borderId="26" xfId="1" applyNumberFormat="1" applyFont="1" applyBorder="1" applyAlignment="1">
      <alignment horizontal="right" vertical="center"/>
    </xf>
    <xf numFmtId="0" fontId="25" fillId="0" borderId="27" xfId="0" applyFont="1" applyBorder="1" applyAlignment="1">
      <alignment horizontal="right" vertical="center"/>
    </xf>
    <xf numFmtId="0" fontId="25" fillId="0" borderId="1" xfId="0" applyFont="1" applyBorder="1" applyAlignment="1">
      <alignment horizontal="right" vertical="center"/>
    </xf>
    <xf numFmtId="0" fontId="26" fillId="0" borderId="22" xfId="0" applyFont="1" applyBorder="1" applyAlignment="1">
      <alignment horizontal="right" vertical="center"/>
    </xf>
    <xf numFmtId="0" fontId="26" fillId="0" borderId="18" xfId="0" applyFont="1" applyBorder="1" applyAlignment="1">
      <alignment horizontal="right" vertical="center"/>
    </xf>
    <xf numFmtId="0" fontId="26" fillId="0" borderId="27" xfId="0" applyFont="1" applyBorder="1" applyAlignment="1">
      <alignment horizontal="right" vertical="center"/>
    </xf>
    <xf numFmtId="0" fontId="26" fillId="0" borderId="1" xfId="0" applyFont="1" applyBorder="1" applyAlignment="1">
      <alignment horizontal="right" vertical="center"/>
    </xf>
    <xf numFmtId="0" fontId="29" fillId="0" borderId="0" xfId="0" applyFont="1" applyAlignment="1">
      <alignment horizontal="right" vertical="center"/>
    </xf>
    <xf numFmtId="167" fontId="27" fillId="0" borderId="0" xfId="0" applyNumberFormat="1" applyFont="1" applyAlignment="1">
      <alignment horizontal="right" vertical="center"/>
    </xf>
    <xf numFmtId="0" fontId="27" fillId="0" borderId="22" xfId="0" applyFont="1" applyBorder="1" applyAlignment="1">
      <alignment horizontal="right" vertical="center"/>
    </xf>
    <xf numFmtId="0" fontId="27" fillId="0" borderId="18" xfId="0" applyFont="1" applyBorder="1" applyAlignment="1">
      <alignment horizontal="right" vertical="center"/>
    </xf>
    <xf numFmtId="167" fontId="27" fillId="12" borderId="3" xfId="1" applyNumberFormat="1" applyFont="1" applyFill="1" applyBorder="1" applyAlignment="1">
      <alignment horizontal="right" vertical="center"/>
    </xf>
    <xf numFmtId="0" fontId="27" fillId="0" borderId="25" xfId="0" applyFont="1" applyBorder="1" applyAlignment="1">
      <alignment horizontal="right" vertical="center"/>
    </xf>
    <xf numFmtId="167" fontId="27" fillId="12" borderId="26" xfId="1" applyNumberFormat="1" applyFont="1" applyFill="1" applyBorder="1" applyAlignment="1">
      <alignment horizontal="right" vertical="center"/>
    </xf>
    <xf numFmtId="170" fontId="27" fillId="0" borderId="0" xfId="0" applyNumberFormat="1" applyFont="1" applyAlignment="1">
      <alignment horizontal="right" vertical="center"/>
    </xf>
    <xf numFmtId="0" fontId="30" fillId="11" borderId="7" xfId="9" applyFont="1" applyFill="1" applyBorder="1" applyAlignment="1">
      <alignment horizontal="right" vertical="center"/>
    </xf>
    <xf numFmtId="167" fontId="25" fillId="0" borderId="0" xfId="1" applyNumberFormat="1" applyFont="1" applyAlignment="1">
      <alignment horizontal="right" vertical="center"/>
    </xf>
    <xf numFmtId="167" fontId="27" fillId="0" borderId="26" xfId="1" applyNumberFormat="1" applyFont="1" applyBorder="1" applyAlignment="1">
      <alignment horizontal="right" vertical="center"/>
    </xf>
    <xf numFmtId="0" fontId="25" fillId="0" borderId="28" xfId="0" applyFont="1" applyBorder="1" applyAlignment="1">
      <alignment horizontal="right" vertical="center"/>
    </xf>
    <xf numFmtId="0" fontId="25" fillId="0" borderId="29" xfId="0" applyFont="1" applyBorder="1" applyAlignment="1">
      <alignment horizontal="right" vertical="center"/>
    </xf>
    <xf numFmtId="167" fontId="25" fillId="0" borderId="30" xfId="1" applyNumberFormat="1" applyFont="1" applyBorder="1" applyAlignment="1">
      <alignment horizontal="right" vertical="center"/>
    </xf>
    <xf numFmtId="167" fontId="25" fillId="0" borderId="0" xfId="0" applyNumberFormat="1" applyFont="1" applyAlignment="1">
      <alignment horizontal="right" vertical="center"/>
    </xf>
    <xf numFmtId="0" fontId="30" fillId="13" borderId="0" xfId="14" applyFont="1" applyFill="1" applyAlignment="1">
      <alignment horizontal="right" vertical="center"/>
    </xf>
    <xf numFmtId="0" fontId="30" fillId="13" borderId="0" xfId="0" applyFont="1" applyFill="1" applyAlignment="1">
      <alignment horizontal="right" vertical="center"/>
    </xf>
    <xf numFmtId="0" fontId="28" fillId="0" borderId="13" xfId="0" applyFont="1" applyBorder="1" applyAlignment="1">
      <alignment horizontal="right" vertical="center"/>
    </xf>
    <xf numFmtId="0" fontId="28" fillId="0" borderId="14" xfId="0" applyFont="1" applyBorder="1" applyAlignment="1">
      <alignment horizontal="right" vertical="center"/>
    </xf>
    <xf numFmtId="167" fontId="28" fillId="0" borderId="15" xfId="1" applyNumberFormat="1" applyFont="1" applyBorder="1" applyAlignment="1">
      <alignment horizontal="right" vertical="center"/>
    </xf>
    <xf numFmtId="167" fontId="27" fillId="0" borderId="0" xfId="1" applyNumberFormat="1" applyFont="1" applyAlignment="1">
      <alignment horizontal="right" vertical="center"/>
    </xf>
    <xf numFmtId="9" fontId="27" fillId="2" borderId="0" xfId="8" applyFont="1" applyFill="1" applyAlignment="1">
      <alignment horizontal="right" vertical="center"/>
    </xf>
    <xf numFmtId="167" fontId="27" fillId="2" borderId="0" xfId="6" applyNumberFormat="1" applyFont="1" applyFill="1" applyAlignment="1">
      <alignment horizontal="right" vertical="center"/>
    </xf>
    <xf numFmtId="0" fontId="25" fillId="2" borderId="0" xfId="7" applyFont="1" applyFill="1" applyAlignment="1">
      <alignment horizontal="right" vertical="center"/>
    </xf>
    <xf numFmtId="167" fontId="25" fillId="0" borderId="29" xfId="6" applyNumberFormat="1" applyFont="1" applyBorder="1" applyAlignment="1">
      <alignment horizontal="right" vertical="center"/>
    </xf>
    <xf numFmtId="0" fontId="27" fillId="0" borderId="0" xfId="4" applyFont="1" applyAlignment="1">
      <alignment horizontal="right" vertical="center"/>
    </xf>
    <xf numFmtId="0" fontId="30" fillId="0" borderId="0" xfId="0" applyFont="1" applyAlignment="1">
      <alignment horizontal="right" vertical="center"/>
    </xf>
    <xf numFmtId="3" fontId="30" fillId="0" borderId="0" xfId="0" applyNumberFormat="1" applyFont="1" applyAlignment="1">
      <alignment horizontal="right" vertical="center"/>
    </xf>
    <xf numFmtId="167" fontId="25" fillId="0" borderId="1" xfId="1" applyNumberFormat="1" applyFont="1" applyBorder="1" applyAlignment="1">
      <alignment horizontal="right" vertical="center"/>
    </xf>
    <xf numFmtId="0" fontId="27" fillId="14" borderId="0" xfId="0" applyFont="1" applyFill="1" applyAlignment="1">
      <alignment horizontal="right" vertical="center"/>
    </xf>
    <xf numFmtId="0" fontId="27" fillId="13" borderId="0" xfId="0" applyFont="1" applyFill="1" applyAlignment="1">
      <alignment horizontal="right" vertical="center"/>
    </xf>
    <xf numFmtId="167" fontId="17" fillId="5" borderId="4" xfId="5" applyNumberFormat="1" applyFont="1" applyFill="1" applyBorder="1"/>
    <xf numFmtId="167" fontId="9" fillId="7" borderId="4" xfId="1" applyNumberFormat="1" applyFont="1" applyFill="1" applyBorder="1" applyAlignment="1">
      <alignment wrapText="1"/>
    </xf>
    <xf numFmtId="165" fontId="9" fillId="3" borderId="4" xfId="0" applyNumberFormat="1" applyFont="1" applyFill="1" applyBorder="1" applyAlignment="1">
      <alignment horizontal="center" vertical="center" wrapText="1"/>
    </xf>
    <xf numFmtId="165" fontId="9" fillId="3" borderId="16" xfId="0" applyNumberFormat="1" applyFont="1" applyFill="1" applyBorder="1" applyAlignment="1">
      <alignment horizontal="center" vertical="center" wrapText="1"/>
    </xf>
    <xf numFmtId="165" fontId="9" fillId="3" borderId="17" xfId="0" applyNumberFormat="1" applyFont="1" applyFill="1" applyBorder="1" applyAlignment="1">
      <alignment horizontal="center" vertical="center" wrapText="1"/>
    </xf>
    <xf numFmtId="165" fontId="9" fillId="3" borderId="3" xfId="0" applyNumberFormat="1" applyFont="1" applyFill="1" applyBorder="1" applyAlignment="1">
      <alignment horizontal="center" vertical="center" wrapText="1"/>
    </xf>
    <xf numFmtId="165" fontId="9" fillId="3" borderId="6" xfId="0" applyNumberFormat="1" applyFont="1" applyFill="1" applyBorder="1" applyAlignment="1">
      <alignment horizontal="center" vertical="center" wrapText="1"/>
    </xf>
    <xf numFmtId="165" fontId="17" fillId="3" borderId="13" xfId="0" applyNumberFormat="1" applyFont="1" applyFill="1" applyBorder="1" applyAlignment="1">
      <alignment horizontal="center" vertical="center" wrapText="1"/>
    </xf>
    <xf numFmtId="165" fontId="17" fillId="3" borderId="14" xfId="0" applyNumberFormat="1" applyFont="1" applyFill="1" applyBorder="1" applyAlignment="1">
      <alignment horizontal="center" vertical="center" wrapText="1"/>
    </xf>
    <xf numFmtId="165" fontId="17" fillId="3" borderId="15" xfId="0" applyNumberFormat="1" applyFont="1" applyFill="1" applyBorder="1" applyAlignment="1">
      <alignment horizontal="center" vertical="center" wrapText="1"/>
    </xf>
    <xf numFmtId="165" fontId="9" fillId="3" borderId="13" xfId="0" applyNumberFormat="1" applyFont="1" applyFill="1" applyBorder="1" applyAlignment="1">
      <alignment horizontal="center" vertical="center" wrapText="1"/>
    </xf>
    <xf numFmtId="165" fontId="9" fillId="3" borderId="14" xfId="0" applyNumberFormat="1" applyFont="1" applyFill="1" applyBorder="1" applyAlignment="1">
      <alignment horizontal="center" vertical="center" wrapText="1"/>
    </xf>
    <xf numFmtId="165" fontId="9" fillId="3" borderId="15" xfId="0" applyNumberFormat="1" applyFont="1" applyFill="1" applyBorder="1" applyAlignment="1">
      <alignment horizontal="center" vertical="center" wrapText="1"/>
    </xf>
    <xf numFmtId="0" fontId="8" fillId="9" borderId="0" xfId="0" applyFont="1" applyFill="1" applyAlignment="1">
      <alignment horizontal="left" vertical="top" wrapText="1"/>
    </xf>
    <xf numFmtId="165" fontId="9" fillId="3" borderId="2" xfId="0" applyNumberFormat="1" applyFont="1" applyFill="1" applyBorder="1" applyAlignment="1">
      <alignment horizontal="center" vertical="center" wrapText="1"/>
    </xf>
    <xf numFmtId="165" fontId="9" fillId="3" borderId="5" xfId="0" applyNumberFormat="1" applyFont="1" applyFill="1" applyBorder="1" applyAlignment="1">
      <alignment horizontal="center" vertical="center" wrapText="1"/>
    </xf>
    <xf numFmtId="0" fontId="26" fillId="10" borderId="0" xfId="14" applyFont="1" applyFill="1" applyAlignment="1">
      <alignment horizontal="center" vertical="center"/>
    </xf>
  </cellXfs>
  <cellStyles count="15">
    <cellStyle name="Comma" xfId="1" builtinId="3"/>
    <cellStyle name="Comma 2" xfId="5" xr:uid="{039D6114-46CA-4278-B765-4EB128F78959}"/>
    <cellStyle name="Comma 3" xfId="6" xr:uid="{C9D2405B-2A19-48DC-AA0F-61886CF5A37F}"/>
    <cellStyle name="Comma 6" xfId="3" xr:uid="{5A0F15CC-96AC-46D0-AC1F-4F3666A80DCD}"/>
    <cellStyle name="Legal 8½ x 14 in 10 2 2" xfId="12" xr:uid="{18E7C8F6-CAEC-4667-A412-E91635124DC3}"/>
    <cellStyle name="Normal" xfId="0" builtinId="0"/>
    <cellStyle name="Normal 174" xfId="13" xr:uid="{08CC6335-5C73-4224-8A4D-58A05F76189E}"/>
    <cellStyle name="Normal 2" xfId="4" xr:uid="{D3E3215F-BD7D-4CFC-BF56-FEBCAD4B5F9C}"/>
    <cellStyle name="Normal 2 22" xfId="14" xr:uid="{06BAF1CA-6513-4A0D-BBC7-EC09B639DD48}"/>
    <cellStyle name="Normal 234" xfId="9" xr:uid="{133B6A4D-1950-4A76-B568-E02BA93B2F2C}"/>
    <cellStyle name="Normal 3" xfId="7" xr:uid="{35136A1B-DD0A-4CCA-95FD-3C6025B0DB68}"/>
    <cellStyle name="Normal 5" xfId="11" xr:uid="{B5008812-B48C-4C90-AF93-D3B4D2946343}"/>
    <cellStyle name="Percent" xfId="2" builtinId="5"/>
    <cellStyle name="Percent 2" xfId="8" xr:uid="{E55709A2-CEA6-4F9B-BA1E-E2BA8BFBFF96}"/>
    <cellStyle name="Percent 2 2" xfId="10" xr:uid="{AFCAF191-1173-4DE4-B9C7-77490A6D2E09}"/>
  </cellStyles>
  <dxfs count="0"/>
  <tableStyles count="0" defaultTableStyle="TableStyleMedium2" defaultPivotStyle="PivotStyleLight16"/>
  <colors>
    <mruColors>
      <color rgb="FFD9E1F2"/>
      <color rgb="FF0137A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customXml" Target="../ink/ink1.xml"/><Relationship Id="rId1" Type="http://schemas.openxmlformats.org/officeDocument/2006/relationships/image" Target="../media/image1.png"/><Relationship Id="rId4" Type="http://schemas.openxmlformats.org/officeDocument/2006/relationships/customXml" Target="../ink/ink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1744557</xdr:colOff>
      <xdr:row>0</xdr:row>
      <xdr:rowOff>127424</xdr:rowOff>
    </xdr:from>
    <xdr:to>
      <xdr:col>5</xdr:col>
      <xdr:colOff>249767</xdr:colOff>
      <xdr:row>4</xdr:row>
      <xdr:rowOff>28787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2CD9AAD-2FB5-441A-B1E0-C6C41A2C623E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262707" y="127424"/>
          <a:ext cx="969010" cy="631613"/>
        </a:xfrm>
        <a:prstGeom prst="rect">
          <a:avLst/>
        </a:prstGeom>
        <a:noFill/>
        <a:ln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accent1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chemeClr val="tx1"/>
              </a:solidFill>
              <a:miter lim="800000"/>
              <a:headEnd/>
              <a:tailEnd/>
            </a14:hiddenLine>
          </a:ex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chemeClr val="bg2"/>
                </a:outerShdw>
              </a:effectLst>
            </a14:hiddenEffects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14</xdr:col>
      <xdr:colOff>404814</xdr:colOff>
      <xdr:row>1</xdr:row>
      <xdr:rowOff>13970</xdr:rowOff>
    </xdr:from>
    <xdr:to>
      <xdr:col>14</xdr:col>
      <xdr:colOff>1453199</xdr:colOff>
      <xdr:row>4</xdr:row>
      <xdr:rowOff>107950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9E07E18-6385-45C8-8051-866EA2B933EF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7462164" y="191770"/>
          <a:ext cx="1035685" cy="646430"/>
        </a:xfrm>
        <a:prstGeom prst="rect">
          <a:avLst/>
        </a:prstGeom>
        <a:noFill/>
        <a:ln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accent1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chemeClr val="tx1"/>
              </a:solidFill>
              <a:miter lim="800000"/>
              <a:headEnd/>
              <a:tailEnd/>
            </a14:hiddenLine>
          </a:ex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chemeClr val="bg2"/>
                </a:outerShdw>
              </a:effectLst>
            </a14:hiddenEffects>
          </a:ext>
        </a:extLst>
      </xdr:spPr>
    </xdr:pic>
    <xdr:clientData/>
  </xdr:twoCellAnchor>
  <xdr:twoCellAnchor editAs="oneCell">
    <xdr:from>
      <xdr:col>7</xdr:col>
      <xdr:colOff>1103715</xdr:colOff>
      <xdr:row>58</xdr:row>
      <xdr:rowOff>80278</xdr:rowOff>
    </xdr:from>
    <xdr:to>
      <xdr:col>7</xdr:col>
      <xdr:colOff>1104075</xdr:colOff>
      <xdr:row>58</xdr:row>
      <xdr:rowOff>80638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2">
          <xdr14:nvContentPartPr>
            <xdr14:cNvPr id="3" name="Ink 2">
              <a:extLst>
                <a:ext uri="{FF2B5EF4-FFF2-40B4-BE49-F238E27FC236}">
                  <a16:creationId xmlns:a16="http://schemas.microsoft.com/office/drawing/2014/main" id="{64232031-0362-4DC0-EDFF-4D28A54EC0FC}"/>
                </a:ext>
              </a:extLst>
            </xdr14:cNvPr>
            <xdr14:cNvContentPartPr/>
          </xdr14:nvContentPartPr>
          <xdr14:nvPr macro=""/>
          <xdr14:xfrm>
            <a:off x="13533840" y="11772216"/>
            <a:ext cx="360" cy="360"/>
          </xdr14:xfrm>
        </xdr:contentPart>
      </mc:Choice>
      <mc:Fallback xmlns="">
        <xdr:pic>
          <xdr:nvPicPr>
            <xdr:cNvPr id="3" name="Ink 2">
              <a:extLst>
                <a:ext uri="{FF2B5EF4-FFF2-40B4-BE49-F238E27FC236}">
                  <a16:creationId xmlns:a16="http://schemas.microsoft.com/office/drawing/2014/main" id="{64232031-0362-4DC0-EDFF-4D28A54EC0FC}"/>
                </a:ext>
              </a:extLst>
            </xdr:cNvPr>
            <xdr:cNvPicPr/>
          </xdr:nvPicPr>
          <xdr:blipFill>
            <a:blip xmlns:r="http://schemas.openxmlformats.org/officeDocument/2006/relationships" r:embed="rId3"/>
            <a:stretch>
              <a:fillRect/>
            </a:stretch>
          </xdr:blipFill>
          <xdr:spPr>
            <a:xfrm>
              <a:off x="13527720" y="11766096"/>
              <a:ext cx="12600" cy="126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8</xdr:col>
      <xdr:colOff>1380634</xdr:colOff>
      <xdr:row>54</xdr:row>
      <xdr:rowOff>102179</xdr:rowOff>
    </xdr:from>
    <xdr:to>
      <xdr:col>8</xdr:col>
      <xdr:colOff>1380994</xdr:colOff>
      <xdr:row>54</xdr:row>
      <xdr:rowOff>102539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4">
          <xdr14:nvContentPartPr>
            <xdr14:cNvPr id="5" name="Ink 4">
              <a:extLst>
                <a:ext uri="{FF2B5EF4-FFF2-40B4-BE49-F238E27FC236}">
                  <a16:creationId xmlns:a16="http://schemas.microsoft.com/office/drawing/2014/main" id="{EE89257A-7526-2D53-589C-401FB6825FD2}"/>
                </a:ext>
              </a:extLst>
            </xdr14:cNvPr>
            <xdr14:cNvContentPartPr/>
          </xdr14:nvContentPartPr>
          <xdr14:nvPr macro=""/>
          <xdr14:xfrm>
            <a:off x="16001509" y="11079742"/>
            <a:ext cx="360" cy="360"/>
          </xdr14:xfrm>
        </xdr:contentPart>
      </mc:Choice>
      <mc:Fallback xmlns="">
        <xdr:pic>
          <xdr:nvPicPr>
            <xdr:cNvPr id="5" name="Ink 4">
              <a:extLst>
                <a:ext uri="{FF2B5EF4-FFF2-40B4-BE49-F238E27FC236}">
                  <a16:creationId xmlns:a16="http://schemas.microsoft.com/office/drawing/2014/main" id="{EE89257A-7526-2D53-589C-401FB6825FD2}"/>
                </a:ext>
              </a:extLst>
            </xdr:cNvPr>
            <xdr:cNvPicPr/>
          </xdr:nvPicPr>
          <xdr:blipFill>
            <a:blip xmlns:r="http://schemas.openxmlformats.org/officeDocument/2006/relationships" r:embed="rId3"/>
            <a:stretch>
              <a:fillRect/>
            </a:stretch>
          </xdr:blipFill>
          <xdr:spPr>
            <a:xfrm>
              <a:off x="15995389" y="11073622"/>
              <a:ext cx="12600" cy="12600"/>
            </a:xfrm>
            <a:prstGeom prst="rect">
              <a:avLst/>
            </a:prstGeom>
          </xdr:spPr>
        </xdr:pic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969010</xdr:colOff>
      <xdr:row>0</xdr:row>
      <xdr:rowOff>77470</xdr:rowOff>
    </xdr:from>
    <xdr:to>
      <xdr:col>6</xdr:col>
      <xdr:colOff>3387</xdr:colOff>
      <xdr:row>3</xdr:row>
      <xdr:rowOff>165100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1049CFB-491F-4626-9C16-C2337AAF16A4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055860" y="77470"/>
          <a:ext cx="996527" cy="633730"/>
        </a:xfrm>
        <a:prstGeom prst="rect">
          <a:avLst/>
        </a:prstGeom>
        <a:noFill/>
        <a:ln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accent1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chemeClr val="tx1"/>
              </a:solidFill>
              <a:miter lim="800000"/>
              <a:headEnd/>
              <a:tailEnd/>
            </a14:hiddenLine>
          </a:ex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chemeClr val="bg2"/>
                </a:outerShdw>
              </a:effectLst>
            </a14:hiddenEffects>
          </a:ext>
        </a:extLst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129540</xdr:colOff>
      <xdr:row>1</xdr:row>
      <xdr:rowOff>60960</xdr:rowOff>
    </xdr:from>
    <xdr:to>
      <xdr:col>5</xdr:col>
      <xdr:colOff>1132523</xdr:colOff>
      <xdr:row>4</xdr:row>
      <xdr:rowOff>142240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59CEFFC-70BE-402E-813F-EE5D00E2FD0D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822690" y="238760"/>
          <a:ext cx="996633" cy="633730"/>
        </a:xfrm>
        <a:prstGeom prst="rect">
          <a:avLst/>
        </a:prstGeom>
        <a:noFill/>
        <a:ln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accent1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chemeClr val="tx1"/>
              </a:solidFill>
              <a:miter lim="800000"/>
              <a:headEnd/>
              <a:tailEnd/>
            </a14:hiddenLine>
          </a:ex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chemeClr val="bg2"/>
                </a:outerShdw>
              </a:effectLst>
            </a14:hiddenEffects>
          </a:ext>
        </a:extLst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1243330</xdr:colOff>
      <xdr:row>0</xdr:row>
      <xdr:rowOff>80010</xdr:rowOff>
    </xdr:from>
    <xdr:to>
      <xdr:col>4</xdr:col>
      <xdr:colOff>85090</xdr:colOff>
      <xdr:row>3</xdr:row>
      <xdr:rowOff>57150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176AF91-FCE8-4012-A446-3E5B0C88D82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002530" y="80010"/>
          <a:ext cx="969010" cy="523240"/>
        </a:xfrm>
        <a:prstGeom prst="rect">
          <a:avLst/>
        </a:prstGeom>
        <a:noFill/>
        <a:ln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accent1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chemeClr val="tx1"/>
              </a:solidFill>
              <a:miter lim="800000"/>
              <a:headEnd/>
              <a:tailEnd/>
            </a14:hiddenLine>
          </a:ex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chemeClr val="bg2"/>
                </a:outerShdw>
              </a:effectLst>
            </a14:hiddenEffects>
          </a:ext>
        </a:extLst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1104900</xdr:colOff>
      <xdr:row>0</xdr:row>
      <xdr:rowOff>39370</xdr:rowOff>
    </xdr:from>
    <xdr:to>
      <xdr:col>4</xdr:col>
      <xdr:colOff>100251</xdr:colOff>
      <xdr:row>3</xdr:row>
      <xdr:rowOff>38100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D86E93C-FCA0-48A0-AF9F-287DA0C01FD9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572000" y="39370"/>
          <a:ext cx="1033701" cy="544830"/>
        </a:xfrm>
        <a:prstGeom prst="rect">
          <a:avLst/>
        </a:prstGeom>
        <a:noFill/>
        <a:ln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accent1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chemeClr val="tx1"/>
              </a:solidFill>
              <a:miter lim="800000"/>
              <a:headEnd/>
              <a:tailEnd/>
            </a14:hiddenLine>
          </a:ex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chemeClr val="bg2"/>
                </a:outerShdw>
              </a:effectLst>
            </a14:hiddenEffects>
          </a:ext>
        </a:extLst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1080911</xdr:colOff>
      <xdr:row>0</xdr:row>
      <xdr:rowOff>162842</xdr:rowOff>
    </xdr:from>
    <xdr:to>
      <xdr:col>3</xdr:col>
      <xdr:colOff>2035237</xdr:colOff>
      <xdr:row>4</xdr:row>
      <xdr:rowOff>67733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6A1BB4E-DE33-4B4A-BFD1-377E6ADF064B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440061" y="162842"/>
          <a:ext cx="1033701" cy="635141"/>
        </a:xfrm>
        <a:prstGeom prst="rect">
          <a:avLst/>
        </a:prstGeom>
        <a:noFill/>
        <a:ln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accent1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chemeClr val="tx1"/>
              </a:solidFill>
              <a:miter lim="800000"/>
              <a:headEnd/>
              <a:tailEnd/>
            </a14:hiddenLine>
          </a:ex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chemeClr val="bg2"/>
                </a:outerShdw>
              </a:effectLst>
            </a14:hiddenEffects>
          </a:ext>
        </a:extLst>
      </xdr:spPr>
    </xdr:pic>
    <xdr:clientData/>
  </xdr:twoCellAnchor>
</xdr:wsDr>
</file>

<file path=xl/ink/ink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  <inkml:channel name="OA" type="integer" max="360" units="deg"/>
          <inkml:channel name="OE" type="integer" max="90" units="deg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  <inkml:channelProperty channel="OA" name="resolution" value="1000" units="1/deg"/>
          <inkml:channelProperty channel="OE" name="resolution" value="1000" units="1/deg"/>
        </inkml:channelProperties>
      </inkml:inkSource>
      <inkml:timestamp xml:id="ts0" timeString="2025-07-16T13:35:25.510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1 1 13496 0 0,'0'0'-10136'0'0</inkml:trace>
</inkml:ink>
</file>

<file path=xl/ink/ink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  <inkml:channel name="OA" type="integer" max="360" units="deg"/>
          <inkml:channel name="OE" type="integer" max="90" units="deg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  <inkml:channelProperty channel="OA" name="resolution" value="1000" units="1/deg"/>
          <inkml:channelProperty channel="OE" name="resolution" value="1000" units="1/deg"/>
        </inkml:channelProperties>
      </inkml:inkSource>
      <inkml:timestamp xml:id="ts0" timeString="2025-07-16T13:38:04.191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0 0 8312 0 0</inkml:trace>
</inkml: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196C0B-7256-41DC-BB69-23E0FDAD7B6C}">
  <sheetPr>
    <tabColor rgb="FF92D050"/>
  </sheetPr>
  <dimension ref="B2:G42"/>
  <sheetViews>
    <sheetView topLeftCell="A37" workbookViewId="0">
      <selection activeCell="F12" sqref="F12"/>
    </sheetView>
  </sheetViews>
  <sheetFormatPr defaultColWidth="8.84375" defaultRowHeight="14.15" x14ac:dyDescent="0.35"/>
  <cols>
    <col min="1" max="1" width="2.3828125" style="2" customWidth="1"/>
    <col min="2" max="2" width="61.61328125" style="2" customWidth="1"/>
    <col min="3" max="3" width="15" style="2" customWidth="1"/>
    <col min="4" max="4" width="30.61328125" style="2" customWidth="1"/>
    <col min="5" max="5" width="4.84375" style="2" bestFit="1" customWidth="1"/>
    <col min="6" max="6" width="18.84375" style="2" customWidth="1"/>
    <col min="7" max="16384" width="8.84375" style="2"/>
  </cols>
  <sheetData>
    <row r="2" spans="2:6" x14ac:dyDescent="0.35">
      <c r="B2" s="1" t="s">
        <v>0</v>
      </c>
    </row>
    <row r="3" spans="2:6" ht="15" x14ac:dyDescent="0.35">
      <c r="B3" s="1" t="s">
        <v>1</v>
      </c>
      <c r="C3" s="4"/>
      <c r="D3" s="23"/>
    </row>
    <row r="4" spans="2:6" x14ac:dyDescent="0.35">
      <c r="B4" s="5" t="s">
        <v>2</v>
      </c>
      <c r="C4" s="6" t="s">
        <v>238</v>
      </c>
      <c r="D4" s="23"/>
    </row>
    <row r="5" spans="2:6" ht="20.25" customHeight="1" x14ac:dyDescent="0.35">
      <c r="B5" s="7" t="s">
        <v>3</v>
      </c>
      <c r="C5" s="8">
        <v>46022</v>
      </c>
      <c r="D5" s="9"/>
      <c r="F5" s="24"/>
    </row>
    <row r="6" spans="2:6" x14ac:dyDescent="0.35">
      <c r="C6" s="25"/>
      <c r="D6" s="23"/>
    </row>
    <row r="7" spans="2:6" x14ac:dyDescent="0.35">
      <c r="C7" s="152" t="s">
        <v>4</v>
      </c>
      <c r="D7" s="11" t="s">
        <v>5</v>
      </c>
    </row>
    <row r="8" spans="2:6" x14ac:dyDescent="0.35">
      <c r="B8" s="26" t="s">
        <v>6</v>
      </c>
      <c r="C8" s="152"/>
      <c r="D8" s="11" t="s">
        <v>7</v>
      </c>
    </row>
    <row r="9" spans="2:6" ht="14.6" thickBot="1" x14ac:dyDescent="0.4">
      <c r="B9" s="10" t="s">
        <v>8</v>
      </c>
    </row>
    <row r="10" spans="2:6" ht="14.6" thickBot="1" x14ac:dyDescent="0.4">
      <c r="B10" s="27" t="s">
        <v>9</v>
      </c>
      <c r="C10" s="28">
        <v>10</v>
      </c>
      <c r="D10" s="15">
        <f>'Balance Sheet'!D6</f>
        <v>450000000</v>
      </c>
    </row>
    <row r="11" spans="2:6" ht="15" thickTop="1" thickBot="1" x14ac:dyDescent="0.4">
      <c r="B11" s="29" t="s">
        <v>10</v>
      </c>
      <c r="C11" s="30">
        <v>11</v>
      </c>
      <c r="D11" s="15">
        <v>0</v>
      </c>
    </row>
    <row r="12" spans="2:6" ht="15" thickTop="1" thickBot="1" x14ac:dyDescent="0.4">
      <c r="B12" s="29" t="s">
        <v>11</v>
      </c>
      <c r="C12" s="28">
        <v>12</v>
      </c>
      <c r="D12" s="15">
        <f>'Balance Sheet'!D8</f>
        <v>400000000</v>
      </c>
      <c r="F12" s="40"/>
    </row>
    <row r="13" spans="2:6" ht="15" thickTop="1" thickBot="1" x14ac:dyDescent="0.4">
      <c r="B13" s="29" t="s">
        <v>12</v>
      </c>
      <c r="C13" s="30">
        <v>13</v>
      </c>
      <c r="D13" s="15">
        <f>'Balance Sheet'!D7</f>
        <v>60000000</v>
      </c>
    </row>
    <row r="14" spans="2:6" ht="15" thickTop="1" thickBot="1" x14ac:dyDescent="0.4">
      <c r="B14" s="31" t="s">
        <v>13</v>
      </c>
      <c r="C14" s="30">
        <v>15</v>
      </c>
      <c r="D14" s="15">
        <f>SUM(D10:D13)</f>
        <v>910000000</v>
      </c>
    </row>
    <row r="16" spans="2:6" ht="14.6" thickBot="1" x14ac:dyDescent="0.4">
      <c r="B16" s="10" t="s">
        <v>14</v>
      </c>
    </row>
    <row r="17" spans="2:6" ht="14.6" thickBot="1" x14ac:dyDescent="0.4">
      <c r="B17" s="27" t="s">
        <v>15</v>
      </c>
      <c r="C17" s="28">
        <v>16</v>
      </c>
      <c r="D17" s="15">
        <v>0</v>
      </c>
    </row>
    <row r="18" spans="2:6" ht="15" thickTop="1" thickBot="1" x14ac:dyDescent="0.4">
      <c r="B18" s="29" t="s">
        <v>16</v>
      </c>
      <c r="C18" s="30">
        <v>17</v>
      </c>
      <c r="D18" s="15">
        <v>0</v>
      </c>
    </row>
    <row r="19" spans="2:6" ht="15" thickTop="1" thickBot="1" x14ac:dyDescent="0.4">
      <c r="B19" s="29" t="s">
        <v>17</v>
      </c>
      <c r="C19" s="28">
        <v>18</v>
      </c>
      <c r="D19" s="15">
        <v>0</v>
      </c>
    </row>
    <row r="20" spans="2:6" ht="15" thickTop="1" thickBot="1" x14ac:dyDescent="0.4">
      <c r="B20" s="29" t="s">
        <v>18</v>
      </c>
      <c r="C20" s="30">
        <v>19</v>
      </c>
      <c r="D20" s="15">
        <v>0</v>
      </c>
    </row>
    <row r="21" spans="2:6" ht="15" thickTop="1" thickBot="1" x14ac:dyDescent="0.4">
      <c r="B21" s="29" t="s">
        <v>19</v>
      </c>
      <c r="C21" s="28">
        <v>20</v>
      </c>
      <c r="D21" s="15">
        <f>'Balance Sheet'!D9</f>
        <v>350000000</v>
      </c>
    </row>
    <row r="22" spans="2:6" ht="15" thickTop="1" thickBot="1" x14ac:dyDescent="0.4">
      <c r="B22" s="29" t="s">
        <v>20</v>
      </c>
      <c r="C22" s="30">
        <v>21</v>
      </c>
      <c r="D22" s="15">
        <v>0</v>
      </c>
    </row>
    <row r="23" spans="2:6" ht="15" thickTop="1" thickBot="1" x14ac:dyDescent="0.4">
      <c r="B23" s="29" t="s">
        <v>21</v>
      </c>
      <c r="C23" s="28">
        <v>22</v>
      </c>
      <c r="D23" s="15">
        <v>0</v>
      </c>
    </row>
    <row r="24" spans="2:6" ht="15" thickTop="1" thickBot="1" x14ac:dyDescent="0.4">
      <c r="B24" s="29" t="s">
        <v>22</v>
      </c>
      <c r="C24" s="30">
        <v>23</v>
      </c>
      <c r="D24" s="15">
        <v>0</v>
      </c>
    </row>
    <row r="25" spans="2:6" ht="15" thickTop="1" thickBot="1" x14ac:dyDescent="0.4">
      <c r="B25" s="31" t="s">
        <v>13</v>
      </c>
      <c r="C25" s="30">
        <v>24</v>
      </c>
      <c r="D25" s="15">
        <f>SUM(D17:D24)</f>
        <v>350000000</v>
      </c>
    </row>
    <row r="27" spans="2:6" ht="14.6" thickBot="1" x14ac:dyDescent="0.4">
      <c r="B27" s="10" t="s">
        <v>23</v>
      </c>
    </row>
    <row r="28" spans="2:6" ht="15" thickTop="1" thickBot="1" x14ac:dyDescent="0.4">
      <c r="B28" s="27" t="s">
        <v>24</v>
      </c>
      <c r="C28" s="30">
        <v>25</v>
      </c>
      <c r="D28" s="15">
        <f>'Calculations '!D9</f>
        <v>0</v>
      </c>
      <c r="F28" s="32"/>
    </row>
    <row r="29" spans="2:6" ht="15" thickTop="1" thickBot="1" x14ac:dyDescent="0.4">
      <c r="B29" s="27" t="s">
        <v>25</v>
      </c>
      <c r="C29" s="28">
        <f>C28+1</f>
        <v>26</v>
      </c>
      <c r="D29" s="15">
        <f>'Balance Sheet'!D23</f>
        <v>12000000</v>
      </c>
    </row>
    <row r="30" spans="2:6" ht="15" thickTop="1" thickBot="1" x14ac:dyDescent="0.4">
      <c r="B30" s="27" t="s">
        <v>26</v>
      </c>
      <c r="C30" s="28">
        <f t="shared" ref="C30:C35" si="0">C29+1</f>
        <v>27</v>
      </c>
      <c r="D30" s="15">
        <v>0</v>
      </c>
    </row>
    <row r="31" spans="2:6" ht="15.9" thickTop="1" thickBot="1" x14ac:dyDescent="0.4">
      <c r="B31" s="27" t="s">
        <v>27</v>
      </c>
      <c r="C31" s="28">
        <f t="shared" si="0"/>
        <v>28</v>
      </c>
      <c r="D31" s="15">
        <f>'Balance Sheet'!D17</f>
        <v>15000000</v>
      </c>
    </row>
    <row r="32" spans="2:6" ht="15" thickTop="1" thickBot="1" x14ac:dyDescent="0.4">
      <c r="B32" s="27" t="s">
        <v>28</v>
      </c>
      <c r="C32" s="28">
        <f t="shared" si="0"/>
        <v>29</v>
      </c>
      <c r="D32" s="15">
        <f>'Calculations '!F32</f>
        <v>0</v>
      </c>
    </row>
    <row r="33" spans="2:7" ht="15" thickTop="1" thickBot="1" x14ac:dyDescent="0.4">
      <c r="B33" s="27" t="s">
        <v>29</v>
      </c>
      <c r="C33" s="28">
        <f t="shared" si="0"/>
        <v>30</v>
      </c>
      <c r="D33" s="150">
        <f>MAX(0,('Calculations '!L2-('Balance Sheet'!D39+'Balance Sheet'!D40)))</f>
        <v>312380000</v>
      </c>
    </row>
    <row r="34" spans="2:7" ht="15" thickTop="1" thickBot="1" x14ac:dyDescent="0.4">
      <c r="B34" s="33" t="s">
        <v>30</v>
      </c>
      <c r="C34" s="28">
        <f t="shared" si="0"/>
        <v>31</v>
      </c>
      <c r="D34" s="15">
        <f>'Balance Sheet'!D24</f>
        <v>41000000</v>
      </c>
    </row>
    <row r="35" spans="2:7" ht="15" thickTop="1" thickBot="1" x14ac:dyDescent="0.4">
      <c r="B35" s="31" t="s">
        <v>13</v>
      </c>
      <c r="C35" s="28">
        <f t="shared" si="0"/>
        <v>32</v>
      </c>
      <c r="D35" s="15">
        <f>SUM(D28:D34)</f>
        <v>380380000</v>
      </c>
    </row>
    <row r="36" spans="2:7" ht="14.6" thickBot="1" x14ac:dyDescent="0.4"/>
    <row r="37" spans="2:7" ht="15" thickTop="1" thickBot="1" x14ac:dyDescent="0.4">
      <c r="B37" s="31" t="s">
        <v>1</v>
      </c>
      <c r="C37" s="28">
        <f>C35+1</f>
        <v>33</v>
      </c>
      <c r="D37" s="15">
        <f>D14+D25-D35</f>
        <v>879620000</v>
      </c>
    </row>
    <row r="39" spans="2:7" ht="16.3" x14ac:dyDescent="0.35">
      <c r="B39" s="34" t="s">
        <v>31</v>
      </c>
    </row>
    <row r="42" spans="2:7" x14ac:dyDescent="0.35">
      <c r="G42" s="2" t="s">
        <v>32</v>
      </c>
    </row>
  </sheetData>
  <mergeCells count="1">
    <mergeCell ref="C7:C8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AA0B16-D5E8-4748-8F34-8701DD772346}">
  <sheetPr>
    <tabColor rgb="FF92D050"/>
  </sheetPr>
  <dimension ref="B2:P61"/>
  <sheetViews>
    <sheetView topLeftCell="A5" zoomScale="80" zoomScaleNormal="80" workbookViewId="0">
      <selection activeCell="G12" sqref="G12"/>
    </sheetView>
  </sheetViews>
  <sheetFormatPr defaultColWidth="8.84375" defaultRowHeight="14.15" x14ac:dyDescent="0.35"/>
  <cols>
    <col min="1" max="1" width="2.3828125" style="2" customWidth="1"/>
    <col min="2" max="2" width="35.07421875" style="2" bestFit="1" customWidth="1"/>
    <col min="3" max="3" width="13.84375" style="2" customWidth="1"/>
    <col min="4" max="16" width="30.61328125" style="2" customWidth="1"/>
    <col min="17" max="17" width="15.84375" style="2" customWidth="1"/>
    <col min="18" max="16384" width="8.84375" style="2"/>
  </cols>
  <sheetData>
    <row r="2" spans="2:16" x14ac:dyDescent="0.35">
      <c r="B2" s="1" t="s">
        <v>33</v>
      </c>
    </row>
    <row r="3" spans="2:16" ht="15" x14ac:dyDescent="0.35">
      <c r="B3" s="1" t="s">
        <v>34</v>
      </c>
      <c r="C3" s="4"/>
      <c r="D3" s="4"/>
      <c r="E3" s="4"/>
      <c r="F3" s="23"/>
      <c r="G3" s="23"/>
      <c r="H3" s="23"/>
      <c r="I3" s="23"/>
    </row>
    <row r="4" spans="2:16" x14ac:dyDescent="0.35">
      <c r="B4" s="5" t="s">
        <v>2</v>
      </c>
      <c r="C4" s="6" t="str">
        <f>'41-1A'!C4</f>
        <v>YY INSURANCE COMPANY LIMITED</v>
      </c>
      <c r="D4" s="6"/>
      <c r="E4" s="6"/>
      <c r="F4" s="23"/>
      <c r="G4" s="23"/>
      <c r="H4" s="23"/>
      <c r="I4" s="23"/>
    </row>
    <row r="5" spans="2:16" ht="14.5" customHeight="1" x14ac:dyDescent="0.35">
      <c r="B5" s="7" t="s">
        <v>3</v>
      </c>
      <c r="C5" s="100">
        <f>'41-1A'!C5</f>
        <v>46022</v>
      </c>
      <c r="D5" s="35"/>
      <c r="E5" s="35"/>
      <c r="F5" s="9"/>
      <c r="G5" s="9"/>
      <c r="H5" s="9"/>
      <c r="I5" s="9"/>
      <c r="J5" s="9"/>
      <c r="K5" s="9"/>
      <c r="L5" s="9"/>
      <c r="M5" s="9"/>
      <c r="N5" s="9"/>
      <c r="O5" s="9"/>
      <c r="P5" s="9"/>
    </row>
    <row r="6" spans="2:16" x14ac:dyDescent="0.35">
      <c r="B6" s="10"/>
    </row>
    <row r="7" spans="2:16" ht="38.5" customHeight="1" x14ac:dyDescent="0.35">
      <c r="B7" s="152" t="s">
        <v>35</v>
      </c>
      <c r="C7" s="155" t="s">
        <v>4</v>
      </c>
      <c r="D7" s="160" t="s">
        <v>36</v>
      </c>
      <c r="E7" s="161"/>
      <c r="F7" s="162"/>
      <c r="G7" s="152" t="s">
        <v>37</v>
      </c>
      <c r="H7" s="152"/>
      <c r="I7" s="152"/>
      <c r="J7" s="152"/>
      <c r="K7" s="152"/>
      <c r="L7" s="152"/>
      <c r="M7" s="153" t="s">
        <v>38</v>
      </c>
    </row>
    <row r="8" spans="2:16" ht="49.5" customHeight="1" x14ac:dyDescent="0.35">
      <c r="B8" s="152"/>
      <c r="C8" s="156"/>
      <c r="D8" s="11" t="s">
        <v>39</v>
      </c>
      <c r="E8" s="11" t="s">
        <v>40</v>
      </c>
      <c r="F8" s="11" t="s">
        <v>41</v>
      </c>
      <c r="G8" s="11" t="s">
        <v>42</v>
      </c>
      <c r="H8" s="11" t="s">
        <v>43</v>
      </c>
      <c r="I8" s="11" t="s">
        <v>44</v>
      </c>
      <c r="J8" s="11" t="s">
        <v>45</v>
      </c>
      <c r="K8" s="11" t="s">
        <v>46</v>
      </c>
      <c r="L8" s="11" t="s">
        <v>47</v>
      </c>
      <c r="M8" s="154"/>
    </row>
    <row r="9" spans="2:16" ht="19.5" customHeight="1" x14ac:dyDescent="0.35">
      <c r="B9" s="11"/>
      <c r="C9" s="11"/>
      <c r="D9" s="11" t="s">
        <v>7</v>
      </c>
      <c r="E9" s="11" t="s">
        <v>48</v>
      </c>
      <c r="F9" s="11" t="s">
        <v>49</v>
      </c>
      <c r="G9" s="11" t="s">
        <v>50</v>
      </c>
      <c r="H9" s="11" t="s">
        <v>51</v>
      </c>
      <c r="I9" s="11" t="s">
        <v>52</v>
      </c>
      <c r="J9" s="11" t="s">
        <v>53</v>
      </c>
      <c r="K9" s="11" t="s">
        <v>54</v>
      </c>
      <c r="L9" s="11" t="s">
        <v>55</v>
      </c>
      <c r="M9" s="11" t="s">
        <v>56</v>
      </c>
    </row>
    <row r="10" spans="2:16" ht="15.55" customHeight="1" x14ac:dyDescent="0.35">
      <c r="B10" s="10" t="s">
        <v>57</v>
      </c>
      <c r="C10" s="10"/>
      <c r="D10" s="10"/>
      <c r="E10" s="10"/>
      <c r="F10" s="10"/>
    </row>
    <row r="11" spans="2:16" ht="15.55" customHeight="1" x14ac:dyDescent="0.35">
      <c r="B11" s="17" t="s">
        <v>58</v>
      </c>
      <c r="C11" s="38">
        <v>11</v>
      </c>
      <c r="D11" s="39"/>
      <c r="E11" s="39"/>
      <c r="F11" s="39"/>
      <c r="G11" s="39"/>
      <c r="H11" s="39"/>
      <c r="I11" s="39"/>
      <c r="J11" s="39"/>
      <c r="K11" s="39"/>
      <c r="L11" s="39"/>
      <c r="M11" s="39"/>
      <c r="N11" s="40"/>
      <c r="O11" s="40"/>
      <c r="P11" s="40"/>
    </row>
    <row r="12" spans="2:16" ht="15.55" customHeight="1" x14ac:dyDescent="0.35">
      <c r="B12" s="41" t="s">
        <v>59</v>
      </c>
      <c r="C12" s="38">
        <v>12</v>
      </c>
      <c r="D12" s="42">
        <f>_xlfn.XLOOKUP(B12,'Calculations '!$K$32:$K$36,'Calculations '!$L$32:$L$36)</f>
        <v>10500000</v>
      </c>
      <c r="E12" s="42">
        <f>_xlfn.XLOOKUP(B12,'Calculations '!$K$32:$K$36,'Calculations '!$M$32:$M$36)</f>
        <v>500000</v>
      </c>
      <c r="F12" s="42">
        <f>SUM(D12:E12)</f>
        <v>11000000</v>
      </c>
      <c r="G12" s="151">
        <f>(D12*(1+0.06))-D12</f>
        <v>630000</v>
      </c>
      <c r="H12" s="42">
        <f>(D12*(1+0.07))-D12</f>
        <v>735000</v>
      </c>
      <c r="I12" s="42">
        <f>(D12*(1+0.15))-D12</f>
        <v>1574999.9999999981</v>
      </c>
      <c r="J12" s="42">
        <f>(D12*(1+0.05))-D12</f>
        <v>525000</v>
      </c>
      <c r="K12" s="42">
        <f>(D12*(1+0.05))-D12</f>
        <v>525000</v>
      </c>
      <c r="L12" s="42">
        <f>(D12*0.0015)</f>
        <v>15750</v>
      </c>
      <c r="M12" s="39">
        <f>((G12^2)+(H12^2)+(I12^2)+(J12^2)+(K12^2)+(L12^2))^0.5</f>
        <v>1992297.1822747716</v>
      </c>
      <c r="N12" s="40"/>
      <c r="O12" s="40"/>
      <c r="P12" s="40"/>
    </row>
    <row r="13" spans="2:16" ht="15.55" customHeight="1" x14ac:dyDescent="0.35">
      <c r="B13" s="43" t="s">
        <v>60</v>
      </c>
      <c r="C13" s="38">
        <v>13</v>
      </c>
      <c r="D13" s="42">
        <f>_xlfn.XLOOKUP(B13,'Calculations '!$K$32:$K$36,'Calculations '!$L$32:$L$36)</f>
        <v>15000000</v>
      </c>
      <c r="E13" s="42">
        <f>_xlfn.XLOOKUP(B13,'Calculations '!$K$32:$K$36,'Calculations '!$M$32:$M$36)</f>
        <v>1500000</v>
      </c>
      <c r="F13" s="42">
        <f t="shared" ref="F13:F16" si="0">SUM(D13:E13)</f>
        <v>16500000</v>
      </c>
      <c r="G13" s="42">
        <f t="shared" ref="G13:G16" si="1">(D13*(1+0.06))-D13</f>
        <v>900000</v>
      </c>
      <c r="H13" s="42">
        <f t="shared" ref="H13:H16" si="2">(D13*(1+0.07))-D13</f>
        <v>1050000.0000000019</v>
      </c>
      <c r="I13" s="42">
        <f t="shared" ref="I13:I16" si="3">(D13*(1+0.15))-D13</f>
        <v>2250000</v>
      </c>
      <c r="J13" s="42">
        <f t="shared" ref="J13:J16" si="4">(D13*(1+0.05))-D13</f>
        <v>750000</v>
      </c>
      <c r="K13" s="42">
        <f t="shared" ref="K13:K16" si="5">(D13*(1+0.05))-D13</f>
        <v>750000</v>
      </c>
      <c r="L13" s="42">
        <f t="shared" ref="L13:L16" si="6">(D13*0.0015)</f>
        <v>22500</v>
      </c>
      <c r="M13" s="39">
        <f t="shared" ref="M13:M25" si="7">((G13^2)+(H13^2)+(I13^2)+(J13^2)+(K13^2)+(L13^2))^0.5</f>
        <v>2846138.831821105</v>
      </c>
      <c r="N13" s="40"/>
      <c r="O13" s="40"/>
      <c r="P13" s="40"/>
    </row>
    <row r="14" spans="2:16" ht="15.55" customHeight="1" x14ac:dyDescent="0.35">
      <c r="B14" s="41" t="s">
        <v>61</v>
      </c>
      <c r="C14" s="38">
        <v>14</v>
      </c>
      <c r="D14" s="42">
        <f>_xlfn.XLOOKUP(B14,'Calculations '!$K$32:$K$36,'Calculations '!$L$32:$L$36)</f>
        <v>17500000</v>
      </c>
      <c r="E14" s="42">
        <f>_xlfn.XLOOKUP(B14,'Calculations '!$K$32:$K$36,'Calculations '!$M$32:$M$36)</f>
        <v>4000000</v>
      </c>
      <c r="F14" s="42">
        <f t="shared" si="0"/>
        <v>21500000</v>
      </c>
      <c r="G14" s="42">
        <f t="shared" si="1"/>
        <v>1050000</v>
      </c>
      <c r="H14" s="42">
        <f t="shared" si="2"/>
        <v>1225000</v>
      </c>
      <c r="I14" s="42">
        <f t="shared" si="3"/>
        <v>2625000</v>
      </c>
      <c r="J14" s="42">
        <f t="shared" si="4"/>
        <v>875000</v>
      </c>
      <c r="K14" s="42">
        <f t="shared" si="5"/>
        <v>875000</v>
      </c>
      <c r="L14" s="42">
        <f t="shared" si="6"/>
        <v>26250</v>
      </c>
      <c r="M14" s="39">
        <f t="shared" si="7"/>
        <v>3320495.3037912883</v>
      </c>
      <c r="N14" s="40"/>
      <c r="O14" s="40"/>
      <c r="P14" s="40"/>
    </row>
    <row r="15" spans="2:16" ht="15.55" customHeight="1" x14ac:dyDescent="0.35">
      <c r="B15" s="41" t="s">
        <v>62</v>
      </c>
      <c r="C15" s="38">
        <v>15</v>
      </c>
      <c r="D15" s="42">
        <f>_xlfn.XLOOKUP(B15,'Calculations '!$K$32:$K$36,'Calculations '!$L$32:$L$36)</f>
        <v>0</v>
      </c>
      <c r="E15" s="42">
        <f>_xlfn.XLOOKUP(B15,'Calculations '!$K$32:$K$36,'Calculations '!$M$32:$M$36)</f>
        <v>0</v>
      </c>
      <c r="F15" s="42">
        <f t="shared" si="0"/>
        <v>0</v>
      </c>
      <c r="G15" s="42">
        <f t="shared" si="1"/>
        <v>0</v>
      </c>
      <c r="H15" s="42">
        <f t="shared" si="2"/>
        <v>0</v>
      </c>
      <c r="I15" s="42">
        <f t="shared" si="3"/>
        <v>0</v>
      </c>
      <c r="J15" s="42">
        <f t="shared" si="4"/>
        <v>0</v>
      </c>
      <c r="K15" s="42">
        <f t="shared" si="5"/>
        <v>0</v>
      </c>
      <c r="L15" s="42">
        <f t="shared" si="6"/>
        <v>0</v>
      </c>
      <c r="M15" s="39">
        <f t="shared" si="7"/>
        <v>0</v>
      </c>
      <c r="N15" s="40"/>
      <c r="O15" s="40"/>
      <c r="P15" s="40"/>
    </row>
    <row r="16" spans="2:16" ht="15.55" customHeight="1" x14ac:dyDescent="0.35">
      <c r="B16" s="41" t="s">
        <v>63</v>
      </c>
      <c r="C16" s="38">
        <v>16</v>
      </c>
      <c r="D16" s="42">
        <f>_xlfn.XLOOKUP(B16,'Calculations '!$K$32:$K$36,'Calculations '!$L$32:$L$36)</f>
        <v>7000000</v>
      </c>
      <c r="E16" s="42">
        <f>_xlfn.XLOOKUP(B16,'Calculations '!$K$32:$K$36,'Calculations '!$M$32:$M$36)</f>
        <v>500000</v>
      </c>
      <c r="F16" s="42">
        <f t="shared" si="0"/>
        <v>7500000</v>
      </c>
      <c r="G16" s="42">
        <f t="shared" si="1"/>
        <v>420000</v>
      </c>
      <c r="H16" s="42">
        <f t="shared" si="2"/>
        <v>490000</v>
      </c>
      <c r="I16" s="42">
        <f t="shared" si="3"/>
        <v>1049999.9999999991</v>
      </c>
      <c r="J16" s="42">
        <f t="shared" si="4"/>
        <v>350000</v>
      </c>
      <c r="K16" s="42">
        <f t="shared" si="5"/>
        <v>350000</v>
      </c>
      <c r="L16" s="42">
        <f t="shared" si="6"/>
        <v>10500</v>
      </c>
      <c r="M16" s="39">
        <f t="shared" si="7"/>
        <v>1328198.1215165146</v>
      </c>
      <c r="N16" s="40"/>
      <c r="O16" s="40"/>
      <c r="P16" s="40"/>
    </row>
    <row r="17" spans="2:16" ht="15.55" customHeight="1" x14ac:dyDescent="0.35">
      <c r="B17" s="17" t="s">
        <v>64</v>
      </c>
      <c r="C17" s="38">
        <v>17</v>
      </c>
      <c r="D17" s="39"/>
      <c r="E17" s="39"/>
      <c r="F17" s="39"/>
      <c r="G17" s="39"/>
      <c r="H17" s="39"/>
      <c r="I17" s="39"/>
      <c r="J17" s="39"/>
      <c r="K17" s="39"/>
      <c r="L17" s="39"/>
      <c r="M17" s="39"/>
      <c r="N17" s="40"/>
      <c r="O17" s="40"/>
      <c r="P17" s="40"/>
    </row>
    <row r="18" spans="2:16" ht="15.55" customHeight="1" x14ac:dyDescent="0.35">
      <c r="B18" s="41" t="s">
        <v>65</v>
      </c>
      <c r="C18" s="38">
        <v>18</v>
      </c>
      <c r="D18" s="42">
        <f>_xlfn.XLOOKUP(B18,'Calculations '!$K$38:$K$40,'Calculations '!$L$38:$L$40)</f>
        <v>0</v>
      </c>
      <c r="E18" s="42">
        <f>_xlfn.XLOOKUP(B18,'Calculations '!$K$38:$K$40,'Calculations '!$M$38:$M$40)</f>
        <v>0</v>
      </c>
      <c r="F18" s="42">
        <f>SUM(D18:E18)</f>
        <v>0</v>
      </c>
      <c r="G18" s="42">
        <f t="shared" ref="G18:G20" si="8">(D18*(1+0.06))-D18</f>
        <v>0</v>
      </c>
      <c r="H18" s="42">
        <f t="shared" ref="H18:H20" si="9">(D18*(1+0.07))-D18</f>
        <v>0</v>
      </c>
      <c r="I18" s="42">
        <f t="shared" ref="I18:I20" si="10">(D18*(1+0.15))-D18</f>
        <v>0</v>
      </c>
      <c r="J18" s="42">
        <f t="shared" ref="J18:J20" si="11">(D18*(1+0.05))-D18</f>
        <v>0</v>
      </c>
      <c r="K18" s="42">
        <f t="shared" ref="K18:K20" si="12">(D18*(1+0.05))-D18</f>
        <v>0</v>
      </c>
      <c r="L18" s="42">
        <f t="shared" ref="L18:L20" si="13">(D18*0.0015)</f>
        <v>0</v>
      </c>
      <c r="M18" s="39">
        <f t="shared" si="7"/>
        <v>0</v>
      </c>
      <c r="N18" s="40"/>
      <c r="O18" s="40"/>
      <c r="P18" s="40"/>
    </row>
    <row r="19" spans="2:16" ht="15.55" customHeight="1" x14ac:dyDescent="0.35">
      <c r="B19" s="43" t="s">
        <v>66</v>
      </c>
      <c r="C19" s="38">
        <v>19</v>
      </c>
      <c r="D19" s="42">
        <f>_xlfn.XLOOKUP(B19,'Calculations '!$K$38:$K$40,'Calculations '!$L$38:$L$40)</f>
        <v>20000000</v>
      </c>
      <c r="E19" s="42">
        <f>_xlfn.XLOOKUP(B19,'Calculations '!$K$38:$K$40,'Calculations '!$M$38:$M$40)</f>
        <v>3000000</v>
      </c>
      <c r="F19" s="42">
        <f>SUM(D19:E19)</f>
        <v>23000000</v>
      </c>
      <c r="G19" s="42">
        <f t="shared" si="8"/>
        <v>1200000</v>
      </c>
      <c r="H19" s="42">
        <f t="shared" si="9"/>
        <v>1400000</v>
      </c>
      <c r="I19" s="42">
        <f t="shared" si="10"/>
        <v>3000000</v>
      </c>
      <c r="J19" s="42">
        <f t="shared" si="11"/>
        <v>1000000</v>
      </c>
      <c r="K19" s="42">
        <f t="shared" si="12"/>
        <v>1000000</v>
      </c>
      <c r="L19" s="42">
        <f t="shared" si="13"/>
        <v>30000</v>
      </c>
      <c r="M19" s="39">
        <f t="shared" si="7"/>
        <v>3794851.7757614725</v>
      </c>
      <c r="N19" s="40"/>
      <c r="O19" s="40"/>
      <c r="P19" s="40"/>
    </row>
    <row r="20" spans="2:16" ht="15.55" customHeight="1" x14ac:dyDescent="0.35">
      <c r="B20" s="41" t="s">
        <v>63</v>
      </c>
      <c r="C20" s="38">
        <v>20</v>
      </c>
      <c r="D20" s="42">
        <f>_xlfn.XLOOKUP(B20,'Calculations '!$K$38:$K$40,'Calculations '!$L$38:$L$40)</f>
        <v>3000000</v>
      </c>
      <c r="E20" s="42">
        <f>_xlfn.XLOOKUP(B20,'Calculations '!$K$38:$K$40,'Calculations '!$M$38:$M$40)</f>
        <v>400000</v>
      </c>
      <c r="F20" s="42">
        <f>SUM(D20:E20)</f>
        <v>3400000</v>
      </c>
      <c r="G20" s="42">
        <f t="shared" si="8"/>
        <v>180000</v>
      </c>
      <c r="H20" s="42">
        <f t="shared" si="9"/>
        <v>210000</v>
      </c>
      <c r="I20" s="42">
        <f t="shared" si="10"/>
        <v>449999.99999999953</v>
      </c>
      <c r="J20" s="42">
        <f t="shared" si="11"/>
        <v>150000</v>
      </c>
      <c r="K20" s="42">
        <f t="shared" si="12"/>
        <v>150000</v>
      </c>
      <c r="L20" s="42">
        <f t="shared" si="13"/>
        <v>4500</v>
      </c>
      <c r="M20" s="39">
        <f t="shared" si="7"/>
        <v>569227.76636422053</v>
      </c>
      <c r="N20" s="40"/>
      <c r="O20" s="40"/>
      <c r="P20" s="40"/>
    </row>
    <row r="21" spans="2:16" ht="15.55" customHeight="1" x14ac:dyDescent="0.35">
      <c r="B21" s="17" t="s">
        <v>67</v>
      </c>
      <c r="C21" s="38">
        <v>21</v>
      </c>
      <c r="D21" s="39"/>
      <c r="E21" s="39"/>
      <c r="F21" s="39"/>
      <c r="G21" s="39"/>
      <c r="H21" s="39"/>
      <c r="I21" s="39"/>
      <c r="J21" s="39"/>
      <c r="K21" s="39"/>
      <c r="L21" s="39"/>
      <c r="M21" s="39"/>
      <c r="N21" s="40"/>
      <c r="O21" s="40"/>
      <c r="P21" s="40"/>
    </row>
    <row r="22" spans="2:16" ht="15.55" customHeight="1" x14ac:dyDescent="0.35">
      <c r="B22" s="41" t="s">
        <v>59</v>
      </c>
      <c r="C22" s="38">
        <v>22</v>
      </c>
      <c r="D22" s="42">
        <f>_xlfn.XLOOKUP(B22,'Calculations '!$K$42:$K$45,'Calculations '!$L$42:$L$45)</f>
        <v>0</v>
      </c>
      <c r="E22" s="42">
        <f>_xlfn.XLOOKUP(B22,'Calculations '!$K$42:$K$45,'Calculations '!$M$42:$M$45)</f>
        <v>0</v>
      </c>
      <c r="F22" s="42">
        <f>SUM(D22:E22)</f>
        <v>0</v>
      </c>
      <c r="G22" s="42">
        <f t="shared" ref="G22:G25" si="14">(D22*(1+0.06))-D22</f>
        <v>0</v>
      </c>
      <c r="H22" s="42">
        <f t="shared" ref="H22:H25" si="15">(D22*(1+0.07))-D22</f>
        <v>0</v>
      </c>
      <c r="I22" s="42">
        <f t="shared" ref="I22:I25" si="16">(D22*(1+0.15))-D22</f>
        <v>0</v>
      </c>
      <c r="J22" s="42">
        <f t="shared" ref="J22:J25" si="17">(D22*(1+0.05))-D22</f>
        <v>0</v>
      </c>
      <c r="K22" s="42">
        <f t="shared" ref="K22:K25" si="18">(D22*(1+0.05))-D22</f>
        <v>0</v>
      </c>
      <c r="L22" s="42">
        <f t="shared" ref="L22:L25" si="19">(D22*0.0015)</f>
        <v>0</v>
      </c>
      <c r="M22" s="39">
        <f t="shared" si="7"/>
        <v>0</v>
      </c>
      <c r="N22" s="40"/>
      <c r="O22" s="40"/>
      <c r="P22" s="40"/>
    </row>
    <row r="23" spans="2:16" ht="15.55" customHeight="1" x14ac:dyDescent="0.35">
      <c r="B23" s="43" t="s">
        <v>60</v>
      </c>
      <c r="C23" s="38">
        <v>23</v>
      </c>
      <c r="D23" s="42">
        <f>_xlfn.XLOOKUP(B23,'Calculations '!$K$42:$K$45,'Calculations '!$L$42:$L$45)</f>
        <v>14000000</v>
      </c>
      <c r="E23" s="42">
        <f>_xlfn.XLOOKUP(B23,'Calculations '!$K$42:$K$45,'Calculations '!$M$42:$M$45)</f>
        <v>1000000</v>
      </c>
      <c r="F23" s="42">
        <f>SUM(D23:E23)</f>
        <v>15000000</v>
      </c>
      <c r="G23" s="42">
        <f t="shared" si="14"/>
        <v>840000</v>
      </c>
      <c r="H23" s="42">
        <f t="shared" si="15"/>
        <v>980000</v>
      </c>
      <c r="I23" s="42">
        <f t="shared" si="16"/>
        <v>2099999.9999999981</v>
      </c>
      <c r="J23" s="42">
        <f t="shared" si="17"/>
        <v>700000</v>
      </c>
      <c r="K23" s="42">
        <f t="shared" si="18"/>
        <v>700000</v>
      </c>
      <c r="L23" s="42">
        <f t="shared" si="19"/>
        <v>21000</v>
      </c>
      <c r="M23" s="39">
        <f t="shared" si="7"/>
        <v>2656396.2430330291</v>
      </c>
      <c r="N23" s="40"/>
      <c r="O23" s="40"/>
      <c r="P23" s="40"/>
    </row>
    <row r="24" spans="2:16" ht="15.55" customHeight="1" x14ac:dyDescent="0.35">
      <c r="B24" s="41" t="s">
        <v>61</v>
      </c>
      <c r="C24" s="38">
        <v>24</v>
      </c>
      <c r="D24" s="42">
        <f>_xlfn.XLOOKUP(B24,'Calculations '!$K$42:$K$45,'Calculations '!$L$42:$L$45)</f>
        <v>0</v>
      </c>
      <c r="E24" s="42">
        <f>_xlfn.XLOOKUP(B24,'Calculations '!$K$42:$K$45,'Calculations '!$M$42:$M$45)</f>
        <v>0</v>
      </c>
      <c r="F24" s="42">
        <f>SUM(D24:E24)</f>
        <v>0</v>
      </c>
      <c r="G24" s="42">
        <f t="shared" si="14"/>
        <v>0</v>
      </c>
      <c r="H24" s="42">
        <f t="shared" si="15"/>
        <v>0</v>
      </c>
      <c r="I24" s="42">
        <f t="shared" si="16"/>
        <v>0</v>
      </c>
      <c r="J24" s="42">
        <f t="shared" si="17"/>
        <v>0</v>
      </c>
      <c r="K24" s="42">
        <f t="shared" si="18"/>
        <v>0</v>
      </c>
      <c r="L24" s="42">
        <f t="shared" si="19"/>
        <v>0</v>
      </c>
      <c r="M24" s="39">
        <f t="shared" si="7"/>
        <v>0</v>
      </c>
      <c r="N24" s="40"/>
      <c r="O24" s="40"/>
      <c r="P24" s="40"/>
    </row>
    <row r="25" spans="2:16" ht="15.55" customHeight="1" x14ac:dyDescent="0.35">
      <c r="B25" s="44" t="s">
        <v>62</v>
      </c>
      <c r="C25" s="45">
        <v>25</v>
      </c>
      <c r="D25" s="42">
        <f>_xlfn.XLOOKUP(B25,'Calculations '!$K$42:$K$45,'Calculations '!$L$42:$L$45)</f>
        <v>0</v>
      </c>
      <c r="E25" s="42">
        <f>_xlfn.XLOOKUP(B25,'Calculations '!$K$42:$K$45,'Calculations '!$M$42:$M$45)</f>
        <v>0</v>
      </c>
      <c r="F25" s="42">
        <f>SUM(D25:E25)</f>
        <v>0</v>
      </c>
      <c r="G25" s="42">
        <f t="shared" si="14"/>
        <v>0</v>
      </c>
      <c r="H25" s="42">
        <f t="shared" si="15"/>
        <v>0</v>
      </c>
      <c r="I25" s="42">
        <f t="shared" si="16"/>
        <v>0</v>
      </c>
      <c r="J25" s="42">
        <f t="shared" si="17"/>
        <v>0</v>
      </c>
      <c r="K25" s="42">
        <f t="shared" si="18"/>
        <v>0</v>
      </c>
      <c r="L25" s="42">
        <f t="shared" si="19"/>
        <v>0</v>
      </c>
      <c r="M25" s="39">
        <f t="shared" si="7"/>
        <v>0</v>
      </c>
      <c r="N25" s="40"/>
      <c r="O25" s="40"/>
      <c r="P25" s="40"/>
    </row>
    <row r="26" spans="2:16" ht="15.55" customHeight="1" x14ac:dyDescent="0.35">
      <c r="B26" s="47" t="s">
        <v>68</v>
      </c>
      <c r="C26" s="48"/>
      <c r="D26" s="49">
        <f>SUM(D12:D16)+SUM(D18:D20)+SUM(D22:D25)</f>
        <v>87000000</v>
      </c>
      <c r="E26" s="49">
        <f>SUM(E12:E16)+SUM(E18:E20)+SUM(E22:E25)</f>
        <v>10900000</v>
      </c>
      <c r="F26" s="49">
        <f t="shared" ref="F26" si="20">SUM(F12:F16)+SUM(F18:F20)+SUM(F22:F25)</f>
        <v>97900000</v>
      </c>
      <c r="G26" s="49">
        <f t="shared" ref="G26:L26" si="21">SUM(G12:G16)+SUM(G18:G20)+SUM(G22:G25)</f>
        <v>5220000</v>
      </c>
      <c r="H26" s="49">
        <f t="shared" si="21"/>
        <v>6090000.0000000019</v>
      </c>
      <c r="I26" s="49">
        <f t="shared" si="21"/>
        <v>13049999.999999994</v>
      </c>
      <c r="J26" s="49">
        <f t="shared" si="21"/>
        <v>4350000</v>
      </c>
      <c r="K26" s="49">
        <f t="shared" si="21"/>
        <v>4350000</v>
      </c>
      <c r="L26" s="49">
        <f t="shared" si="21"/>
        <v>130500</v>
      </c>
      <c r="M26" s="39">
        <f>SUM(M12:M25)</f>
        <v>16507605.224562401</v>
      </c>
      <c r="N26" s="40"/>
      <c r="O26" s="40"/>
      <c r="P26" s="40"/>
    </row>
    <row r="27" spans="2:16" ht="5.25" customHeight="1" x14ac:dyDescent="0.35">
      <c r="D27" s="40"/>
      <c r="E27" s="40"/>
      <c r="F27" s="40"/>
      <c r="G27" s="40"/>
      <c r="H27" s="40"/>
      <c r="I27" s="40"/>
      <c r="J27" s="40"/>
      <c r="K27" s="40"/>
      <c r="L27" s="40"/>
      <c r="M27" s="40"/>
      <c r="N27" s="40"/>
      <c r="O27" s="40"/>
      <c r="P27" s="40"/>
    </row>
    <row r="28" spans="2:16" ht="15.55" customHeight="1" x14ac:dyDescent="0.35">
      <c r="B28" s="10" t="s">
        <v>69</v>
      </c>
      <c r="C28" s="10"/>
      <c r="D28" s="50"/>
      <c r="E28" s="50"/>
      <c r="F28" s="50"/>
      <c r="G28" s="50"/>
      <c r="H28" s="50"/>
      <c r="I28" s="50"/>
      <c r="J28" s="50"/>
      <c r="K28" s="50"/>
      <c r="L28" s="50"/>
      <c r="M28" s="50"/>
      <c r="N28" s="50"/>
      <c r="O28" s="50"/>
      <c r="P28" s="50"/>
    </row>
    <row r="29" spans="2:16" ht="15.55" customHeight="1" x14ac:dyDescent="0.35">
      <c r="B29" s="17" t="s">
        <v>58</v>
      </c>
      <c r="C29" s="38">
        <v>26</v>
      </c>
      <c r="D29" s="39"/>
      <c r="E29" s="39"/>
      <c r="F29" s="39"/>
      <c r="G29" s="39"/>
      <c r="H29" s="39"/>
      <c r="I29" s="39"/>
      <c r="J29" s="39"/>
      <c r="K29" s="39"/>
      <c r="L29" s="39"/>
      <c r="M29" s="39"/>
    </row>
    <row r="30" spans="2:16" ht="15.55" customHeight="1" x14ac:dyDescent="0.35">
      <c r="B30" s="41" t="s">
        <v>59</v>
      </c>
      <c r="C30" s="38">
        <v>27</v>
      </c>
      <c r="D30" s="42">
        <f>_xlfn.XLOOKUP(B30,'Calculations '!$P$32:$P$36,'Calculations '!$Q$32:$Q$36)</f>
        <v>15000000</v>
      </c>
      <c r="E30" s="42">
        <f>_xlfn.XLOOKUP(B30,'Calculations '!$P$32:$P$36,'Calculations '!$R$32:$R$36)</f>
        <v>750000</v>
      </c>
      <c r="F30" s="42">
        <f>SUM(D30:E30)</f>
        <v>15750000</v>
      </c>
      <c r="G30" s="42">
        <f t="shared" ref="G30:G34" si="22">(D30*(1+0.06))-D30</f>
        <v>900000</v>
      </c>
      <c r="H30" s="42">
        <f t="shared" ref="H30:H34" si="23">(D30*(1+0.07))-D30</f>
        <v>1050000.0000000019</v>
      </c>
      <c r="I30" s="42">
        <f t="shared" ref="I30:I34" si="24">(D30*(1+0.15))-D30</f>
        <v>2250000</v>
      </c>
      <c r="J30" s="42">
        <f t="shared" ref="J30:J34" si="25">(D30*(1+0.05))-D30</f>
        <v>750000</v>
      </c>
      <c r="K30" s="42">
        <f t="shared" ref="K30:K34" si="26">(D30*(1+0.05))-D30</f>
        <v>750000</v>
      </c>
      <c r="L30" s="42">
        <f t="shared" ref="L30:L34" si="27">(D30*0.0015)</f>
        <v>22500</v>
      </c>
      <c r="M30" s="39">
        <f>((G30^2)+(H30^2)+(I30^2)+(J30^2)+(K30^2)+(L30^2))^0.5</f>
        <v>2846138.831821105</v>
      </c>
    </row>
    <row r="31" spans="2:16" ht="15.55" customHeight="1" x14ac:dyDescent="0.35">
      <c r="B31" s="43" t="s">
        <v>60</v>
      </c>
      <c r="C31" s="38">
        <v>28</v>
      </c>
      <c r="D31" s="42">
        <f>_xlfn.XLOOKUP(B31,'Calculations '!$P$32:$P$36,'Calculations '!$Q$32:$Q$36)</f>
        <v>7500000</v>
      </c>
      <c r="E31" s="42">
        <f>_xlfn.XLOOKUP(B31,'Calculations '!$P$32:$P$36,'Calculations '!$R$32:$R$36)</f>
        <v>250000</v>
      </c>
      <c r="F31" s="42">
        <f t="shared" ref="F31:F34" si="28">SUM(D31:E31)</f>
        <v>7750000</v>
      </c>
      <c r="G31" s="42">
        <f t="shared" si="22"/>
        <v>450000</v>
      </c>
      <c r="H31" s="42">
        <f t="shared" si="23"/>
        <v>525000.00000000093</v>
      </c>
      <c r="I31" s="42">
        <f t="shared" si="24"/>
        <v>1125000</v>
      </c>
      <c r="J31" s="42">
        <f t="shared" si="25"/>
        <v>375000</v>
      </c>
      <c r="K31" s="42">
        <f t="shared" si="26"/>
        <v>375000</v>
      </c>
      <c r="L31" s="42">
        <f t="shared" si="27"/>
        <v>11250</v>
      </c>
      <c r="M31" s="39">
        <f t="shared" ref="M31:M43" si="29">((G31^2)+(H31^2)+(I31^2)+(J31^2)+(K31^2)+(L31^2))^0.5</f>
        <v>1423069.4159105525</v>
      </c>
    </row>
    <row r="32" spans="2:16" ht="15.55" customHeight="1" x14ac:dyDescent="0.35">
      <c r="B32" s="41" t="s">
        <v>61</v>
      </c>
      <c r="C32" s="38">
        <v>29</v>
      </c>
      <c r="D32" s="42">
        <f>_xlfn.XLOOKUP(B32,'Calculations '!$P$32:$P$36,'Calculations '!$Q$32:$Q$36)</f>
        <v>7500000</v>
      </c>
      <c r="E32" s="42">
        <f>_xlfn.XLOOKUP(B32,'Calculations '!$P$32:$P$36,'Calculations '!$R$32:$R$36)</f>
        <v>250000</v>
      </c>
      <c r="F32" s="42">
        <f t="shared" si="28"/>
        <v>7750000</v>
      </c>
      <c r="G32" s="42">
        <f t="shared" si="22"/>
        <v>450000</v>
      </c>
      <c r="H32" s="42">
        <f t="shared" si="23"/>
        <v>525000.00000000093</v>
      </c>
      <c r="I32" s="42">
        <f t="shared" si="24"/>
        <v>1125000</v>
      </c>
      <c r="J32" s="42">
        <f t="shared" si="25"/>
        <v>375000</v>
      </c>
      <c r="K32" s="42">
        <f t="shared" si="26"/>
        <v>375000</v>
      </c>
      <c r="L32" s="42">
        <f t="shared" si="27"/>
        <v>11250</v>
      </c>
      <c r="M32" s="39">
        <f t="shared" si="29"/>
        <v>1423069.4159105525</v>
      </c>
    </row>
    <row r="33" spans="2:13" ht="15.55" customHeight="1" x14ac:dyDescent="0.35">
      <c r="B33" s="41" t="s">
        <v>62</v>
      </c>
      <c r="C33" s="38">
        <v>30</v>
      </c>
      <c r="D33" s="42">
        <f>_xlfn.XLOOKUP(B33,'Calculations '!$P$32:$P$36,'Calculations '!$Q$32:$Q$36)</f>
        <v>0</v>
      </c>
      <c r="E33" s="42">
        <f>_xlfn.XLOOKUP(B33,'Calculations '!$P$32:$P$36,'Calculations '!$R$32:$R$36)</f>
        <v>0</v>
      </c>
      <c r="F33" s="42">
        <f t="shared" si="28"/>
        <v>0</v>
      </c>
      <c r="G33" s="42">
        <f t="shared" si="22"/>
        <v>0</v>
      </c>
      <c r="H33" s="42">
        <f t="shared" si="23"/>
        <v>0</v>
      </c>
      <c r="I33" s="42">
        <f t="shared" si="24"/>
        <v>0</v>
      </c>
      <c r="J33" s="42">
        <f t="shared" si="25"/>
        <v>0</v>
      </c>
      <c r="K33" s="42">
        <f t="shared" si="26"/>
        <v>0</v>
      </c>
      <c r="L33" s="42">
        <f t="shared" si="27"/>
        <v>0</v>
      </c>
      <c r="M33" s="39">
        <f t="shared" si="29"/>
        <v>0</v>
      </c>
    </row>
    <row r="34" spans="2:13" ht="15.55" customHeight="1" x14ac:dyDescent="0.35">
      <c r="B34" s="41" t="s">
        <v>63</v>
      </c>
      <c r="C34" s="38">
        <v>31</v>
      </c>
      <c r="D34" s="42">
        <f>_xlfn.XLOOKUP(B34,'Calculations '!$P$32:$P$36,'Calculations '!$Q$32:$Q$36)</f>
        <v>0</v>
      </c>
      <c r="E34" s="42">
        <f>_xlfn.XLOOKUP(B34,'Calculations '!$P$32:$P$36,'Calculations '!$R$32:$R$36)</f>
        <v>0</v>
      </c>
      <c r="F34" s="42">
        <f t="shared" si="28"/>
        <v>0</v>
      </c>
      <c r="G34" s="42">
        <f t="shared" si="22"/>
        <v>0</v>
      </c>
      <c r="H34" s="42">
        <f t="shared" si="23"/>
        <v>0</v>
      </c>
      <c r="I34" s="42">
        <f t="shared" si="24"/>
        <v>0</v>
      </c>
      <c r="J34" s="42">
        <f t="shared" si="25"/>
        <v>0</v>
      </c>
      <c r="K34" s="42">
        <f t="shared" si="26"/>
        <v>0</v>
      </c>
      <c r="L34" s="42">
        <f t="shared" si="27"/>
        <v>0</v>
      </c>
      <c r="M34" s="39">
        <f t="shared" si="29"/>
        <v>0</v>
      </c>
    </row>
    <row r="35" spans="2:13" x14ac:dyDescent="0.35">
      <c r="B35" s="17" t="s">
        <v>64</v>
      </c>
      <c r="C35" s="38">
        <v>32</v>
      </c>
      <c r="D35" s="39"/>
      <c r="E35" s="39"/>
      <c r="F35" s="39"/>
      <c r="G35" s="39"/>
      <c r="H35" s="39"/>
      <c r="I35" s="39"/>
      <c r="J35" s="39"/>
      <c r="K35" s="39"/>
      <c r="L35" s="39"/>
      <c r="M35" s="39"/>
    </row>
    <row r="36" spans="2:13" x14ac:dyDescent="0.35">
      <c r="B36" s="41" t="s">
        <v>65</v>
      </c>
      <c r="C36" s="38">
        <v>33</v>
      </c>
      <c r="D36" s="42">
        <f>_xlfn.XLOOKUP(B36,'Calculations '!$P$38:$P$40,'Calculations '!$Q$38:$Q$40)</f>
        <v>10000000</v>
      </c>
      <c r="E36" s="42">
        <f>_xlfn.XLOOKUP(B36,'Calculations '!$P$38:$P$40,'Calculations '!$R$38:$R$40)</f>
        <v>1500000</v>
      </c>
      <c r="F36" s="42">
        <f t="shared" ref="F36:F38" si="30">SUM(D36:E36)</f>
        <v>11500000</v>
      </c>
      <c r="G36" s="42">
        <f t="shared" ref="G36:G38" si="31">(D36*(1+0.06))-D36</f>
        <v>600000</v>
      </c>
      <c r="H36" s="42">
        <f t="shared" ref="H36:H38" si="32">(D36*(1+0.07))-D36</f>
        <v>700000</v>
      </c>
      <c r="I36" s="42">
        <f t="shared" ref="I36:I38" si="33">(D36*(1+0.15))-D36</f>
        <v>1500000</v>
      </c>
      <c r="J36" s="42">
        <f t="shared" ref="J36:J38" si="34">(D36*(1+0.05))-D36</f>
        <v>500000</v>
      </c>
      <c r="K36" s="42">
        <f t="shared" ref="K36:K38" si="35">(D36*(1+0.05))-D36</f>
        <v>500000</v>
      </c>
      <c r="L36" s="42">
        <f t="shared" ref="L36:L38" si="36">(D36*0.0015)</f>
        <v>15000</v>
      </c>
      <c r="M36" s="39">
        <f t="shared" si="29"/>
        <v>1897425.8878807363</v>
      </c>
    </row>
    <row r="37" spans="2:13" x14ac:dyDescent="0.35">
      <c r="B37" s="43" t="s">
        <v>66</v>
      </c>
      <c r="C37" s="38">
        <v>34</v>
      </c>
      <c r="D37" s="42">
        <f>_xlfn.XLOOKUP(B37,'Calculations '!$P$38:$P$40,'Calculations '!$Q$38:$Q$40)</f>
        <v>7000000</v>
      </c>
      <c r="E37" s="42">
        <f>_xlfn.XLOOKUP(B37,'Calculations '!$P$38:$P$40,'Calculations '!$R$38:$R$40)</f>
        <v>500000</v>
      </c>
      <c r="F37" s="42">
        <f t="shared" si="30"/>
        <v>7500000</v>
      </c>
      <c r="G37" s="42">
        <f t="shared" si="31"/>
        <v>420000</v>
      </c>
      <c r="H37" s="42">
        <f t="shared" si="32"/>
        <v>490000</v>
      </c>
      <c r="I37" s="42">
        <f t="shared" si="33"/>
        <v>1049999.9999999991</v>
      </c>
      <c r="J37" s="42">
        <f t="shared" si="34"/>
        <v>350000</v>
      </c>
      <c r="K37" s="42">
        <f t="shared" si="35"/>
        <v>350000</v>
      </c>
      <c r="L37" s="42">
        <f t="shared" si="36"/>
        <v>10500</v>
      </c>
      <c r="M37" s="39">
        <f t="shared" si="29"/>
        <v>1328198.1215165146</v>
      </c>
    </row>
    <row r="38" spans="2:13" x14ac:dyDescent="0.35">
      <c r="B38" s="41" t="s">
        <v>63</v>
      </c>
      <c r="C38" s="38">
        <v>35</v>
      </c>
      <c r="D38" s="42">
        <f>_xlfn.XLOOKUP(B38,'Calculations '!$P$38:$P$40,'Calculations '!$Q$38:$Q$40)</f>
        <v>0</v>
      </c>
      <c r="E38" s="42">
        <f>_xlfn.XLOOKUP(B38,'Calculations '!$P$38:$P$40,'Calculations '!$R$38:$R$40)</f>
        <v>0</v>
      </c>
      <c r="F38" s="42">
        <f t="shared" si="30"/>
        <v>0</v>
      </c>
      <c r="G38" s="42">
        <f t="shared" si="31"/>
        <v>0</v>
      </c>
      <c r="H38" s="42">
        <f t="shared" si="32"/>
        <v>0</v>
      </c>
      <c r="I38" s="42">
        <f t="shared" si="33"/>
        <v>0</v>
      </c>
      <c r="J38" s="42">
        <f t="shared" si="34"/>
        <v>0</v>
      </c>
      <c r="K38" s="42">
        <f t="shared" si="35"/>
        <v>0</v>
      </c>
      <c r="L38" s="42">
        <f t="shared" si="36"/>
        <v>0</v>
      </c>
      <c r="M38" s="39">
        <f t="shared" si="29"/>
        <v>0</v>
      </c>
    </row>
    <row r="39" spans="2:13" x14ac:dyDescent="0.35">
      <c r="B39" s="17" t="s">
        <v>67</v>
      </c>
      <c r="C39" s="38">
        <v>36</v>
      </c>
      <c r="D39" s="39"/>
      <c r="E39" s="39"/>
      <c r="F39" s="39"/>
      <c r="G39" s="39"/>
      <c r="H39" s="39"/>
      <c r="I39" s="39"/>
      <c r="J39" s="39"/>
      <c r="K39" s="39"/>
      <c r="L39" s="39"/>
      <c r="M39" s="39"/>
    </row>
    <row r="40" spans="2:13" x14ac:dyDescent="0.35">
      <c r="B40" s="41" t="s">
        <v>59</v>
      </c>
      <c r="C40" s="38">
        <v>37</v>
      </c>
      <c r="D40" s="42">
        <f>_xlfn.XLOOKUP(B40,'Calculations '!$P$42:$P$45,'Calculations '!$Q$42:$Q$45)</f>
        <v>0</v>
      </c>
      <c r="E40" s="42">
        <f>_xlfn.XLOOKUP(B40,'Calculations '!$P$42:$P$45,'Calculations '!$R$42:$R$45)</f>
        <v>0</v>
      </c>
      <c r="F40" s="42">
        <f t="shared" ref="F40:F43" si="37">SUM(D40:E40)</f>
        <v>0</v>
      </c>
      <c r="G40" s="42">
        <f t="shared" ref="G40:G43" si="38">(D40*(1+0.06))-D40</f>
        <v>0</v>
      </c>
      <c r="H40" s="42">
        <f t="shared" ref="H40:H43" si="39">(D40*(1+0.07))-D40</f>
        <v>0</v>
      </c>
      <c r="I40" s="42">
        <f t="shared" ref="I40:I43" si="40">(D40*(1+0.15))-D40</f>
        <v>0</v>
      </c>
      <c r="J40" s="42">
        <f t="shared" ref="J40:J43" si="41">(D40*(1+0.05))-D40</f>
        <v>0</v>
      </c>
      <c r="K40" s="42">
        <f t="shared" ref="K40:K43" si="42">(D40*(1+0.05))-D40</f>
        <v>0</v>
      </c>
      <c r="L40" s="42">
        <f t="shared" ref="L40:L43" si="43">(D40*0.0015)</f>
        <v>0</v>
      </c>
      <c r="M40" s="39">
        <f t="shared" si="29"/>
        <v>0</v>
      </c>
    </row>
    <row r="41" spans="2:13" x14ac:dyDescent="0.35">
      <c r="B41" s="43" t="s">
        <v>60</v>
      </c>
      <c r="C41" s="38">
        <v>38</v>
      </c>
      <c r="D41" s="42">
        <f>_xlfn.XLOOKUP(B41,'Calculations '!$P$42:$P$45,'Calculations '!$Q$42:$Q$45)</f>
        <v>15000000</v>
      </c>
      <c r="E41" s="42">
        <f>_xlfn.XLOOKUP(B41,'Calculations '!$P$42:$P$45,'Calculations '!$R$42:$R$45)</f>
        <v>1000000</v>
      </c>
      <c r="F41" s="42">
        <f t="shared" si="37"/>
        <v>16000000</v>
      </c>
      <c r="G41" s="42">
        <f t="shared" si="38"/>
        <v>900000</v>
      </c>
      <c r="H41" s="42">
        <f t="shared" si="39"/>
        <v>1050000.0000000019</v>
      </c>
      <c r="I41" s="42">
        <f t="shared" si="40"/>
        <v>2250000</v>
      </c>
      <c r="J41" s="42">
        <f t="shared" si="41"/>
        <v>750000</v>
      </c>
      <c r="K41" s="42">
        <f t="shared" si="42"/>
        <v>750000</v>
      </c>
      <c r="L41" s="42">
        <f t="shared" si="43"/>
        <v>22500</v>
      </c>
      <c r="M41" s="39">
        <f t="shared" si="29"/>
        <v>2846138.831821105</v>
      </c>
    </row>
    <row r="42" spans="2:13" x14ac:dyDescent="0.35">
      <c r="B42" s="41" t="s">
        <v>61</v>
      </c>
      <c r="C42" s="38">
        <v>39</v>
      </c>
      <c r="D42" s="42">
        <f>_xlfn.XLOOKUP(B42,'Calculations '!$P$42:$P$45,'Calculations '!$Q$42:$Q$45)</f>
        <v>1500000</v>
      </c>
      <c r="E42" s="42">
        <f>_xlfn.XLOOKUP(B42,'Calculations '!$P$42:$P$45,'Calculations '!$R$42:$R$45)</f>
        <v>330000</v>
      </c>
      <c r="F42" s="42">
        <f t="shared" si="37"/>
        <v>1830000</v>
      </c>
      <c r="G42" s="42">
        <f t="shared" si="38"/>
        <v>90000</v>
      </c>
      <c r="H42" s="42">
        <f t="shared" si="39"/>
        <v>105000</v>
      </c>
      <c r="I42" s="42">
        <f t="shared" si="40"/>
        <v>224999.99999999977</v>
      </c>
      <c r="J42" s="42">
        <f t="shared" si="41"/>
        <v>75000</v>
      </c>
      <c r="K42" s="42">
        <f t="shared" si="42"/>
        <v>75000</v>
      </c>
      <c r="L42" s="42">
        <f t="shared" si="43"/>
        <v>2250</v>
      </c>
      <c r="M42" s="39">
        <f t="shared" si="29"/>
        <v>284613.88318211026</v>
      </c>
    </row>
    <row r="43" spans="2:13" x14ac:dyDescent="0.35">
      <c r="B43" s="44" t="s">
        <v>62</v>
      </c>
      <c r="C43" s="38">
        <v>40</v>
      </c>
      <c r="D43" s="42">
        <f>_xlfn.XLOOKUP(B43,'Calculations '!$P$42:$P$45,'Calculations '!$Q$42:$Q$45)</f>
        <v>0</v>
      </c>
      <c r="E43" s="42">
        <f>_xlfn.XLOOKUP(B43,'Calculations '!$P$42:$P$45,'Calculations '!$R$42:$R$45)</f>
        <v>0</v>
      </c>
      <c r="F43" s="42">
        <f t="shared" si="37"/>
        <v>0</v>
      </c>
      <c r="G43" s="42">
        <f t="shared" si="38"/>
        <v>0</v>
      </c>
      <c r="H43" s="42">
        <f t="shared" si="39"/>
        <v>0</v>
      </c>
      <c r="I43" s="42">
        <f t="shared" si="40"/>
        <v>0</v>
      </c>
      <c r="J43" s="42">
        <f t="shared" si="41"/>
        <v>0</v>
      </c>
      <c r="K43" s="42">
        <f t="shared" si="42"/>
        <v>0</v>
      </c>
      <c r="L43" s="42">
        <f t="shared" si="43"/>
        <v>0</v>
      </c>
      <c r="M43" s="39">
        <f t="shared" si="29"/>
        <v>0</v>
      </c>
    </row>
    <row r="44" spans="2:13" x14ac:dyDescent="0.35">
      <c r="B44" s="47" t="s">
        <v>68</v>
      </c>
      <c r="C44" s="48"/>
      <c r="D44" s="49">
        <f>SUM(D30:D34)+SUM(D36:D38)+SUM(D40:D43)</f>
        <v>63500000</v>
      </c>
      <c r="E44" s="49">
        <f>SUM(E30:E34)+SUM(E36:E38)+SUM(E40:E43)</f>
        <v>4580000</v>
      </c>
      <c r="F44" s="49">
        <f t="shared" ref="F44:I44" si="44">SUM(F30:F34)+SUM(F36:F38)+SUM(F40:F43)</f>
        <v>68080000</v>
      </c>
      <c r="G44" s="49">
        <f t="shared" si="44"/>
        <v>3810000</v>
      </c>
      <c r="H44" s="49">
        <f t="shared" si="44"/>
        <v>4445000.0000000056</v>
      </c>
      <c r="I44" s="49">
        <f t="shared" si="44"/>
        <v>9525000</v>
      </c>
      <c r="J44" s="49">
        <f t="shared" ref="J44:K44" si="45">SUM(J30:J34)+SUM(J36:J38)+SUM(J40:J43)</f>
        <v>3175000</v>
      </c>
      <c r="K44" s="49">
        <f t="shared" si="45"/>
        <v>3175000</v>
      </c>
      <c r="L44" s="49">
        <f>SUM(L30:L34)+SUM(L36:L38)+SUM(L40:L43)</f>
        <v>95250</v>
      </c>
      <c r="M44" s="39">
        <f>SUM(M30:M43)</f>
        <v>12048654.388042675</v>
      </c>
    </row>
    <row r="45" spans="2:13" x14ac:dyDescent="0.35">
      <c r="B45" s="51"/>
      <c r="D45" s="52"/>
      <c r="E45" s="52"/>
      <c r="F45" s="52"/>
      <c r="G45" s="52"/>
      <c r="H45" s="52"/>
      <c r="I45" s="52"/>
      <c r="J45" s="52"/>
    </row>
    <row r="46" spans="2:13" x14ac:dyDescent="0.35">
      <c r="B46" s="152" t="s">
        <v>35</v>
      </c>
      <c r="C46" s="155" t="s">
        <v>4</v>
      </c>
      <c r="D46" s="157" t="s">
        <v>70</v>
      </c>
      <c r="E46" s="158"/>
      <c r="F46" s="158"/>
      <c r="G46" s="158"/>
      <c r="H46" s="159"/>
      <c r="I46" s="53"/>
      <c r="J46" s="157" t="s">
        <v>36</v>
      </c>
      <c r="K46" s="158"/>
      <c r="L46" s="159"/>
    </row>
    <row r="47" spans="2:13" x14ac:dyDescent="0.35">
      <c r="B47" s="152"/>
      <c r="C47" s="156"/>
      <c r="D47" s="54" t="s">
        <v>71</v>
      </c>
      <c r="E47" s="54" t="s">
        <v>72</v>
      </c>
      <c r="F47" s="54" t="s">
        <v>73</v>
      </c>
      <c r="G47" s="54" t="s">
        <v>68</v>
      </c>
      <c r="H47" s="54" t="s">
        <v>74</v>
      </c>
      <c r="J47" s="54" t="s">
        <v>71</v>
      </c>
      <c r="K47" s="54" t="s">
        <v>75</v>
      </c>
      <c r="L47" s="54" t="s">
        <v>74</v>
      </c>
    </row>
    <row r="48" spans="2:13" x14ac:dyDescent="0.35">
      <c r="B48" s="11"/>
      <c r="C48" s="11"/>
      <c r="D48" s="54" t="s">
        <v>76</v>
      </c>
      <c r="E48" s="54" t="s">
        <v>7</v>
      </c>
      <c r="F48" s="54" t="s">
        <v>48</v>
      </c>
      <c r="G48" s="54" t="s">
        <v>49</v>
      </c>
      <c r="H48" s="54" t="s">
        <v>77</v>
      </c>
      <c r="J48" s="54" t="s">
        <v>49</v>
      </c>
      <c r="K48" s="54" t="s">
        <v>50</v>
      </c>
      <c r="L48" s="54" t="s">
        <v>78</v>
      </c>
    </row>
    <row r="49" spans="2:12" x14ac:dyDescent="0.35">
      <c r="B49" s="10" t="s">
        <v>79</v>
      </c>
    </row>
    <row r="50" spans="2:12" x14ac:dyDescent="0.35">
      <c r="B50" s="55" t="s">
        <v>80</v>
      </c>
      <c r="C50" s="38">
        <v>41</v>
      </c>
      <c r="D50" s="56">
        <v>0.08</v>
      </c>
      <c r="E50" s="57">
        <f>'Calculations '!P7</f>
        <v>400000000</v>
      </c>
      <c r="F50" s="57">
        <f>'Calculations '!Q7</f>
        <v>12000000</v>
      </c>
      <c r="G50" s="58">
        <f>SUM(E50:F50)</f>
        <v>412000000</v>
      </c>
      <c r="H50" s="58">
        <f>G50*D50</f>
        <v>32960000</v>
      </c>
      <c r="J50" s="59">
        <v>0.1</v>
      </c>
      <c r="K50" s="60">
        <f>'Calculations '!L7</f>
        <v>350000000</v>
      </c>
      <c r="L50" s="58">
        <f>K50*J50</f>
        <v>35000000</v>
      </c>
    </row>
    <row r="51" spans="2:12" x14ac:dyDescent="0.35">
      <c r="B51" s="55" t="s">
        <v>81</v>
      </c>
      <c r="C51" s="38">
        <v>42</v>
      </c>
      <c r="D51" s="56">
        <v>0.1</v>
      </c>
      <c r="E51" s="57">
        <f>'Calculations '!P8</f>
        <v>310000000</v>
      </c>
      <c r="F51" s="57">
        <f>'Calculations '!Q8</f>
        <v>5500000</v>
      </c>
      <c r="G51" s="58">
        <f t="shared" ref="G51" si="46">SUM(E51:F51)</f>
        <v>315500000</v>
      </c>
      <c r="H51" s="58">
        <f t="shared" ref="H51" si="47">G51*D51</f>
        <v>31550000</v>
      </c>
      <c r="J51" s="59">
        <v>0.12</v>
      </c>
      <c r="K51" s="60">
        <f>'Calculations '!L8</f>
        <v>200000000</v>
      </c>
      <c r="L51" s="58">
        <f t="shared" ref="L51" si="48">K51*J51</f>
        <v>24000000</v>
      </c>
    </row>
    <row r="52" spans="2:12" x14ac:dyDescent="0.35">
      <c r="B52" s="47" t="s">
        <v>68</v>
      </c>
      <c r="C52" s="48"/>
      <c r="D52" s="61"/>
      <c r="E52" s="49">
        <f>SUM(E50:E51)</f>
        <v>710000000</v>
      </c>
      <c r="F52" s="49">
        <f>SUM(F50:F51)</f>
        <v>17500000</v>
      </c>
      <c r="G52" s="62">
        <f>SUM(G50:G51)</f>
        <v>727500000</v>
      </c>
      <c r="H52" s="62">
        <f>SUM(H50:H51)</f>
        <v>64510000</v>
      </c>
      <c r="J52" s="63"/>
      <c r="K52" s="62">
        <f t="shared" ref="K52:L52" si="49">SUM(K50:K51)</f>
        <v>550000000</v>
      </c>
      <c r="L52" s="62">
        <f t="shared" si="49"/>
        <v>59000000</v>
      </c>
    </row>
    <row r="54" spans="2:12" ht="27.75" customHeight="1" x14ac:dyDescent="0.35">
      <c r="B54" s="152" t="s">
        <v>35</v>
      </c>
      <c r="C54" s="155" t="s">
        <v>4</v>
      </c>
      <c r="D54" s="11" t="s">
        <v>71</v>
      </c>
      <c r="E54" s="11" t="s">
        <v>82</v>
      </c>
      <c r="F54" s="11" t="s">
        <v>74</v>
      </c>
    </row>
    <row r="55" spans="2:12" x14ac:dyDescent="0.35">
      <c r="B55" s="152"/>
      <c r="C55" s="156"/>
      <c r="D55" s="12" t="s">
        <v>83</v>
      </c>
      <c r="E55" s="11" t="s">
        <v>76</v>
      </c>
      <c r="F55" s="11" t="s">
        <v>7</v>
      </c>
    </row>
    <row r="56" spans="2:12" x14ac:dyDescent="0.35">
      <c r="B56" s="10" t="s">
        <v>84</v>
      </c>
    </row>
    <row r="57" spans="2:12" x14ac:dyDescent="0.35">
      <c r="B57" s="55" t="s">
        <v>85</v>
      </c>
      <c r="C57" s="38">
        <v>44</v>
      </c>
      <c r="D57" s="56">
        <v>0.01</v>
      </c>
      <c r="E57" s="42">
        <f>'Calculations '!L15</f>
        <v>120000000</v>
      </c>
      <c r="F57" s="64">
        <f>D57*E57</f>
        <v>1200000</v>
      </c>
    </row>
    <row r="58" spans="2:12" x14ac:dyDescent="0.35">
      <c r="B58" s="55" t="s">
        <v>86</v>
      </c>
      <c r="C58" s="38">
        <v>45</v>
      </c>
      <c r="D58" s="56">
        <v>0.01</v>
      </c>
      <c r="E58" s="42">
        <f>'Calculations '!L14</f>
        <v>550000000</v>
      </c>
      <c r="F58" s="64">
        <f>D58*E58</f>
        <v>5500000</v>
      </c>
    </row>
    <row r="59" spans="2:12" x14ac:dyDescent="0.35">
      <c r="B59" s="47" t="s">
        <v>68</v>
      </c>
      <c r="C59" s="48"/>
      <c r="D59" s="61"/>
      <c r="E59" s="49">
        <f>SUM(E57:E58)</f>
        <v>670000000</v>
      </c>
      <c r="F59" s="62">
        <f>SUM(F57:F58)</f>
        <v>6700000</v>
      </c>
    </row>
    <row r="60" spans="2:12" ht="14.6" thickBot="1" x14ac:dyDescent="0.4">
      <c r="E60" s="40"/>
      <c r="F60" s="40"/>
      <c r="G60" s="40"/>
    </row>
    <row r="61" spans="2:12" ht="14.6" thickBot="1" x14ac:dyDescent="0.4">
      <c r="B61" s="47" t="s">
        <v>87</v>
      </c>
      <c r="C61" s="65"/>
      <c r="D61" s="65"/>
      <c r="E61" s="66"/>
      <c r="F61" s="67"/>
      <c r="G61" s="68">
        <f>M26+M44+L52+H52+F59</f>
        <v>158766259.61260509</v>
      </c>
    </row>
  </sheetData>
  <protectedRanges>
    <protectedRange sqref="E57:E58 K50:K51 E50:F51 D12:L16 D18:L20 D22:L25 D30:L34 D36:L38 D40:L43" name="Range1"/>
  </protectedRanges>
  <mergeCells count="11">
    <mergeCell ref="B54:B55"/>
    <mergeCell ref="C54:C55"/>
    <mergeCell ref="B7:B8"/>
    <mergeCell ref="C7:C8"/>
    <mergeCell ref="D7:F7"/>
    <mergeCell ref="G7:L7"/>
    <mergeCell ref="M7:M8"/>
    <mergeCell ref="B46:B47"/>
    <mergeCell ref="C46:C47"/>
    <mergeCell ref="D46:H46"/>
    <mergeCell ref="J46:L46"/>
  </mergeCell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FDFCA5-23DC-4D87-AE72-5DE55B2F67DD}">
  <sheetPr>
    <tabColor rgb="FF92D050"/>
  </sheetPr>
  <dimension ref="B2:O72"/>
  <sheetViews>
    <sheetView topLeftCell="B58" workbookViewId="0">
      <selection activeCell="D20" sqref="D20"/>
    </sheetView>
  </sheetViews>
  <sheetFormatPr defaultColWidth="8.84375" defaultRowHeight="14.15" x14ac:dyDescent="0.35"/>
  <cols>
    <col min="1" max="1" width="2.3828125" style="2" customWidth="1"/>
    <col min="2" max="2" width="60.84375" style="2" customWidth="1"/>
    <col min="3" max="3" width="13.84375" style="2" bestFit="1" customWidth="1"/>
    <col min="4" max="4" width="27.84375" style="2" customWidth="1"/>
    <col min="5" max="5" width="26.61328125" style="2" customWidth="1"/>
    <col min="6" max="6" width="28.07421875" style="2" customWidth="1"/>
    <col min="7" max="7" width="27.3828125" style="2" customWidth="1"/>
    <col min="8" max="8" width="211.07421875" style="2" bestFit="1" customWidth="1"/>
    <col min="9" max="9" width="4.84375" style="2" bestFit="1" customWidth="1"/>
    <col min="10" max="10" width="18.84375" style="2" customWidth="1"/>
    <col min="11" max="16384" width="8.84375" style="2"/>
  </cols>
  <sheetData>
    <row r="2" spans="2:6" x14ac:dyDescent="0.35">
      <c r="B2" s="1" t="s">
        <v>88</v>
      </c>
    </row>
    <row r="3" spans="2:6" ht="15" x14ac:dyDescent="0.35">
      <c r="B3" s="1" t="s">
        <v>89</v>
      </c>
      <c r="C3" s="4"/>
      <c r="D3" s="23"/>
      <c r="E3" s="23"/>
      <c r="F3" s="23"/>
    </row>
    <row r="4" spans="2:6" x14ac:dyDescent="0.35">
      <c r="B4" s="5" t="s">
        <v>2</v>
      </c>
      <c r="C4" s="6" t="str">
        <f>'41-1A'!C4</f>
        <v>YY INSURANCE COMPANY LIMITED</v>
      </c>
      <c r="D4" s="23"/>
      <c r="E4" s="23"/>
      <c r="F4" s="23"/>
    </row>
    <row r="5" spans="2:6" ht="16.5" customHeight="1" x14ac:dyDescent="0.35">
      <c r="B5" s="7" t="s">
        <v>3</v>
      </c>
      <c r="C5" s="100">
        <f>'41-1A'!C5</f>
        <v>46022</v>
      </c>
      <c r="D5" s="9"/>
      <c r="E5" s="9"/>
      <c r="F5" s="9"/>
    </row>
    <row r="6" spans="2:6" x14ac:dyDescent="0.35">
      <c r="C6" s="25"/>
      <c r="D6" s="23"/>
      <c r="E6" s="23"/>
      <c r="F6" s="23"/>
    </row>
    <row r="7" spans="2:6" x14ac:dyDescent="0.35">
      <c r="C7" s="152" t="s">
        <v>4</v>
      </c>
      <c r="D7" s="11" t="s">
        <v>90</v>
      </c>
      <c r="E7" s="11" t="s">
        <v>91</v>
      </c>
      <c r="F7" s="11" t="s">
        <v>92</v>
      </c>
    </row>
    <row r="8" spans="2:6" x14ac:dyDescent="0.35">
      <c r="B8" s="26" t="s">
        <v>6</v>
      </c>
      <c r="C8" s="152"/>
      <c r="D8" s="37" t="s">
        <v>76</v>
      </c>
      <c r="E8" s="37" t="s">
        <v>7</v>
      </c>
      <c r="F8" s="37" t="s">
        <v>48</v>
      </c>
    </row>
    <row r="9" spans="2:6" ht="14.6" thickBot="1" x14ac:dyDescent="0.4">
      <c r="B9" s="10" t="s">
        <v>93</v>
      </c>
    </row>
    <row r="10" spans="2:6" ht="14.6" thickBot="1" x14ac:dyDescent="0.4">
      <c r="B10" s="27" t="s">
        <v>94</v>
      </c>
      <c r="C10" s="28">
        <v>10</v>
      </c>
      <c r="D10" s="39">
        <f>'Balance Sheet'!D29</f>
        <v>35000000</v>
      </c>
      <c r="E10" s="69">
        <v>0.3</v>
      </c>
      <c r="F10" s="64">
        <f>D10*E10</f>
        <v>10500000</v>
      </c>
    </row>
    <row r="11" spans="2:6" ht="15" thickTop="1" thickBot="1" x14ac:dyDescent="0.4">
      <c r="B11" s="29" t="s">
        <v>95</v>
      </c>
      <c r="C11" s="30">
        <v>11</v>
      </c>
      <c r="D11" s="39">
        <v>0</v>
      </c>
      <c r="E11" s="69">
        <v>0.3</v>
      </c>
      <c r="F11" s="64">
        <f t="shared" ref="F11:F14" si="0">D11*E11</f>
        <v>0</v>
      </c>
    </row>
    <row r="12" spans="2:6" ht="15" thickTop="1" thickBot="1" x14ac:dyDescent="0.4">
      <c r="B12" s="29" t="s">
        <v>96</v>
      </c>
      <c r="C12" s="28">
        <v>12</v>
      </c>
      <c r="D12" s="39">
        <v>0</v>
      </c>
      <c r="E12" s="69">
        <v>0.35</v>
      </c>
      <c r="F12" s="64">
        <f t="shared" si="0"/>
        <v>0</v>
      </c>
    </row>
    <row r="13" spans="2:6" ht="15" thickTop="1" thickBot="1" x14ac:dyDescent="0.4">
      <c r="B13" s="29" t="s">
        <v>97</v>
      </c>
      <c r="C13" s="30">
        <v>13</v>
      </c>
      <c r="D13" s="39">
        <v>0</v>
      </c>
      <c r="E13" s="69">
        <v>0.4</v>
      </c>
      <c r="F13" s="64">
        <f t="shared" si="0"/>
        <v>0</v>
      </c>
    </row>
    <row r="14" spans="2:6" ht="15" thickTop="1" thickBot="1" x14ac:dyDescent="0.4">
      <c r="B14" s="29" t="s">
        <v>98</v>
      </c>
      <c r="C14" s="28">
        <v>14</v>
      </c>
      <c r="D14" s="39">
        <v>0</v>
      </c>
      <c r="E14" s="69">
        <v>0.4</v>
      </c>
      <c r="F14" s="64">
        <f t="shared" si="0"/>
        <v>0</v>
      </c>
    </row>
    <row r="15" spans="2:6" ht="15" thickTop="1" thickBot="1" x14ac:dyDescent="0.4">
      <c r="B15" s="31" t="s">
        <v>13</v>
      </c>
      <c r="C15" s="28" t="s">
        <v>99</v>
      </c>
      <c r="D15" s="64">
        <f>SUM(D10:D14)</f>
        <v>35000000</v>
      </c>
      <c r="E15" s="15"/>
      <c r="F15" s="64">
        <f t="shared" ref="F15" si="1">SUM(F10:F14)</f>
        <v>10500000</v>
      </c>
    </row>
    <row r="16" spans="2:6" ht="9" customHeight="1" x14ac:dyDescent="0.35">
      <c r="D16" s="40"/>
      <c r="F16" s="40"/>
    </row>
    <row r="17" spans="2:15" ht="14.6" thickBot="1" x14ac:dyDescent="0.4">
      <c r="B17" s="10" t="s">
        <v>100</v>
      </c>
      <c r="D17" s="40"/>
      <c r="F17" s="40"/>
    </row>
    <row r="18" spans="2:15" ht="14.6" thickBot="1" x14ac:dyDescent="0.4">
      <c r="B18" s="27" t="s">
        <v>101</v>
      </c>
      <c r="C18" s="28">
        <v>15</v>
      </c>
      <c r="D18" s="39">
        <v>0</v>
      </c>
      <c r="E18" s="69">
        <v>0.4</v>
      </c>
      <c r="F18" s="64">
        <f>D18*E18</f>
        <v>0</v>
      </c>
    </row>
    <row r="19" spans="2:15" ht="15" thickTop="1" thickBot="1" x14ac:dyDescent="0.4">
      <c r="B19" s="29" t="s">
        <v>102</v>
      </c>
      <c r="C19" s="70">
        <v>16</v>
      </c>
      <c r="D19" s="39">
        <f>'Balance Sheet'!D20</f>
        <v>74000000</v>
      </c>
      <c r="E19" s="69">
        <v>0.3</v>
      </c>
      <c r="F19" s="64">
        <f t="shared" ref="F19:F20" si="2">D19*E19</f>
        <v>22200000</v>
      </c>
    </row>
    <row r="20" spans="2:15" ht="15" thickTop="1" thickBot="1" x14ac:dyDescent="0.4">
      <c r="B20" s="29" t="s">
        <v>103</v>
      </c>
      <c r="C20" s="28">
        <v>17</v>
      </c>
      <c r="D20" s="39">
        <v>0</v>
      </c>
      <c r="E20" s="69">
        <v>0.3</v>
      </c>
      <c r="F20" s="64">
        <f t="shared" si="2"/>
        <v>0</v>
      </c>
    </row>
    <row r="21" spans="2:15" ht="15" thickTop="1" thickBot="1" x14ac:dyDescent="0.4">
      <c r="B21" s="31" t="s">
        <v>13</v>
      </c>
      <c r="C21" s="28" t="s">
        <v>99</v>
      </c>
      <c r="D21" s="64">
        <f>SUM(D18:D20)</f>
        <v>74000000</v>
      </c>
      <c r="E21" s="15"/>
      <c r="F21" s="64">
        <f t="shared" ref="F21" si="3">SUM(F18:F20)</f>
        <v>22200000</v>
      </c>
    </row>
    <row r="22" spans="2:15" ht="6.75" customHeight="1" x14ac:dyDescent="0.35">
      <c r="D22" s="40"/>
      <c r="F22" s="40"/>
    </row>
    <row r="23" spans="2:15" ht="18.75" customHeight="1" x14ac:dyDescent="0.35">
      <c r="B23" s="10" t="s">
        <v>104</v>
      </c>
      <c r="D23" s="40"/>
      <c r="F23" s="40"/>
    </row>
    <row r="24" spans="2:15" ht="14.6" thickBot="1" x14ac:dyDescent="0.4">
      <c r="B24" s="10" t="s">
        <v>105</v>
      </c>
      <c r="D24" s="40"/>
      <c r="F24" s="40"/>
    </row>
    <row r="25" spans="2:15" ht="14.6" thickBot="1" x14ac:dyDescent="0.4">
      <c r="B25" s="27" t="s">
        <v>106</v>
      </c>
      <c r="C25" s="28" t="s">
        <v>99</v>
      </c>
      <c r="D25" s="71" t="s">
        <v>107</v>
      </c>
      <c r="E25" s="11" t="s">
        <v>108</v>
      </c>
      <c r="F25" s="71" t="s">
        <v>109</v>
      </c>
      <c r="H25" s="22"/>
      <c r="I25" s="72"/>
      <c r="J25" s="73"/>
      <c r="K25" s="73"/>
      <c r="L25" s="72"/>
      <c r="M25" s="72"/>
      <c r="N25" s="72"/>
      <c r="O25" s="73"/>
    </row>
    <row r="26" spans="2:15" ht="15" customHeight="1" thickTop="1" thickBot="1" x14ac:dyDescent="0.4">
      <c r="B26" s="27" t="s">
        <v>110</v>
      </c>
      <c r="C26" s="30">
        <v>18</v>
      </c>
      <c r="D26" s="74"/>
      <c r="E26" s="75"/>
      <c r="F26" s="64">
        <f>D26-E26</f>
        <v>0</v>
      </c>
      <c r="H26" s="22"/>
      <c r="I26" s="163"/>
      <c r="J26" s="163"/>
      <c r="K26" s="163"/>
      <c r="L26" s="163"/>
      <c r="M26" s="163"/>
      <c r="N26" s="163"/>
      <c r="O26" s="163"/>
    </row>
    <row r="27" spans="2:15" ht="15" customHeight="1" thickTop="1" thickBot="1" x14ac:dyDescent="0.4">
      <c r="B27" s="27" t="s">
        <v>111</v>
      </c>
      <c r="C27" s="28">
        <v>19</v>
      </c>
      <c r="D27" s="74"/>
      <c r="E27" s="75"/>
      <c r="F27" s="64">
        <f>D27-E27</f>
        <v>0</v>
      </c>
      <c r="H27" s="22"/>
      <c r="I27" s="163"/>
      <c r="J27" s="163"/>
      <c r="K27" s="163"/>
      <c r="L27" s="163"/>
      <c r="M27" s="163"/>
      <c r="N27" s="163"/>
      <c r="O27" s="163"/>
    </row>
    <row r="28" spans="2:15" ht="15" customHeight="1" thickTop="1" thickBot="1" x14ac:dyDescent="0.4">
      <c r="B28" s="27" t="s">
        <v>112</v>
      </c>
      <c r="C28" s="30">
        <v>20</v>
      </c>
      <c r="D28" s="74"/>
      <c r="E28" s="75"/>
      <c r="F28" s="64">
        <f>D28-E28</f>
        <v>0</v>
      </c>
      <c r="H28" s="22"/>
      <c r="I28" s="163"/>
      <c r="J28" s="163"/>
      <c r="K28" s="163"/>
      <c r="L28" s="163"/>
      <c r="M28" s="163"/>
      <c r="N28" s="163"/>
      <c r="O28" s="163"/>
    </row>
    <row r="29" spans="2:15" ht="15" customHeight="1" thickTop="1" thickBot="1" x14ac:dyDescent="0.4">
      <c r="B29" s="31" t="s">
        <v>113</v>
      </c>
      <c r="C29" s="28" t="s">
        <v>99</v>
      </c>
      <c r="D29" s="64"/>
      <c r="E29" s="64"/>
      <c r="F29" s="64">
        <f>MAX(F26-F27,F26-F28,0)</f>
        <v>0</v>
      </c>
      <c r="H29" s="22"/>
      <c r="I29" s="163"/>
      <c r="J29" s="163"/>
      <c r="K29" s="163"/>
      <c r="L29" s="163"/>
      <c r="M29" s="163"/>
      <c r="N29" s="163"/>
      <c r="O29" s="163"/>
    </row>
    <row r="30" spans="2:15" ht="14.5" customHeight="1" x14ac:dyDescent="0.35">
      <c r="B30" s="76"/>
      <c r="C30" s="72"/>
      <c r="D30" s="73"/>
      <c r="E30" s="73"/>
      <c r="F30" s="72"/>
      <c r="G30" s="72"/>
      <c r="H30" s="76"/>
      <c r="I30" s="163"/>
      <c r="J30" s="163"/>
      <c r="K30" s="163"/>
      <c r="L30" s="163"/>
      <c r="M30" s="163"/>
      <c r="N30" s="163"/>
      <c r="O30" s="163"/>
    </row>
    <row r="31" spans="2:15" ht="14.5" customHeight="1" x14ac:dyDescent="0.35">
      <c r="B31" s="77" t="s">
        <v>114</v>
      </c>
      <c r="C31" s="78"/>
      <c r="D31" s="78"/>
      <c r="E31" s="78"/>
      <c r="F31" s="79"/>
      <c r="G31" s="78"/>
      <c r="H31" s="78"/>
      <c r="I31" s="78"/>
    </row>
    <row r="32" spans="2:15" ht="14.5" customHeight="1" x14ac:dyDescent="0.35">
      <c r="B32" s="22" t="s">
        <v>115</v>
      </c>
      <c r="C32" s="78"/>
      <c r="D32" s="78"/>
      <c r="E32" s="78"/>
      <c r="F32" s="78"/>
      <c r="G32" s="78"/>
      <c r="H32" s="78"/>
      <c r="I32" s="78"/>
    </row>
    <row r="33" spans="2:9" ht="14.5" customHeight="1" x14ac:dyDescent="0.35">
      <c r="B33" s="22" t="s">
        <v>116</v>
      </c>
      <c r="C33" s="78"/>
      <c r="D33" s="78"/>
      <c r="E33" s="78"/>
      <c r="F33" s="78"/>
      <c r="G33" s="78"/>
      <c r="H33" s="78"/>
      <c r="I33" s="78"/>
    </row>
    <row r="34" spans="2:9" x14ac:dyDescent="0.35">
      <c r="B34" s="22" t="s">
        <v>117</v>
      </c>
      <c r="C34" s="78"/>
      <c r="D34" s="78"/>
      <c r="E34" s="78"/>
      <c r="F34" s="78"/>
      <c r="G34" s="78"/>
      <c r="H34" s="78"/>
      <c r="I34" s="78"/>
    </row>
    <row r="35" spans="2:9" ht="14.5" customHeight="1" x14ac:dyDescent="0.35">
      <c r="B35" s="76"/>
      <c r="C35" s="78"/>
      <c r="D35" s="78"/>
      <c r="E35" s="78"/>
      <c r="F35" s="78"/>
      <c r="G35" s="78"/>
      <c r="H35" s="78"/>
      <c r="I35" s="78"/>
    </row>
    <row r="36" spans="2:9" x14ac:dyDescent="0.35">
      <c r="B36" s="10" t="s">
        <v>118</v>
      </c>
    </row>
    <row r="37" spans="2:9" ht="36" customHeight="1" x14ac:dyDescent="0.35">
      <c r="B37" s="36" t="s">
        <v>119</v>
      </c>
      <c r="C37" s="11"/>
      <c r="D37" s="11" t="s">
        <v>120</v>
      </c>
      <c r="E37" s="11" t="s">
        <v>121</v>
      </c>
      <c r="F37" s="11" t="s">
        <v>122</v>
      </c>
      <c r="G37" s="11" t="s">
        <v>123</v>
      </c>
    </row>
    <row r="38" spans="2:9" x14ac:dyDescent="0.35">
      <c r="B38" s="80"/>
      <c r="C38" s="14"/>
      <c r="D38" s="42"/>
      <c r="E38" s="42"/>
      <c r="F38" s="42"/>
      <c r="G38" s="42"/>
    </row>
    <row r="39" spans="2:9" x14ac:dyDescent="0.35">
      <c r="B39" s="81"/>
      <c r="C39" s="14"/>
      <c r="D39" s="42"/>
      <c r="E39" s="42"/>
      <c r="F39" s="42"/>
      <c r="G39" s="42"/>
    </row>
    <row r="40" spans="2:9" x14ac:dyDescent="0.35">
      <c r="B40" s="81"/>
      <c r="C40" s="14"/>
      <c r="D40" s="42"/>
      <c r="E40" s="42"/>
      <c r="F40" s="42"/>
      <c r="G40" s="42"/>
    </row>
    <row r="41" spans="2:9" x14ac:dyDescent="0.35">
      <c r="B41" s="81"/>
      <c r="C41" s="14"/>
      <c r="D41" s="42"/>
      <c r="E41" s="42"/>
      <c r="F41" s="42"/>
      <c r="G41" s="42"/>
    </row>
    <row r="42" spans="2:9" x14ac:dyDescent="0.35">
      <c r="B42" s="81"/>
      <c r="C42" s="14"/>
      <c r="D42" s="42"/>
      <c r="E42" s="42"/>
      <c r="F42" s="42"/>
      <c r="G42" s="42"/>
    </row>
    <row r="43" spans="2:9" x14ac:dyDescent="0.35">
      <c r="B43" s="81"/>
      <c r="C43" s="14"/>
      <c r="D43" s="42"/>
      <c r="E43" s="42"/>
      <c r="F43" s="42"/>
      <c r="G43" s="42"/>
    </row>
    <row r="44" spans="2:9" x14ac:dyDescent="0.35">
      <c r="B44" s="81"/>
      <c r="C44" s="14"/>
      <c r="D44" s="42"/>
      <c r="E44" s="42"/>
      <c r="F44" s="42"/>
      <c r="G44" s="42"/>
    </row>
    <row r="45" spans="2:9" x14ac:dyDescent="0.35">
      <c r="B45" s="81"/>
      <c r="C45" s="14"/>
      <c r="D45" s="42"/>
      <c r="E45" s="42"/>
      <c r="F45" s="42"/>
      <c r="G45" s="42"/>
    </row>
    <row r="46" spans="2:9" x14ac:dyDescent="0.35">
      <c r="B46" s="81"/>
      <c r="C46" s="14"/>
      <c r="D46" s="42"/>
      <c r="E46" s="42"/>
      <c r="F46" s="42"/>
      <c r="G46" s="42"/>
    </row>
    <row r="47" spans="2:9" x14ac:dyDescent="0.35">
      <c r="B47" s="81"/>
      <c r="C47" s="14"/>
      <c r="D47" s="42"/>
      <c r="E47" s="42"/>
      <c r="F47" s="42"/>
      <c r="G47" s="42"/>
    </row>
    <row r="48" spans="2:9" x14ac:dyDescent="0.35">
      <c r="B48" s="81"/>
      <c r="C48" s="14"/>
      <c r="D48" s="42"/>
      <c r="E48" s="42"/>
      <c r="F48" s="42"/>
      <c r="G48" s="42"/>
    </row>
    <row r="49" spans="2:7" x14ac:dyDescent="0.35">
      <c r="B49" s="81"/>
      <c r="C49" s="14"/>
      <c r="D49" s="42"/>
      <c r="E49" s="42"/>
      <c r="F49" s="42"/>
      <c r="G49" s="42"/>
    </row>
    <row r="50" spans="2:7" x14ac:dyDescent="0.35">
      <c r="B50" s="81"/>
      <c r="C50" s="14"/>
      <c r="D50" s="42"/>
      <c r="E50" s="42"/>
      <c r="F50" s="42"/>
      <c r="G50" s="42"/>
    </row>
    <row r="51" spans="2:7" x14ac:dyDescent="0.35">
      <c r="B51" s="81"/>
      <c r="C51" s="14"/>
      <c r="D51" s="42"/>
      <c r="E51" s="42"/>
      <c r="F51" s="42"/>
      <c r="G51" s="42"/>
    </row>
    <row r="52" spans="2:7" x14ac:dyDescent="0.35">
      <c r="B52" s="81"/>
      <c r="C52" s="14"/>
      <c r="D52" s="42"/>
      <c r="E52" s="42"/>
      <c r="F52" s="42"/>
      <c r="G52" s="42"/>
    </row>
    <row r="53" spans="2:7" x14ac:dyDescent="0.35">
      <c r="B53" s="81"/>
      <c r="C53" s="14"/>
      <c r="D53" s="42"/>
      <c r="E53" s="42"/>
      <c r="F53" s="42"/>
      <c r="G53" s="42"/>
    </row>
    <row r="54" spans="2:7" x14ac:dyDescent="0.35">
      <c r="B54" s="81"/>
      <c r="C54" s="14"/>
      <c r="D54" s="42"/>
      <c r="E54" s="42"/>
      <c r="F54" s="42"/>
      <c r="G54" s="42"/>
    </row>
    <row r="55" spans="2:7" x14ac:dyDescent="0.35">
      <c r="B55" s="81"/>
      <c r="C55" s="14"/>
      <c r="D55" s="42"/>
      <c r="E55" s="42"/>
      <c r="F55" s="42"/>
      <c r="G55" s="42"/>
    </row>
    <row r="56" spans="2:7" x14ac:dyDescent="0.35">
      <c r="B56" s="81"/>
      <c r="C56" s="14"/>
      <c r="D56" s="42"/>
      <c r="E56" s="42"/>
      <c r="F56" s="42"/>
      <c r="G56" s="42"/>
    </row>
    <row r="57" spans="2:7" x14ac:dyDescent="0.35">
      <c r="B57" s="81"/>
      <c r="C57" s="14"/>
      <c r="D57" s="42"/>
      <c r="E57" s="42"/>
      <c r="F57" s="42"/>
      <c r="G57" s="42"/>
    </row>
    <row r="58" spans="2:7" x14ac:dyDescent="0.35">
      <c r="B58" s="81"/>
      <c r="C58" s="14"/>
      <c r="D58" s="42"/>
      <c r="E58" s="42"/>
      <c r="F58" s="42"/>
      <c r="G58" s="42"/>
    </row>
    <row r="59" spans="2:7" x14ac:dyDescent="0.35">
      <c r="B59" s="82"/>
      <c r="C59" s="14"/>
      <c r="D59" s="46"/>
      <c r="E59" s="46"/>
      <c r="F59" s="42"/>
      <c r="G59" s="42"/>
    </row>
    <row r="60" spans="2:7" x14ac:dyDescent="0.35">
      <c r="B60" s="83" t="s">
        <v>124</v>
      </c>
      <c r="C60" s="14"/>
      <c r="D60" s="84"/>
      <c r="E60" s="84"/>
      <c r="F60" s="64">
        <f>SUM(F38:F59)</f>
        <v>0</v>
      </c>
      <c r="G60" s="64">
        <f>SUM(G38:G59)</f>
        <v>0</v>
      </c>
    </row>
    <row r="61" spans="2:7" x14ac:dyDescent="0.35">
      <c r="D61" s="40"/>
      <c r="E61" s="40"/>
      <c r="F61" s="13" t="s">
        <v>125</v>
      </c>
      <c r="G61" s="64">
        <f>MAX(ABS(F60),ABS(G60))</f>
        <v>0</v>
      </c>
    </row>
    <row r="62" spans="2:7" x14ac:dyDescent="0.35">
      <c r="F62" s="13" t="s">
        <v>126</v>
      </c>
      <c r="G62" s="69">
        <v>0.08</v>
      </c>
    </row>
    <row r="63" spans="2:7" x14ac:dyDescent="0.35">
      <c r="B63" s="77" t="s">
        <v>114</v>
      </c>
      <c r="C63" s="73"/>
      <c r="F63" s="13" t="s">
        <v>74</v>
      </c>
      <c r="G63" s="64">
        <f>G61*G62</f>
        <v>0</v>
      </c>
    </row>
    <row r="64" spans="2:7" x14ac:dyDescent="0.35">
      <c r="B64" s="22" t="s">
        <v>127</v>
      </c>
      <c r="C64" s="78"/>
      <c r="D64" s="78"/>
    </row>
    <row r="65" spans="2:7" x14ac:dyDescent="0.35">
      <c r="B65" s="22" t="s">
        <v>128</v>
      </c>
      <c r="C65" s="78"/>
      <c r="D65" s="78"/>
      <c r="E65" s="78"/>
      <c r="F65" s="78"/>
      <c r="G65" s="78"/>
    </row>
    <row r="66" spans="2:7" x14ac:dyDescent="0.35">
      <c r="B66" s="22" t="s">
        <v>129</v>
      </c>
      <c r="C66" s="78"/>
      <c r="D66" s="78"/>
      <c r="E66" s="78"/>
      <c r="F66" s="78"/>
      <c r="G66" s="78"/>
    </row>
    <row r="67" spans="2:7" ht="14.6" thickBot="1" x14ac:dyDescent="0.4"/>
    <row r="68" spans="2:7" ht="14.6" thickBot="1" x14ac:dyDescent="0.4">
      <c r="B68" s="85" t="s">
        <v>130</v>
      </c>
      <c r="C68" s="65"/>
      <c r="D68" s="65"/>
      <c r="E68" s="86"/>
      <c r="F68" s="68">
        <f>SQRT((F15^2)+(F21^2)+(F29^2)+(G63^2))</f>
        <v>24557890.788909376</v>
      </c>
    </row>
    <row r="70" spans="2:7" x14ac:dyDescent="0.35">
      <c r="B70" s="87" t="s">
        <v>131</v>
      </c>
    </row>
    <row r="71" spans="2:7" ht="15" x14ac:dyDescent="0.35">
      <c r="B71" s="88" t="s">
        <v>132</v>
      </c>
    </row>
    <row r="72" spans="2:7" x14ac:dyDescent="0.35">
      <c r="B72" s="22"/>
    </row>
  </sheetData>
  <protectedRanges>
    <protectedRange sqref="D26:E28 B38:B59 D38:G59" name="Range1"/>
  </protectedRanges>
  <mergeCells count="5">
    <mergeCell ref="C7:C8"/>
    <mergeCell ref="I26:O26"/>
    <mergeCell ref="I27:O27"/>
    <mergeCell ref="I28:O29"/>
    <mergeCell ref="I30:O30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BA7122-2ED8-4C54-B365-0866E0742545}">
  <sheetPr>
    <tabColor rgb="FF92D050"/>
  </sheetPr>
  <dimension ref="B2:K45"/>
  <sheetViews>
    <sheetView topLeftCell="A28" workbookViewId="0">
      <selection activeCell="D42" sqref="D42"/>
    </sheetView>
  </sheetViews>
  <sheetFormatPr defaultColWidth="8.84375" defaultRowHeight="14.15" x14ac:dyDescent="0.35"/>
  <cols>
    <col min="1" max="1" width="2.3828125" style="2" customWidth="1"/>
    <col min="2" max="2" width="62.3828125" style="2" bestFit="1" customWidth="1"/>
    <col min="3" max="3" width="13.07421875" style="2" customWidth="1"/>
    <col min="4" max="4" width="30.61328125" style="2" customWidth="1"/>
    <col min="5" max="5" width="15.84375" style="2" customWidth="1"/>
    <col min="6" max="6" width="30.61328125" style="2" customWidth="1"/>
    <col min="7" max="7" width="2.84375" style="2" customWidth="1"/>
    <col min="8" max="8" width="23.07421875" style="2" customWidth="1"/>
    <col min="9" max="9" width="4.84375" style="2" bestFit="1" customWidth="1"/>
    <col min="10" max="10" width="31.07421875" style="2" hidden="1" customWidth="1"/>
    <col min="11" max="11" width="14.3828125" style="2" hidden="1" customWidth="1"/>
    <col min="12" max="16384" width="8.84375" style="2"/>
  </cols>
  <sheetData>
    <row r="2" spans="2:6" x14ac:dyDescent="0.35">
      <c r="B2" s="1" t="s">
        <v>133</v>
      </c>
    </row>
    <row r="3" spans="2:6" ht="15" x14ac:dyDescent="0.35">
      <c r="B3" s="1" t="s">
        <v>134</v>
      </c>
      <c r="C3" s="4"/>
      <c r="D3" s="23"/>
      <c r="E3" s="23"/>
      <c r="F3" s="23"/>
    </row>
    <row r="4" spans="2:6" x14ac:dyDescent="0.35">
      <c r="B4" s="5" t="s">
        <v>2</v>
      </c>
      <c r="C4" s="6" t="str">
        <f>'41-1A'!C4</f>
        <v>YY INSURANCE COMPANY LIMITED</v>
      </c>
      <c r="D4" s="23"/>
      <c r="E4" s="23"/>
      <c r="F4" s="23"/>
    </row>
    <row r="5" spans="2:6" ht="14.5" customHeight="1" x14ac:dyDescent="0.35">
      <c r="B5" s="7" t="s">
        <v>3</v>
      </c>
      <c r="C5" s="100">
        <f>'41-1A'!C5</f>
        <v>46022</v>
      </c>
      <c r="D5" s="9"/>
      <c r="E5" s="9"/>
      <c r="F5" s="9"/>
    </row>
    <row r="6" spans="2:6" x14ac:dyDescent="0.35">
      <c r="C6" s="25"/>
      <c r="D6" s="23"/>
      <c r="E6" s="23"/>
      <c r="F6" s="23"/>
    </row>
    <row r="7" spans="2:6" x14ac:dyDescent="0.35">
      <c r="C7" s="152" t="s">
        <v>4</v>
      </c>
      <c r="D7" s="11" t="s">
        <v>90</v>
      </c>
      <c r="E7" s="11" t="s">
        <v>91</v>
      </c>
      <c r="F7" s="11" t="s">
        <v>92</v>
      </c>
    </row>
    <row r="8" spans="2:6" x14ac:dyDescent="0.35">
      <c r="B8" s="26" t="s">
        <v>6</v>
      </c>
      <c r="C8" s="152"/>
      <c r="D8" s="37" t="s">
        <v>76</v>
      </c>
      <c r="E8" s="37" t="s">
        <v>7</v>
      </c>
      <c r="F8" s="37" t="s">
        <v>48</v>
      </c>
    </row>
    <row r="9" spans="2:6" x14ac:dyDescent="0.35">
      <c r="B9" s="10" t="s">
        <v>135</v>
      </c>
    </row>
    <row r="10" spans="2:6" ht="15" customHeight="1" x14ac:dyDescent="0.35">
      <c r="B10" s="13" t="s">
        <v>136</v>
      </c>
      <c r="C10" s="14">
        <v>10</v>
      </c>
      <c r="D10" s="89">
        <f>'Balance Sheet'!D27</f>
        <v>1600000000</v>
      </c>
      <c r="E10" s="69">
        <v>0</v>
      </c>
      <c r="F10" s="15">
        <f>D10*E10</f>
        <v>0</v>
      </c>
    </row>
    <row r="11" spans="2:6" ht="15" customHeight="1" x14ac:dyDescent="0.35">
      <c r="B11" s="13" t="s">
        <v>137</v>
      </c>
      <c r="C11" s="14">
        <v>11</v>
      </c>
      <c r="D11" s="89">
        <v>0</v>
      </c>
      <c r="E11" s="69">
        <v>0</v>
      </c>
      <c r="F11" s="15">
        <f t="shared" ref="F11:F14" si="0">D11*E11</f>
        <v>0</v>
      </c>
    </row>
    <row r="12" spans="2:6" ht="15" customHeight="1" x14ac:dyDescent="0.35">
      <c r="B12" s="13" t="s">
        <v>138</v>
      </c>
      <c r="C12" s="14">
        <v>12</v>
      </c>
      <c r="D12" s="89">
        <v>0</v>
      </c>
      <c r="E12" s="69">
        <v>0.05</v>
      </c>
      <c r="F12" s="15">
        <f t="shared" si="0"/>
        <v>0</v>
      </c>
    </row>
    <row r="13" spans="2:6" ht="15" customHeight="1" x14ac:dyDescent="0.35">
      <c r="B13" s="13" t="s">
        <v>139</v>
      </c>
      <c r="C13" s="14">
        <v>13</v>
      </c>
      <c r="D13" s="89">
        <v>0</v>
      </c>
      <c r="E13" s="69">
        <v>0.12</v>
      </c>
      <c r="F13" s="15">
        <f t="shared" si="0"/>
        <v>0</v>
      </c>
    </row>
    <row r="14" spans="2:6" ht="15" customHeight="1" x14ac:dyDescent="0.35">
      <c r="B14" s="13" t="s">
        <v>140</v>
      </c>
      <c r="C14" s="14">
        <v>14</v>
      </c>
      <c r="D14" s="89">
        <f>'Balance Sheet'!D28</f>
        <v>4200000</v>
      </c>
      <c r="E14" s="69">
        <v>0.12</v>
      </c>
      <c r="F14" s="15">
        <f t="shared" si="0"/>
        <v>504000</v>
      </c>
    </row>
    <row r="15" spans="2:6" ht="6" customHeight="1" x14ac:dyDescent="0.35">
      <c r="D15" s="40"/>
    </row>
    <row r="16" spans="2:6" ht="5.25" customHeight="1" x14ac:dyDescent="0.35">
      <c r="D16" s="40"/>
    </row>
    <row r="17" spans="2:11" ht="15.75" customHeight="1" x14ac:dyDescent="0.35">
      <c r="B17" s="10" t="s">
        <v>141</v>
      </c>
      <c r="D17" s="40"/>
    </row>
    <row r="18" spans="2:11" ht="15.75" customHeight="1" x14ac:dyDescent="0.35">
      <c r="B18" s="13" t="s">
        <v>142</v>
      </c>
      <c r="C18" s="14">
        <v>10</v>
      </c>
      <c r="D18" s="89">
        <f>'Balance Sheet'!D30</f>
        <v>535000000</v>
      </c>
      <c r="E18" s="69">
        <v>0</v>
      </c>
      <c r="F18" s="15">
        <f>D18*E18</f>
        <v>0</v>
      </c>
    </row>
    <row r="19" spans="2:11" ht="15.75" customHeight="1" x14ac:dyDescent="0.35">
      <c r="B19" s="13" t="s">
        <v>143</v>
      </c>
      <c r="C19" s="14">
        <v>11</v>
      </c>
      <c r="D19" s="89">
        <f>'Balance Sheet'!D31</f>
        <v>120000000</v>
      </c>
      <c r="E19" s="69">
        <v>0</v>
      </c>
      <c r="F19" s="15">
        <f t="shared" ref="F19" si="1">D19*E19</f>
        <v>0</v>
      </c>
    </row>
    <row r="20" spans="2:11" ht="5.25" customHeight="1" x14ac:dyDescent="0.35">
      <c r="D20" s="40"/>
    </row>
    <row r="21" spans="2:11" ht="15" customHeight="1" x14ac:dyDescent="0.35">
      <c r="B21" s="10" t="s">
        <v>144</v>
      </c>
      <c r="D21" s="40"/>
    </row>
    <row r="22" spans="2:11" ht="15" customHeight="1" x14ac:dyDescent="0.35">
      <c r="B22" s="13" t="s">
        <v>145</v>
      </c>
      <c r="C22" s="38">
        <v>15</v>
      </c>
      <c r="D22" s="39">
        <v>0</v>
      </c>
      <c r="E22" s="69">
        <v>0</v>
      </c>
      <c r="F22" s="15">
        <f>D22*E22</f>
        <v>0</v>
      </c>
    </row>
    <row r="23" spans="2:11" ht="15" customHeight="1" x14ac:dyDescent="0.35">
      <c r="B23" s="13" t="s">
        <v>146</v>
      </c>
      <c r="C23" s="38">
        <v>16</v>
      </c>
      <c r="D23" s="39">
        <v>0</v>
      </c>
      <c r="E23" s="69">
        <v>0.1</v>
      </c>
      <c r="F23" s="15">
        <f t="shared" ref="F23:F28" si="2">D23*E23</f>
        <v>0</v>
      </c>
    </row>
    <row r="24" spans="2:11" ht="15" customHeight="1" x14ac:dyDescent="0.35">
      <c r="B24" s="13" t="s">
        <v>147</v>
      </c>
      <c r="C24" s="38">
        <v>17</v>
      </c>
      <c r="D24" s="90">
        <v>0</v>
      </c>
      <c r="E24" s="91">
        <v>0.3</v>
      </c>
      <c r="F24" s="15">
        <f t="shared" si="2"/>
        <v>0</v>
      </c>
    </row>
    <row r="25" spans="2:11" ht="15" customHeight="1" x14ac:dyDescent="0.35">
      <c r="B25" s="13" t="s">
        <v>148</v>
      </c>
      <c r="C25" s="38">
        <v>18</v>
      </c>
      <c r="D25" s="90">
        <v>0</v>
      </c>
      <c r="E25" s="91">
        <v>0.4</v>
      </c>
      <c r="F25" s="15">
        <f t="shared" si="2"/>
        <v>0</v>
      </c>
      <c r="J25" s="24" t="s">
        <v>149</v>
      </c>
      <c r="K25" s="24" t="s">
        <v>150</v>
      </c>
    </row>
    <row r="26" spans="2:11" ht="15" customHeight="1" x14ac:dyDescent="0.35">
      <c r="B26" s="13" t="s">
        <v>151</v>
      </c>
      <c r="C26" s="38">
        <v>19</v>
      </c>
      <c r="D26" s="39">
        <v>0</v>
      </c>
      <c r="E26" s="69">
        <v>0.3</v>
      </c>
      <c r="F26" s="15">
        <f t="shared" si="2"/>
        <v>0</v>
      </c>
      <c r="J26" s="2" t="s">
        <v>152</v>
      </c>
      <c r="K26" s="92"/>
    </row>
    <row r="27" spans="2:11" ht="15" customHeight="1" x14ac:dyDescent="0.35">
      <c r="B27" s="13" t="s">
        <v>153</v>
      </c>
      <c r="C27" s="38">
        <v>20</v>
      </c>
      <c r="D27" s="39">
        <f>'Balance Sheet'!D26</f>
        <v>16000000</v>
      </c>
      <c r="E27" s="69">
        <v>1</v>
      </c>
      <c r="F27" s="15">
        <f t="shared" si="2"/>
        <v>16000000</v>
      </c>
      <c r="J27" s="2" t="s">
        <v>154</v>
      </c>
      <c r="K27" s="93"/>
    </row>
    <row r="28" spans="2:11" ht="15" customHeight="1" x14ac:dyDescent="0.35">
      <c r="B28" s="13" t="s">
        <v>155</v>
      </c>
      <c r="C28" s="38">
        <v>21</v>
      </c>
      <c r="D28" s="39">
        <f>'Balance Sheet'!D25</f>
        <v>150000000</v>
      </c>
      <c r="E28" s="69">
        <v>1</v>
      </c>
      <c r="F28" s="15">
        <f t="shared" si="2"/>
        <v>150000000</v>
      </c>
      <c r="J28" s="2" t="s">
        <v>156</v>
      </c>
      <c r="K28" s="93"/>
    </row>
    <row r="29" spans="2:11" ht="7.5" customHeight="1" x14ac:dyDescent="0.35">
      <c r="D29" s="40"/>
    </row>
    <row r="30" spans="2:11" x14ac:dyDescent="0.35">
      <c r="B30" s="10" t="s">
        <v>157</v>
      </c>
      <c r="D30" s="40"/>
      <c r="H30" s="10"/>
      <c r="J30" s="2" t="s">
        <v>158</v>
      </c>
      <c r="K30" s="93"/>
    </row>
    <row r="31" spans="2:11" x14ac:dyDescent="0.35">
      <c r="B31" s="13" t="s">
        <v>159</v>
      </c>
      <c r="C31" s="38">
        <v>22</v>
      </c>
      <c r="D31" s="39">
        <v>0</v>
      </c>
      <c r="E31" s="69">
        <v>1.4999999999999999E-2</v>
      </c>
      <c r="F31" s="15">
        <f>D31*E31</f>
        <v>0</v>
      </c>
      <c r="H31" s="22"/>
      <c r="J31" s="2" t="s">
        <v>160</v>
      </c>
      <c r="K31" s="93"/>
    </row>
    <row r="32" spans="2:11" x14ac:dyDescent="0.35">
      <c r="B32" s="13" t="s">
        <v>161</v>
      </c>
      <c r="C32" s="38">
        <v>23</v>
      </c>
      <c r="D32" s="39">
        <v>0</v>
      </c>
      <c r="E32" s="69">
        <v>0.1</v>
      </c>
      <c r="F32" s="15">
        <f t="shared" ref="F32:F35" si="3">D32*E32</f>
        <v>0</v>
      </c>
      <c r="H32" s="22"/>
      <c r="J32" s="2" t="s">
        <v>162</v>
      </c>
      <c r="K32" s="93"/>
    </row>
    <row r="33" spans="2:11" x14ac:dyDescent="0.35">
      <c r="B33" s="13" t="s">
        <v>163</v>
      </c>
      <c r="C33" s="38">
        <v>24</v>
      </c>
      <c r="D33" s="39">
        <v>0</v>
      </c>
      <c r="E33" s="91">
        <v>0.35</v>
      </c>
      <c r="F33" s="15">
        <f t="shared" si="3"/>
        <v>0</v>
      </c>
      <c r="H33" s="22"/>
      <c r="J33" s="2" t="s">
        <v>164</v>
      </c>
      <c r="K33" s="93"/>
    </row>
    <row r="34" spans="2:11" x14ac:dyDescent="0.35">
      <c r="B34" s="13" t="s">
        <v>165</v>
      </c>
      <c r="C34" s="38">
        <v>25</v>
      </c>
      <c r="D34" s="39">
        <v>0</v>
      </c>
      <c r="E34" s="69">
        <v>1</v>
      </c>
      <c r="F34" s="15">
        <f t="shared" si="3"/>
        <v>0</v>
      </c>
      <c r="H34" s="22"/>
      <c r="J34" s="2" t="s">
        <v>166</v>
      </c>
      <c r="K34" s="92"/>
    </row>
    <row r="35" spans="2:11" ht="15.55" customHeight="1" x14ac:dyDescent="0.35">
      <c r="B35" s="13" t="s">
        <v>167</v>
      </c>
      <c r="C35" s="38">
        <v>26</v>
      </c>
      <c r="D35" s="39">
        <f>'Balance Sheet'!D21</f>
        <v>600000000</v>
      </c>
      <c r="E35" s="69">
        <v>2.5000000000000001E-2</v>
      </c>
      <c r="F35" s="15">
        <f t="shared" si="3"/>
        <v>15000000</v>
      </c>
      <c r="H35" s="22"/>
      <c r="J35" s="94" t="s">
        <v>168</v>
      </c>
      <c r="K35" s="95"/>
    </row>
    <row r="36" spans="2:11" ht="14.25" customHeight="1" x14ac:dyDescent="0.35">
      <c r="D36" s="40"/>
      <c r="J36" s="2" t="s">
        <v>169</v>
      </c>
      <c r="K36" s="92"/>
    </row>
    <row r="37" spans="2:11" ht="14.25" customHeight="1" x14ac:dyDescent="0.35">
      <c r="B37" s="10" t="s">
        <v>170</v>
      </c>
      <c r="D37" s="40"/>
      <c r="K37" s="96"/>
    </row>
    <row r="38" spans="2:11" ht="14.25" customHeight="1" x14ac:dyDescent="0.35">
      <c r="B38" s="13" t="s">
        <v>171</v>
      </c>
      <c r="C38" s="38">
        <v>27</v>
      </c>
      <c r="D38" s="39">
        <f>'Balance Sheet'!D56</f>
        <v>250000000</v>
      </c>
      <c r="E38" s="69">
        <v>1</v>
      </c>
      <c r="F38" s="15">
        <f>D38*E38</f>
        <v>250000000</v>
      </c>
      <c r="K38" s="96"/>
    </row>
    <row r="39" spans="2:11" ht="14.25" customHeight="1" x14ac:dyDescent="0.35">
      <c r="D39" s="40"/>
      <c r="K39" s="96"/>
    </row>
    <row r="40" spans="2:11" x14ac:dyDescent="0.35">
      <c r="B40" s="10" t="s">
        <v>172</v>
      </c>
      <c r="D40" s="97"/>
      <c r="J40" s="2" t="s">
        <v>173</v>
      </c>
    </row>
    <row r="41" spans="2:11" x14ac:dyDescent="0.35">
      <c r="B41" s="13" t="s">
        <v>174</v>
      </c>
      <c r="C41" s="14">
        <v>31</v>
      </c>
      <c r="D41" s="39">
        <f>'41-1B'!E59</f>
        <v>670000000</v>
      </c>
      <c r="E41" s="69">
        <v>1.4999999999999999E-2</v>
      </c>
      <c r="F41" s="15">
        <f t="shared" ref="F41:F43" si="4">D41*E41</f>
        <v>10050000</v>
      </c>
      <c r="J41" s="2" t="s">
        <v>175</v>
      </c>
    </row>
    <row r="42" spans="2:11" x14ac:dyDescent="0.35">
      <c r="B42" s="13" t="s">
        <v>176</v>
      </c>
      <c r="C42" s="14">
        <v>32</v>
      </c>
      <c r="D42" s="39">
        <v>0</v>
      </c>
      <c r="E42" s="69">
        <v>1.4999999999999999E-2</v>
      </c>
      <c r="F42" s="15">
        <f t="shared" si="4"/>
        <v>0</v>
      </c>
    </row>
    <row r="43" spans="2:11" x14ac:dyDescent="0.35">
      <c r="B43" s="13" t="s">
        <v>177</v>
      </c>
      <c r="C43" s="14">
        <v>33</v>
      </c>
      <c r="D43" s="39">
        <v>0</v>
      </c>
      <c r="E43" s="69">
        <v>0.02</v>
      </c>
      <c r="F43" s="15">
        <f t="shared" si="4"/>
        <v>0</v>
      </c>
    </row>
    <row r="44" spans="2:11" ht="14.6" thickBot="1" x14ac:dyDescent="0.4">
      <c r="D44" s="40"/>
    </row>
    <row r="45" spans="2:11" ht="14.6" thickBot="1" x14ac:dyDescent="0.4">
      <c r="B45" s="85" t="s">
        <v>134</v>
      </c>
      <c r="C45" s="65"/>
      <c r="D45" s="66"/>
      <c r="E45" s="86"/>
      <c r="F45" s="98">
        <f>SUM(F10:F14)+SUM(F22:F28)+SUM(F31:F35)++SUM(F18:F19)+SUM(F41:F43)+F38</f>
        <v>441554000</v>
      </c>
    </row>
  </sheetData>
  <mergeCells count="1">
    <mergeCell ref="C7:C8"/>
  </mergeCells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E6311D-B6B8-490C-AE45-7D8B15C8AE21}">
  <sheetPr>
    <tabColor rgb="FF92D050"/>
  </sheetPr>
  <dimension ref="B2:D24"/>
  <sheetViews>
    <sheetView workbookViewId="0">
      <selection activeCell="E17" sqref="E17"/>
    </sheetView>
  </sheetViews>
  <sheetFormatPr defaultColWidth="8.84375" defaultRowHeight="14.15" x14ac:dyDescent="0.35"/>
  <cols>
    <col min="1" max="1" width="2.3828125" style="2" customWidth="1"/>
    <col min="2" max="2" width="38.84375" style="2" customWidth="1"/>
    <col min="3" max="3" width="12.61328125" style="2" customWidth="1"/>
    <col min="4" max="4" width="30.61328125" style="2" customWidth="1"/>
    <col min="5" max="5" width="18.84375" style="2" customWidth="1"/>
    <col min="6" max="16384" width="8.84375" style="2"/>
  </cols>
  <sheetData>
    <row r="2" spans="2:4" x14ac:dyDescent="0.35">
      <c r="B2" s="1" t="s">
        <v>178</v>
      </c>
    </row>
    <row r="3" spans="2:4" ht="15" x14ac:dyDescent="0.35">
      <c r="B3" s="1" t="s">
        <v>179</v>
      </c>
      <c r="C3" s="4"/>
    </row>
    <row r="4" spans="2:4" x14ac:dyDescent="0.35">
      <c r="B4" s="5" t="s">
        <v>2</v>
      </c>
      <c r="C4" s="6" t="str">
        <f>'41-1A'!C4</f>
        <v>YY INSURANCE COMPANY LIMITED</v>
      </c>
    </row>
    <row r="5" spans="2:4" x14ac:dyDescent="0.35">
      <c r="B5" s="7" t="s">
        <v>3</v>
      </c>
      <c r="C5" s="100">
        <f>'41-1A'!C5</f>
        <v>46022</v>
      </c>
      <c r="D5" s="9"/>
    </row>
    <row r="6" spans="2:4" ht="14.6" thickBot="1" x14ac:dyDescent="0.4">
      <c r="B6" s="10"/>
    </row>
    <row r="7" spans="2:4" x14ac:dyDescent="0.35">
      <c r="B7" s="164" t="s">
        <v>180</v>
      </c>
      <c r="C7" s="155" t="s">
        <v>4</v>
      </c>
      <c r="D7" s="11" t="s">
        <v>5</v>
      </c>
    </row>
    <row r="8" spans="2:4" ht="14.6" thickBot="1" x14ac:dyDescent="0.4">
      <c r="B8" s="165"/>
      <c r="C8" s="156"/>
      <c r="D8" s="11" t="s">
        <v>7</v>
      </c>
    </row>
    <row r="10" spans="2:4" x14ac:dyDescent="0.35">
      <c r="B10" s="13" t="s">
        <v>181</v>
      </c>
      <c r="C10" s="14">
        <v>10</v>
      </c>
      <c r="D10" s="64">
        <f>'41-1D'!F45</f>
        <v>441554000</v>
      </c>
    </row>
    <row r="11" spans="2:4" x14ac:dyDescent="0.35">
      <c r="B11" s="13" t="s">
        <v>182</v>
      </c>
      <c r="C11" s="14">
        <v>11</v>
      </c>
      <c r="D11" s="64">
        <f>'41-1C'!F68</f>
        <v>24557890.788909376</v>
      </c>
    </row>
    <row r="12" spans="2:4" x14ac:dyDescent="0.35">
      <c r="B12" s="13" t="s">
        <v>183</v>
      </c>
      <c r="C12" s="14">
        <v>12</v>
      </c>
      <c r="D12" s="64">
        <f>'41-1B'!G61</f>
        <v>158766259.61260509</v>
      </c>
    </row>
    <row r="13" spans="2:4" x14ac:dyDescent="0.35">
      <c r="D13" s="40"/>
    </row>
    <row r="14" spans="2:4" ht="15" x14ac:dyDescent="0.35">
      <c r="B14" s="13" t="s">
        <v>184</v>
      </c>
      <c r="C14" s="14">
        <v>13</v>
      </c>
      <c r="D14" s="64">
        <f>0.3*(SQRT((D10^2)+(D11^2)+(D12^2)))</f>
        <v>140961617.15042835</v>
      </c>
    </row>
    <row r="15" spans="2:4" ht="15.45" x14ac:dyDescent="0.4">
      <c r="B15" s="13" t="s">
        <v>185</v>
      </c>
      <c r="C15" s="14">
        <v>14</v>
      </c>
      <c r="D15" s="64">
        <f>0.03*D16</f>
        <v>27000000</v>
      </c>
    </row>
    <row r="16" spans="2:4" x14ac:dyDescent="0.35">
      <c r="B16" s="13" t="s">
        <v>186</v>
      </c>
      <c r="C16" s="14">
        <v>15</v>
      </c>
      <c r="D16" s="42">
        <v>900000000</v>
      </c>
    </row>
    <row r="17" spans="2:4" x14ac:dyDescent="0.35">
      <c r="B17" s="13" t="s">
        <v>187</v>
      </c>
      <c r="C17" s="14">
        <v>16</v>
      </c>
      <c r="D17" s="42">
        <v>470000000</v>
      </c>
    </row>
    <row r="18" spans="2:4" x14ac:dyDescent="0.35">
      <c r="D18" s="40"/>
    </row>
    <row r="19" spans="2:4" x14ac:dyDescent="0.35">
      <c r="B19" s="17" t="s">
        <v>179</v>
      </c>
      <c r="C19" s="14">
        <v>19</v>
      </c>
      <c r="D19" s="64">
        <f>MAX(D14,D15)</f>
        <v>140961617.15042835</v>
      </c>
    </row>
    <row r="21" spans="2:4" x14ac:dyDescent="0.35">
      <c r="B21" s="87" t="s">
        <v>131</v>
      </c>
    </row>
    <row r="22" spans="2:4" ht="15" x14ac:dyDescent="0.35">
      <c r="B22" s="88" t="s">
        <v>188</v>
      </c>
      <c r="C22" s="22"/>
    </row>
    <row r="23" spans="2:4" x14ac:dyDescent="0.35">
      <c r="B23" s="22" t="s">
        <v>189</v>
      </c>
      <c r="C23" s="22"/>
    </row>
    <row r="24" spans="2:4" x14ac:dyDescent="0.35">
      <c r="B24" s="21"/>
      <c r="C24" s="22"/>
    </row>
  </sheetData>
  <protectedRanges>
    <protectedRange sqref="D16:D17" name="Range1"/>
  </protectedRanges>
  <mergeCells count="2">
    <mergeCell ref="B7:B8"/>
    <mergeCell ref="C7:C8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D78F46-6CB7-42AF-9439-9C9B243B9BEF}">
  <sheetPr>
    <tabColor rgb="FF92D050"/>
  </sheetPr>
  <dimension ref="B2:G20"/>
  <sheetViews>
    <sheetView workbookViewId="0">
      <selection activeCell="D4" sqref="D4"/>
    </sheetView>
  </sheetViews>
  <sheetFormatPr defaultColWidth="8.84375" defaultRowHeight="14.15" x14ac:dyDescent="0.35"/>
  <cols>
    <col min="1" max="1" width="2.3828125" style="2" customWidth="1"/>
    <col min="2" max="2" width="33.3828125" style="2" customWidth="1"/>
    <col min="3" max="3" width="13.84375" style="2" customWidth="1"/>
    <col min="4" max="4" width="29.15234375" style="2" customWidth="1"/>
    <col min="5" max="5" width="18.84375" style="2" customWidth="1"/>
    <col min="6" max="6" width="8.84375" style="2"/>
    <col min="7" max="7" width="12.07421875" style="2" bestFit="1" customWidth="1"/>
    <col min="8" max="16384" width="8.84375" style="2"/>
  </cols>
  <sheetData>
    <row r="2" spans="2:7" x14ac:dyDescent="0.35">
      <c r="B2" s="1" t="s">
        <v>190</v>
      </c>
    </row>
    <row r="3" spans="2:7" ht="15" x14ac:dyDescent="0.35">
      <c r="B3" s="1" t="s">
        <v>191</v>
      </c>
      <c r="C3" s="4"/>
    </row>
    <row r="4" spans="2:7" x14ac:dyDescent="0.35">
      <c r="B4" s="5" t="s">
        <v>2</v>
      </c>
      <c r="C4" s="6" t="str">
        <f>'41-1A'!C4</f>
        <v>YY INSURANCE COMPANY LIMITED</v>
      </c>
    </row>
    <row r="5" spans="2:7" x14ac:dyDescent="0.35">
      <c r="B5" s="7" t="s">
        <v>3</v>
      </c>
      <c r="C5" s="100">
        <f>'41-1A'!C5</f>
        <v>46022</v>
      </c>
      <c r="D5" s="9"/>
    </row>
    <row r="6" spans="2:7" ht="14.6" thickBot="1" x14ac:dyDescent="0.4">
      <c r="B6" s="10"/>
    </row>
    <row r="7" spans="2:7" x14ac:dyDescent="0.35">
      <c r="B7" s="164" t="s">
        <v>180</v>
      </c>
      <c r="C7" s="155" t="s">
        <v>4</v>
      </c>
      <c r="D7" s="11" t="s">
        <v>5</v>
      </c>
    </row>
    <row r="8" spans="2:7" ht="14.6" thickBot="1" x14ac:dyDescent="0.4">
      <c r="B8" s="165"/>
      <c r="C8" s="156"/>
      <c r="D8" s="11" t="s">
        <v>7</v>
      </c>
      <c r="E8" s="99"/>
    </row>
    <row r="9" spans="2:7" x14ac:dyDescent="0.35">
      <c r="E9" s="99"/>
    </row>
    <row r="10" spans="2:7" x14ac:dyDescent="0.35">
      <c r="B10" s="13" t="s">
        <v>181</v>
      </c>
      <c r="C10" s="14">
        <v>10</v>
      </c>
      <c r="D10" s="64">
        <f>'41-1D'!F45</f>
        <v>441554000</v>
      </c>
      <c r="E10" s="99"/>
      <c r="G10" s="52"/>
    </row>
    <row r="11" spans="2:7" x14ac:dyDescent="0.35">
      <c r="B11" s="13" t="s">
        <v>182</v>
      </c>
      <c r="C11" s="14">
        <v>11</v>
      </c>
      <c r="D11" s="64">
        <f>'41-1C'!F68</f>
        <v>24557890.788909376</v>
      </c>
      <c r="E11" s="99"/>
    </row>
    <row r="12" spans="2:7" x14ac:dyDescent="0.35">
      <c r="B12" s="13" t="s">
        <v>183</v>
      </c>
      <c r="C12" s="14">
        <v>12</v>
      </c>
      <c r="D12" s="64">
        <f>'41-1B'!G61</f>
        <v>158766259.61260509</v>
      </c>
      <c r="E12" s="99"/>
    </row>
    <row r="13" spans="2:7" x14ac:dyDescent="0.35">
      <c r="B13" s="13" t="s">
        <v>192</v>
      </c>
      <c r="C13" s="14">
        <v>13</v>
      </c>
      <c r="D13" s="64">
        <f>'41-1E'!D19</f>
        <v>140961617.15042835</v>
      </c>
      <c r="E13" s="99"/>
    </row>
    <row r="14" spans="2:7" x14ac:dyDescent="0.35">
      <c r="D14" s="40"/>
      <c r="E14" s="99"/>
    </row>
    <row r="15" spans="2:7" x14ac:dyDescent="0.35">
      <c r="B15" s="17" t="s">
        <v>193</v>
      </c>
      <c r="C15" s="14">
        <v>19</v>
      </c>
      <c r="D15" s="64">
        <f>D13+SQRT((D10^2)+(D11^2)+(D12^2))</f>
        <v>610833674.31852293</v>
      </c>
      <c r="E15" s="99"/>
    </row>
    <row r="17" spans="2:3" x14ac:dyDescent="0.35">
      <c r="B17" s="87" t="s">
        <v>131</v>
      </c>
    </row>
    <row r="18" spans="2:3" ht="15" x14ac:dyDescent="0.35">
      <c r="B18" s="88" t="s">
        <v>194</v>
      </c>
      <c r="C18" s="22"/>
    </row>
    <row r="19" spans="2:3" x14ac:dyDescent="0.35">
      <c r="B19" s="22" t="s">
        <v>195</v>
      </c>
      <c r="C19" s="22"/>
    </row>
    <row r="20" spans="2:3" x14ac:dyDescent="0.35">
      <c r="B20" s="21"/>
      <c r="C20" s="22"/>
    </row>
  </sheetData>
  <mergeCells count="2">
    <mergeCell ref="B7:B8"/>
    <mergeCell ref="C7:C8"/>
  </mergeCells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A88183-B99A-45FF-9876-D434B60CF417}">
  <sheetPr>
    <tabColor rgb="FF92D050"/>
  </sheetPr>
  <dimension ref="B2:E25"/>
  <sheetViews>
    <sheetView topLeftCell="A6" workbookViewId="0">
      <selection activeCell="F16" sqref="F16"/>
    </sheetView>
  </sheetViews>
  <sheetFormatPr defaultColWidth="8.84375" defaultRowHeight="14.15" x14ac:dyDescent="0.35"/>
  <cols>
    <col min="1" max="1" width="2.3828125" style="2" customWidth="1"/>
    <col min="2" max="2" width="33.3828125" style="2" customWidth="1"/>
    <col min="3" max="3" width="13.84375" style="2" bestFit="1" customWidth="1"/>
    <col min="4" max="4" width="30.61328125" style="2" customWidth="1"/>
    <col min="5" max="5" width="16.3828125" style="3" bestFit="1" customWidth="1"/>
    <col min="6" max="16384" width="8.84375" style="2"/>
  </cols>
  <sheetData>
    <row r="2" spans="2:5" x14ac:dyDescent="0.35">
      <c r="B2" s="1" t="s">
        <v>196</v>
      </c>
    </row>
    <row r="3" spans="2:5" ht="15" x14ac:dyDescent="0.35">
      <c r="B3" s="1" t="s">
        <v>197</v>
      </c>
      <c r="C3" s="4"/>
    </row>
    <row r="4" spans="2:5" x14ac:dyDescent="0.35">
      <c r="B4" s="5" t="s">
        <v>2</v>
      </c>
      <c r="C4" s="6" t="str">
        <f>'41-1A'!C4</f>
        <v>YY INSURANCE COMPANY LIMITED</v>
      </c>
    </row>
    <row r="5" spans="2:5" x14ac:dyDescent="0.35">
      <c r="B5" s="7" t="s">
        <v>3</v>
      </c>
      <c r="C5" s="100">
        <f>'41-1A'!C5</f>
        <v>46022</v>
      </c>
      <c r="D5" s="9"/>
    </row>
    <row r="6" spans="2:5" ht="14.6" thickBot="1" x14ac:dyDescent="0.4">
      <c r="B6" s="10"/>
    </row>
    <row r="7" spans="2:5" x14ac:dyDescent="0.35">
      <c r="B7" s="164" t="s">
        <v>198</v>
      </c>
      <c r="C7" s="155" t="s">
        <v>4</v>
      </c>
      <c r="D7" s="11" t="s">
        <v>5</v>
      </c>
    </row>
    <row r="8" spans="2:5" ht="14.6" thickBot="1" x14ac:dyDescent="0.4">
      <c r="B8" s="165"/>
      <c r="C8" s="156"/>
      <c r="D8" s="11" t="s">
        <v>7</v>
      </c>
    </row>
    <row r="10" spans="2:5" x14ac:dyDescent="0.35">
      <c r="B10" s="13" t="s">
        <v>8</v>
      </c>
      <c r="C10" s="14">
        <v>10</v>
      </c>
      <c r="D10" s="15">
        <f>'41-1A'!D14</f>
        <v>910000000</v>
      </c>
    </row>
    <row r="11" spans="2:5" x14ac:dyDescent="0.35">
      <c r="B11" s="13" t="s">
        <v>14</v>
      </c>
      <c r="C11" s="14">
        <v>11</v>
      </c>
      <c r="D11" s="15">
        <f>'41-1A'!D25</f>
        <v>350000000</v>
      </c>
    </row>
    <row r="12" spans="2:5" x14ac:dyDescent="0.35">
      <c r="B12" s="13" t="s">
        <v>23</v>
      </c>
      <c r="C12" s="14">
        <v>12</v>
      </c>
      <c r="D12" s="15">
        <f>'41-1A'!D35</f>
        <v>380380000</v>
      </c>
      <c r="E12" s="16"/>
    </row>
    <row r="13" spans="2:5" x14ac:dyDescent="0.35">
      <c r="B13" s="17" t="s">
        <v>199</v>
      </c>
      <c r="C13" s="14">
        <v>13</v>
      </c>
      <c r="D13" s="15">
        <f>D10+D11-D12</f>
        <v>879620000</v>
      </c>
    </row>
    <row r="15" spans="2:5" ht="15" x14ac:dyDescent="0.35">
      <c r="B15" s="13" t="s">
        <v>200</v>
      </c>
      <c r="C15" s="14">
        <v>14</v>
      </c>
      <c r="D15" s="15">
        <f>IF(D13=0,0,400000000)</f>
        <v>400000000</v>
      </c>
    </row>
    <row r="16" spans="2:5" ht="15" x14ac:dyDescent="0.35">
      <c r="B16" s="13" t="s">
        <v>201</v>
      </c>
      <c r="C16" s="14">
        <v>15</v>
      </c>
      <c r="D16" s="15">
        <f>0.05*SUM('41-1B'!E59+'41-1B'!D26+'41-1B'!D44+'41-1B'!K52+'41-1B'!G52)</f>
        <v>104900000</v>
      </c>
    </row>
    <row r="17" spans="2:5" x14ac:dyDescent="0.35">
      <c r="B17" s="13" t="s">
        <v>202</v>
      </c>
      <c r="C17" s="14">
        <v>16</v>
      </c>
      <c r="D17" s="15">
        <f>'41-1F'!D15</f>
        <v>610833674.31852293</v>
      </c>
      <c r="E17" s="16"/>
    </row>
    <row r="18" spans="2:5" x14ac:dyDescent="0.35">
      <c r="B18" s="17" t="s">
        <v>203</v>
      </c>
      <c r="C18" s="14">
        <v>17</v>
      </c>
      <c r="D18" s="15">
        <f>MAX(D15,D16,D17)</f>
        <v>610833674.31852293</v>
      </c>
      <c r="E18" s="18"/>
    </row>
    <row r="20" spans="2:5" x14ac:dyDescent="0.35">
      <c r="B20" s="17" t="s">
        <v>197</v>
      </c>
      <c r="C20" s="14">
        <v>18</v>
      </c>
      <c r="D20" s="19">
        <f>IFERROR(D13/D18,"")</f>
        <v>1.4400319382872084</v>
      </c>
    </row>
    <row r="22" spans="2:5" x14ac:dyDescent="0.35">
      <c r="B22" s="20"/>
    </row>
    <row r="23" spans="2:5" x14ac:dyDescent="0.35">
      <c r="B23" s="21"/>
      <c r="C23" s="22"/>
    </row>
    <row r="24" spans="2:5" x14ac:dyDescent="0.35">
      <c r="B24" s="21"/>
      <c r="C24" s="22"/>
    </row>
    <row r="25" spans="2:5" x14ac:dyDescent="0.35">
      <c r="B25" s="21"/>
      <c r="C25" s="22"/>
    </row>
  </sheetData>
  <mergeCells count="2">
    <mergeCell ref="B7:B8"/>
    <mergeCell ref="C7:C8"/>
  </mergeCells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FCBC90-D744-44C1-B566-6615719F720F}">
  <sheetPr>
    <tabColor rgb="FF0070C0"/>
  </sheetPr>
  <dimension ref="B1:X56"/>
  <sheetViews>
    <sheetView showGridLines="0" topLeftCell="A21" workbookViewId="0">
      <selection activeCell="A28" sqref="A28:XFD28"/>
    </sheetView>
  </sheetViews>
  <sheetFormatPr defaultColWidth="9.23046875" defaultRowHeight="14.6" x14ac:dyDescent="0.4"/>
  <cols>
    <col min="1" max="1" width="9.23046875" style="109"/>
    <col min="2" max="2" width="36.23046875" style="109" customWidth="1"/>
    <col min="3" max="3" width="5.23046875" style="109" customWidth="1"/>
    <col min="4" max="4" width="16.15234375" style="139" customWidth="1"/>
    <col min="5" max="8" width="9.23046875" style="109"/>
    <col min="9" max="13" width="8.69140625"/>
    <col min="14" max="16" width="9.23046875" style="109"/>
    <col min="17" max="24" width="8.69140625" customWidth="1"/>
    <col min="25" max="16384" width="9.23046875" style="109"/>
  </cols>
  <sheetData>
    <row r="1" spans="2:4" x14ac:dyDescent="0.4">
      <c r="B1" s="106" t="s">
        <v>238</v>
      </c>
      <c r="C1" s="107"/>
      <c r="D1" s="108"/>
    </row>
    <row r="2" spans="2:4" x14ac:dyDescent="0.4">
      <c r="B2" s="110" t="s">
        <v>204</v>
      </c>
      <c r="C2" s="111"/>
      <c r="D2" s="112"/>
    </row>
    <row r="3" spans="2:4" x14ac:dyDescent="0.4">
      <c r="B3" s="113" t="s">
        <v>205</v>
      </c>
      <c r="C3" s="114"/>
      <c r="D3" s="101"/>
    </row>
    <row r="4" spans="2:4" x14ac:dyDescent="0.4">
      <c r="B4" s="115" t="s">
        <v>206</v>
      </c>
      <c r="C4" s="116"/>
      <c r="D4" s="102"/>
    </row>
    <row r="5" spans="2:4" x14ac:dyDescent="0.4">
      <c r="B5" s="117"/>
      <c r="C5" s="118"/>
      <c r="D5" s="103"/>
    </row>
    <row r="6" spans="2:4" x14ac:dyDescent="0.4">
      <c r="B6" s="121" t="s">
        <v>207</v>
      </c>
      <c r="C6" s="122"/>
      <c r="D6" s="123">
        <v>450000000</v>
      </c>
    </row>
    <row r="7" spans="2:4" x14ac:dyDescent="0.4">
      <c r="B7" s="124" t="s">
        <v>208</v>
      </c>
      <c r="D7" s="125">
        <v>60000000</v>
      </c>
    </row>
    <row r="8" spans="2:4" x14ac:dyDescent="0.4">
      <c r="B8" s="124" t="s">
        <v>209</v>
      </c>
      <c r="D8" s="125">
        <v>400000000</v>
      </c>
    </row>
    <row r="9" spans="2:4" x14ac:dyDescent="0.4">
      <c r="B9" s="124" t="s">
        <v>210</v>
      </c>
      <c r="D9" s="125">
        <v>350000000</v>
      </c>
    </row>
    <row r="10" spans="2:4" x14ac:dyDescent="0.4">
      <c r="B10" s="124"/>
      <c r="D10" s="129"/>
    </row>
    <row r="11" spans="2:4" ht="15" thickBot="1" x14ac:dyDescent="0.45">
      <c r="B11" s="130" t="s">
        <v>211</v>
      </c>
      <c r="C11" s="131"/>
      <c r="D11" s="132">
        <f>SUM(D6:D10)</f>
        <v>1260000000</v>
      </c>
    </row>
    <row r="12" spans="2:4" ht="15" thickTop="1" x14ac:dyDescent="0.4">
      <c r="B12" s="124"/>
      <c r="D12" s="129"/>
    </row>
    <row r="13" spans="2:4" x14ac:dyDescent="0.4">
      <c r="B13" s="110"/>
      <c r="D13" s="129"/>
    </row>
    <row r="14" spans="2:4" x14ac:dyDescent="0.4">
      <c r="B14" s="110" t="s">
        <v>212</v>
      </c>
      <c r="C14" s="111"/>
      <c r="D14" s="112"/>
    </row>
    <row r="15" spans="2:4" x14ac:dyDescent="0.4">
      <c r="B15" s="110"/>
      <c r="C15" s="111"/>
      <c r="D15" s="112"/>
    </row>
    <row r="16" spans="2:4" x14ac:dyDescent="0.4">
      <c r="B16" s="124" t="s">
        <v>213</v>
      </c>
      <c r="D16" s="129"/>
    </row>
    <row r="17" spans="2:4" x14ac:dyDescent="0.4">
      <c r="B17" s="124" t="s">
        <v>245</v>
      </c>
      <c r="D17" s="125">
        <v>15000000</v>
      </c>
    </row>
    <row r="18" spans="2:4" x14ac:dyDescent="0.4">
      <c r="B18" s="124" t="s">
        <v>214</v>
      </c>
      <c r="D18" s="125">
        <v>3900000</v>
      </c>
    </row>
    <row r="19" spans="2:4" x14ac:dyDescent="0.4">
      <c r="B19" s="124" t="s">
        <v>215</v>
      </c>
      <c r="D19" s="125">
        <v>14000000</v>
      </c>
    </row>
    <row r="20" spans="2:4" x14ac:dyDescent="0.4">
      <c r="B20" s="124" t="s">
        <v>216</v>
      </c>
      <c r="D20" s="125">
        <v>74000000</v>
      </c>
    </row>
    <row r="21" spans="2:4" x14ac:dyDescent="0.4">
      <c r="B21" s="124" t="s">
        <v>217</v>
      </c>
      <c r="D21" s="125">
        <v>600000000</v>
      </c>
    </row>
    <row r="22" spans="2:4" x14ac:dyDescent="0.4">
      <c r="B22" s="124" t="s">
        <v>218</v>
      </c>
      <c r="D22" s="129">
        <v>0</v>
      </c>
    </row>
    <row r="23" spans="2:4" x14ac:dyDescent="0.4">
      <c r="B23" s="124" t="s">
        <v>25</v>
      </c>
      <c r="D23" s="125">
        <v>12000000</v>
      </c>
    </row>
    <row r="24" spans="2:4" x14ac:dyDescent="0.4">
      <c r="B24" s="124" t="s">
        <v>219</v>
      </c>
      <c r="D24" s="125">
        <v>41000000</v>
      </c>
    </row>
    <row r="25" spans="2:4" x14ac:dyDescent="0.4">
      <c r="B25" s="124" t="s">
        <v>220</v>
      </c>
      <c r="D25" s="125">
        <v>150000000</v>
      </c>
    </row>
    <row r="26" spans="2:4" x14ac:dyDescent="0.4">
      <c r="B26" s="124" t="s">
        <v>221</v>
      </c>
      <c r="D26" s="125">
        <v>16000000</v>
      </c>
    </row>
    <row r="27" spans="2:4" x14ac:dyDescent="0.4">
      <c r="B27" s="124" t="s">
        <v>222</v>
      </c>
      <c r="D27" s="125">
        <v>1600000000</v>
      </c>
    </row>
    <row r="28" spans="2:4" x14ac:dyDescent="0.4">
      <c r="B28" s="124" t="s">
        <v>223</v>
      </c>
      <c r="C28" s="111"/>
      <c r="D28" s="125">
        <v>4200000</v>
      </c>
    </row>
    <row r="29" spans="2:4" x14ac:dyDescent="0.4">
      <c r="B29" s="124" t="s">
        <v>224</v>
      </c>
      <c r="D29" s="125">
        <v>35000000</v>
      </c>
    </row>
    <row r="30" spans="2:4" x14ac:dyDescent="0.4">
      <c r="B30" s="124" t="s">
        <v>225</v>
      </c>
      <c r="C30" s="111"/>
      <c r="D30" s="125">
        <v>535000000</v>
      </c>
    </row>
    <row r="31" spans="2:4" x14ac:dyDescent="0.4">
      <c r="B31" s="124" t="s">
        <v>226</v>
      </c>
      <c r="D31" s="125">
        <v>120000000</v>
      </c>
    </row>
    <row r="32" spans="2:4" x14ac:dyDescent="0.4">
      <c r="B32" s="124"/>
      <c r="D32" s="129"/>
    </row>
    <row r="33" spans="2:4" x14ac:dyDescent="0.4">
      <c r="B33" s="124"/>
      <c r="D33" s="129"/>
    </row>
    <row r="34" spans="2:4" x14ac:dyDescent="0.4">
      <c r="B34" s="110" t="s">
        <v>227</v>
      </c>
      <c r="C34" s="111"/>
      <c r="D34" s="112">
        <f>SUM(D17:D31)</f>
        <v>3220100000</v>
      </c>
    </row>
    <row r="35" spans="2:4" x14ac:dyDescent="0.4">
      <c r="B35" s="124"/>
      <c r="D35" s="129"/>
    </row>
    <row r="36" spans="2:4" x14ac:dyDescent="0.4">
      <c r="B36" s="110" t="s">
        <v>228</v>
      </c>
      <c r="D36" s="129"/>
    </row>
    <row r="37" spans="2:4" x14ac:dyDescent="0.4">
      <c r="B37" s="124" t="s">
        <v>229</v>
      </c>
      <c r="D37" s="129">
        <v>0</v>
      </c>
    </row>
    <row r="38" spans="2:4" x14ac:dyDescent="0.4">
      <c r="B38" s="124" t="s">
        <v>230</v>
      </c>
      <c r="D38" s="129">
        <v>22000000</v>
      </c>
    </row>
    <row r="39" spans="2:4" x14ac:dyDescent="0.4">
      <c r="B39" s="124" t="s">
        <v>231</v>
      </c>
      <c r="D39" s="129">
        <v>1051100000</v>
      </c>
    </row>
    <row r="40" spans="2:4" x14ac:dyDescent="0.4">
      <c r="B40" s="124" t="s">
        <v>232</v>
      </c>
      <c r="D40" s="129">
        <v>750000000</v>
      </c>
    </row>
    <row r="41" spans="2:4" x14ac:dyDescent="0.4">
      <c r="B41" s="124" t="s">
        <v>233</v>
      </c>
      <c r="D41" s="129">
        <v>82000000</v>
      </c>
    </row>
    <row r="42" spans="2:4" x14ac:dyDescent="0.4">
      <c r="B42" s="124" t="s">
        <v>234</v>
      </c>
      <c r="D42" s="129">
        <v>55000000</v>
      </c>
    </row>
    <row r="43" spans="2:4" x14ac:dyDescent="0.4">
      <c r="B43" s="124"/>
      <c r="D43" s="129"/>
    </row>
    <row r="44" spans="2:4" x14ac:dyDescent="0.4">
      <c r="B44" s="110" t="s">
        <v>235</v>
      </c>
      <c r="C44" s="111"/>
      <c r="D44" s="112">
        <f>SUM(D37:D43)</f>
        <v>1960100000</v>
      </c>
    </row>
    <row r="45" spans="2:4" x14ac:dyDescent="0.4">
      <c r="B45" s="124"/>
      <c r="D45" s="129"/>
    </row>
    <row r="46" spans="2:4" x14ac:dyDescent="0.4">
      <c r="B46" s="110" t="s">
        <v>236</v>
      </c>
      <c r="C46" s="111"/>
      <c r="D46" s="112">
        <f>D34-D44</f>
        <v>1260000000</v>
      </c>
    </row>
    <row r="47" spans="2:4" x14ac:dyDescent="0.4">
      <c r="B47" s="124"/>
      <c r="D47" s="129"/>
    </row>
    <row r="48" spans="2:4" ht="15" thickBot="1" x14ac:dyDescent="0.45">
      <c r="B48" s="130"/>
      <c r="C48" s="131"/>
      <c r="D48" s="132"/>
    </row>
    <row r="49" spans="2:4" ht="15" thickTop="1" x14ac:dyDescent="0.4">
      <c r="B49" s="124"/>
      <c r="D49" s="129"/>
    </row>
    <row r="50" spans="2:4" x14ac:dyDescent="0.4">
      <c r="B50" s="136" t="s">
        <v>237</v>
      </c>
      <c r="C50" s="137"/>
      <c r="D50" s="138">
        <f>D46-D11</f>
        <v>0</v>
      </c>
    </row>
    <row r="56" spans="2:4" x14ac:dyDescent="0.4">
      <c r="B56" s="109" t="s">
        <v>253</v>
      </c>
      <c r="D56" s="139">
        <v>250000000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AB9982-14D4-4AE5-8D7C-1B98E4C11CC7}">
  <sheetPr>
    <tabColor theme="1"/>
  </sheetPr>
  <dimension ref="C2:R46"/>
  <sheetViews>
    <sheetView showGridLines="0" tabSelected="1" workbookViewId="0">
      <selection activeCell="C20" sqref="C20"/>
    </sheetView>
  </sheetViews>
  <sheetFormatPr defaultColWidth="9.23046875" defaultRowHeight="14.6" x14ac:dyDescent="0.4"/>
  <cols>
    <col min="1" max="2" width="9.23046875" style="109"/>
    <col min="3" max="3" width="30.07421875" style="109" customWidth="1"/>
    <col min="4" max="4" width="19.53515625" style="109" customWidth="1"/>
    <col min="5" max="5" width="13.4609375" style="109" bestFit="1" customWidth="1"/>
    <col min="6" max="6" width="12" style="109" bestFit="1" customWidth="1"/>
    <col min="7" max="7" width="15.53515625" style="109" customWidth="1"/>
    <col min="8" max="8" width="15.53515625" customWidth="1"/>
    <col min="9" max="9" width="9.23046875" style="149"/>
    <col min="10" max="10" width="9.23046875" style="109"/>
    <col min="11" max="11" width="33.921875" style="109" customWidth="1"/>
    <col min="12" max="12" width="21.53515625" style="109" customWidth="1"/>
    <col min="13" max="13" width="13.4609375" style="109" bestFit="1" customWidth="1"/>
    <col min="14" max="15" width="9.23046875" style="109"/>
    <col min="16" max="16" width="14.4609375" style="109" customWidth="1"/>
    <col min="17" max="17" width="17.53515625" style="109" customWidth="1"/>
    <col min="18" max="18" width="12.921875" style="109" customWidth="1"/>
    <col min="19" max="16384" width="9.23046875" style="109"/>
  </cols>
  <sheetData>
    <row r="2" spans="3:18" x14ac:dyDescent="0.4">
      <c r="K2" s="109" t="s">
        <v>272</v>
      </c>
      <c r="L2" s="120">
        <f>L9+P9+Q9+L16+L29+M29</f>
        <v>2113480000</v>
      </c>
    </row>
    <row r="4" spans="3:18" x14ac:dyDescent="0.4">
      <c r="C4" s="166" t="s">
        <v>244</v>
      </c>
      <c r="D4" s="166"/>
      <c r="K4" s="146" t="s">
        <v>262</v>
      </c>
      <c r="L4" s="119"/>
      <c r="M4" s="119"/>
      <c r="O4" s="146" t="s">
        <v>263</v>
      </c>
    </row>
    <row r="5" spans="3:18" x14ac:dyDescent="0.4">
      <c r="C5" s="119" t="s">
        <v>239</v>
      </c>
      <c r="D5" s="120">
        <f>'Balance Sheet'!D18</f>
        <v>3900000</v>
      </c>
    </row>
    <row r="6" spans="3:18" x14ac:dyDescent="0.4">
      <c r="C6" s="119" t="s">
        <v>241</v>
      </c>
      <c r="D6" s="120">
        <v>0</v>
      </c>
      <c r="K6" s="145" t="s">
        <v>254</v>
      </c>
      <c r="L6" s="145" t="s">
        <v>41</v>
      </c>
      <c r="P6" s="145" t="s">
        <v>259</v>
      </c>
      <c r="Q6" s="145" t="s">
        <v>260</v>
      </c>
    </row>
    <row r="7" spans="3:18" x14ac:dyDescent="0.4">
      <c r="C7" s="119" t="s">
        <v>240</v>
      </c>
      <c r="D7" s="126">
        <f>'Balance Sheet'!D19</f>
        <v>14000000</v>
      </c>
      <c r="K7" s="109" t="s">
        <v>80</v>
      </c>
      <c r="L7" s="128">
        <v>350000000</v>
      </c>
      <c r="O7" s="109" t="s">
        <v>80</v>
      </c>
      <c r="P7" s="139">
        <v>400000000</v>
      </c>
      <c r="Q7" s="139">
        <v>12000000</v>
      </c>
    </row>
    <row r="8" spans="3:18" ht="15" thickBot="1" x14ac:dyDescent="0.45">
      <c r="C8" s="119" t="s">
        <v>243</v>
      </c>
      <c r="D8" s="120">
        <f>5%*'Balance Sheet'!D34</f>
        <v>161005000</v>
      </c>
      <c r="K8" s="109" t="s">
        <v>81</v>
      </c>
      <c r="L8" s="128">
        <v>200000000</v>
      </c>
      <c r="O8" s="109" t="s">
        <v>81</v>
      </c>
      <c r="P8" s="139">
        <v>310000000</v>
      </c>
      <c r="Q8" s="139">
        <v>5500000</v>
      </c>
    </row>
    <row r="9" spans="3:18" ht="15" thickBot="1" x14ac:dyDescent="0.45">
      <c r="C9" s="127" t="s">
        <v>24</v>
      </c>
      <c r="D9" s="128">
        <f>MAX(SUM(D5:D7)-D8,0)</f>
        <v>0</v>
      </c>
      <c r="K9" s="114" t="s">
        <v>255</v>
      </c>
      <c r="L9" s="147">
        <f>SUM(L7:L8)</f>
        <v>550000000</v>
      </c>
      <c r="P9" s="128">
        <f>SUM(P7:P8)</f>
        <v>710000000</v>
      </c>
      <c r="Q9" s="128">
        <f>SUM(Q7:Q8)</f>
        <v>17500000</v>
      </c>
    </row>
    <row r="10" spans="3:18" ht="15" thickTop="1" x14ac:dyDescent="0.4"/>
    <row r="11" spans="3:18" x14ac:dyDescent="0.4">
      <c r="K11" s="148"/>
      <c r="L11" s="148"/>
      <c r="M11" s="148"/>
      <c r="N11" s="148"/>
      <c r="O11" s="148"/>
      <c r="P11" s="148"/>
      <c r="Q11" s="148"/>
      <c r="R11" s="148"/>
    </row>
    <row r="12" spans="3:18" x14ac:dyDescent="0.4">
      <c r="C12" s="111" t="s">
        <v>242</v>
      </c>
      <c r="D12" s="133">
        <f>'Balance Sheet'!D34</f>
        <v>3220100000</v>
      </c>
      <c r="K12" s="145" t="s">
        <v>256</v>
      </c>
    </row>
    <row r="13" spans="3:18" x14ac:dyDescent="0.4">
      <c r="C13" s="105" t="s">
        <v>246</v>
      </c>
      <c r="D13" s="105" t="s">
        <v>247</v>
      </c>
      <c r="E13" s="105" t="s">
        <v>248</v>
      </c>
      <c r="F13" s="105" t="s">
        <v>213</v>
      </c>
      <c r="G13" s="105" t="s">
        <v>249</v>
      </c>
      <c r="K13" s="145"/>
      <c r="L13" s="145" t="s">
        <v>82</v>
      </c>
    </row>
    <row r="14" spans="3:18" x14ac:dyDescent="0.4">
      <c r="C14" s="104" t="s">
        <v>250</v>
      </c>
      <c r="D14" s="140">
        <v>0.5</v>
      </c>
      <c r="E14" s="141">
        <f>D14*$D$12</f>
        <v>1610050000</v>
      </c>
      <c r="F14" s="141">
        <f>'Balance Sheet'!D20</f>
        <v>74000000</v>
      </c>
      <c r="G14" s="141">
        <f>MAX(0,F14-E14)</f>
        <v>0</v>
      </c>
      <c r="K14" s="109" t="s">
        <v>86</v>
      </c>
      <c r="L14" s="139">
        <v>550000000</v>
      </c>
    </row>
    <row r="15" spans="3:18" x14ac:dyDescent="0.4">
      <c r="C15" s="104" t="s">
        <v>211</v>
      </c>
      <c r="D15" s="140">
        <v>0.1</v>
      </c>
      <c r="E15" s="141">
        <f>D15*$D$12</f>
        <v>322010000</v>
      </c>
      <c r="F15" s="141">
        <f>'Balance Sheet'!D29</f>
        <v>35000000</v>
      </c>
      <c r="G15" s="141">
        <f>MAX(0,F15-E15)</f>
        <v>0</v>
      </c>
      <c r="K15" s="109" t="s">
        <v>258</v>
      </c>
      <c r="L15" s="139">
        <v>120000000</v>
      </c>
    </row>
    <row r="16" spans="3:18" x14ac:dyDescent="0.4">
      <c r="C16" s="104" t="s">
        <v>142</v>
      </c>
      <c r="D16" s="140">
        <v>0.1</v>
      </c>
      <c r="E16" s="141">
        <f>D16*$D$12</f>
        <v>322010000</v>
      </c>
      <c r="F16" s="141">
        <f>'Balance Sheet'!D30</f>
        <v>535000000</v>
      </c>
      <c r="G16" s="141">
        <v>0</v>
      </c>
      <c r="K16" s="114" t="s">
        <v>257</v>
      </c>
      <c r="L16" s="147">
        <f>SUM(L14:L15)</f>
        <v>670000000</v>
      </c>
    </row>
    <row r="17" spans="3:18" ht="15" thickBot="1" x14ac:dyDescent="0.45">
      <c r="C17" s="104"/>
      <c r="D17" s="104"/>
      <c r="E17" s="104"/>
      <c r="F17" s="142" t="s">
        <v>68</v>
      </c>
      <c r="G17" s="143">
        <f>SUM(G14:G16)</f>
        <v>0</v>
      </c>
    </row>
    <row r="18" spans="3:18" ht="15" thickTop="1" x14ac:dyDescent="0.4"/>
    <row r="20" spans="3:18" x14ac:dyDescent="0.4">
      <c r="K20" s="148"/>
      <c r="L20" s="148"/>
      <c r="M20" s="148"/>
      <c r="N20" s="148"/>
      <c r="O20" s="148"/>
      <c r="P20" s="148"/>
      <c r="Q20" s="148"/>
      <c r="R20" s="148"/>
    </row>
    <row r="21" spans="3:18" x14ac:dyDescent="0.4">
      <c r="K21" s="145" t="s">
        <v>261</v>
      </c>
    </row>
    <row r="22" spans="3:18" x14ac:dyDescent="0.4">
      <c r="C22" s="134" t="s">
        <v>251</v>
      </c>
      <c r="D22" s="135" t="s">
        <v>252</v>
      </c>
      <c r="E22" s="135" t="s">
        <v>248</v>
      </c>
      <c r="F22" s="105" t="s">
        <v>249</v>
      </c>
      <c r="L22" s="145" t="s">
        <v>259</v>
      </c>
      <c r="M22" s="145" t="s">
        <v>260</v>
      </c>
    </row>
    <row r="23" spans="3:18" x14ac:dyDescent="0.4">
      <c r="C23" s="144" t="s">
        <v>273</v>
      </c>
      <c r="D23" s="120">
        <v>150000000</v>
      </c>
      <c r="E23" s="120">
        <f t="shared" ref="E23:E31" si="0">$E$16</f>
        <v>322010000</v>
      </c>
      <c r="F23" s="120">
        <f t="shared" ref="F23:F31" si="1">MAX(0,D23-E23)</f>
        <v>0</v>
      </c>
      <c r="K23" s="109" t="s">
        <v>264</v>
      </c>
      <c r="L23" s="139">
        <v>50000000</v>
      </c>
      <c r="M23" s="139">
        <v>6500000</v>
      </c>
    </row>
    <row r="24" spans="3:18" x14ac:dyDescent="0.4">
      <c r="C24" s="144" t="s">
        <v>274</v>
      </c>
      <c r="D24" s="120">
        <v>58125000</v>
      </c>
      <c r="E24" s="120">
        <f t="shared" si="0"/>
        <v>322010000</v>
      </c>
      <c r="F24" s="120">
        <f t="shared" si="1"/>
        <v>0</v>
      </c>
      <c r="K24" s="109" t="s">
        <v>265</v>
      </c>
      <c r="L24" s="139">
        <v>20000000</v>
      </c>
      <c r="M24" s="139">
        <v>3400000</v>
      </c>
    </row>
    <row r="25" spans="3:18" x14ac:dyDescent="0.4">
      <c r="C25" s="144" t="s">
        <v>275</v>
      </c>
      <c r="D25" s="120">
        <v>85000000</v>
      </c>
      <c r="E25" s="120">
        <f t="shared" si="0"/>
        <v>322010000</v>
      </c>
      <c r="F25" s="120">
        <f t="shared" si="1"/>
        <v>0</v>
      </c>
      <c r="K25" s="109" t="s">
        <v>266</v>
      </c>
      <c r="L25" s="139">
        <v>14000000</v>
      </c>
      <c r="M25" s="139">
        <v>1000000</v>
      </c>
    </row>
    <row r="26" spans="3:18" x14ac:dyDescent="0.4">
      <c r="C26" s="144" t="s">
        <v>276</v>
      </c>
      <c r="D26" s="120">
        <v>20000000</v>
      </c>
      <c r="E26" s="120">
        <f t="shared" si="0"/>
        <v>322010000</v>
      </c>
      <c r="F26" s="120">
        <f t="shared" si="1"/>
        <v>0</v>
      </c>
      <c r="K26" s="109" t="s">
        <v>267</v>
      </c>
      <c r="L26" s="139">
        <v>33000000</v>
      </c>
      <c r="M26" s="139">
        <v>1250000</v>
      </c>
    </row>
    <row r="27" spans="3:18" x14ac:dyDescent="0.4">
      <c r="C27" s="144" t="s">
        <v>277</v>
      </c>
      <c r="D27" s="120">
        <v>65000000</v>
      </c>
      <c r="E27" s="120">
        <f t="shared" si="0"/>
        <v>322010000</v>
      </c>
      <c r="F27" s="120">
        <f t="shared" si="1"/>
        <v>0</v>
      </c>
      <c r="K27" s="109" t="s">
        <v>268</v>
      </c>
      <c r="L27" s="139">
        <v>17000000</v>
      </c>
      <c r="M27" s="139">
        <v>2000000</v>
      </c>
    </row>
    <row r="28" spans="3:18" x14ac:dyDescent="0.4">
      <c r="C28" s="144" t="s">
        <v>278</v>
      </c>
      <c r="D28" s="120">
        <v>35000000</v>
      </c>
      <c r="E28" s="120">
        <f t="shared" si="0"/>
        <v>322010000</v>
      </c>
      <c r="F28" s="120">
        <f t="shared" si="1"/>
        <v>0</v>
      </c>
      <c r="K28" s="109" t="s">
        <v>269</v>
      </c>
      <c r="L28" s="139">
        <v>16500000</v>
      </c>
      <c r="M28" s="139">
        <v>1330000</v>
      </c>
    </row>
    <row r="29" spans="3:18" x14ac:dyDescent="0.4">
      <c r="C29" s="144" t="s">
        <v>279</v>
      </c>
      <c r="D29" s="120">
        <v>25000000</v>
      </c>
      <c r="E29" s="120">
        <f t="shared" si="0"/>
        <v>322010000</v>
      </c>
      <c r="F29" s="120">
        <f t="shared" si="1"/>
        <v>0</v>
      </c>
      <c r="L29" s="133">
        <f>SUM(L23:L28)</f>
        <v>150500000</v>
      </c>
      <c r="M29" s="133">
        <f>SUM(M23:M28)</f>
        <v>15480000</v>
      </c>
    </row>
    <row r="30" spans="3:18" x14ac:dyDescent="0.4">
      <c r="C30" s="144" t="s">
        <v>280</v>
      </c>
      <c r="D30" s="120">
        <f>'Balance Sheet'!$D$30/8</f>
        <v>66875000</v>
      </c>
      <c r="E30" s="120">
        <f t="shared" si="0"/>
        <v>322010000</v>
      </c>
      <c r="F30" s="120">
        <f t="shared" si="1"/>
        <v>0</v>
      </c>
      <c r="K30" s="109" t="s">
        <v>271</v>
      </c>
      <c r="P30" s="109" t="s">
        <v>270</v>
      </c>
    </row>
    <row r="31" spans="3:18" x14ac:dyDescent="0.4">
      <c r="C31" s="144" t="s">
        <v>281</v>
      </c>
      <c r="D31" s="139">
        <v>30000000</v>
      </c>
      <c r="E31" s="120">
        <f t="shared" si="0"/>
        <v>322010000</v>
      </c>
      <c r="F31" s="120">
        <f t="shared" si="1"/>
        <v>0</v>
      </c>
      <c r="K31" s="111" t="s">
        <v>58</v>
      </c>
      <c r="P31" s="111" t="s">
        <v>58</v>
      </c>
    </row>
    <row r="32" spans="3:18" ht="15" thickBot="1" x14ac:dyDescent="0.45">
      <c r="C32" s="144"/>
      <c r="D32" s="133">
        <f>SUM(D23:D31)</f>
        <v>535000000</v>
      </c>
      <c r="F32" s="143">
        <f>SUM(F23:F31)</f>
        <v>0</v>
      </c>
      <c r="K32" s="109" t="s">
        <v>59</v>
      </c>
      <c r="L32" s="120">
        <v>10500000</v>
      </c>
      <c r="M32" s="139">
        <v>500000</v>
      </c>
      <c r="P32" s="109" t="s">
        <v>59</v>
      </c>
      <c r="Q32" s="120">
        <v>15000000</v>
      </c>
      <c r="R32" s="139">
        <v>750000</v>
      </c>
    </row>
    <row r="33" spans="3:18" ht="15" thickTop="1" x14ac:dyDescent="0.4">
      <c r="C33" s="144"/>
      <c r="D33" s="120"/>
      <c r="K33" s="109" t="s">
        <v>60</v>
      </c>
      <c r="L33" s="120">
        <v>15000000</v>
      </c>
      <c r="M33" s="139">
        <v>1500000</v>
      </c>
      <c r="P33" s="109" t="s">
        <v>60</v>
      </c>
      <c r="Q33" s="120">
        <v>7500000</v>
      </c>
      <c r="R33" s="139">
        <v>250000</v>
      </c>
    </row>
    <row r="34" spans="3:18" x14ac:dyDescent="0.4">
      <c r="C34" s="144"/>
      <c r="K34" s="109" t="s">
        <v>61</v>
      </c>
      <c r="L34" s="120">
        <v>17500000</v>
      </c>
      <c r="M34" s="139">
        <v>4000000</v>
      </c>
      <c r="P34" s="109" t="s">
        <v>61</v>
      </c>
      <c r="Q34" s="120">
        <v>7500000</v>
      </c>
      <c r="R34" s="139">
        <v>250000</v>
      </c>
    </row>
    <row r="35" spans="3:18" x14ac:dyDescent="0.4">
      <c r="C35" s="144"/>
      <c r="K35" s="109" t="s">
        <v>62</v>
      </c>
      <c r="M35" s="139"/>
      <c r="P35" s="109" t="s">
        <v>62</v>
      </c>
      <c r="R35" s="139"/>
    </row>
    <row r="36" spans="3:18" x14ac:dyDescent="0.4">
      <c r="C36" s="144"/>
      <c r="K36" s="109" t="s">
        <v>63</v>
      </c>
      <c r="L36" s="120">
        <v>7000000</v>
      </c>
      <c r="M36" s="139">
        <v>500000</v>
      </c>
      <c r="P36" s="109" t="s">
        <v>63</v>
      </c>
      <c r="Q36" s="120"/>
      <c r="R36" s="139"/>
    </row>
    <row r="37" spans="3:18" x14ac:dyDescent="0.4">
      <c r="C37" s="144"/>
      <c r="K37" s="111" t="s">
        <v>64</v>
      </c>
      <c r="P37" s="111" t="s">
        <v>64</v>
      </c>
    </row>
    <row r="38" spans="3:18" x14ac:dyDescent="0.4">
      <c r="C38" s="144"/>
      <c r="K38" s="109" t="s">
        <v>65</v>
      </c>
      <c r="P38" s="109" t="s">
        <v>65</v>
      </c>
      <c r="Q38" s="139">
        <v>10000000</v>
      </c>
      <c r="R38" s="139">
        <v>1500000</v>
      </c>
    </row>
    <row r="39" spans="3:18" x14ac:dyDescent="0.4">
      <c r="K39" s="109" t="s">
        <v>66</v>
      </c>
      <c r="L39" s="139">
        <v>20000000</v>
      </c>
      <c r="M39" s="139">
        <v>3000000</v>
      </c>
      <c r="P39" s="109" t="s">
        <v>66</v>
      </c>
      <c r="Q39" s="139">
        <v>7000000</v>
      </c>
      <c r="R39" s="139">
        <v>500000</v>
      </c>
    </row>
    <row r="40" spans="3:18" x14ac:dyDescent="0.4">
      <c r="K40" s="109" t="s">
        <v>63</v>
      </c>
      <c r="L40" s="139">
        <v>3000000</v>
      </c>
      <c r="M40" s="139">
        <v>400000</v>
      </c>
      <c r="P40" s="109" t="s">
        <v>63</v>
      </c>
      <c r="Q40" s="139"/>
      <c r="R40" s="139"/>
    </row>
    <row r="41" spans="3:18" x14ac:dyDescent="0.4">
      <c r="K41" s="111" t="s">
        <v>67</v>
      </c>
      <c r="P41" s="111" t="s">
        <v>67</v>
      </c>
    </row>
    <row r="42" spans="3:18" x14ac:dyDescent="0.4">
      <c r="K42" s="109" t="s">
        <v>59</v>
      </c>
      <c r="P42" s="109" t="s">
        <v>59</v>
      </c>
    </row>
    <row r="43" spans="3:18" x14ac:dyDescent="0.4">
      <c r="K43" s="109" t="s">
        <v>60</v>
      </c>
      <c r="L43" s="139">
        <v>14000000</v>
      </c>
      <c r="M43" s="139">
        <v>1000000</v>
      </c>
      <c r="P43" s="109" t="s">
        <v>60</v>
      </c>
      <c r="Q43" s="139">
        <v>15000000</v>
      </c>
      <c r="R43" s="139">
        <v>1000000</v>
      </c>
    </row>
    <row r="44" spans="3:18" x14ac:dyDescent="0.4">
      <c r="K44" s="109" t="s">
        <v>61</v>
      </c>
      <c r="P44" s="109" t="s">
        <v>61</v>
      </c>
      <c r="Q44" s="139">
        <v>1500000</v>
      </c>
      <c r="R44" s="139">
        <v>330000</v>
      </c>
    </row>
    <row r="45" spans="3:18" x14ac:dyDescent="0.4">
      <c r="K45" s="109" t="s">
        <v>62</v>
      </c>
      <c r="P45" s="109" t="s">
        <v>62</v>
      </c>
    </row>
    <row r="46" spans="3:18" x14ac:dyDescent="0.4">
      <c r="L46" s="120">
        <f>SUM(L32:L45)</f>
        <v>87000000</v>
      </c>
      <c r="M46" s="120">
        <f>SUM(M32:M45)</f>
        <v>10900000</v>
      </c>
      <c r="Q46" s="120">
        <f>SUM(Q32:Q45)</f>
        <v>63500000</v>
      </c>
      <c r="R46" s="120">
        <f>SUM(R32:R45)</f>
        <v>4580000</v>
      </c>
    </row>
  </sheetData>
  <mergeCells count="1">
    <mergeCell ref="C4:D4"/>
  </mergeCells>
  <phoneticPr fontId="31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dfa2d9f5-199c-4212-8ee5-c011be210f49">
      <Terms xmlns="http://schemas.microsoft.com/office/infopath/2007/PartnerControls"/>
    </lcf76f155ced4ddcb4097134ff3c332f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FC098080B38DD147A7B7AA467507026F" ma:contentTypeVersion="10" ma:contentTypeDescription="Create a new document." ma:contentTypeScope="" ma:versionID="a8f1fb657bf2cd47f0fde71b10fd28b8">
  <xsd:schema xmlns:xsd="http://www.w3.org/2001/XMLSchema" xmlns:xs="http://www.w3.org/2001/XMLSchema" xmlns:p="http://schemas.microsoft.com/office/2006/metadata/properties" xmlns:ns2="dfa2d9f5-199c-4212-8ee5-c011be210f49" targetNamespace="http://schemas.microsoft.com/office/2006/metadata/properties" ma:root="true" ma:fieldsID="d4b3e96af636654b9533073474238ce3" ns2:_="">
    <xsd:import namespace="dfa2d9f5-199c-4212-8ee5-c011be210f4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lcf76f155ced4ddcb4097134ff3c332f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fa2d9f5-199c-4212-8ee5-c011be210f4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2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16" nillable="true" ma:taxonomy="true" ma:internalName="lcf76f155ced4ddcb4097134ff3c332f" ma:taxonomyFieldName="MediaServiceImageTags" ma:displayName="Image Tags" ma:readOnly="false" ma:fieldId="{5cf76f15-5ced-4ddc-b409-7134ff3c332f}" ma:taxonomyMulti="true" ma:sspId="1c775f1b-94bf-41d1-bd5b-4e74f3913fab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5C02105-156F-40D2-A2E8-81134EB69A0C}">
  <ds:schemaRefs>
    <ds:schemaRef ds:uri="http://schemas.microsoft.com/office/2006/metadata/properties"/>
    <ds:schemaRef ds:uri="3af122c7-9b09-49b4-b379-a72fc6a2a0d6"/>
    <ds:schemaRef ds:uri="http://schemas.openxmlformats.org/package/2006/metadata/core-properties"/>
    <ds:schemaRef ds:uri="a85853f5-89f9-4b3e-a605-01cf45a7bc70"/>
    <ds:schemaRef ds:uri="http://purl.org/dc/elements/1.1/"/>
    <ds:schemaRef ds:uri="http://schemas.microsoft.com/office/2006/documentManagement/types"/>
    <ds:schemaRef ds:uri="http://schemas.microsoft.com/office/infopath/2007/PartnerControls"/>
    <ds:schemaRef ds:uri="http://www.w3.org/XML/1998/namespace"/>
    <ds:schemaRef ds:uri="http://purl.org/dc/terms/"/>
    <ds:schemaRef ds:uri="http://purl.org/dc/dcmitype/"/>
    <ds:schemaRef ds:uri="dfa2d9f5-199c-4212-8ee5-c011be210f49"/>
  </ds:schemaRefs>
</ds:datastoreItem>
</file>

<file path=customXml/itemProps2.xml><?xml version="1.0" encoding="utf-8"?>
<ds:datastoreItem xmlns:ds="http://schemas.openxmlformats.org/officeDocument/2006/customXml" ds:itemID="{20039F82-4FD8-45F4-9BBA-A43BC55C678A}"/>
</file>

<file path=customXml/itemProps3.xml><?xml version="1.0" encoding="utf-8"?>
<ds:datastoreItem xmlns:ds="http://schemas.openxmlformats.org/officeDocument/2006/customXml" ds:itemID="{92D06A05-1360-4EB3-8629-05437999151F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41-1A</vt:lpstr>
      <vt:lpstr>41-1B</vt:lpstr>
      <vt:lpstr>41-1C</vt:lpstr>
      <vt:lpstr>41-1D</vt:lpstr>
      <vt:lpstr>41-1E</vt:lpstr>
      <vt:lpstr>41-1F</vt:lpstr>
      <vt:lpstr>41-1</vt:lpstr>
      <vt:lpstr>Balance Sheet</vt:lpstr>
      <vt:lpstr>Calculations 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Faith Mbula</dc:creator>
  <cp:keywords/>
  <dc:description/>
  <cp:lastModifiedBy>Rosemary Nyawira</cp:lastModifiedBy>
  <cp:revision/>
  <dcterms:created xsi:type="dcterms:W3CDTF">2025-02-05T07:38:38Z</dcterms:created>
  <dcterms:modified xsi:type="dcterms:W3CDTF">2025-09-26T09:48:17Z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0x010100FC098080B38DD147A7B7AA467507026F</vt:lpwstr>
  </property>
  <property fmtid="{D5CDD505-2E9C-101B-9397-08002B2CF9AE}" pid="3" name="MediaServiceImageTags">
    <vt:lpwstr/>
  </property>
</Properties>
</file>