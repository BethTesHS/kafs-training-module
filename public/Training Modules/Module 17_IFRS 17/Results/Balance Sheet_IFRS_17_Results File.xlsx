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17_IFRS 17/Results/"/>
    </mc:Choice>
  </mc:AlternateContent>
  <xr:revisionPtr revIDLastSave="77" documentId="8_{F9943F82-387F-4F23-8E17-5E6F4B499BAA}" xr6:coauthVersionLast="47" xr6:coauthVersionMax="47" xr10:uidLastSave="{CEA89BEA-7049-4CCB-9CF6-203EEA2BAA33}"/>
  <bookViews>
    <workbookView xWindow="-98" yWindow="-98" windowWidth="21795" windowHeight="13875" xr2:uid="{9FC5939E-6A20-442B-87EB-B926651DC94F}"/>
  </bookViews>
  <sheets>
    <sheet name="Course_Content" sheetId="3" r:id="rId1"/>
    <sheet name="Guidance_Note" sheetId="4" r:id="rId2"/>
    <sheet name="IFRS_4_BS" sheetId="5" r:id="rId3"/>
    <sheet name="Working_File" sheetId="1" r:id="rId4"/>
    <sheet name="Result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" i="8" l="1"/>
  <c r="J52" i="8"/>
  <c r="H52" i="8"/>
  <c r="H51" i="8"/>
  <c r="J51" i="8" s="1"/>
  <c r="J50" i="8"/>
  <c r="J49" i="8"/>
  <c r="J48" i="8"/>
  <c r="J47" i="8"/>
  <c r="J46" i="8"/>
  <c r="H46" i="8"/>
  <c r="H44" i="8"/>
  <c r="J44" i="8" s="1"/>
  <c r="F40" i="8"/>
  <c r="F56" i="8" s="1"/>
  <c r="J39" i="8"/>
  <c r="H37" i="8"/>
  <c r="J37" i="8" s="1"/>
  <c r="H36" i="8"/>
  <c r="J36" i="8" s="1"/>
  <c r="F33" i="8"/>
  <c r="J31" i="8"/>
  <c r="H31" i="8"/>
  <c r="H30" i="8"/>
  <c r="J30" i="8" s="1"/>
  <c r="H29" i="8"/>
  <c r="J29" i="8" s="1"/>
  <c r="H28" i="8"/>
  <c r="J28" i="8" s="1"/>
  <c r="J27" i="8"/>
  <c r="H27" i="8"/>
  <c r="H26" i="8"/>
  <c r="J26" i="8" s="1"/>
  <c r="J25" i="8"/>
  <c r="J24" i="8"/>
  <c r="H24" i="8"/>
  <c r="J23" i="8"/>
  <c r="J22" i="8"/>
  <c r="J21" i="8"/>
  <c r="J20" i="8"/>
  <c r="H19" i="8"/>
  <c r="J19" i="8" s="1"/>
  <c r="J18" i="8"/>
  <c r="H18" i="8"/>
  <c r="J17" i="8"/>
  <c r="H17" i="8"/>
  <c r="H33" i="8" s="1"/>
  <c r="J16" i="8"/>
  <c r="H16" i="8"/>
  <c r="H52" i="1"/>
  <c r="H51" i="1"/>
  <c r="H46" i="1"/>
  <c r="H44" i="1"/>
  <c r="H37" i="1"/>
  <c r="H36" i="1"/>
  <c r="J33" i="8" l="1"/>
  <c r="H54" i="8"/>
  <c r="H24" i="1"/>
  <c r="J24" i="1" s="1"/>
  <c r="H27" i="1"/>
  <c r="J27" i="1" s="1"/>
  <c r="H28" i="1"/>
  <c r="J28" i="1" s="1"/>
  <c r="H29" i="1"/>
  <c r="J29" i="1" s="1"/>
  <c r="H30" i="1"/>
  <c r="J30" i="1" s="1"/>
  <c r="H31" i="1"/>
  <c r="J31" i="1" s="1"/>
  <c r="H26" i="1"/>
  <c r="J26" i="1" s="1"/>
  <c r="H18" i="1"/>
  <c r="J18" i="1" s="1"/>
  <c r="H19" i="1"/>
  <c r="J19" i="1" s="1"/>
  <c r="H17" i="1"/>
  <c r="H54" i="1"/>
  <c r="F54" i="1"/>
  <c r="F40" i="1"/>
  <c r="F33" i="1"/>
  <c r="J52" i="1"/>
  <c r="J51" i="1"/>
  <c r="J50" i="1"/>
  <c r="J49" i="1"/>
  <c r="J48" i="1"/>
  <c r="J47" i="1"/>
  <c r="J46" i="1"/>
  <c r="J44" i="1"/>
  <c r="J39" i="1"/>
  <c r="J37" i="1"/>
  <c r="J36" i="1"/>
  <c r="J25" i="1"/>
  <c r="J23" i="1"/>
  <c r="J22" i="1"/>
  <c r="J21" i="1"/>
  <c r="J20" i="1"/>
  <c r="H16" i="1"/>
  <c r="J16" i="1" s="1"/>
  <c r="J54" i="8" l="1"/>
  <c r="H38" i="8"/>
  <c r="F56" i="1"/>
  <c r="J54" i="1"/>
  <c r="H33" i="1"/>
  <c r="H38" i="1" s="1"/>
  <c r="J17" i="1"/>
  <c r="H40" i="8" l="1"/>
  <c r="J38" i="8"/>
  <c r="H40" i="1"/>
  <c r="H58" i="1" s="1"/>
  <c r="J38" i="1"/>
  <c r="J33" i="1"/>
  <c r="J40" i="8" l="1"/>
  <c r="H58" i="8"/>
  <c r="H56" i="8"/>
  <c r="J56" i="8" s="1"/>
  <c r="J40" i="1"/>
  <c r="H56" i="1"/>
  <c r="J56" i="1" s="1"/>
</calcChain>
</file>

<file path=xl/sharedStrings.xml><?xml version="1.0" encoding="utf-8"?>
<sst xmlns="http://schemas.openxmlformats.org/spreadsheetml/2006/main" count="192" uniqueCount="70">
  <si>
    <t>IFRS4</t>
  </si>
  <si>
    <t>IFRS17</t>
  </si>
  <si>
    <t>STATEMENT OF FINANCIAL POSITION</t>
  </si>
  <si>
    <t>Change</t>
  </si>
  <si>
    <t>KES '000</t>
  </si>
  <si>
    <t>ASSETS</t>
  </si>
  <si>
    <t>Vehicles and equipment</t>
  </si>
  <si>
    <t>Right of use assets</t>
  </si>
  <si>
    <t>Intangible Assets</t>
  </si>
  <si>
    <t>Deferred tax asset</t>
  </si>
  <si>
    <t>Receivables arising out of  direct insurance arrangements</t>
  </si>
  <si>
    <t>Insurance contracts assets</t>
  </si>
  <si>
    <t>Receivables arising out of reinsurance arrangements</t>
  </si>
  <si>
    <t>Reinsurers share of  technical provisions and reserves</t>
  </si>
  <si>
    <t>Reinsurance contracts assets</t>
  </si>
  <si>
    <t>Deferred acquisition costs</t>
  </si>
  <si>
    <t>Investment in subsidiary</t>
  </si>
  <si>
    <t>Other receivables</t>
  </si>
  <si>
    <t>Government securities at amortised cost</t>
  </si>
  <si>
    <t>Deposits with financial institutions</t>
  </si>
  <si>
    <t>Cash and bank balances</t>
  </si>
  <si>
    <t>Total Assets</t>
  </si>
  <si>
    <t>EQUITY</t>
  </si>
  <si>
    <t>Share capital</t>
  </si>
  <si>
    <t>Statutory Reserve</t>
  </si>
  <si>
    <t>Retained earnings</t>
  </si>
  <si>
    <t>*all IFRS17 changes passed to retained earnings (see below)</t>
  </si>
  <si>
    <t>Total Equity</t>
  </si>
  <si>
    <t>LIABILITIES</t>
  </si>
  <si>
    <t>Lease liability</t>
  </si>
  <si>
    <t>Insurance contract liabilities</t>
  </si>
  <si>
    <t>Creditors arising out of reinsurance arrangements</t>
  </si>
  <si>
    <t>Deffered Reinsurance Commission</t>
  </si>
  <si>
    <t>Reinsurance contract liabilities</t>
  </si>
  <si>
    <t>Provision for unearned premium</t>
  </si>
  <si>
    <t>Other payables</t>
  </si>
  <si>
    <t>Borrowings</t>
  </si>
  <si>
    <t xml:space="preserve">Total Liabilities </t>
  </si>
  <si>
    <t>Total Liabilities and Equity</t>
  </si>
  <si>
    <t>Check</t>
  </si>
  <si>
    <t>Tax  Receivable</t>
  </si>
  <si>
    <t>IFRS 4</t>
  </si>
  <si>
    <t>IFRS 17</t>
  </si>
  <si>
    <t>Reinsurance Contract Assets</t>
  </si>
  <si>
    <t>Insurance contract assets</t>
  </si>
  <si>
    <t>(2), (3)</t>
  </si>
  <si>
    <t>Reinsurance contract assets</t>
  </si>
  <si>
    <t>(1), (4)</t>
  </si>
  <si>
    <t>Insurance receivable</t>
  </si>
  <si>
    <t>Other assets</t>
  </si>
  <si>
    <t>Reinsurance receivables</t>
  </si>
  <si>
    <t>xx</t>
  </si>
  <si>
    <t>Statutory reserves</t>
  </si>
  <si>
    <t>General reserves</t>
  </si>
  <si>
    <t>Deferred Commission Income</t>
  </si>
  <si>
    <t>(2), (3), (5)</t>
  </si>
  <si>
    <t>Reinsurance deposits retained</t>
  </si>
  <si>
    <t>Other Liabilities</t>
  </si>
  <si>
    <t>Payable arising out of insurance arrangements</t>
  </si>
  <si>
    <t>Payable arising out of reinsurance arrangements</t>
  </si>
  <si>
    <t>Total Liabilities</t>
  </si>
  <si>
    <t>Provision for Technical Liabilities(IBNR,OCR)</t>
  </si>
  <si>
    <t xml:space="preserve">Insurance contract liabilities </t>
  </si>
  <si>
    <t>Note</t>
  </si>
  <si>
    <t>No change under IFRS 17</t>
  </si>
  <si>
    <t>Derecognized in IFRS 17</t>
  </si>
  <si>
    <t>Insurance contracts asset introduced (IFRS 17)</t>
  </si>
  <si>
    <t>Reinsurance contract asset introduced (IFRS 17)</t>
  </si>
  <si>
    <t>Insurance contract liability measured (IFRS 17)</t>
  </si>
  <si>
    <t>The example shown is simplified for learning and illustrative purposes only. Actual reconciliations are more detailed and complex and must be performed in line with detailed accounting and regulatory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</si>
</sst>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* #,##0.00_ ;_ * \-#,##0.00_ ;_ * &quot;-&quot;??_ ;_ @_ "/>
    <numFmt numFmtId="165" formatCode="[$]d\ mmm\ yyyy;@" x16r2:formatCode16="[$-en-KE,1]d\ mmm\ yyyy;@"/>
    <numFmt numFmtId="166" formatCode="#,##0;\(#,##0\)"/>
    <numFmt numFmtId="167" formatCode="_(* #,##0.0000_);_(* \(#,##0.0000\);_(* &quot;-&quot;??_);_(@_)"/>
    <numFmt numFmtId="168" formatCode="\(0\)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10"/>
      <name val="MS Sans Serif"/>
      <family val="2"/>
    </font>
    <font>
      <sz val="10"/>
      <color theme="1"/>
      <name val="Lato"/>
      <family val="2"/>
    </font>
    <font>
      <sz val="9"/>
      <color theme="1"/>
      <name val="Lato"/>
      <family val="2"/>
    </font>
    <font>
      <sz val="9"/>
      <color theme="1"/>
      <name val="Gilroy"/>
      <family val="2"/>
    </font>
    <font>
      <sz val="11"/>
      <color rgb="FF000000"/>
      <name val="Calibri"/>
      <family val="2"/>
      <charset val="204"/>
    </font>
    <font>
      <sz val="11"/>
      <color indexed="8"/>
      <name val="Calibri"/>
      <family val="2"/>
    </font>
    <font>
      <sz val="10"/>
      <name val="Arial"/>
      <family val="2"/>
      <charset val="1"/>
    </font>
    <font>
      <sz val="10"/>
      <color rgb="FFFFFFFF"/>
      <name val="Lohit Devanagari"/>
      <family val="2"/>
      <charset val="1"/>
    </font>
    <font>
      <sz val="10"/>
      <color rgb="FF000000"/>
      <name val="Lohit Devanagari"/>
      <family val="2"/>
      <charset val="1"/>
    </font>
    <font>
      <sz val="10"/>
      <color rgb="FFCC0000"/>
      <name val="Lohit Devanagari"/>
      <family val="2"/>
      <charset val="1"/>
    </font>
    <font>
      <sz val="10"/>
      <color rgb="FF808080"/>
      <name val="Lohit Devanagari"/>
      <family val="2"/>
      <charset val="1"/>
    </font>
    <font>
      <sz val="10"/>
      <color rgb="FF006600"/>
      <name val="Lohit Devanagari"/>
      <family val="2"/>
      <charset val="1"/>
    </font>
    <font>
      <u/>
      <sz val="10"/>
      <color rgb="FF0000EE"/>
      <name val="Lohit Devanagari"/>
      <family val="2"/>
      <charset val="1"/>
    </font>
    <font>
      <sz val="10"/>
      <color rgb="FF996600"/>
      <name val="Lohit Devanagari"/>
      <family val="2"/>
      <charset val="1"/>
    </font>
    <font>
      <sz val="10"/>
      <color rgb="FF333333"/>
      <name val="Lohit Devanagari"/>
      <family val="2"/>
      <charset val="1"/>
    </font>
    <font>
      <sz val="10"/>
      <name val="Lohit Devanagari"/>
      <family val="2"/>
      <charset val="1"/>
    </font>
    <font>
      <sz val="9"/>
      <color rgb="FF0137A6"/>
      <name val="Arial"/>
      <family val="2"/>
    </font>
    <font>
      <b/>
      <sz val="14"/>
      <name val="Arial"/>
      <family val="2"/>
    </font>
    <font>
      <sz val="11"/>
      <color rgb="FF000000"/>
      <name val="Calibri"/>
      <family val="2"/>
    </font>
    <font>
      <sz val="10"/>
      <name val="MS Sans Serif"/>
      <charset val="134"/>
    </font>
    <font>
      <i/>
      <sz val="8"/>
      <name val="Arial"/>
      <family val="2"/>
    </font>
    <font>
      <b/>
      <i/>
      <sz val="8"/>
      <name val="Arial"/>
      <family val="2"/>
    </font>
    <font>
      <sz val="12"/>
      <name val="Times New Roman"/>
      <family val="1"/>
    </font>
    <font>
      <i/>
      <sz val="11"/>
      <color theme="1"/>
      <name val="Aptos Narrow"/>
      <family val="2"/>
      <scheme val="minor"/>
    </font>
    <font>
      <sz val="9"/>
      <color theme="9" tint="-0.499984740745262"/>
      <name val="Arial"/>
      <family val="2"/>
    </font>
    <font>
      <i/>
      <sz val="9"/>
      <color theme="1" tint="0.499984740745262"/>
      <name val="Arial"/>
      <family val="2"/>
    </font>
    <font>
      <i/>
      <sz val="9"/>
      <color rgb="FF0137A6"/>
      <name val="Arial"/>
      <family val="2"/>
    </font>
    <font>
      <sz val="11"/>
      <color rgb="FF0137A6"/>
      <name val="Aptos Narrow"/>
      <family val="2"/>
      <scheme val="minor"/>
    </font>
    <font>
      <sz val="9"/>
      <color theme="0"/>
      <name val="Nunito Sans"/>
    </font>
    <font>
      <sz val="9"/>
      <color theme="1"/>
      <name val="Nunito Sans"/>
    </font>
    <font>
      <sz val="9"/>
      <color rgb="FF0137A6"/>
      <name val="Nunito Sans"/>
    </font>
    <font>
      <b/>
      <sz val="9"/>
      <color theme="1"/>
      <name val="Nunito Sans"/>
    </font>
    <font>
      <b/>
      <sz val="9"/>
      <color theme="0"/>
      <name val="Nunito Sans"/>
    </font>
    <font>
      <b/>
      <sz val="9"/>
      <color rgb="FF0137A6"/>
      <name val="Nunito Sans"/>
    </font>
    <font>
      <i/>
      <sz val="12"/>
      <color theme="0"/>
      <name val="Nunito Sans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137A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137A6"/>
      </top>
      <bottom/>
      <diagonal/>
    </border>
    <border>
      <left/>
      <right/>
      <top style="medium">
        <color rgb="FF0137A6"/>
      </top>
      <bottom style="medium">
        <color rgb="FF0137A6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double">
        <color rgb="FF000000"/>
      </bottom>
      <diagonal/>
    </border>
  </borders>
  <cellStyleXfs count="519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1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0" fillId="0" borderId="0"/>
    <xf numFmtId="0" fontId="1" fillId="0" borderId="0"/>
    <xf numFmtId="0" fontId="2" fillId="0" borderId="0"/>
    <xf numFmtId="9" fontId="1" fillId="0" borderId="0" applyFont="0" applyFill="0" applyBorder="0" applyAlignment="0" applyProtection="0"/>
    <xf numFmtId="0" fontId="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9" fillId="0" borderId="0"/>
    <xf numFmtId="0" fontId="12" fillId="0" borderId="0"/>
    <xf numFmtId="9" fontId="2" fillId="0" borderId="0" applyBorder="0" applyAlignment="0" applyProtection="0"/>
    <xf numFmtId="0" fontId="13" fillId="5" borderId="0" applyBorder="0" applyProtection="0"/>
    <xf numFmtId="0" fontId="14" fillId="0" borderId="0" applyBorder="0" applyProtection="0"/>
    <xf numFmtId="0" fontId="13" fillId="6" borderId="0" applyBorder="0" applyProtection="0"/>
    <xf numFmtId="0" fontId="14" fillId="7" borderId="0" applyBorder="0" applyProtection="0"/>
    <xf numFmtId="0" fontId="15" fillId="8" borderId="0" applyBorder="0" applyProtection="0"/>
    <xf numFmtId="0" fontId="13" fillId="9" borderId="0" applyBorder="0" applyProtection="0"/>
    <xf numFmtId="0" fontId="16" fillId="0" borderId="0" applyBorder="0" applyProtection="0"/>
    <xf numFmtId="0" fontId="17" fillId="10" borderId="0" applyBorder="0" applyProtection="0"/>
    <xf numFmtId="0" fontId="14" fillId="0" borderId="0" applyBorder="0" applyProtection="0"/>
    <xf numFmtId="0" fontId="14" fillId="0" borderId="0" applyBorder="0" applyProtection="0"/>
    <xf numFmtId="0" fontId="14" fillId="0" borderId="0" applyBorder="0" applyProtection="0"/>
    <xf numFmtId="0" fontId="18" fillId="0" borderId="0" applyBorder="0" applyProtection="0"/>
    <xf numFmtId="0" fontId="19" fillId="11" borderId="0" applyBorder="0" applyProtection="0"/>
    <xf numFmtId="0" fontId="20" fillId="11" borderId="4" applyProtection="0"/>
    <xf numFmtId="0" fontId="21" fillId="0" borderId="0" applyBorder="0" applyProtection="0"/>
    <xf numFmtId="0" fontId="21" fillId="0" borderId="0" applyBorder="0" applyProtection="0"/>
    <xf numFmtId="0" fontId="15" fillId="0" borderId="0" applyBorder="0" applyProtection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0" fontId="1" fillId="22" borderId="0" applyNumberFormat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" fillId="0" borderId="0"/>
    <xf numFmtId="167" fontId="1" fillId="0" borderId="0" applyFont="0" applyFill="0" applyBorder="0" applyAlignment="0" applyProtection="0"/>
    <xf numFmtId="0" fontId="2" fillId="0" borderId="0"/>
    <xf numFmtId="0" fontId="1" fillId="24" borderId="0" applyNumberFormat="0" applyBorder="0" applyAlignment="0" applyProtection="0"/>
    <xf numFmtId="43" fontId="2" fillId="0" borderId="0" applyFont="0" applyFill="0" applyBorder="0" applyAlignment="0" applyProtection="0"/>
    <xf numFmtId="0" fontId="1" fillId="23" borderId="0" applyNumberFormat="0" applyBorder="0" applyAlignment="0" applyProtection="0"/>
    <xf numFmtId="0" fontId="1" fillId="21" borderId="0" applyNumberFormat="0" applyBorder="0" applyAlignment="0" applyProtection="0"/>
    <xf numFmtId="0" fontId="2" fillId="0" borderId="0"/>
    <xf numFmtId="0" fontId="1" fillId="20" borderId="0" applyNumberFormat="0" applyBorder="0" applyAlignment="0" applyProtection="0"/>
    <xf numFmtId="40" fontId="2" fillId="0" borderId="0" applyFont="0" applyFill="0" applyBorder="0" applyAlignment="0" applyProtection="0"/>
    <xf numFmtId="0" fontId="1" fillId="14" borderId="0" applyNumberFormat="0" applyBorder="0" applyAlignment="0" applyProtection="0"/>
    <xf numFmtId="0" fontId="1" fillId="1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0"/>
    <xf numFmtId="167" fontId="1" fillId="0" borderId="0" applyFont="0" applyFill="0" applyBorder="0" applyAlignment="0" applyProtection="0"/>
    <xf numFmtId="0" fontId="2" fillId="0" borderId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2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0" fontId="1" fillId="25" borderId="1" applyNumberFormat="0" applyFont="0" applyAlignment="0" applyProtection="0"/>
    <xf numFmtId="43" fontId="2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1" fillId="25" borderId="1" applyNumberFormat="0" applyFont="0" applyAlignment="0" applyProtection="0"/>
    <xf numFmtId="43" fontId="2" fillId="0" borderId="0" applyFont="0" applyFill="0" applyBorder="0" applyAlignment="0" applyProtection="0"/>
    <xf numFmtId="0" fontId="1" fillId="25" borderId="1" applyNumberFormat="0" applyFont="0" applyAlignment="0" applyProtection="0"/>
    <xf numFmtId="43" fontId="2" fillId="0" borderId="0" applyFont="0" applyFill="0" applyBorder="0" applyAlignment="0" applyProtection="0"/>
    <xf numFmtId="0" fontId="1" fillId="25" borderId="1" applyNumberFormat="0" applyFont="0" applyAlignment="0" applyProtection="0"/>
    <xf numFmtId="40" fontId="2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25" fillId="0" borderId="0"/>
    <xf numFmtId="0" fontId="2" fillId="0" borderId="0"/>
    <xf numFmtId="0" fontId="1" fillId="0" borderId="0"/>
    <xf numFmtId="0" fontId="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5" fillId="0" borderId="0"/>
    <xf numFmtId="0" fontId="25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5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167" fontId="1" fillId="0" borderId="0" applyFont="0" applyFill="0" applyBorder="0" applyAlignment="0" applyProtection="0"/>
    <xf numFmtId="0" fontId="1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14" borderId="0" applyNumberFormat="0" applyBorder="0" applyAlignment="0" applyProtection="0"/>
    <xf numFmtId="0" fontId="1" fillId="1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39" fontId="28" fillId="0" borderId="0"/>
  </cellStyleXfs>
  <cellXfs count="60">
    <xf numFmtId="0" fontId="0" fillId="0" borderId="0" xfId="0"/>
    <xf numFmtId="0" fontId="0" fillId="0" borderId="0" xfId="0" applyAlignment="1">
      <alignment horizontal="right"/>
    </xf>
    <xf numFmtId="0" fontId="23" fillId="2" borderId="0" xfId="0" applyFont="1" applyFill="1"/>
    <xf numFmtId="0" fontId="3" fillId="2" borderId="0" xfId="0" applyFont="1" applyFill="1"/>
    <xf numFmtId="0" fontId="4" fillId="2" borderId="0" xfId="0" applyFont="1" applyFill="1" applyAlignment="1">
      <alignment horizontal="right"/>
    </xf>
    <xf numFmtId="38" fontId="5" fillId="2" borderId="5" xfId="1" applyNumberFormat="1" applyFont="1" applyFill="1" applyBorder="1" applyAlignment="1">
      <alignment horizontal="right"/>
    </xf>
    <xf numFmtId="165" fontId="3" fillId="2" borderId="0" xfId="0" applyNumberFormat="1" applyFont="1" applyFill="1"/>
    <xf numFmtId="0" fontId="3" fillId="2" borderId="0" xfId="47" applyFont="1" applyFill="1"/>
    <xf numFmtId="0" fontId="5" fillId="2" borderId="5" xfId="47" applyFont="1" applyFill="1" applyBorder="1"/>
    <xf numFmtId="38" fontId="3" fillId="2" borderId="0" xfId="1" applyNumberFormat="1" applyFont="1" applyFill="1" applyBorder="1" applyAlignment="1">
      <alignment horizontal="right"/>
    </xf>
    <xf numFmtId="0" fontId="4" fillId="2" borderId="0" xfId="47" applyFont="1" applyFill="1"/>
    <xf numFmtId="166" fontId="4" fillId="2" borderId="0" xfId="47" applyNumberFormat="1" applyFont="1" applyFill="1"/>
    <xf numFmtId="166" fontId="3" fillId="2" borderId="7" xfId="1" applyNumberFormat="1" applyFont="1" applyFill="1" applyBorder="1" applyAlignment="1">
      <alignment vertical="center"/>
    </xf>
    <xf numFmtId="166" fontId="4" fillId="2" borderId="0" xfId="0" applyNumberFormat="1" applyFont="1" applyFill="1"/>
    <xf numFmtId="166" fontId="3" fillId="2" borderId="8" xfId="47" applyNumberFormat="1" applyFont="1" applyFill="1" applyBorder="1"/>
    <xf numFmtId="0" fontId="3" fillId="2" borderId="5" xfId="47" applyFont="1" applyFill="1" applyBorder="1"/>
    <xf numFmtId="0" fontId="4" fillId="2" borderId="6" xfId="0" applyFont="1" applyFill="1" applyBorder="1"/>
    <xf numFmtId="0" fontId="3" fillId="2" borderId="7" xfId="0" applyFont="1" applyFill="1" applyBorder="1"/>
    <xf numFmtId="4" fontId="4" fillId="2" borderId="0" xfId="0" applyNumberFormat="1" applyFont="1" applyFill="1"/>
    <xf numFmtId="0" fontId="3" fillId="2" borderId="8" xfId="0" applyFont="1" applyFill="1" applyBorder="1"/>
    <xf numFmtId="0" fontId="26" fillId="2" borderId="0" xfId="0" applyFont="1" applyFill="1" applyAlignment="1">
      <alignment horizontal="right"/>
    </xf>
    <xf numFmtId="166" fontId="26" fillId="2" borderId="0" xfId="0" applyNumberFormat="1" applyFont="1" applyFill="1"/>
    <xf numFmtId="166" fontId="27" fillId="2" borderId="7" xfId="1" applyNumberFormat="1" applyFont="1" applyFill="1" applyBorder="1" applyAlignment="1">
      <alignment vertical="center"/>
    </xf>
    <xf numFmtId="43" fontId="4" fillId="2" borderId="0" xfId="0" applyNumberFormat="1" applyFont="1" applyFill="1"/>
    <xf numFmtId="166" fontId="4" fillId="0" borderId="0" xfId="47" applyNumberFormat="1" applyFont="1"/>
    <xf numFmtId="166" fontId="27" fillId="2" borderId="8" xfId="47" applyNumberFormat="1" applyFont="1" applyFill="1" applyBorder="1"/>
    <xf numFmtId="0" fontId="29" fillId="0" borderId="0" xfId="0" applyFont="1"/>
    <xf numFmtId="0" fontId="30" fillId="26" borderId="0" xfId="0" applyFont="1" applyFill="1" applyAlignment="1">
      <alignment horizontal="right"/>
    </xf>
    <xf numFmtId="0" fontId="22" fillId="13" borderId="0" xfId="0" applyFont="1" applyFill="1" applyAlignment="1">
      <alignment horizontal="right"/>
    </xf>
    <xf numFmtId="166" fontId="29" fillId="4" borderId="0" xfId="0" applyNumberFormat="1" applyFont="1" applyFill="1"/>
    <xf numFmtId="166" fontId="4" fillId="4" borderId="0" xfId="47" applyNumberFormat="1" applyFont="1" applyFill="1"/>
    <xf numFmtId="166" fontId="27" fillId="2" borderId="0" xfId="1" applyNumberFormat="1" applyFont="1" applyFill="1" applyBorder="1" applyAlignment="1">
      <alignment vertical="center"/>
    </xf>
    <xf numFmtId="166" fontId="27" fillId="2" borderId="0" xfId="47" applyNumberFormat="1" applyFont="1" applyFill="1"/>
    <xf numFmtId="0" fontId="31" fillId="2" borderId="0" xfId="0" applyFont="1" applyFill="1"/>
    <xf numFmtId="0" fontId="32" fillId="2" borderId="0" xfId="0" applyFont="1" applyFill="1"/>
    <xf numFmtId="0" fontId="33" fillId="0" borderId="0" xfId="0" applyFont="1"/>
    <xf numFmtId="0" fontId="4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34" fillId="3" borderId="2" xfId="0" applyFont="1" applyFill="1" applyBorder="1" applyAlignment="1">
      <alignment vertical="center" wrapText="1"/>
    </xf>
    <xf numFmtId="0" fontId="35" fillId="0" borderId="2" xfId="0" applyFont="1" applyBorder="1" applyAlignment="1">
      <alignment vertical="center" wrapText="1"/>
    </xf>
    <xf numFmtId="0" fontId="35" fillId="13" borderId="3" xfId="0" applyFont="1" applyFill="1" applyBorder="1" applyAlignment="1">
      <alignment vertical="center" wrapText="1"/>
    </xf>
    <xf numFmtId="0" fontId="35" fillId="0" borderId="0" xfId="0" applyFont="1" applyAlignment="1">
      <alignment vertical="center" wrapText="1"/>
    </xf>
    <xf numFmtId="0" fontId="36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36" fillId="0" borderId="9" xfId="0" applyFont="1" applyBorder="1" applyAlignment="1">
      <alignment vertical="center" wrapText="1"/>
    </xf>
    <xf numFmtId="0" fontId="37" fillId="0" borderId="9" xfId="0" applyFont="1" applyBorder="1" applyAlignment="1">
      <alignment vertical="center" wrapText="1"/>
    </xf>
    <xf numFmtId="0" fontId="35" fillId="0" borderId="0" xfId="0" applyFont="1"/>
    <xf numFmtId="0" fontId="38" fillId="3" borderId="2" xfId="0" applyFont="1" applyFill="1" applyBorder="1" applyAlignment="1">
      <alignment vertical="center" wrapText="1"/>
    </xf>
    <xf numFmtId="0" fontId="39" fillId="13" borderId="3" xfId="0" applyFont="1" applyFill="1" applyBorder="1" applyAlignment="1">
      <alignment vertical="center" wrapText="1"/>
    </xf>
    <xf numFmtId="0" fontId="39" fillId="0" borderId="0" xfId="0" applyFont="1" applyAlignment="1">
      <alignment vertical="center" wrapText="1"/>
    </xf>
    <xf numFmtId="168" fontId="37" fillId="0" borderId="0" xfId="0" applyNumberFormat="1" applyFont="1" applyAlignment="1">
      <alignment horizontal="center" vertical="center" wrapText="1"/>
    </xf>
    <xf numFmtId="0" fontId="37" fillId="0" borderId="0" xfId="0" applyFont="1" applyAlignment="1">
      <alignment horizontal="left" vertical="center" wrapText="1" indent="1"/>
    </xf>
    <xf numFmtId="0" fontId="39" fillId="0" borderId="10" xfId="0" applyFont="1" applyBorder="1" applyAlignment="1">
      <alignment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0" xfId="0" applyFont="1" applyBorder="1" applyAlignment="1">
      <alignment horizontal="left" vertical="center" wrapText="1" indent="1"/>
    </xf>
    <xf numFmtId="0" fontId="40" fillId="27" borderId="0" xfId="0" applyFont="1" applyFill="1" applyAlignment="1">
      <alignment horizontal="center" vertical="center" wrapText="1"/>
    </xf>
    <xf numFmtId="0" fontId="37" fillId="0" borderId="11" xfId="0" applyFont="1" applyBorder="1" applyAlignment="1">
      <alignment vertical="center" wrapText="1"/>
    </xf>
    <xf numFmtId="0" fontId="37" fillId="0" borderId="0" xfId="0" applyFont="1" applyAlignment="1">
      <alignment vertical="center" wrapText="1"/>
    </xf>
    <xf numFmtId="0" fontId="35" fillId="0" borderId="0" xfId="0" applyFont="1" applyAlignment="1">
      <alignment vertical="center" wrapText="1"/>
    </xf>
  </cellXfs>
  <cellStyles count="519">
    <cellStyle name="20% - Accent1 2" xfId="91" xr:uid="{DD2A9B08-86AA-48B6-B18A-EBE63D8B6F31}"/>
    <cellStyle name="20% - Accent1 2 2" xfId="355" xr:uid="{5DBBD786-620B-41AA-8A91-1C33479BE84D}"/>
    <cellStyle name="20% - Accent2 2" xfId="93" xr:uid="{BD6CF9FB-9DE7-4D6F-ACA8-A30BB2873A4B}"/>
    <cellStyle name="20% - Accent2 2 2" xfId="356" xr:uid="{57544966-97AB-42F6-B658-2A8C55510FB4}"/>
    <cellStyle name="20% - Accent3 2" xfId="76" xr:uid="{00180519-2A24-4932-84E1-9E0291F6F75F}"/>
    <cellStyle name="20% - Accent3 2 2" xfId="345" xr:uid="{82A4C985-9C39-4067-A331-59393B5E2BB0}"/>
    <cellStyle name="20% - Accent4 2" xfId="87" xr:uid="{B7F24B80-2957-4409-B62A-51D10F5667C1}"/>
    <cellStyle name="20% - Accent4 2 2" xfId="353" xr:uid="{12863A9D-D81B-4AFC-93C1-28258EB44D25}"/>
    <cellStyle name="20% - Accent5 2" xfId="94" xr:uid="{A5E24461-0477-4961-9C80-F1B73A0A6D28}"/>
    <cellStyle name="20% - Accent5 2 2" xfId="357" xr:uid="{F9948B11-C088-43A2-87AC-F91BF9A34E39}"/>
    <cellStyle name="20% - Accent6 2" xfId="96" xr:uid="{947B37BC-1B0F-42AA-9C4B-A9D201277DE0}"/>
    <cellStyle name="20% - Accent6 2 2" xfId="358" xr:uid="{3B452FB1-5D2F-4C2C-9A76-154A667A6BE6}"/>
    <cellStyle name="40% - Accent1 2" xfId="98" xr:uid="{769962FF-0523-4DCB-B1C8-28674DB62BFF}"/>
    <cellStyle name="40% - Accent1 2 2" xfId="359" xr:uid="{F39FDABD-87DD-4494-AC8F-2A789792EB7B}"/>
    <cellStyle name="40% - Accent2 2" xfId="85" xr:uid="{AF13E5A4-6B72-40E5-85A4-D22FFFB27D57}"/>
    <cellStyle name="40% - Accent2 2 2" xfId="351" xr:uid="{6219C105-EF17-4E7A-8EFF-0D4C9A514414}"/>
    <cellStyle name="40% - Accent3 2" xfId="99" xr:uid="{7233C6E0-8FBC-45FF-81D8-9B4691BF1C62}"/>
    <cellStyle name="40% - Accent3 2 2" xfId="360" xr:uid="{BECB8788-FBCD-452F-B68A-AC25E7D08885}"/>
    <cellStyle name="40% - Accent4 2" xfId="86" xr:uid="{AACC1634-654F-40A1-8BA7-C84671517198}"/>
    <cellStyle name="40% - Accent4 2 2" xfId="352" xr:uid="{A60B021F-9CAE-4BEC-B0E8-F96E6592BF07}"/>
    <cellStyle name="40% - Accent5 2" xfId="101" xr:uid="{2032FC68-25E9-44AB-9DC5-BC07E922B001}"/>
    <cellStyle name="40% - Accent5 2 2" xfId="362" xr:uid="{50AF74D1-BCE5-49CB-AD7E-9E9AE6DE8782}"/>
    <cellStyle name="40% - Accent6 2" xfId="103" xr:uid="{54510DCE-82D1-4270-9D8F-E30B8F30F68B}"/>
    <cellStyle name="40% - Accent6 2 2" xfId="364" xr:uid="{54163277-7248-46F4-8394-E01063C00018}"/>
    <cellStyle name="Accent 1 17" xfId="25" xr:uid="{03BB29BC-8FB6-482D-9E49-DDA0B555EA02}"/>
    <cellStyle name="Accent 16" xfId="26" xr:uid="{A3DD0E7C-5BB9-45D8-840B-6E6DA7E40CC9}"/>
    <cellStyle name="Accent 2 18" xfId="27" xr:uid="{CA70304F-17DA-48F6-BB46-DFA72FFA277A}"/>
    <cellStyle name="Accent 3 19" xfId="28" xr:uid="{4327E301-43A3-4258-8511-99F325DECE06}"/>
    <cellStyle name="Bad 13" xfId="29" xr:uid="{00479022-30ED-4580-AF36-469E32BDE91C}"/>
    <cellStyle name="Comma 10" xfId="49" xr:uid="{E5C71EDF-9CF2-4D63-B8D3-C4666AF60A69}"/>
    <cellStyle name="Comma 10 2" xfId="92" xr:uid="{0D51F7AC-C8E2-4038-ACA4-E1C617D373B2}"/>
    <cellStyle name="Comma 11" xfId="516" xr:uid="{189CEBE5-10D3-4B72-BCB4-64B4B543C852}"/>
    <cellStyle name="Comma 12" xfId="1" xr:uid="{C66E2F66-67DF-48BD-93CC-32B8AD8CDDFE}"/>
    <cellStyle name="Comma 14 2" xfId="89" xr:uid="{8562FC54-37FC-4ECF-9D17-2399D26AAAB8}"/>
    <cellStyle name="Comma 14 2 2" xfId="105" xr:uid="{DD33D52A-A700-42E0-BBF2-27E1BCFC6A84}"/>
    <cellStyle name="Comma 14 2 2 2" xfId="365" xr:uid="{415C3985-5DE4-4A3C-B0C0-EECA53CDD30C}"/>
    <cellStyle name="Comma 14 2 3" xfId="354" xr:uid="{6606455C-8D7E-42BB-BF2C-C37FC1FFAFF5}"/>
    <cellStyle name="Comma 14 3" xfId="107" xr:uid="{A2A28CBA-A03B-48E2-9558-CF37B0FAD8BD}"/>
    <cellStyle name="Comma 14 3 2" xfId="108" xr:uid="{56D5C074-56FD-485E-A5AB-092416041193}"/>
    <cellStyle name="Comma 14 3 2 2" xfId="367" xr:uid="{F32CE0C5-A859-4F39-B206-15002E038553}"/>
    <cellStyle name="Comma 14 3 3" xfId="366" xr:uid="{DFFAF679-AC7A-49F3-950F-13212DDB6F59}"/>
    <cellStyle name="Comma 14 4" xfId="109" xr:uid="{4908BEBB-1E1E-4E9A-A19B-9D45DC3EF8F4}"/>
    <cellStyle name="Comma 14 4 2" xfId="111" xr:uid="{5FA59087-84E6-43B8-A111-4D05467E0A47}"/>
    <cellStyle name="Comma 14 4 2 2" xfId="370" xr:uid="{5B18BE2C-AEED-4049-926E-B55C2A9DEF50}"/>
    <cellStyle name="Comma 14 4 3" xfId="368" xr:uid="{CA19934E-5DBB-47BC-830A-52BDB584080E}"/>
    <cellStyle name="Comma 14 5" xfId="113" xr:uid="{337E12E4-1B41-4A96-8452-03167E5A21D4}"/>
    <cellStyle name="Comma 14 5 2" xfId="115" xr:uid="{8F14E14E-0AB0-478D-A195-0D2C8F239006}"/>
    <cellStyle name="Comma 14 5 2 2" xfId="373" xr:uid="{7AAB6C13-2601-4B51-A19B-C071DD844EB0}"/>
    <cellStyle name="Comma 14 5 3" xfId="372" xr:uid="{30F7FF55-4AD6-40DE-A0E1-B724F05E8C4C}"/>
    <cellStyle name="Comma 14 6" xfId="118" xr:uid="{91078626-26E2-4FE1-982A-D0E3DDC28789}"/>
    <cellStyle name="Comma 14 6 2" xfId="120" xr:uid="{E1C2E879-22F0-4266-949B-1C4A5CD90528}"/>
    <cellStyle name="Comma 14 6 2 2" xfId="377" xr:uid="{116F52F4-C1FA-4199-925C-DDFDE99E6CA0}"/>
    <cellStyle name="Comma 14 6 3" xfId="375" xr:uid="{E6C2D8CC-69C7-4BA9-B305-16D0FA11F88D}"/>
    <cellStyle name="Comma 167" xfId="7" xr:uid="{5988EB88-7765-412B-9A4A-9059F9CC43A8}"/>
    <cellStyle name="Comma 167 2" xfId="56" xr:uid="{5F1875A1-DE51-49D7-BF8C-312C5AA99860}"/>
    <cellStyle name="Comma 18 3" xfId="45" xr:uid="{EDBA92AC-004B-432B-8922-6CC1269C7BA0}"/>
    <cellStyle name="Comma 18 3 2" xfId="64" xr:uid="{6CBD72B4-9D05-4E38-9400-96AB10451486}"/>
    <cellStyle name="Comma 19 2" xfId="116" xr:uid="{65D43292-9575-459F-AC54-CACF8E73CA68}"/>
    <cellStyle name="Comma 19 2 2" xfId="122" xr:uid="{5AC83530-B968-4200-A1C1-AB79853EADC9}"/>
    <cellStyle name="Comma 19 2 2 2" xfId="379" xr:uid="{A759F1D6-EB29-4631-B604-747CB22250D4}"/>
    <cellStyle name="Comma 19 2 3" xfId="374" xr:uid="{27FF74DE-8D8F-49F5-B1DD-F046B3405DAD}"/>
    <cellStyle name="Comma 2" xfId="2" xr:uid="{0F4623C0-5B87-4067-8868-EFB025276012}"/>
    <cellStyle name="Comma 2 10" xfId="123" xr:uid="{2FA49260-72AF-4ED4-B3EA-24FE72299451}"/>
    <cellStyle name="Comma 2 11" xfId="124" xr:uid="{E93B84F0-61E9-43A4-9B81-482A27FD57CE}"/>
    <cellStyle name="Comma 2 12" xfId="97" xr:uid="{4FDEF64F-85A7-4A66-B890-CF0ED0681460}"/>
    <cellStyle name="Comma 2 13" xfId="81" xr:uid="{25C3C6B8-4AB4-4103-A0F0-687B8203C6F6}"/>
    <cellStyle name="Comma 2 14" xfId="126" xr:uid="{4DEE8B48-B8A0-4C76-ACE0-B1CA0AB208DE}"/>
    <cellStyle name="Comma 2 14 2" xfId="73" xr:uid="{568F80CD-0B23-48B9-9F6A-ED25A3F18BA6}"/>
    <cellStyle name="Comma 2 14 2 2" xfId="343" xr:uid="{77933809-716E-4284-9270-222EE4D6CA15}"/>
    <cellStyle name="Comma 2 14 3" xfId="382" xr:uid="{39A412C6-1371-42F8-A657-C812568BAE27}"/>
    <cellStyle name="Comma 2 15" xfId="128" xr:uid="{E1639107-EE75-4251-90E7-9FA483C0DD49}"/>
    <cellStyle name="Comma 2 16" xfId="130" xr:uid="{7891C57A-B114-483C-A0EF-F1581D13F44B}"/>
    <cellStyle name="Comma 2 17" xfId="132" xr:uid="{D5602609-60AD-47C7-BF2B-C15C9467FC3C}"/>
    <cellStyle name="Comma 2 18" xfId="134" xr:uid="{339E2E0E-47E7-4E6C-AF3F-1EDCE6610582}"/>
    <cellStyle name="Comma 2 19" xfId="136" xr:uid="{80E3089E-92B4-4102-B99A-CA17512EFBBC}"/>
    <cellStyle name="Comma 2 2" xfId="5" xr:uid="{27588F32-FEAA-4934-A799-046F92F82C67}"/>
    <cellStyle name="Comma 2 2 13 2" xfId="173" xr:uid="{167BFB47-3E81-47AE-BA8C-8FC0D5F18D0E}"/>
    <cellStyle name="Comma 2 2 2" xfId="139" xr:uid="{23198AFF-956B-46E0-9425-DF7BF7C14227}"/>
    <cellStyle name="Comma 2 2 2 2" xfId="141" xr:uid="{5306C833-0382-44C1-8C8C-582BAFD30CD3}"/>
    <cellStyle name="Comma 2 2 2 2 2" xfId="142" xr:uid="{9AEFCB26-5F94-4D1E-BC22-A1E331F3EE7B}"/>
    <cellStyle name="Comma 2 2 2 2 2 2" xfId="143" xr:uid="{CB741773-E0AB-44DB-949E-120DA6B85F68}"/>
    <cellStyle name="Comma 2 2 2 2 2 2 2" xfId="387" xr:uid="{67F1F437-B1AB-480C-9FBD-24647F0DE201}"/>
    <cellStyle name="Comma 2 2 2 2 2 3" xfId="386" xr:uid="{4E754394-325B-41F6-A125-3D1C93766745}"/>
    <cellStyle name="Comma 2 2 2 3" xfId="144" xr:uid="{EFDD8718-3E1C-40A1-8F13-D134639B8400}"/>
    <cellStyle name="Comma 2 2 2 3 2" xfId="388" xr:uid="{F5076D4A-6969-41E1-8F7D-5E53B3375482}"/>
    <cellStyle name="Comma 2 2 2 4" xfId="384" xr:uid="{426860F6-C7C5-44C6-B04A-9F7822BD1FDA}"/>
    <cellStyle name="Comma 2 2 3" xfId="145" xr:uid="{B61F2518-B067-4613-9F3F-4F325CBA3D89}"/>
    <cellStyle name="Comma 2 2 3 2" xfId="147" xr:uid="{ED56BA82-C945-46CF-9D51-A011E880B80F}"/>
    <cellStyle name="Comma 2 2 3 2 2" xfId="391" xr:uid="{856AFDCA-60BD-4CAE-8778-DBBCDC10B723}"/>
    <cellStyle name="Comma 2 2 3 3" xfId="389" xr:uid="{B0573FF7-08E4-41E9-9F4D-5899ECA360E0}"/>
    <cellStyle name="Comma 2 2 4" xfId="149" xr:uid="{A7298012-B350-46F7-9EEF-13920F518B94}"/>
    <cellStyle name="Comma 2 2 4 2" xfId="150" xr:uid="{4FD6206D-9023-4A1D-B059-AF69B269EEC0}"/>
    <cellStyle name="Comma 2 2 4 2 2" xfId="394" xr:uid="{6F20F462-D261-4792-A8C6-78FCFBF14E1C}"/>
    <cellStyle name="Comma 2 2 4 3" xfId="393" xr:uid="{FA259BE6-7376-4BF1-A063-B8E77CE0445D}"/>
    <cellStyle name="Comma 2 2 5" xfId="138" xr:uid="{77807283-0434-4B74-BD8D-7C6C99C77B44}"/>
    <cellStyle name="Comma 2 20" xfId="129" xr:uid="{8A989486-AE51-4908-9949-F603480DF6DF}"/>
    <cellStyle name="Comma 2 21" xfId="131" xr:uid="{246A28F1-EFF8-451C-9B4E-7B952BEEA24D}"/>
    <cellStyle name="Comma 2 22" xfId="133" xr:uid="{8625D0EB-2A02-4729-A97E-3CF83696EFAE}"/>
    <cellStyle name="Comma 2 23" xfId="135" xr:uid="{589FD030-6806-4402-8F57-CB9A5A30EE0E}"/>
    <cellStyle name="Comma 2 24" xfId="137" xr:uid="{3D1D1148-606B-4C4E-9597-D07519E3C46C}"/>
    <cellStyle name="Comma 2 25" xfId="152" xr:uid="{FBEDB315-D6BA-4269-BE6B-05028793BC73}"/>
    <cellStyle name="Comma 2 26" xfId="156" xr:uid="{FA52D774-A8C4-425B-9486-8556F3236552}"/>
    <cellStyle name="Comma 2 27" xfId="158" xr:uid="{FF822300-9E0F-4A76-BAD0-1BA46BF4463F}"/>
    <cellStyle name="Comma 2 28" xfId="67" xr:uid="{3BE0D13A-6130-43DC-9CEA-FFA501796C0B}"/>
    <cellStyle name="Comma 2 29" xfId="160" xr:uid="{5A64D393-CEB8-4753-BB19-21A140763F4A}"/>
    <cellStyle name="Comma 2 3" xfId="21" xr:uid="{CBAE128C-973C-4B20-B106-4CE3F6DFCF44}"/>
    <cellStyle name="Comma 2 3 2" xfId="61" xr:uid="{E9CEF483-45DF-4182-966A-672588CF3169}"/>
    <cellStyle name="Comma 2 3 2 2" xfId="166" xr:uid="{A5F684D2-494C-4765-8310-8B2F843FE3B3}"/>
    <cellStyle name="Comma 2 3 2 2 2" xfId="167" xr:uid="{22DAF081-E675-4EDC-882E-7C71729DCCE1}"/>
    <cellStyle name="Comma 2 3 2 3" xfId="163" xr:uid="{DB5DE557-178B-4258-8201-020F043997F1}"/>
    <cellStyle name="Comma 2 3 3" xfId="169" xr:uid="{A603F773-5042-48CE-889A-871B21054885}"/>
    <cellStyle name="Comma 2 3 3 2" xfId="171" xr:uid="{32653AB4-321D-46BF-B13D-783B4A30930C}"/>
    <cellStyle name="Comma 2 3 3 2 2" xfId="403" xr:uid="{4E17E8B9-3D2C-450C-938B-57416110EA7A}"/>
    <cellStyle name="Comma 2 3 3 3" xfId="401" xr:uid="{770B823A-D9D2-474F-BB64-D00E711C6F21}"/>
    <cellStyle name="Comma 2 3 4" xfId="162" xr:uid="{70C1C12C-DA66-4E49-AA2E-1876E5285531}"/>
    <cellStyle name="Comma 2 30" xfId="153" xr:uid="{5220AE95-D63E-4256-972E-054A185E7452}"/>
    <cellStyle name="Comma 2 31" xfId="157" xr:uid="{D5B53535-5C07-4A73-B217-7D1A7B163C5E}"/>
    <cellStyle name="Comma 2 31 2" xfId="398" xr:uid="{2B0092B3-F957-46B7-B118-DC12035FC7D4}"/>
    <cellStyle name="Comma 2 32" xfId="159" xr:uid="{37F0C250-58E4-48FE-BBB1-A01586BA3F3E}"/>
    <cellStyle name="Comma 2 32 2" xfId="399" xr:uid="{CF6A6123-804A-4275-994A-AC63D3798EE3}"/>
    <cellStyle name="Comma 2 33" xfId="380" xr:uid="{623EDF4B-03FA-4280-B3B0-28D043EF4406}"/>
    <cellStyle name="Comma 2 34" xfId="513" xr:uid="{866ED609-A943-4CF8-872F-6B3209EA126B}"/>
    <cellStyle name="Comma 2 4" xfId="53" xr:uid="{1F4DD1D2-E121-4EE6-9130-3CB08194EF6B}"/>
    <cellStyle name="Comma 2 4 2" xfId="174" xr:uid="{21C9B7C1-4B9C-4E2D-B186-FF52C7FF43B9}"/>
    <cellStyle name="Comma 2 4 3" xfId="176" xr:uid="{95B72A44-EB61-4A4D-85FC-274EECA7672C}"/>
    <cellStyle name="Comma 2 4 3 2" xfId="406" xr:uid="{10358261-ECB3-43C9-A3BA-22ED614860A5}"/>
    <cellStyle name="Comma 2 4 4" xfId="348" xr:uid="{C9EFAF61-0538-4085-81AF-0657B3B53F5B}"/>
    <cellStyle name="Comma 2 5" xfId="177" xr:uid="{3F64D00A-590E-4F5D-9B65-C0CEA65DE665}"/>
    <cellStyle name="Comma 2 5 2" xfId="178" xr:uid="{742EC27B-04C1-4EE3-8FEE-D658E06D2494}"/>
    <cellStyle name="Comma 2 5 2 2" xfId="408" xr:uid="{8D7991E1-1DD1-4700-962F-CAFC733A5E85}"/>
    <cellStyle name="Comma 2 5 3" xfId="407" xr:uid="{E0A8639A-6A42-4965-82FF-A5D78BBA2FDD}"/>
    <cellStyle name="Comma 2 6" xfId="179" xr:uid="{0FE17079-1AF0-4FF2-9375-4914DF9946B2}"/>
    <cellStyle name="Comma 2 6 2" xfId="180" xr:uid="{E04F362B-F18A-4F4D-AC77-9F1D854DD080}"/>
    <cellStyle name="Comma 2 6 2 2" xfId="410" xr:uid="{988E60FB-E95C-4BB9-B207-561061177BD5}"/>
    <cellStyle name="Comma 2 6 3" xfId="44" xr:uid="{71CB70F1-E9A4-47DC-A80A-020DAF4FF463}"/>
    <cellStyle name="Comma 2 6 3 2" xfId="63" xr:uid="{880A88CB-3370-4436-B5AE-C1E4C62F2848}"/>
    <cellStyle name="Comma 2 6 3 3" xfId="409" xr:uid="{3185D94F-F0AC-4885-AE64-D7697DB1DA25}"/>
    <cellStyle name="Comma 2 7" xfId="181" xr:uid="{1855F7DA-809C-4F02-825F-529514CD07FF}"/>
    <cellStyle name="Comma 2 7 2" xfId="182" xr:uid="{24128F17-3FC4-4070-AD15-72AF416EBFD8}"/>
    <cellStyle name="Comma 2 7 2 2" xfId="412" xr:uid="{00F7012E-31B9-47FC-9A9D-285609B2C80C}"/>
    <cellStyle name="Comma 2 7 3" xfId="411" xr:uid="{D9CEA92A-1587-4789-86BC-3B81851A4771}"/>
    <cellStyle name="Comma 2 8" xfId="183" xr:uid="{14FE6706-BE18-43BC-AA1F-4B1E2AABE4A2}"/>
    <cellStyle name="Comma 2 9" xfId="184" xr:uid="{EA7D1119-257F-4219-934D-8B9EE79B5F78}"/>
    <cellStyle name="Comma 3" xfId="4" xr:uid="{AC5ED1B4-2D35-4084-AE81-E305755069BD}"/>
    <cellStyle name="Comma 3 2" xfId="14" xr:uid="{70C7F413-7D28-4BD8-8928-046F43E8F760}"/>
    <cellStyle name="Comma 3 2 2" xfId="59" xr:uid="{FA2F9ED7-B673-4836-8F08-8C62B02EF430}"/>
    <cellStyle name="Comma 3 2 2 2" xfId="190" xr:uid="{4B0E8CE3-D759-424A-BFAC-42D3288EBBA8}"/>
    <cellStyle name="Comma 3 2 2 2 2" xfId="191" xr:uid="{238FD562-2A0B-4209-B57E-98240A2C0C1B}"/>
    <cellStyle name="Comma 3 2 2 2 2 2" xfId="192" xr:uid="{675AB7EB-232E-45F9-820F-82FFFD7F996F}"/>
    <cellStyle name="Comma 3 2 2 2 2 2 2" xfId="194" xr:uid="{6D15C2C1-7321-423E-BB18-71A916ED2524}"/>
    <cellStyle name="Comma 3 2 2 2 2 2 2 2" xfId="195" xr:uid="{E14791A9-4AB8-49DC-85ED-968C8B3BE982}"/>
    <cellStyle name="Comma 3 2 2 2 2 2 2 2 2" xfId="420" xr:uid="{7E24ED5D-F2F0-42D7-A77E-554F289AA900}"/>
    <cellStyle name="Comma 3 2 2 2 2 2 2 3" xfId="419" xr:uid="{56C39C6F-AC91-451A-905C-7F9E88D77F30}"/>
    <cellStyle name="Comma 3 2 2 2 2 3" xfId="196" xr:uid="{452003A7-1026-4306-97EB-B585CE719579}"/>
    <cellStyle name="Comma 3 2 2 2 2 3 2" xfId="421" xr:uid="{DAE47ABA-2738-4DE5-89B9-E6F7E2DBEBED}"/>
    <cellStyle name="Comma 3 2 2 2 2 4" xfId="418" xr:uid="{1BA1F896-B1ED-43F6-AB00-E466C70D71FF}"/>
    <cellStyle name="Comma 3 2 2 2 3" xfId="199" xr:uid="{750FB9E1-F7DF-4434-9C3E-2E113A282FF3}"/>
    <cellStyle name="Comma 3 2 2 2 3 2" xfId="200" xr:uid="{3323E06C-3B24-4344-9117-FED235AEF6C0}"/>
    <cellStyle name="Comma 3 2 2 2 3 2 2" xfId="423" xr:uid="{A9D18CE6-2143-4A7F-9616-093B0E3ED89C}"/>
    <cellStyle name="Comma 3 2 2 2 3 3" xfId="422" xr:uid="{EE25D8A0-85B4-443D-BEED-79FBC4FA928C}"/>
    <cellStyle name="Comma 3 2 2 2 4" xfId="201" xr:uid="{7BCF3AC6-CCC4-463F-8079-B5D7B8A8171D}"/>
    <cellStyle name="Comma 3 2 2 2 4 2" xfId="127" xr:uid="{4F1008FF-850B-4E35-972F-49E98620426D}"/>
    <cellStyle name="Comma 3 2 2 2 4 2 2" xfId="383" xr:uid="{99FEA6AB-4DD2-46E8-A334-4AD8B8A9CB83}"/>
    <cellStyle name="Comma 3 2 2 2 4 3" xfId="424" xr:uid="{0128F453-B75B-47BF-93A3-40AEF4722766}"/>
    <cellStyle name="Comma 3 2 2 2 5" xfId="202" xr:uid="{1568C3E2-7D70-4E3D-B450-F79BC6636CD3}"/>
    <cellStyle name="Comma 3 2 2 2 5 2" xfId="203" xr:uid="{28EA4D55-2F05-4A05-9D3B-714717E5D2A1}"/>
    <cellStyle name="Comma 3 2 2 2 5 2 2" xfId="426" xr:uid="{F1E9FC20-B9E8-499D-AECA-AF2CCD3C1FC6}"/>
    <cellStyle name="Comma 3 2 2 2 5 3" xfId="425" xr:uid="{11A92E31-941D-49E4-8BFB-B9729017CE91}"/>
    <cellStyle name="Comma 3 2 2 3" xfId="204" xr:uid="{167BE155-4615-41A4-86C3-34C85CBE5B28}"/>
    <cellStyle name="Comma 3 2 2 4" xfId="205" xr:uid="{F8D5AED0-473F-4F15-AB9F-7CEFC09276EE}"/>
    <cellStyle name="Comma 3 2 2 5" xfId="206" xr:uid="{3022FFFA-005A-411B-BF88-CFECF338482B}"/>
    <cellStyle name="Comma 3 2 2 6" xfId="207" xr:uid="{F3627546-7315-4030-B031-970F52182AAC}"/>
    <cellStyle name="Comma 3 2 2 6 2" xfId="427" xr:uid="{9640B905-1151-4A52-A959-505572A6F87A}"/>
    <cellStyle name="Comma 3 2 2 7" xfId="416" xr:uid="{23B1CF82-8CD1-4733-8186-A2170BC4E437}"/>
    <cellStyle name="Comma 3 2 2 8" xfId="188" xr:uid="{4FC2BB57-3E75-46F4-B73D-F33E7CD2F43D}"/>
    <cellStyle name="Comma 3 2 3" xfId="208" xr:uid="{0A2DC288-1BCE-4754-892F-283094A887A1}"/>
    <cellStyle name="Comma 3 2 3 2" xfId="209" xr:uid="{CDBE41DF-781D-4F22-8BDB-C81530358B9A}"/>
    <cellStyle name="Comma 3 2 3 2 2" xfId="429" xr:uid="{2164A0EC-E60F-4092-AB92-778310BA06B6}"/>
    <cellStyle name="Comma 3 2 3 3" xfId="428" xr:uid="{36A69E46-A5A0-447F-8088-4B706DA063A6}"/>
    <cellStyle name="Comma 3 2 4" xfId="148" xr:uid="{30C6C4A0-FBBD-4A2D-94EC-8BC2391FDC87}"/>
    <cellStyle name="Comma 3 2 4 2" xfId="210" xr:uid="{80880716-3FB6-4560-8EBF-35BB04E6DD41}"/>
    <cellStyle name="Comma 3 2 4 2 2" xfId="430" xr:uid="{FC5303B3-9887-40F7-A445-27DA9F3B6E12}"/>
    <cellStyle name="Comma 3 2 4 3" xfId="392" xr:uid="{DE413B0D-D395-4BF7-976C-CC261D9C24DE}"/>
    <cellStyle name="Comma 3 2 5" xfId="211" xr:uid="{DD9FD0D1-A945-4A60-B974-DF51099F3C3D}"/>
    <cellStyle name="Comma 3 2 5 2" xfId="212" xr:uid="{26A8A67E-0E0D-4D77-93C1-D344A38AA08A}"/>
    <cellStyle name="Comma 3 2 5 2 2" xfId="432" xr:uid="{B5073CEA-8DDB-4F1C-8D50-600D73E70D8F}"/>
    <cellStyle name="Comma 3 2 5 3" xfId="431" xr:uid="{12DE84A0-16BA-402E-9418-401A02AAF8F6}"/>
    <cellStyle name="Comma 3 2 6" xfId="213" xr:uid="{55755750-5964-4081-8453-04FDB3C2074E}"/>
    <cellStyle name="Comma 3 2 6 2" xfId="214" xr:uid="{F39675B1-E191-436B-A3AF-0C5DC2E320AD}"/>
    <cellStyle name="Comma 3 2 6 2 2" xfId="434" xr:uid="{43509EA8-1FC5-4168-AF96-DFA0C830811C}"/>
    <cellStyle name="Comma 3 2 6 3" xfId="433" xr:uid="{8A757680-6860-4B0E-8D51-5128385A49E6}"/>
    <cellStyle name="Comma 3 2 7" xfId="186" xr:uid="{ABB6F808-D31A-4617-B23A-03BB6EE08AF1}"/>
    <cellStyle name="Comma 3 2 8" xfId="517" xr:uid="{117FFF8A-00A6-46C6-9A36-258F92B74B7C}"/>
    <cellStyle name="Comma 3 3" xfId="54" xr:uid="{2D258949-A564-47E1-8D88-D42B4048A036}"/>
    <cellStyle name="Comma 3 3 2" xfId="218" xr:uid="{4C6A25DD-ED1E-41A1-9CEA-68E20F32F707}"/>
    <cellStyle name="Comma 3 3 2 2" xfId="220" xr:uid="{3EFC1A3E-CB08-4006-967F-F67F28F42D30}"/>
    <cellStyle name="Comma 3 3 2 2 2" xfId="438" xr:uid="{5FA97C86-B97F-483D-99D1-DB969AF063D0}"/>
    <cellStyle name="Comma 3 3 2 3" xfId="436" xr:uid="{1C45C08B-6D75-4094-93CB-21A5F502EA0F}"/>
    <cellStyle name="Comma 3 3 3" xfId="222" xr:uid="{B35732B0-2460-4E37-B20E-1CC5A4372514}"/>
    <cellStyle name="Comma 3 3 3 2" xfId="223" xr:uid="{509FAFE1-C986-44AE-A4EF-C27630DD8F70}"/>
    <cellStyle name="Comma 3 3 3 2 2" xfId="440" xr:uid="{3B9F7FAD-465F-467C-8152-C5BDCD99E971}"/>
    <cellStyle name="Comma 3 3 3 3" xfId="439" xr:uid="{50E09289-D279-4C3F-B2EC-31F4C0DA3BA1}"/>
    <cellStyle name="Comma 3 3 4" xfId="151" xr:uid="{EE063A0A-5D42-4D5F-9CA0-D1CDC75AFB9B}"/>
    <cellStyle name="Comma 3 3 4 2" xfId="125" xr:uid="{FFE8924F-F36D-4AA2-A6FC-0250946CF6A4}"/>
    <cellStyle name="Comma 3 3 4 2 2" xfId="381" xr:uid="{E23F54CD-5B6F-4C2A-8964-148063D04C53}"/>
    <cellStyle name="Comma 3 3 4 3" xfId="395" xr:uid="{D006B31A-E473-44EF-A408-C043F7B73263}"/>
    <cellStyle name="Comma 3 3 5" xfId="215" xr:uid="{BB1C2BCA-5EBA-4502-8BFB-EAF542B90AA8}"/>
    <cellStyle name="Comma 3 4" xfId="225" xr:uid="{C4E1D6D8-77EA-4E7F-A556-398E892C3302}"/>
    <cellStyle name="Comma 3 5" xfId="227" xr:uid="{A1107BFB-C0B9-4A5B-A4BC-CEAAB7CC5FDF}"/>
    <cellStyle name="Comma 3 6" xfId="229" xr:uid="{8ED5B9CE-FC66-4317-A845-335ABE0E4B17}"/>
    <cellStyle name="Comma 3 7" xfId="231" xr:uid="{03A4019D-2CF7-4FCE-8F2E-D18F4CF3305C}"/>
    <cellStyle name="Comma 3 8" xfId="233" xr:uid="{FD575AD4-C275-46B0-A4B9-AF7BD5DDD1A8}"/>
    <cellStyle name="Comma 3 8 2" xfId="445" xr:uid="{3FDE0107-17E2-458D-B1F8-874CA0D2809E}"/>
    <cellStyle name="Comma 3 9" xfId="413" xr:uid="{C09006B2-1AA1-4D69-A8C4-0350D12FF081}"/>
    <cellStyle name="Comma 4" xfId="42" xr:uid="{53FF1653-DF3D-4782-8AD3-C644AD31D16A}"/>
    <cellStyle name="Comma 4 2" xfId="62" xr:uid="{E9B4C447-623F-448F-8B30-242905FEBBD7}"/>
    <cellStyle name="Comma 4 2 2" xfId="235" xr:uid="{F4A83671-0DD6-454F-9685-6E9F8F1937C1}"/>
    <cellStyle name="Comma 4 3" xfId="236" xr:uid="{6A00A189-E838-44AF-90F3-8EA8EABC2894}"/>
    <cellStyle name="Comma 4 4" xfId="237" xr:uid="{C0B6495E-6BD2-442E-A82E-717A8257DC72}"/>
    <cellStyle name="Comma 4 5" xfId="238" xr:uid="{C2B2AEBC-464F-4C42-808A-8B4B29763845}"/>
    <cellStyle name="Comma 4 6" xfId="239" xr:uid="{09F5E825-A3DB-4AD7-95B3-896F431DD29E}"/>
    <cellStyle name="Comma 4 7" xfId="447" xr:uid="{54D5EE8B-178B-4198-AB8F-9DD0B0AF04DF}"/>
    <cellStyle name="Comma 5" xfId="13" xr:uid="{89CA318D-754A-4C4B-95FC-557BF71242C3}"/>
    <cellStyle name="Comma 5 10" xfId="240" xr:uid="{E370FE50-7578-49D8-8F00-EB94B41A8EB9}"/>
    <cellStyle name="Comma 5 2" xfId="58" xr:uid="{7EDEC739-706E-497D-8EB4-FC575A90CA3F}"/>
    <cellStyle name="Comma 5 2 2" xfId="75" xr:uid="{86E1FFEC-81EB-4809-BD56-9C12F43A6077}"/>
    <cellStyle name="Comma 5 2 2 2" xfId="344" xr:uid="{7175E22C-60A4-461C-8216-9DEF0A033326}"/>
    <cellStyle name="Comma 5 2 3" xfId="449" xr:uid="{C9AEEFD7-4124-4EED-8619-8EE360F33721}"/>
    <cellStyle name="Comma 5 2 4" xfId="241" xr:uid="{747E849C-6F5D-4F1C-8EDD-50DB9083B19F}"/>
    <cellStyle name="Comma 5 3" xfId="242" xr:uid="{C46544C2-8F1A-460C-9D27-CDB27EA558BC}"/>
    <cellStyle name="Comma 5 3 2" xfId="69" xr:uid="{E78656C6-CB55-495A-A603-A311CBB1890D}"/>
    <cellStyle name="Comma 5 3 2 2" xfId="342" xr:uid="{FF26A90D-79E2-4308-9561-E741BB8AB770}"/>
    <cellStyle name="Comma 5 3 3" xfId="450" xr:uid="{614D51F0-5C7F-4999-ABCF-8E79668551D7}"/>
    <cellStyle name="Comma 5 4" xfId="243" xr:uid="{9EABEEA8-88FB-4967-977F-A8C77A43FC74}"/>
    <cellStyle name="Comma 5 4 2" xfId="244" xr:uid="{4186D102-9CD3-49E8-B2CF-4535786B4123}"/>
    <cellStyle name="Comma 5 4 2 2" xfId="452" xr:uid="{385AF2EB-7FCF-49E0-836C-094C0D944DFD}"/>
    <cellStyle name="Comma 5 4 3" xfId="451" xr:uid="{8774E928-B8CF-435C-88C1-F35CC8FE3CB1}"/>
    <cellStyle name="Comma 5 5" xfId="245" xr:uid="{FDE96EF3-3BE3-4F6A-BD7C-7C55A17BEACA}"/>
    <cellStyle name="Comma 5 5 2" xfId="246" xr:uid="{DC3D6BC5-BC62-4477-84A8-8BF106728A56}"/>
    <cellStyle name="Comma 5 5 2 2" xfId="454" xr:uid="{EC904054-588E-4753-9484-DF44342ED7E5}"/>
    <cellStyle name="Comma 5 5 3" xfId="453" xr:uid="{AA88EF6B-C0EC-4403-840B-32973492F9C8}"/>
    <cellStyle name="Comma 5 6" xfId="247" xr:uid="{206646F9-3C0D-41A2-834E-10118951A96E}"/>
    <cellStyle name="Comma 5 6 2" xfId="248" xr:uid="{D2031B57-87EC-4272-B6A2-38BDBF6A7723}"/>
    <cellStyle name="Comma 5 6 2 2" xfId="456" xr:uid="{FF622267-D1AE-470F-98C0-3057A9B2596D}"/>
    <cellStyle name="Comma 5 6 3" xfId="455" xr:uid="{9682C41F-7196-4C3F-8C30-182AAC1131BA}"/>
    <cellStyle name="Comma 5 7" xfId="249" xr:uid="{F11D07AE-D662-4826-9230-0438E914511D}"/>
    <cellStyle name="Comma 5 7 2" xfId="250" xr:uid="{7F00C7AA-094D-4B15-9DAD-3A193E5AB727}"/>
    <cellStyle name="Comma 5 7 2 2" xfId="458" xr:uid="{451C3E30-E8B1-4F2D-AE0F-AF6A52DEE98C}"/>
    <cellStyle name="Comma 5 7 3" xfId="457" xr:uid="{8F3540A2-7DED-4945-A7B6-5F35EF3AD56A}"/>
    <cellStyle name="Comma 5 8" xfId="251" xr:uid="{C98CC20C-835A-45B0-9AED-41776CCE7939}"/>
    <cellStyle name="Comma 5 8 2" xfId="459" xr:uid="{5087C3A2-D346-449C-A332-261C76CB0C09}"/>
    <cellStyle name="Comma 5 9" xfId="448" xr:uid="{E142573C-3EC6-4D17-87D1-C6CB1BFB807F}"/>
    <cellStyle name="Comma 6" xfId="46" xr:uid="{04A94BB1-15B4-414D-8D6C-EAF138BF2859}"/>
    <cellStyle name="Comma 6 2" xfId="65" xr:uid="{35D9617C-3A88-48DA-A17A-AD833083E52D}"/>
    <cellStyle name="Comma 6 2 2" xfId="254" xr:uid="{E73FFCD4-F295-4355-80E6-A51CF71C406E}"/>
    <cellStyle name="Comma 6 2 2 2" xfId="462" xr:uid="{5377DA2D-0FB4-4407-A7C1-EA94048D2297}"/>
    <cellStyle name="Comma 6 2 3" xfId="461" xr:uid="{A0D9E395-18F9-4078-A8B4-C1D5893B5EB8}"/>
    <cellStyle name="Comma 6 2 4" xfId="253" xr:uid="{821FFB16-9350-41E1-BA06-62683785D113}"/>
    <cellStyle name="Comma 6 3" xfId="256" xr:uid="{20AEBE16-C9AA-40E7-9748-2441596D8973}"/>
    <cellStyle name="Comma 6 3 2" xfId="257" xr:uid="{4BE2ED1F-4370-4463-937F-4A037CC7B614}"/>
    <cellStyle name="Comma 6 3 2 2" xfId="465" xr:uid="{960ECF40-28D5-4C59-8F04-2753F5E187BE}"/>
    <cellStyle name="Comma 6 3 3" xfId="464" xr:uid="{7682BA29-14FF-4D71-8357-005664A4CA40}"/>
    <cellStyle name="Comma 6 4" xfId="258" xr:uid="{6243A14E-EE6A-4F10-BB6A-634F83966736}"/>
    <cellStyle name="Comma 6 4 2" xfId="79" xr:uid="{7E2DA135-CB10-489D-898F-E68EA1780B14}"/>
    <cellStyle name="Comma 6 4 2 2" xfId="346" xr:uid="{2A4C1BCC-A64E-4F03-BA75-C134F389630A}"/>
    <cellStyle name="Comma 6 4 3" xfId="466" xr:uid="{FACE96D7-0BB2-4C9B-8DAA-6BE356A1A16D}"/>
    <cellStyle name="Comma 6 5" xfId="259" xr:uid="{0F1D7B42-7E5C-4808-992C-CD179297656F}"/>
    <cellStyle name="Comma 6 5 2" xfId="154" xr:uid="{421F5C53-0911-43DF-A35E-7B3F801D67AE}"/>
    <cellStyle name="Comma 6 5 2 2" xfId="396" xr:uid="{1EF52396-3DEC-426D-9CB6-06E8FA2C80C1}"/>
    <cellStyle name="Comma 6 5 3" xfId="467" xr:uid="{C6A65A5A-C6D6-4B5B-AD00-56527E1E24AD}"/>
    <cellStyle name="Comma 6 6" xfId="261" xr:uid="{C01D321D-FAA7-4D5A-8BD7-9701AF81FB06}"/>
    <cellStyle name="Comma 6 6 2" xfId="263" xr:uid="{711857C2-41CE-4596-861D-E0EF9EA87B1E}"/>
    <cellStyle name="Comma 6 6 2 2" xfId="471" xr:uid="{827F24B8-80EA-4D96-BFB8-FE7E346BC3F6}"/>
    <cellStyle name="Comma 6 6 3" xfId="469" xr:uid="{49BCFD92-7F0F-49C7-BB2B-44A614AFD942}"/>
    <cellStyle name="Comma 6 7" xfId="265" xr:uid="{37F7897A-1572-46A9-AFDC-72328959A691}"/>
    <cellStyle name="Comma 6 7 2" xfId="473" xr:uid="{626A8DF3-C216-4B68-BCEB-A548A86BA04B}"/>
    <cellStyle name="Comma 6 8" xfId="460" xr:uid="{94C1BA5A-6F3B-46C1-AACB-4D87000C686B}"/>
    <cellStyle name="Comma 6 9" xfId="252" xr:uid="{B8C5B987-B659-46D2-A8F3-88DCF2C3789D}"/>
    <cellStyle name="Comma 7" xfId="9" xr:uid="{D830A0CA-199E-4654-8515-5B63714E7D41}"/>
    <cellStyle name="Comma 7 2" xfId="57" xr:uid="{89F360FB-A96B-45BC-871F-11E303938C2F}"/>
    <cellStyle name="Comma 7 2 2" xfId="161" xr:uid="{4B6519A0-3D34-4AEF-9B96-C7E4BB169FE3}"/>
    <cellStyle name="Comma 7 3" xfId="267" xr:uid="{96D49B70-730C-4E93-ABF8-AB543EBE14EE}"/>
    <cellStyle name="Comma 7 4" xfId="268" xr:uid="{FDCBEDE7-2451-4CAC-BF59-BC7A8AB3880A}"/>
    <cellStyle name="Comma 7 5" xfId="511" xr:uid="{62BC842E-5417-439A-9215-4796629AE98B}"/>
    <cellStyle name="Comma 7 6" xfId="340" xr:uid="{1123D99A-DA23-4CBC-91E6-F0BA5661D805}"/>
    <cellStyle name="Comma 8" xfId="48" xr:uid="{62B43C0C-46E0-4B5B-AECC-8AFC2763DACE}"/>
    <cellStyle name="Comma 8 2" xfId="66" xr:uid="{F63A9D35-AAD4-4644-AC67-1634DECD6CAD}"/>
    <cellStyle name="Comma 8 2 2" xfId="82" xr:uid="{89FD1F6E-6F1D-4866-8BD7-7D5B782F9075}"/>
    <cellStyle name="Comma 8 2 2 2" xfId="349" xr:uid="{B6D4C4FD-AB83-45FC-AE65-30823E05CDD1}"/>
    <cellStyle name="Comma 8 2 3" xfId="476" xr:uid="{1380AE53-C938-47F4-8D03-AC4E9B0F7425}"/>
    <cellStyle name="Comma 8 3" xfId="168" xr:uid="{3986047B-8FC5-4997-A4CF-2B46CEC42574}"/>
    <cellStyle name="Comma 8 3 2" xfId="269" xr:uid="{8CE266BD-7905-4CB7-B1E4-090C811D1547}"/>
    <cellStyle name="Comma 8 3 2 2" xfId="477" xr:uid="{7A450EE7-074D-4056-8E2F-186C02031480}"/>
    <cellStyle name="Comma 8 3 3" xfId="400" xr:uid="{F5FC9EBE-CD19-4A1A-BCBA-141FDDB9A365}"/>
    <cellStyle name="Comma 8 4" xfId="270" xr:uid="{0F0624A6-594A-4F4E-AAF0-EE1D148C21C9}"/>
    <cellStyle name="Comma 8 4 2" xfId="271" xr:uid="{DDE7C74D-9F38-451D-B913-285622E167FC}"/>
    <cellStyle name="Comma 8 4 2 2" xfId="479" xr:uid="{1697F1E1-24C5-4B96-87D8-CB6F6B1E8439}"/>
    <cellStyle name="Comma 8 4 3" xfId="478" xr:uid="{D3FD683E-D2D7-4C5C-9D99-B0210B33528F}"/>
    <cellStyle name="Comma 8 5" xfId="272" xr:uid="{560CF224-49E3-4564-8EF0-574E9ACE8847}"/>
    <cellStyle name="Comma 8 5 2" xfId="273" xr:uid="{ABE22D53-02AE-411A-8CC7-5416C41C65F6}"/>
    <cellStyle name="Comma 8 5 2 2" xfId="481" xr:uid="{FAF0D25D-142C-40A7-B145-B4C7808814B4}"/>
    <cellStyle name="Comma 8 5 3" xfId="480" xr:uid="{5E5194B2-D66E-4DDE-975A-BA9E61DB751E}"/>
    <cellStyle name="Comma 8 6" xfId="80" xr:uid="{565DB3B3-5A2B-4C6E-8D16-88A924DC5954}"/>
    <cellStyle name="Comma 8 6 2" xfId="347" xr:uid="{168F7377-B650-47AD-9372-ECF9F7822FB8}"/>
    <cellStyle name="Comma 8 7" xfId="475" xr:uid="{0003DA07-7499-4E97-8F15-4D19CAD689BE}"/>
    <cellStyle name="Comma 9" xfId="52" xr:uid="{6019EAB2-9C23-4977-A684-E55C5E784CC2}"/>
    <cellStyle name="Comma 9 2" xfId="274" xr:uid="{D7CFA134-4735-4C1E-B229-E0F430F49920}"/>
    <cellStyle name="Comma 9 2 2" xfId="275" xr:uid="{A8E4A5C8-6E07-4121-B002-2C0D14FB47F9}"/>
    <cellStyle name="Comma 9 2 2 2" xfId="483" xr:uid="{74AAA1F5-CC25-4586-8F6D-BE64BCD09B27}"/>
    <cellStyle name="Comma 9 2 3" xfId="482" xr:uid="{95EB3F1F-CFB6-4F2C-A159-2CC93F296B50}"/>
    <cellStyle name="Comma 9 3" xfId="276" xr:uid="{6E927349-74C2-4AAB-AA8F-0E452E9D9C0A}"/>
    <cellStyle name="Comma 9 3 2" xfId="277" xr:uid="{A7A67104-668C-49C3-A060-5E825A3AA203}"/>
    <cellStyle name="Comma 9 3 2 2" xfId="485" xr:uid="{B401BB21-2E40-474D-B10A-1BF9E7D6B63B}"/>
    <cellStyle name="Comma 9 3 3" xfId="484" xr:uid="{E90F11D7-E206-4B59-88BB-C25F1C59F8D5}"/>
    <cellStyle name="Comma 9 4" xfId="278" xr:uid="{AE8A6F1A-D63C-4347-8A6B-8AACFB984B01}"/>
    <cellStyle name="Comma 9 4 2" xfId="279" xr:uid="{4F58CFDB-7122-42AB-8E31-FAD55000A7A0}"/>
    <cellStyle name="Comma 9 4 2 2" xfId="487" xr:uid="{FE373CF2-6C82-4729-A3A1-689151AFB3D8}"/>
    <cellStyle name="Comma 9 4 3" xfId="486" xr:uid="{B4D08848-421D-47F7-AF51-4DC0433585D8}"/>
    <cellStyle name="Error 15" xfId="30" xr:uid="{ABA14325-D0CD-4CC7-B919-AA001525A472}"/>
    <cellStyle name="Footnote 8" xfId="31" xr:uid="{F378F9D7-524F-434C-80FB-FB3FAE5EE279}"/>
    <cellStyle name="Good 11" xfId="32" xr:uid="{F653EC35-1B0B-41FA-8C79-A564458E3F2E}"/>
    <cellStyle name="Heading 1 4" xfId="33" xr:uid="{9525FD79-E13D-4252-BAE6-2007F5B89F24}"/>
    <cellStyle name="Heading 2 5" xfId="34" xr:uid="{6CFBC6AB-1A86-477E-B95A-6A4E3236740A}"/>
    <cellStyle name="Heading 3 2" xfId="35" xr:uid="{A80501EF-486A-4247-9222-CB4B9063BA53}"/>
    <cellStyle name="Hyperlink 9" xfId="36" xr:uid="{4124B8E8-41B2-45FF-9CFA-FC1BC6EA0B6F}"/>
    <cellStyle name="Legal 8½ x 14 in" xfId="50" xr:uid="{58C9D103-E072-4513-8CF9-2D2525941FFF}"/>
    <cellStyle name="Legal 8½ x 14 in 10 2 2" xfId="515" xr:uid="{771AC096-4FC1-4AB2-A56B-FFEE6130D73D}"/>
    <cellStyle name="Legal 8½ x 14 in 2" xfId="281" xr:uid="{97F96F91-5851-4972-9C7F-6815D9EEAC34}"/>
    <cellStyle name="Neutral 12" xfId="37" xr:uid="{F9CF294F-83C9-48B2-80ED-1790DD2A7376}"/>
    <cellStyle name="Normal" xfId="0" builtinId="0"/>
    <cellStyle name="Normal 10" xfId="283" xr:uid="{6207A575-623C-4478-AFCC-760DFE95E7D1}"/>
    <cellStyle name="Normal 10 2" xfId="260" xr:uid="{AA9C0F61-7E10-4838-8D82-6F743827C195}"/>
    <cellStyle name="Normal 10 2 2" xfId="155" xr:uid="{A5F12B05-6DE7-416C-AA09-E3D00D70A26D}"/>
    <cellStyle name="Normal 10 2 2 2" xfId="397" xr:uid="{C891939D-BE52-4992-AF30-E01BB876CBC0}"/>
    <cellStyle name="Normal 10 2 3" xfId="468" xr:uid="{8CB0090F-D6AA-4408-AAAE-07B41558D618}"/>
    <cellStyle name="Normal 10 3" xfId="262" xr:uid="{A179C24E-991B-4F28-A7A7-8A2F95309510}"/>
    <cellStyle name="Normal 10 3 2" xfId="264" xr:uid="{A38DE45A-1208-4F80-9391-D7506D9D8255}"/>
    <cellStyle name="Normal 10 3 2 2" xfId="472" xr:uid="{32A2398F-6D2C-44A2-A3B7-16CB9DB4EE4C}"/>
    <cellStyle name="Normal 10 3 3" xfId="470" xr:uid="{7EE3E931-66E8-4310-B71E-01A0AAD0A74F}"/>
    <cellStyle name="Normal 10 4" xfId="266" xr:uid="{D0A9E84A-EC9F-48A1-9A04-C04FEB52D541}"/>
    <cellStyle name="Normal 10 4 2" xfId="284" xr:uid="{C7F4488E-05A3-4672-8A4B-A002AED79672}"/>
    <cellStyle name="Normal 10 4 2 2" xfId="490" xr:uid="{63BB4E0D-286D-483A-8FCD-50A88B9F0394}"/>
    <cellStyle name="Normal 10 4 3" xfId="474" xr:uid="{E12723BC-3992-4E01-948D-9A2ADF3EBD03}"/>
    <cellStyle name="Normal 10 5" xfId="140" xr:uid="{5DFAB3A9-91E1-45CE-8BF0-6C44B0A34C01}"/>
    <cellStyle name="Normal 10 5 2" xfId="385" xr:uid="{F9320853-9AA7-4857-9F0A-CB5EF29F7414}"/>
    <cellStyle name="Normal 10 6" xfId="489" xr:uid="{E6C5EF74-EAFF-4307-9AA2-F5053DFE47CA}"/>
    <cellStyle name="Normal 11" xfId="285" xr:uid="{0CCAE7FD-AB73-4A94-A503-83554DA1A3C0}"/>
    <cellStyle name="Normal 11 2" xfId="286" xr:uid="{7DC112D2-883D-4981-B072-DE1DDB23F12C}"/>
    <cellStyle name="Normal 11 3" xfId="287" xr:uid="{06AAE960-6737-4B76-B61E-7838FA95FA95}"/>
    <cellStyle name="Normal 11 4" xfId="288" xr:uid="{97ED263A-F947-4EEE-B006-C70FCC9B768E}"/>
    <cellStyle name="Normal 11 5" xfId="164" xr:uid="{FAF39A56-2692-4E5D-BC5F-84D2D2BB9D21}"/>
    <cellStyle name="Normal 112" xfId="290" xr:uid="{7284144B-1AEA-405A-A746-C0DE66E73376}"/>
    <cellStyle name="Normal 118" xfId="216" xr:uid="{1838AD8A-FDDD-4FE5-B0C5-A91378B36916}"/>
    <cellStyle name="Normal 12" xfId="339" xr:uid="{61D3472C-7D38-4D04-AC8F-462EE3EB41E7}"/>
    <cellStyle name="Normal 12 2" xfId="509" xr:uid="{6DAF389E-4505-430E-A2F3-DC1373E582C3}"/>
    <cellStyle name="Normal 13" xfId="512" xr:uid="{E17EC526-62C4-423D-ACE3-777F4D66CF20}"/>
    <cellStyle name="Normal 15" xfId="3" xr:uid="{25FD7BF2-2752-4748-86C7-7F4CF919AFFB}"/>
    <cellStyle name="Normal 174" xfId="47" xr:uid="{43C74DEF-A25F-47E7-9C25-CEAB13BD116E}"/>
    <cellStyle name="Normal 174 2" xfId="510" xr:uid="{F02C4C5C-7151-4A2B-99E8-D2E86EA0A958}"/>
    <cellStyle name="Normal 2" xfId="6" xr:uid="{C68BE9DF-32BB-466D-AF9C-7674FA0089DE}"/>
    <cellStyle name="Normal 2 10" xfId="43" xr:uid="{CFAAAE86-8F59-425F-8A44-289D365D2CDE}"/>
    <cellStyle name="Normal 2 2" xfId="17" xr:uid="{37CE1204-2FEB-4D6E-BECA-2ED3FD9FB641}"/>
    <cellStyle name="Normal 2 2 2" xfId="289" xr:uid="{B38E310C-E31B-4F6F-AE53-8C3D4A0BB82C}"/>
    <cellStyle name="Normal 2 2 2 2" xfId="83" xr:uid="{54D2CDFD-9CFD-44D7-BE91-ED66541A6218}"/>
    <cellStyle name="Normal 2 2 2 3" xfId="84" xr:uid="{8C25AD84-7DC8-4B2A-83C5-DBDB779D7955}"/>
    <cellStyle name="Normal 2 2 2 3 2" xfId="350" xr:uid="{11035D46-D632-4499-9268-BCBAE4D8EA59}"/>
    <cellStyle name="Normal 2 2 2 4" xfId="491" xr:uid="{D0478F93-206C-4601-AB81-B81FA940120A}"/>
    <cellStyle name="Normal 2 2 3" xfId="165" xr:uid="{72D3CA64-6EA6-4E7C-A5C8-DE10EA947FE6}"/>
    <cellStyle name="Normal 2 2 4" xfId="170" xr:uid="{0FAA74C8-434E-4774-8764-D267AFF983C3}"/>
    <cellStyle name="Normal 2 2 4 2" xfId="172" xr:uid="{B9000221-CCCE-4CF1-A8BC-41E148910C3D}"/>
    <cellStyle name="Normal 2 2 4 2 2" xfId="404" xr:uid="{1EA52E43-06AE-4EC7-875C-55393344069F}"/>
    <cellStyle name="Normal 2 2 4 3" xfId="402" xr:uid="{E938C4D7-E530-4488-ABAF-AB995C83D780}"/>
    <cellStyle name="Normal 2 3" xfId="19" xr:uid="{4597773C-D6C5-4DD4-BA0B-7D8663F1D4A6}"/>
    <cellStyle name="Normal 2 3 2" xfId="292" xr:uid="{FA57EFE8-BFA9-42D0-87E2-BB82DDB298AF}"/>
    <cellStyle name="Normal 2 3 3" xfId="175" xr:uid="{FA08146E-E562-44E7-BA65-002769641A08}"/>
    <cellStyle name="Normal 2 3 3 2" xfId="405" xr:uid="{6A62335A-E984-4182-BCFE-64F8AA51F239}"/>
    <cellStyle name="Normal 2 3 4" xfId="492" xr:uid="{DAFAFD08-2C10-417C-9C58-C757B2B17C5E}"/>
    <cellStyle name="Normal 2 4" xfId="11" xr:uid="{F20B166E-E896-4097-8E92-5BE5E0261911}"/>
    <cellStyle name="Normal 2 4 2" xfId="293" xr:uid="{C1F825C5-F6C9-4B8F-80FE-69D56BA40D96}"/>
    <cellStyle name="Normal 2 5" xfId="15" xr:uid="{5957C20D-8A9E-4598-B7D5-F93AA98796AB}"/>
    <cellStyle name="Normal 2 6" xfId="55" xr:uid="{F28F7EAC-89D2-4545-9F57-3650AECAC37C}"/>
    <cellStyle name="Normal 2 7" xfId="518" xr:uid="{22646637-9855-4E4E-BC38-66BA24B62484}"/>
    <cellStyle name="Normal 20" xfId="291" xr:uid="{0FF1C1D8-2FEA-4786-BA24-8B7F21EFFCAA}"/>
    <cellStyle name="Normal 20 2" xfId="294" xr:uid="{79EA6859-BCDB-41CB-B668-C8480D8C56E2}"/>
    <cellStyle name="Normal 21" xfId="295" xr:uid="{54E18C2F-DEC7-47AD-8518-E314ECEB8656}"/>
    <cellStyle name="Normal 21 2" xfId="296" xr:uid="{9B067E76-C431-41CD-B100-E66D1F53E017}"/>
    <cellStyle name="Normal 28" xfId="297" xr:uid="{8A6AF003-D615-48BF-8171-FC315FA7D0A6}"/>
    <cellStyle name="Normal 28 2" xfId="298" xr:uid="{A51EE0C2-217B-46AE-97D5-AC1E27CA4277}"/>
    <cellStyle name="Normal 29" xfId="90" xr:uid="{968CFE73-A6D4-4063-8A8B-901EA48EBD79}"/>
    <cellStyle name="Normal 29 2" xfId="106" xr:uid="{56C37698-9309-460E-8545-5544A556E2CC}"/>
    <cellStyle name="Normal 3" xfId="16" xr:uid="{67F847C0-C4B4-483C-A326-4D54E7BFED45}"/>
    <cellStyle name="Normal 3 2" xfId="300" xr:uid="{5277F8A1-39F8-4973-A185-4DC1716A100D}"/>
    <cellStyle name="Normal 3 3" xfId="301" xr:uid="{0761BB75-D650-4FC4-95F5-E2FFA4B0636E}"/>
    <cellStyle name="Normal 3 4" xfId="299" xr:uid="{CCAEFED2-CDEA-4AC4-8988-8D3119E2E531}"/>
    <cellStyle name="Normal 3 7" xfId="302" xr:uid="{C6C05E40-903A-47A6-A087-CEA073033032}"/>
    <cellStyle name="Normal 36" xfId="110" xr:uid="{6CE840CE-1C1C-4B26-8296-D760EE189A36}"/>
    <cellStyle name="Normal 36 2" xfId="112" xr:uid="{AB8C1F88-9239-4A24-AF66-7096618992CD}"/>
    <cellStyle name="Normal 36 2 2" xfId="303" xr:uid="{7AEBC9E2-4E61-4F9C-BD3B-CCB329C1B628}"/>
    <cellStyle name="Normal 36 2 2 2" xfId="493" xr:uid="{40C35888-DEC2-4F46-89E6-47F2AFF714DD}"/>
    <cellStyle name="Normal 36 2 3" xfId="371" xr:uid="{9D52CD21-C30C-4B66-93A9-295E3D0BF89D}"/>
    <cellStyle name="Normal 36 3" xfId="100" xr:uid="{921487B1-3FD2-4CE1-8F01-5F485464DA4F}"/>
    <cellStyle name="Normal 36 3 2" xfId="361" xr:uid="{5B9A4917-DED0-47E1-A4B0-FAF1920D534A}"/>
    <cellStyle name="Normal 36 4" xfId="369" xr:uid="{3BD5294D-17CA-40CB-A5F4-3F980679CF34}"/>
    <cellStyle name="Normal 37" xfId="114" xr:uid="{92D6269D-B5BB-4AEA-824C-8490E67D3BF3}"/>
    <cellStyle name="Normal 37 2" xfId="117" xr:uid="{2213A103-0BF4-439E-A1BA-885C7F5BDC44}"/>
    <cellStyle name="Normal 38" xfId="119" xr:uid="{C8CE46A9-F012-4104-8C1A-AD64F184AEF5}"/>
    <cellStyle name="Normal 38 2" xfId="121" xr:uid="{952F88D2-4B45-427D-8A15-D555B2BB59CE}"/>
    <cellStyle name="Normal 38 2 2" xfId="146" xr:uid="{E02F8C06-1119-4F8C-AA50-EF2B3F606B5B}"/>
    <cellStyle name="Normal 38 2 2 2" xfId="390" xr:uid="{6D066B0C-8E18-4017-BD81-247BE2024B4A}"/>
    <cellStyle name="Normal 38 2 3" xfId="378" xr:uid="{9FBF979D-B149-4827-8927-EA672CF2492E}"/>
    <cellStyle name="Normal 38 3" xfId="102" xr:uid="{E4AB8804-C0E3-4B61-8A11-17B5A1CEFC92}"/>
    <cellStyle name="Normal 38 3 2" xfId="363" xr:uid="{FD179701-A3BA-4753-84A6-8F2BA50C7159}"/>
    <cellStyle name="Normal 38 4" xfId="376" xr:uid="{BDB302D1-8B22-411E-9886-38B38D185675}"/>
    <cellStyle name="Normal 39 2" xfId="197" xr:uid="{300126AF-FB43-4DB8-816F-402F61D87413}"/>
    <cellStyle name="Normal 4" xfId="22" xr:uid="{4DBD20EB-3969-4AF5-AA8A-413F04B6F4B2}"/>
    <cellStyle name="Normal 4 2" xfId="304" xr:uid="{A0406047-C78A-4640-9975-8BA3669C7EC5}"/>
    <cellStyle name="Normal 45" xfId="305" xr:uid="{BADBD7C4-205A-42B6-9CC9-72FFC68E672A}"/>
    <cellStyle name="Normal 45 2" xfId="306" xr:uid="{69A7DF87-4D9F-4372-AE1A-79D1F907BEED}"/>
    <cellStyle name="Normal 45 2 2" xfId="495" xr:uid="{6E9E8B69-7F51-4CAE-8576-EE054430F1C9}"/>
    <cellStyle name="Normal 45 3" xfId="494" xr:uid="{F418C633-A28D-474E-A86A-8AC950236E80}"/>
    <cellStyle name="Normal 5" xfId="23" xr:uid="{3C61AE77-1AE1-40C5-8CA1-2E71E89A77D5}"/>
    <cellStyle name="Normal 5 2" xfId="308" xr:uid="{8C805CEF-B28A-4BC9-A846-347C4A8FD5E5}"/>
    <cellStyle name="Normal 5 3" xfId="307" xr:uid="{73F7C608-FA42-45C5-A8B9-99983183E980}"/>
    <cellStyle name="Normal 6" xfId="8" xr:uid="{5BBDC1FC-5608-4052-8305-88DED4C9021E}"/>
    <cellStyle name="Normal 6 10" xfId="310" xr:uid="{3ACA88B1-8869-4351-9A9E-ECC3A6E52333}"/>
    <cellStyle name="Normal 6 11" xfId="311" xr:uid="{FE3BACB0-9D78-4561-82EE-6982CD8DCB74}"/>
    <cellStyle name="Normal 6 12" xfId="312" xr:uid="{0165D83A-0879-46BC-B275-0DE789B44AF4}"/>
    <cellStyle name="Normal 6 13" xfId="313" xr:uid="{93B43D7C-C7FC-4C92-AFC2-C2E29EBF1189}"/>
    <cellStyle name="Normal 6 14" xfId="314" xr:uid="{15CBE687-79FC-4C79-81A3-D8E4ED63C1BB}"/>
    <cellStyle name="Normal 6 15" xfId="78" xr:uid="{796E558D-8049-4AD5-B094-F228B4ED170D}"/>
    <cellStyle name="Normal 6 16" xfId="72" xr:uid="{4206D8A7-92D2-429A-A529-7048795C3C4D}"/>
    <cellStyle name="Normal 6 17" xfId="315" xr:uid="{596722F0-A6DE-4B2C-BEB1-B83AEEABEE8F}"/>
    <cellStyle name="Normal 6 18" xfId="316" xr:uid="{92EE6B18-FF29-4B1A-BDAB-4F24354D5053}"/>
    <cellStyle name="Normal 6 19" xfId="317" xr:uid="{3E950F2C-1236-460F-A8F5-EDE2E981DE8B}"/>
    <cellStyle name="Normal 6 2" xfId="10" xr:uid="{D1C5C5D3-57A9-4C81-BA87-F35D23F7B732}"/>
    <cellStyle name="Normal 6 2 2" xfId="318" xr:uid="{D34AAB80-7706-419C-AB7C-94ECACE1F7F2}"/>
    <cellStyle name="Normal 6 20" xfId="77" xr:uid="{70DFEF4A-D052-4514-A6DD-294460322FCE}"/>
    <cellStyle name="Normal 6 21" xfId="71" xr:uid="{5516B397-F23B-4114-BFD7-FEFE918BA338}"/>
    <cellStyle name="Normal 6 22" xfId="309" xr:uid="{61F30203-5EFC-496D-B0D2-021FF9892072}"/>
    <cellStyle name="Normal 6 3" xfId="74" xr:uid="{1AFAFC02-B1C4-4C0E-A394-6605F8D72311}"/>
    <cellStyle name="Normal 6 4" xfId="221" xr:uid="{45A2267B-6763-42CA-933F-8058DE0F2688}"/>
    <cellStyle name="Normal 6 5" xfId="88" xr:uid="{41310D89-9B4A-48BB-8427-5E21CF0BB199}"/>
    <cellStyle name="Normal 6 6" xfId="319" xr:uid="{88A06742-8B6F-42FD-AD18-8490A6DF85BD}"/>
    <cellStyle name="Normal 6 7" xfId="193" xr:uid="{AB19A622-A282-4D4D-B00C-9E2A39F676C8}"/>
    <cellStyle name="Normal 6 8" xfId="198" xr:uid="{539B1782-0511-4E2F-B26F-DEDA2DD444E0}"/>
    <cellStyle name="Normal 6 9" xfId="104" xr:uid="{D185E60A-6E0B-41F8-9E3B-FA1944612615}"/>
    <cellStyle name="Normal 7" xfId="320" xr:uid="{45A3EEC8-5C94-47CD-9468-C5657C34203C}"/>
    <cellStyle name="Normal 7 2" xfId="70" xr:uid="{DDFFAE4B-6DE1-4E26-B5F6-4519C0B47D5E}"/>
    <cellStyle name="Normal 7 3" xfId="321" xr:uid="{D7C044E0-6AD2-46B5-BEF3-8705CD6C9DC5}"/>
    <cellStyle name="Normal 7 4" xfId="224" xr:uid="{A063C1FB-C113-48A9-9E41-BCCA5A8E476C}"/>
    <cellStyle name="Normal 7 5" xfId="95" xr:uid="{BB979C75-8846-4FCE-B866-99CE547827D0}"/>
    <cellStyle name="Normal 7 6" xfId="496" xr:uid="{FC94C8A0-2447-4FC8-A2A8-E6B38934202B}"/>
    <cellStyle name="Normal 8" xfId="322" xr:uid="{10FB2FE3-B65E-46DD-B2C3-762D17D6FD53}"/>
    <cellStyle name="Normal 8 2" xfId="323" xr:uid="{C065AE89-4A80-49EA-B87B-8391846020BA}"/>
    <cellStyle name="Normal 8 2 2" xfId="324" xr:uid="{278F7627-3D20-401C-BE33-E7135A9917AD}"/>
    <cellStyle name="Normal 8 2 2 2" xfId="498" xr:uid="{4BEF4172-DFCF-44FD-A009-53E53749A887}"/>
    <cellStyle name="Normal 8 2 3" xfId="497" xr:uid="{9278F40C-C5A9-455F-A49F-2A745C4A9EEC}"/>
    <cellStyle name="Normal 9" xfId="282" xr:uid="{2B497F1B-B9B1-49B0-A8FE-02D4CDE02849}"/>
    <cellStyle name="Normal 9 2" xfId="325" xr:uid="{9D058B6F-AE2F-4BE6-8FC6-825AEFFEEC15}"/>
    <cellStyle name="Normal 9 3" xfId="326" xr:uid="{50C812E4-AE45-4AE5-953C-327A1F209BFF}"/>
    <cellStyle name="Normal 9 4" xfId="327" xr:uid="{64913633-3C7A-4C7F-9FAC-0ABF67168D9C}"/>
    <cellStyle name="Normal 9 5" xfId="328" xr:uid="{F4DCC2DE-DA48-4DE4-B417-7EC62FCD5917}"/>
    <cellStyle name="Normal 9 6" xfId="329" xr:uid="{1B14C1BD-8F32-49E1-AB76-1C964F62852E}"/>
    <cellStyle name="Note 2" xfId="185" xr:uid="{7411AE78-B673-4B00-82B5-A3C1A7F1F06B}"/>
    <cellStyle name="Note 2 2" xfId="187" xr:uid="{2E1871B7-FCF9-49EE-BAEB-FC1028FEF712}"/>
    <cellStyle name="Note 2 2 2" xfId="189" xr:uid="{958E8E23-8C4F-4DD0-9B35-6DABE09AF7B0}"/>
    <cellStyle name="Note 2 2 2 2" xfId="417" xr:uid="{AA621DCB-C292-410E-8DE0-E9C6E4BA27C2}"/>
    <cellStyle name="Note 2 2 3" xfId="415" xr:uid="{847F7A14-4BBF-4982-A769-D5F0F669230F}"/>
    <cellStyle name="Note 2 3" xfId="217" xr:uid="{A4718D13-2651-4804-A057-DF564CF4FE8A}"/>
    <cellStyle name="Note 2 3 2" xfId="219" xr:uid="{3693A712-5B97-47DB-972D-C5F2CD4268B6}"/>
    <cellStyle name="Note 2 3 2 2" xfId="437" xr:uid="{1023198C-B30E-4DBA-B859-F9884F0FFD29}"/>
    <cellStyle name="Note 2 3 3" xfId="435" xr:uid="{5CCFF03E-1A44-4578-91BF-FB265B2C6CF8}"/>
    <cellStyle name="Note 2 4" xfId="226" xr:uid="{53E79067-B808-4997-A3CB-F7C4124586E7}"/>
    <cellStyle name="Note 2 4 2" xfId="330" xr:uid="{06A10C0E-0780-45BD-AD55-10039701443F}"/>
    <cellStyle name="Note 2 4 2 2" xfId="499" xr:uid="{FA8B1463-0FBC-4E19-B15B-AB8879101359}"/>
    <cellStyle name="Note 2 4 3" xfId="441" xr:uid="{684D2059-CA3A-472F-BBDA-19646B46D451}"/>
    <cellStyle name="Note 2 5" xfId="228" xr:uid="{1095D427-7562-401E-A1F5-5BC8D9A612CB}"/>
    <cellStyle name="Note 2 5 2" xfId="331" xr:uid="{F5CF1C5A-30D9-46BE-8D90-59B475BF306F}"/>
    <cellStyle name="Note 2 5 2 2" xfId="500" xr:uid="{A40C42B8-D187-44CD-BFD5-39A5FD167870}"/>
    <cellStyle name="Note 2 5 3" xfId="442" xr:uid="{8EC4EFDD-BAFF-420F-B5B9-0306E1526871}"/>
    <cellStyle name="Note 2 6" xfId="230" xr:uid="{73EF6B35-49A3-4565-9B02-87C22B9205A0}"/>
    <cellStyle name="Note 2 6 2" xfId="332" xr:uid="{35627957-FAE8-4A6B-8508-7DCE20D63A2E}"/>
    <cellStyle name="Note 2 6 2 2" xfId="501" xr:uid="{199D3A27-6D8B-4B2C-A72B-2E1F6CE0237C}"/>
    <cellStyle name="Note 2 6 3" xfId="443" xr:uid="{2D11B610-D556-4394-BAFD-40BEA38AEC9B}"/>
    <cellStyle name="Note 2 7" xfId="232" xr:uid="{52D82A2C-425B-4AEF-AAEA-26821B3C5326}"/>
    <cellStyle name="Note 2 7 2" xfId="280" xr:uid="{68CC69A2-56B3-4DC5-800B-EE9A7F9704E7}"/>
    <cellStyle name="Note 2 7 2 2" xfId="488" xr:uid="{3C36323E-4FEE-440B-8168-3AE7ACCAE55F}"/>
    <cellStyle name="Note 2 7 3" xfId="444" xr:uid="{50548C7E-EBB7-45CE-89C2-70E85187B9B0}"/>
    <cellStyle name="Note 2 8" xfId="234" xr:uid="{5A2B57A2-564B-497E-BF4B-62D3B9B14E4D}"/>
    <cellStyle name="Note 2 8 2" xfId="446" xr:uid="{356EE3ED-4C07-49F0-B37E-A3CBF960E1BA}"/>
    <cellStyle name="Note 2 9" xfId="414" xr:uid="{D3666178-F014-49CC-B75B-CFB3BF071F4B}"/>
    <cellStyle name="Note 7" xfId="38" xr:uid="{0356804C-CA59-4CDB-9845-D424A5F350BC}"/>
    <cellStyle name="Percent 12" xfId="333" xr:uid="{2A28D31A-1F74-488D-8509-68433680F069}"/>
    <cellStyle name="Percent 2" xfId="18" xr:uid="{00E9430E-5CE5-4F85-97DA-28C7259746DC}"/>
    <cellStyle name="Percent 2 2" xfId="20" xr:uid="{10512EB8-EA78-44FA-8CFD-F9BBB691C4DB}"/>
    <cellStyle name="Percent 2 2 2" xfId="68" xr:uid="{4B0CAC4A-C361-4CAC-897E-1D2EE549170D}"/>
    <cellStyle name="Percent 2 2 2 2" xfId="341" xr:uid="{C3509E8D-70BF-4DB5-92F7-91F4DA4A595B}"/>
    <cellStyle name="Percent 2 2 3" xfId="503" xr:uid="{5788891F-81D3-4A52-B77B-1441B504DFB6}"/>
    <cellStyle name="Percent 2 2 4" xfId="334" xr:uid="{AFD8D7DC-C6B3-40E4-BA39-67CB489CEF08}"/>
    <cellStyle name="Percent 2 3" xfId="60" xr:uid="{6F4F6929-D490-4A5F-ADC3-F0D981DDEBA7}"/>
    <cellStyle name="Percent 2 3 2" xfId="335" xr:uid="{75135559-9B0E-46A0-9767-05D0DDFA17B3}"/>
    <cellStyle name="Percent 2 3 2 2" xfId="505" xr:uid="{315E5B9F-A9F5-4E5D-8C73-78C2B4DDAFAE}"/>
    <cellStyle name="Percent 2 3 3" xfId="504" xr:uid="{38754DAD-7F37-4E5A-84D5-3FC931CE1E48}"/>
    <cellStyle name="Percent 2 4" xfId="51" xr:uid="{3EA62C28-447E-48D1-84CA-CF0343BA6B82}"/>
    <cellStyle name="Percent 2 4 2" xfId="336" xr:uid="{27C06CF7-2D83-4B3B-837E-9FEEC2FF02C7}"/>
    <cellStyle name="Percent 2 4 2 2" xfId="506" xr:uid="{215FE072-14D0-4A0A-B84C-CD7ED8BA91CE}"/>
    <cellStyle name="Percent 2 4 3" xfId="463" xr:uid="{D203308E-C52F-4385-8335-65C6DD1D595E}"/>
    <cellStyle name="Percent 2 4 4" xfId="255" xr:uid="{13A841D1-ADC6-4257-BD08-B5B648A3603D}"/>
    <cellStyle name="Percent 2 5" xfId="337" xr:uid="{C2CFAA8E-775F-431E-A698-9D9FE3C6E97F}"/>
    <cellStyle name="Percent 2 5 2" xfId="338" xr:uid="{EEEB8984-A013-4C42-B016-3DC6787D467E}"/>
    <cellStyle name="Percent 2 5 2 2" xfId="508" xr:uid="{05BCBD69-509B-4327-B3E3-558ACC842494}"/>
    <cellStyle name="Percent 2 5 3" xfId="507" xr:uid="{A0B01841-47EC-4F62-A372-3FEACDA146FE}"/>
    <cellStyle name="Percent 2 6" xfId="502" xr:uid="{B5B72E83-B76D-4911-BB69-56213754F28D}"/>
    <cellStyle name="Percent 3" xfId="24" xr:uid="{1C82097B-1645-45AE-91BD-DD44B167FE73}"/>
    <cellStyle name="Percent 3 2" xfId="514" xr:uid="{9FECB0CC-F245-4632-A1EF-703D4B65BB7E}"/>
    <cellStyle name="Percent 4" xfId="12" xr:uid="{DDB21DFD-41E6-441C-9964-8612A9CE7584}"/>
    <cellStyle name="Status 10" xfId="39" xr:uid="{C28B0A6F-C39A-4D64-BBFB-C16F51FD7834}"/>
    <cellStyle name="Text 6" xfId="40" xr:uid="{A2EB7FB7-6079-4DA5-9EA9-B6E1867F0ED6}"/>
    <cellStyle name="Warning 14" xfId="41" xr:uid="{0D5A7225-9FAF-4CB5-9FD4-869BEA5D17F3}"/>
  </cellStyles>
  <dxfs count="0"/>
  <tableStyles count="0" defaultTableStyle="TableStyleMedium2" defaultPivotStyle="PivotStyleLight16"/>
  <colors>
    <mruColors>
      <color rgb="FF0137A6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304800</xdr:rowOff>
    </xdr:from>
    <xdr:to>
      <xdr:col>5</xdr:col>
      <xdr:colOff>55245</xdr:colOff>
      <xdr:row>34</xdr:row>
      <xdr:rowOff>323215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6CFB54-C909-7414-1ACC-81650A1968E1}"/>
            </a:ext>
          </a:extLst>
        </xdr:cNvPr>
        <xdr:cNvGrpSpPr>
          <a:grpSpLocks/>
        </xdr:cNvGrpSpPr>
      </xdr:nvGrpSpPr>
      <xdr:grpSpPr>
        <a:xfrm>
          <a:off x="0" y="6405563"/>
          <a:ext cx="5632133" cy="0"/>
          <a:chOff x="0" y="0"/>
          <a:chExt cx="3294379" cy="18415"/>
        </a:xfrm>
      </xdr:grpSpPr>
      <xdr:sp macro="" textlink="">
        <xdr:nvSpPr>
          <xdr:cNvPr id="3" name="Graphic 4">
            <a:extLst>
              <a:ext uri="{FF2B5EF4-FFF2-40B4-BE49-F238E27FC236}">
                <a16:creationId xmlns:a16="http://schemas.microsoft.com/office/drawing/2014/main" id="{49627EC1-2837-DC0C-0759-74D1DF699258}"/>
              </a:ext>
            </a:extLst>
          </xdr:cNvPr>
          <xdr:cNvSpPr/>
        </xdr:nvSpPr>
        <xdr:spPr>
          <a:xfrm>
            <a:off x="0" y="0"/>
            <a:ext cx="3294379" cy="18415"/>
          </a:xfrm>
          <a:custGeom>
            <a:avLst/>
            <a:gdLst/>
            <a:ahLst/>
            <a:cxnLst/>
            <a:rect l="l" t="t" r="r" b="b"/>
            <a:pathLst>
              <a:path w="3294379" h="18415">
                <a:moveTo>
                  <a:pt x="3294303" y="12204"/>
                </a:moveTo>
                <a:lnTo>
                  <a:pt x="3007487" y="12204"/>
                </a:lnTo>
                <a:lnTo>
                  <a:pt x="2989199" y="12204"/>
                </a:lnTo>
                <a:lnTo>
                  <a:pt x="0" y="12204"/>
                </a:lnTo>
                <a:lnTo>
                  <a:pt x="0" y="18288"/>
                </a:lnTo>
                <a:lnTo>
                  <a:pt x="2989199" y="18288"/>
                </a:lnTo>
                <a:lnTo>
                  <a:pt x="3007487" y="18288"/>
                </a:lnTo>
                <a:lnTo>
                  <a:pt x="3294303" y="18288"/>
                </a:lnTo>
                <a:lnTo>
                  <a:pt x="3294303" y="12204"/>
                </a:lnTo>
                <a:close/>
              </a:path>
              <a:path w="3294379" h="18415">
                <a:moveTo>
                  <a:pt x="3294303" y="0"/>
                </a:moveTo>
                <a:lnTo>
                  <a:pt x="3007487" y="0"/>
                </a:lnTo>
                <a:lnTo>
                  <a:pt x="2989199" y="0"/>
                </a:lnTo>
                <a:lnTo>
                  <a:pt x="0" y="0"/>
                </a:lnTo>
                <a:lnTo>
                  <a:pt x="0" y="6096"/>
                </a:lnTo>
                <a:lnTo>
                  <a:pt x="2989199" y="6096"/>
                </a:lnTo>
                <a:lnTo>
                  <a:pt x="3007487" y="6096"/>
                </a:lnTo>
                <a:lnTo>
                  <a:pt x="3294303" y="6096"/>
                </a:lnTo>
                <a:lnTo>
                  <a:pt x="3294303" y="0"/>
                </a:lnTo>
                <a:close/>
              </a:path>
            </a:pathLst>
          </a:custGeom>
          <a:solidFill>
            <a:srgbClr val="000000"/>
          </a:solidFill>
        </xdr:spPr>
        <xdr:txBody>
          <a:bodyPr wrap="square" lIns="0" tIns="0" rIns="0" bIns="0" rtlCol="0">
            <a:prstTxWarp prst="textNoShape">
              <a:avLst/>
            </a:prstTxWarp>
            <a:noAutofit/>
          </a:bodyPr>
          <a:lstStyle/>
          <a:p>
            <a:endParaRPr lang="en-KE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361912</xdr:colOff>
      <xdr:row>0</xdr:row>
      <xdr:rowOff>104776</xdr:rowOff>
    </xdr:from>
    <xdr:to>
      <xdr:col>10</xdr:col>
      <xdr:colOff>239949</xdr:colOff>
      <xdr:row>32</xdr:row>
      <xdr:rowOff>54460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016AD-F1B3-368C-825F-0E43C6DFC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7312" y="104776"/>
          <a:ext cx="5059637" cy="57408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166798</xdr:colOff>
      <xdr:row>7</xdr:row>
      <xdr:rowOff>61912</xdr:rowOff>
    </xdr:from>
    <xdr:to>
      <xdr:col>10</xdr:col>
      <xdr:colOff>404813</xdr:colOff>
      <xdr:row>37</xdr:row>
      <xdr:rowOff>32670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9F12B-6AC7-1AAF-F441-B9F2032152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-1" t="7928" r="2677" b="13685"/>
        <a:stretch>
          <a:fillRect/>
        </a:stretch>
      </xdr:blipFill>
      <xdr:spPr>
        <a:xfrm>
          <a:off x="2109898" y="1328737"/>
          <a:ext cx="4771915" cy="5400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F901-5E73-4CC4-B026-FB2D3AA78BD3}">
  <sheetPr>
    <tabColor theme="1"/>
  </sheetPr>
  <dimension ref="D3:H36"/>
  <sheetViews>
    <sheetView showGridLines="0" tabSelected="1" workbookViewId="0">
      <selection activeCell="B18" sqref="B18"/>
    </sheetView>
  </sheetViews>
  <sheetFormatPr defaultRowHeight="13.9"/>
  <cols>
    <col min="1" max="3" width="9.06640625" style="47"/>
    <col min="4" max="4" width="43.1328125" style="47" customWidth="1"/>
    <col min="5" max="5" width="7.73046875" style="47" customWidth="1"/>
    <col min="6" max="6" width="3.9296875" style="47" customWidth="1"/>
    <col min="7" max="7" width="41.59765625" style="47" customWidth="1"/>
    <col min="8" max="16384" width="9.06640625" style="47"/>
  </cols>
  <sheetData>
    <row r="3" spans="4:8" ht="13.9" customHeight="1">
      <c r="D3" s="56" t="s">
        <v>69</v>
      </c>
      <c r="E3" s="56"/>
      <c r="F3" s="56"/>
      <c r="G3" s="56"/>
      <c r="H3" s="56"/>
    </row>
    <row r="4" spans="4:8" ht="13.9" customHeight="1">
      <c r="D4" s="56"/>
      <c r="E4" s="56"/>
      <c r="F4" s="56"/>
      <c r="G4" s="56"/>
      <c r="H4" s="56"/>
    </row>
    <row r="5" spans="4:8" ht="13.9" customHeight="1">
      <c r="D5" s="56"/>
      <c r="E5" s="56"/>
      <c r="F5" s="56"/>
      <c r="G5" s="56"/>
      <c r="H5" s="56"/>
    </row>
    <row r="7" spans="4:8" ht="15.4" thickBot="1">
      <c r="D7"/>
    </row>
    <row r="8" spans="4:8" ht="14.25" thickBot="1">
      <c r="D8" s="48" t="s">
        <v>41</v>
      </c>
      <c r="E8" s="39"/>
      <c r="F8" s="40"/>
      <c r="G8" s="49" t="s">
        <v>42</v>
      </c>
      <c r="H8" s="41"/>
    </row>
    <row r="9" spans="4:8">
      <c r="D9" s="42"/>
      <c r="E9" s="59"/>
      <c r="F9" s="59"/>
      <c r="G9" s="42"/>
      <c r="H9" s="59"/>
    </row>
    <row r="10" spans="4:8">
      <c r="D10" s="42"/>
      <c r="E10" s="59"/>
      <c r="F10" s="59"/>
      <c r="G10" s="42"/>
      <c r="H10" s="59"/>
    </row>
    <row r="11" spans="4:8">
      <c r="D11" s="50" t="s">
        <v>5</v>
      </c>
      <c r="E11" s="59"/>
      <c r="F11" s="59"/>
      <c r="G11" s="50" t="s">
        <v>5</v>
      </c>
      <c r="H11" s="59"/>
    </row>
    <row r="12" spans="4:8">
      <c r="D12" s="43" t="s">
        <v>43</v>
      </c>
      <c r="E12" s="51">
        <v>1</v>
      </c>
      <c r="F12" s="42"/>
      <c r="G12" s="43" t="s">
        <v>44</v>
      </c>
      <c r="H12" s="52" t="s">
        <v>45</v>
      </c>
    </row>
    <row r="13" spans="4:8">
      <c r="D13" s="43" t="s">
        <v>15</v>
      </c>
      <c r="E13" s="51">
        <v>2</v>
      </c>
      <c r="F13" s="42"/>
      <c r="G13" s="43" t="s">
        <v>46</v>
      </c>
      <c r="H13" s="52" t="s">
        <v>47</v>
      </c>
    </row>
    <row r="14" spans="4:8">
      <c r="D14" s="43" t="s">
        <v>48</v>
      </c>
      <c r="E14" s="51">
        <v>3</v>
      </c>
      <c r="F14" s="42"/>
      <c r="G14" s="43" t="s">
        <v>49</v>
      </c>
      <c r="H14" s="51">
        <v>5</v>
      </c>
    </row>
    <row r="15" spans="4:8">
      <c r="D15" s="43" t="s">
        <v>50</v>
      </c>
      <c r="E15" s="51">
        <v>4</v>
      </c>
      <c r="F15" s="42"/>
      <c r="G15" s="43"/>
      <c r="H15" s="44"/>
    </row>
    <row r="16" spans="4:8" ht="14.25" thickBot="1">
      <c r="D16" s="45" t="s">
        <v>49</v>
      </c>
      <c r="E16" s="51">
        <v>5</v>
      </c>
      <c r="F16" s="42"/>
      <c r="G16" s="45"/>
      <c r="H16" s="46"/>
    </row>
    <row r="17" spans="4:8" ht="14.25" thickBot="1">
      <c r="D17" s="53" t="s">
        <v>21</v>
      </c>
      <c r="E17" s="54" t="s">
        <v>51</v>
      </c>
      <c r="F17" s="42"/>
      <c r="G17" s="53" t="s">
        <v>21</v>
      </c>
      <c r="H17" s="55" t="s">
        <v>51</v>
      </c>
    </row>
    <row r="18" spans="4:8" ht="14.25" thickTop="1">
      <c r="D18" s="43"/>
      <c r="E18" s="57"/>
      <c r="F18" s="59"/>
      <c r="G18" s="43"/>
      <c r="H18" s="57"/>
    </row>
    <row r="19" spans="4:8">
      <c r="D19" s="43"/>
      <c r="E19" s="58"/>
      <c r="F19" s="59"/>
      <c r="G19" s="43"/>
      <c r="H19" s="58"/>
    </row>
    <row r="20" spans="4:8">
      <c r="D20" s="50" t="s">
        <v>22</v>
      </c>
      <c r="E20" s="58"/>
      <c r="F20" s="59"/>
      <c r="G20" s="50" t="s">
        <v>22</v>
      </c>
      <c r="H20" s="58"/>
    </row>
    <row r="21" spans="4:8">
      <c r="D21" s="43" t="s">
        <v>23</v>
      </c>
      <c r="E21" s="51">
        <v>1</v>
      </c>
      <c r="F21" s="42"/>
      <c r="G21" s="43" t="s">
        <v>23</v>
      </c>
      <c r="H21" s="51">
        <v>1</v>
      </c>
    </row>
    <row r="22" spans="4:8">
      <c r="D22" s="43" t="s">
        <v>52</v>
      </c>
      <c r="E22" s="51">
        <v>2</v>
      </c>
      <c r="F22" s="42"/>
      <c r="G22" s="43" t="s">
        <v>52</v>
      </c>
      <c r="H22" s="51">
        <v>2</v>
      </c>
    </row>
    <row r="23" spans="4:8">
      <c r="D23" s="43" t="s">
        <v>53</v>
      </c>
      <c r="E23" s="51">
        <v>3</v>
      </c>
      <c r="F23" s="42"/>
      <c r="G23" s="43" t="s">
        <v>53</v>
      </c>
      <c r="H23" s="51">
        <v>3</v>
      </c>
    </row>
    <row r="24" spans="4:8" ht="14.25" thickBot="1">
      <c r="D24" s="45" t="s">
        <v>25</v>
      </c>
      <c r="E24" s="51">
        <v>4</v>
      </c>
      <c r="F24" s="42"/>
      <c r="G24" s="45" t="s">
        <v>25</v>
      </c>
      <c r="H24" s="51">
        <v>4</v>
      </c>
    </row>
    <row r="25" spans="4:8" ht="14.25" thickBot="1">
      <c r="D25" s="53" t="s">
        <v>27</v>
      </c>
      <c r="E25" s="54" t="s">
        <v>51</v>
      </c>
      <c r="F25" s="42"/>
      <c r="G25" s="53" t="s">
        <v>27</v>
      </c>
      <c r="H25" s="54" t="s">
        <v>51</v>
      </c>
    </row>
    <row r="26" spans="4:8" ht="14.25" thickTop="1">
      <c r="D26" s="43"/>
      <c r="E26" s="57"/>
      <c r="F26" s="59"/>
      <c r="G26" s="43"/>
      <c r="H26" s="57"/>
    </row>
    <row r="27" spans="4:8">
      <c r="D27" s="43"/>
      <c r="E27" s="58"/>
      <c r="F27" s="59"/>
      <c r="G27" s="43"/>
      <c r="H27" s="58"/>
    </row>
    <row r="28" spans="4:8">
      <c r="D28" s="50" t="s">
        <v>28</v>
      </c>
      <c r="E28" s="58"/>
      <c r="F28" s="59"/>
      <c r="G28" s="50" t="s">
        <v>28</v>
      </c>
      <c r="H28" s="58"/>
    </row>
    <row r="29" spans="4:8">
      <c r="D29" s="43" t="s">
        <v>30</v>
      </c>
      <c r="E29" s="51">
        <v>1</v>
      </c>
      <c r="F29" s="42"/>
      <c r="G29" s="43" t="s">
        <v>30</v>
      </c>
      <c r="H29" s="52" t="s">
        <v>47</v>
      </c>
    </row>
    <row r="30" spans="4:8" ht="27.75">
      <c r="D30" s="43" t="s">
        <v>54</v>
      </c>
      <c r="E30" s="51">
        <v>2</v>
      </c>
      <c r="F30" s="42"/>
      <c r="G30" s="43" t="s">
        <v>33</v>
      </c>
      <c r="H30" s="52" t="s">
        <v>55</v>
      </c>
    </row>
    <row r="31" spans="4:8">
      <c r="D31" s="43" t="s">
        <v>56</v>
      </c>
      <c r="E31" s="51">
        <v>3</v>
      </c>
      <c r="F31" s="42"/>
      <c r="G31" s="43" t="s">
        <v>57</v>
      </c>
      <c r="H31" s="51">
        <v>6</v>
      </c>
    </row>
    <row r="32" spans="4:8">
      <c r="D32" s="43" t="s">
        <v>58</v>
      </c>
      <c r="E32" s="51">
        <v>4</v>
      </c>
      <c r="F32" s="42"/>
      <c r="G32" s="43"/>
      <c r="H32" s="44"/>
    </row>
    <row r="33" spans="4:8">
      <c r="D33" s="43" t="s">
        <v>59</v>
      </c>
      <c r="E33" s="51">
        <v>5</v>
      </c>
      <c r="F33" s="42"/>
      <c r="G33" s="43"/>
      <c r="H33" s="44"/>
    </row>
    <row r="34" spans="4:8" ht="14.25" thickBot="1">
      <c r="D34" s="45" t="s">
        <v>57</v>
      </c>
      <c r="E34" s="51">
        <v>6</v>
      </c>
      <c r="F34" s="42"/>
      <c r="G34" s="45"/>
      <c r="H34" s="46"/>
    </row>
    <row r="35" spans="4:8" ht="14.25" thickBot="1">
      <c r="D35" s="53" t="s">
        <v>60</v>
      </c>
      <c r="E35" s="54" t="s">
        <v>51</v>
      </c>
      <c r="F35" s="42"/>
      <c r="G35" s="53" t="s">
        <v>60</v>
      </c>
      <c r="H35" s="55" t="s">
        <v>51</v>
      </c>
    </row>
    <row r="36" spans="4:8" ht="14.25" thickTop="1"/>
  </sheetData>
  <mergeCells count="10">
    <mergeCell ref="D3:H5"/>
    <mergeCell ref="E26:E28"/>
    <mergeCell ref="F26:F28"/>
    <mergeCell ref="H26:H28"/>
    <mergeCell ref="E9:E11"/>
    <mergeCell ref="F9:F11"/>
    <mergeCell ref="H9:H11"/>
    <mergeCell ref="E18:E20"/>
    <mergeCell ref="F18:F20"/>
    <mergeCell ref="H18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E93C2-E1AE-4BE7-94B1-09999EA67813}">
  <sheetPr>
    <tabColor rgb="FF0137A6"/>
  </sheetPr>
  <dimension ref="A1"/>
  <sheetViews>
    <sheetView showGridLines="0" workbookViewId="0">
      <selection activeCell="F33" sqref="F33"/>
    </sheetView>
  </sheetViews>
  <sheetFormatPr defaultRowHeight="14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5E779-0E65-4115-8CB9-9610D328207D}">
  <sheetPr>
    <tabColor rgb="FF0137A6"/>
  </sheetPr>
  <dimension ref="A1"/>
  <sheetViews>
    <sheetView showGridLines="0" topLeftCell="A10" workbookViewId="0">
      <selection activeCell="H39" sqref="H39"/>
    </sheetView>
  </sheetViews>
  <sheetFormatPr defaultRowHeight="14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4B769-87F3-48CA-B5DD-C62F01632F0E}">
  <sheetPr>
    <tabColor rgb="FF0137A6"/>
  </sheetPr>
  <dimension ref="E3:R58"/>
  <sheetViews>
    <sheetView showGridLines="0" zoomScale="55" zoomScaleNormal="55" workbookViewId="0">
      <selection activeCell="H39" sqref="H39"/>
    </sheetView>
  </sheetViews>
  <sheetFormatPr defaultRowHeight="14.25"/>
  <cols>
    <col min="4" max="4" width="16.6640625" customWidth="1"/>
    <col min="5" max="5" width="47.33203125" bestFit="1" customWidth="1"/>
    <col min="6" max="6" width="12.53125" customWidth="1"/>
    <col min="11" max="11" width="4.9296875" customWidth="1"/>
    <col min="12" max="12" width="9.06640625" style="33"/>
  </cols>
  <sheetData>
    <row r="3" spans="5:13" ht="14.25" customHeight="1">
      <c r="E3" s="56" t="s">
        <v>69</v>
      </c>
      <c r="F3" s="56"/>
      <c r="G3" s="56"/>
      <c r="H3" s="56"/>
      <c r="I3" s="56"/>
      <c r="J3" s="56"/>
      <c r="K3" s="56"/>
      <c r="L3" s="56"/>
      <c r="M3" s="56"/>
    </row>
    <row r="4" spans="5:13" ht="14.25" customHeight="1">
      <c r="E4" s="56"/>
      <c r="F4" s="56"/>
      <c r="G4" s="56"/>
      <c r="H4" s="56"/>
      <c r="I4" s="56"/>
      <c r="J4" s="56"/>
      <c r="K4" s="56"/>
      <c r="L4" s="56"/>
      <c r="M4" s="56"/>
    </row>
    <row r="5" spans="5:13" ht="14.25" customHeight="1">
      <c r="E5" s="56"/>
      <c r="F5" s="56"/>
      <c r="G5" s="56"/>
      <c r="H5" s="56"/>
      <c r="I5" s="56"/>
      <c r="J5" s="56"/>
      <c r="K5" s="56"/>
      <c r="L5" s="56"/>
      <c r="M5" s="56"/>
    </row>
    <row r="10" spans="5:13">
      <c r="F10" s="27" t="s">
        <v>0</v>
      </c>
      <c r="G10" s="1"/>
      <c r="H10" s="28" t="s">
        <v>1</v>
      </c>
    </row>
    <row r="11" spans="5:13" ht="17.649999999999999">
      <c r="E11" s="2" t="s">
        <v>2</v>
      </c>
      <c r="F11" s="6">
        <v>44561</v>
      </c>
      <c r="G11" s="7"/>
      <c r="H11" s="6">
        <v>44562</v>
      </c>
      <c r="J11" s="20" t="s">
        <v>3</v>
      </c>
      <c r="K11" s="20"/>
      <c r="L11" s="33" t="s">
        <v>63</v>
      </c>
    </row>
    <row r="12" spans="5:13">
      <c r="E12" s="15"/>
      <c r="F12" s="5" t="s">
        <v>4</v>
      </c>
      <c r="G12" s="8"/>
      <c r="H12" s="5" t="s">
        <v>4</v>
      </c>
    </row>
    <row r="13" spans="5:13">
      <c r="E13" s="7"/>
      <c r="F13" s="9"/>
      <c r="G13" s="7"/>
      <c r="H13" s="9"/>
    </row>
    <row r="14" spans="5:13">
      <c r="E14" s="3" t="s">
        <v>5</v>
      </c>
      <c r="F14" s="10"/>
      <c r="G14" s="10"/>
      <c r="H14" s="10"/>
    </row>
    <row r="15" spans="5:13">
      <c r="E15" s="3"/>
      <c r="F15" s="10"/>
      <c r="G15" s="10"/>
      <c r="H15" s="10"/>
    </row>
    <row r="16" spans="5:13">
      <c r="E16" s="4" t="s">
        <v>6</v>
      </c>
      <c r="F16" s="11">
        <v>510000</v>
      </c>
      <c r="G16" s="11"/>
      <c r="H16" s="11">
        <f>F16</f>
        <v>510000</v>
      </c>
      <c r="J16" s="21">
        <f>IFERROR(H16-F16,0)</f>
        <v>0</v>
      </c>
      <c r="K16" s="21"/>
      <c r="L16" s="34" t="s">
        <v>64</v>
      </c>
      <c r="M16" s="35"/>
    </row>
    <row r="17" spans="5:15">
      <c r="E17" s="4" t="s">
        <v>7</v>
      </c>
      <c r="F17" s="11">
        <v>52000</v>
      </c>
      <c r="G17" s="11"/>
      <c r="H17" s="11">
        <f>F17</f>
        <v>52000</v>
      </c>
      <c r="J17" s="21">
        <f t="shared" ref="J17:J56" si="0">IFERROR(H17-F17,0)</f>
        <v>0</v>
      </c>
      <c r="K17" s="21"/>
      <c r="L17" s="34" t="s">
        <v>64</v>
      </c>
      <c r="M17" s="35"/>
    </row>
    <row r="18" spans="5:15">
      <c r="E18" s="36" t="s">
        <v>8</v>
      </c>
      <c r="F18" s="11">
        <v>12000</v>
      </c>
      <c r="G18" s="11"/>
      <c r="H18" s="11">
        <f t="shared" ref="H18:H19" si="1">F18</f>
        <v>12000</v>
      </c>
      <c r="J18" s="21">
        <f t="shared" si="0"/>
        <v>0</v>
      </c>
      <c r="K18" s="21"/>
      <c r="L18" s="34" t="s">
        <v>64</v>
      </c>
      <c r="M18" s="35"/>
    </row>
    <row r="19" spans="5:15">
      <c r="E19" s="36" t="s">
        <v>9</v>
      </c>
      <c r="F19" s="11">
        <v>615000</v>
      </c>
      <c r="G19" s="11"/>
      <c r="H19" s="11">
        <f t="shared" si="1"/>
        <v>615000</v>
      </c>
      <c r="J19" s="21">
        <f t="shared" si="0"/>
        <v>0</v>
      </c>
      <c r="K19" s="21"/>
      <c r="L19" s="34" t="s">
        <v>64</v>
      </c>
      <c r="M19" s="35"/>
    </row>
    <row r="20" spans="5:15">
      <c r="E20" s="37" t="s">
        <v>10</v>
      </c>
      <c r="F20" s="11">
        <v>90000</v>
      </c>
      <c r="G20" s="11"/>
      <c r="H20" s="11"/>
      <c r="J20" s="21">
        <f t="shared" si="0"/>
        <v>-90000</v>
      </c>
      <c r="K20" s="21"/>
      <c r="L20" s="33" t="s">
        <v>65</v>
      </c>
      <c r="M20" s="13"/>
    </row>
    <row r="21" spans="5:15">
      <c r="E21" s="38" t="s">
        <v>11</v>
      </c>
      <c r="F21" s="11">
        <v>0</v>
      </c>
      <c r="G21" s="11"/>
      <c r="H21" s="24">
        <v>0</v>
      </c>
      <c r="J21" s="21">
        <f t="shared" si="0"/>
        <v>0</v>
      </c>
      <c r="K21" s="21"/>
      <c r="L21" s="33" t="s">
        <v>66</v>
      </c>
      <c r="M21" s="13"/>
    </row>
    <row r="22" spans="5:15">
      <c r="E22" s="37" t="s">
        <v>12</v>
      </c>
      <c r="F22" s="11">
        <v>180000</v>
      </c>
      <c r="G22" s="11"/>
      <c r="H22" s="11"/>
      <c r="J22" s="21">
        <f t="shared" si="0"/>
        <v>-180000</v>
      </c>
      <c r="K22" s="21"/>
      <c r="L22" s="33" t="s">
        <v>65</v>
      </c>
      <c r="M22" s="13"/>
    </row>
    <row r="23" spans="5:15">
      <c r="E23" s="37" t="s">
        <v>13</v>
      </c>
      <c r="F23" s="11">
        <v>280000</v>
      </c>
      <c r="G23" s="11"/>
      <c r="H23" s="11"/>
      <c r="J23" s="21">
        <f t="shared" si="0"/>
        <v>-280000</v>
      </c>
      <c r="K23" s="21"/>
      <c r="L23" s="33" t="s">
        <v>65</v>
      </c>
      <c r="M23" s="13"/>
    </row>
    <row r="24" spans="5:15">
      <c r="E24" s="38" t="s">
        <v>14</v>
      </c>
      <c r="F24" s="11">
        <v>0</v>
      </c>
      <c r="G24" s="11"/>
      <c r="H24" s="24">
        <f>F22+F23</f>
        <v>460000</v>
      </c>
      <c r="J24" s="21">
        <f t="shared" si="0"/>
        <v>460000</v>
      </c>
      <c r="K24" s="21"/>
      <c r="L24" s="33" t="s">
        <v>67</v>
      </c>
    </row>
    <row r="25" spans="5:15">
      <c r="E25" s="37" t="s">
        <v>15</v>
      </c>
      <c r="F25" s="11">
        <v>40000</v>
      </c>
      <c r="G25" s="11"/>
      <c r="H25" s="11"/>
      <c r="J25" s="21">
        <f t="shared" si="0"/>
        <v>-40000</v>
      </c>
      <c r="K25" s="21"/>
      <c r="L25" s="33" t="s">
        <v>65</v>
      </c>
    </row>
    <row r="26" spans="5:15">
      <c r="E26" s="36" t="s">
        <v>16</v>
      </c>
      <c r="F26" s="11">
        <v>0</v>
      </c>
      <c r="G26" s="11"/>
      <c r="H26" s="11">
        <f>F26</f>
        <v>0</v>
      </c>
      <c r="J26" s="21">
        <f t="shared" si="0"/>
        <v>0</v>
      </c>
      <c r="K26" s="21"/>
      <c r="L26" s="34" t="s">
        <v>64</v>
      </c>
      <c r="M26" s="35"/>
    </row>
    <row r="27" spans="5:15">
      <c r="E27" s="4" t="s">
        <v>40</v>
      </c>
      <c r="F27" s="11">
        <v>9000</v>
      </c>
      <c r="G27" s="11"/>
      <c r="H27" s="11">
        <f t="shared" ref="H27:H31" si="2">F27</f>
        <v>9000</v>
      </c>
      <c r="J27" s="21">
        <f t="shared" si="0"/>
        <v>0</v>
      </c>
      <c r="K27" s="21"/>
      <c r="L27" s="34" t="s">
        <v>64</v>
      </c>
      <c r="M27" s="35"/>
    </row>
    <row r="28" spans="5:15">
      <c r="E28" s="4" t="s">
        <v>17</v>
      </c>
      <c r="F28" s="11">
        <v>22000</v>
      </c>
      <c r="G28" s="11"/>
      <c r="H28" s="11">
        <f t="shared" si="2"/>
        <v>22000</v>
      </c>
      <c r="J28" s="21">
        <f t="shared" si="0"/>
        <v>0</v>
      </c>
      <c r="K28" s="21"/>
      <c r="L28" s="34" t="s">
        <v>64</v>
      </c>
      <c r="M28" s="35"/>
    </row>
    <row r="29" spans="5:15">
      <c r="E29" s="4" t="s">
        <v>18</v>
      </c>
      <c r="F29" s="11">
        <v>150000</v>
      </c>
      <c r="G29" s="11"/>
      <c r="H29" s="11">
        <f t="shared" si="2"/>
        <v>150000</v>
      </c>
      <c r="J29" s="21">
        <f t="shared" si="0"/>
        <v>0</v>
      </c>
      <c r="K29" s="21"/>
      <c r="L29" s="34" t="s">
        <v>64</v>
      </c>
      <c r="M29" s="35"/>
      <c r="O29" s="13"/>
    </row>
    <row r="30" spans="5:15">
      <c r="E30" s="4" t="s">
        <v>19</v>
      </c>
      <c r="F30" s="11">
        <v>25000</v>
      </c>
      <c r="G30" s="11"/>
      <c r="H30" s="11">
        <f t="shared" si="2"/>
        <v>25000</v>
      </c>
      <c r="J30" s="21">
        <f t="shared" si="0"/>
        <v>0</v>
      </c>
      <c r="K30" s="21"/>
      <c r="L30" s="34" t="s">
        <v>64</v>
      </c>
      <c r="M30" s="35"/>
    </row>
    <row r="31" spans="5:15">
      <c r="E31" s="4" t="s">
        <v>20</v>
      </c>
      <c r="F31" s="11">
        <v>20000</v>
      </c>
      <c r="G31" s="11"/>
      <c r="H31" s="11">
        <f t="shared" si="2"/>
        <v>20000</v>
      </c>
      <c r="J31" s="21">
        <f t="shared" si="0"/>
        <v>0</v>
      </c>
      <c r="K31" s="21"/>
      <c r="L31" s="34" t="s">
        <v>64</v>
      </c>
      <c r="M31" s="35"/>
    </row>
    <row r="32" spans="5:15" ht="14.65" thickBot="1">
      <c r="E32" s="16"/>
      <c r="F32" s="11"/>
      <c r="G32" s="11"/>
      <c r="H32" s="11"/>
      <c r="J32" s="21"/>
      <c r="K32" s="21"/>
    </row>
    <row r="33" spans="5:18" ht="14.65" thickBot="1">
      <c r="E33" s="17" t="s">
        <v>21</v>
      </c>
      <c r="F33" s="12">
        <f>SUM(F16:F31)</f>
        <v>2005000</v>
      </c>
      <c r="G33" s="11"/>
      <c r="H33" s="12">
        <f>SUM(H16:H31)</f>
        <v>1875000</v>
      </c>
      <c r="J33" s="22">
        <f t="shared" si="0"/>
        <v>-130000</v>
      </c>
      <c r="K33" s="31"/>
      <c r="M33" s="23"/>
    </row>
    <row r="34" spans="5:18">
      <c r="E34" s="3"/>
      <c r="F34" s="11"/>
      <c r="G34" s="11"/>
      <c r="H34" s="11"/>
      <c r="J34" s="21"/>
      <c r="K34" s="21"/>
    </row>
    <row r="35" spans="5:18">
      <c r="E35" s="3" t="s">
        <v>22</v>
      </c>
      <c r="F35" s="11"/>
      <c r="G35" s="11"/>
      <c r="H35" s="11"/>
      <c r="J35" s="21"/>
      <c r="K35" s="21"/>
    </row>
    <row r="36" spans="5:18">
      <c r="E36" s="4" t="s">
        <v>23</v>
      </c>
      <c r="F36" s="11">
        <v>400000</v>
      </c>
      <c r="G36" s="11"/>
      <c r="H36" s="11">
        <f>F36</f>
        <v>400000</v>
      </c>
      <c r="J36" s="21">
        <f t="shared" si="0"/>
        <v>0</v>
      </c>
      <c r="K36" s="21"/>
      <c r="L36" s="34" t="s">
        <v>64</v>
      </c>
    </row>
    <row r="37" spans="5:18">
      <c r="E37" s="4" t="s">
        <v>24</v>
      </c>
      <c r="F37" s="11">
        <v>20000</v>
      </c>
      <c r="G37" s="11"/>
      <c r="H37" s="11">
        <f>F37</f>
        <v>20000</v>
      </c>
      <c r="J37" s="21">
        <f t="shared" si="0"/>
        <v>0</v>
      </c>
      <c r="K37" s="21"/>
      <c r="L37" s="34" t="s">
        <v>64</v>
      </c>
    </row>
    <row r="38" spans="5:18">
      <c r="E38" s="4" t="s">
        <v>25</v>
      </c>
      <c r="F38" s="11">
        <v>-1309000</v>
      </c>
      <c r="G38" s="11"/>
      <c r="H38" s="30">
        <f>H33-(H36+H37+H54)</f>
        <v>-1405000</v>
      </c>
      <c r="J38" s="21">
        <f t="shared" si="0"/>
        <v>-96000</v>
      </c>
      <c r="K38" s="21"/>
      <c r="L38" s="33" t="s">
        <v>26</v>
      </c>
      <c r="N38" s="13"/>
    </row>
    <row r="39" spans="5:18" ht="14.65" thickBot="1">
      <c r="F39" s="11"/>
      <c r="G39" s="11"/>
      <c r="H39" s="11"/>
      <c r="J39" s="21">
        <f t="shared" si="0"/>
        <v>0</v>
      </c>
      <c r="K39" s="21"/>
    </row>
    <row r="40" spans="5:18" ht="14.65" thickBot="1">
      <c r="E40" s="17" t="s">
        <v>27</v>
      </c>
      <c r="F40" s="12">
        <f>SUM(F36:F38)</f>
        <v>-889000</v>
      </c>
      <c r="G40" s="11"/>
      <c r="H40" s="12">
        <f>SUM(H36:H38)</f>
        <v>-985000</v>
      </c>
      <c r="J40" s="21">
        <f t="shared" si="0"/>
        <v>-96000</v>
      </c>
      <c r="K40" s="21"/>
    </row>
    <row r="41" spans="5:18">
      <c r="E41" s="3"/>
      <c r="F41" s="11"/>
      <c r="G41" s="11"/>
      <c r="H41" s="11"/>
      <c r="J41" s="21"/>
      <c r="K41" s="21"/>
    </row>
    <row r="42" spans="5:18">
      <c r="E42" s="3" t="s">
        <v>28</v>
      </c>
      <c r="F42" s="11"/>
      <c r="G42" s="11"/>
      <c r="H42" s="11"/>
      <c r="J42" s="21"/>
      <c r="K42" s="21"/>
    </row>
    <row r="43" spans="5:18">
      <c r="E43" s="3"/>
      <c r="F43" s="11"/>
      <c r="G43" s="11"/>
      <c r="H43" s="11"/>
      <c r="J43" s="21"/>
      <c r="K43" s="21"/>
    </row>
    <row r="44" spans="5:18">
      <c r="E44" s="36" t="s">
        <v>29</v>
      </c>
      <c r="F44" s="11">
        <v>60000</v>
      </c>
      <c r="G44" s="11"/>
      <c r="H44" s="11">
        <f>F44</f>
        <v>60000</v>
      </c>
      <c r="J44" s="21">
        <f t="shared" si="0"/>
        <v>0</v>
      </c>
      <c r="K44" s="21"/>
      <c r="L44" s="34" t="s">
        <v>64</v>
      </c>
    </row>
    <row r="45" spans="5:18">
      <c r="E45" s="37" t="s">
        <v>61</v>
      </c>
      <c r="F45" s="11">
        <v>2100000</v>
      </c>
      <c r="G45" s="11"/>
      <c r="H45" s="11"/>
      <c r="J45" s="21"/>
      <c r="K45" s="21"/>
      <c r="L45" s="33" t="s">
        <v>65</v>
      </c>
    </row>
    <row r="46" spans="5:18">
      <c r="E46" s="38" t="s">
        <v>62</v>
      </c>
      <c r="F46" s="11">
        <v>0</v>
      </c>
      <c r="G46" s="11"/>
      <c r="H46" s="11">
        <f>F45+F50</f>
        <v>2700000</v>
      </c>
      <c r="J46" s="21">
        <f t="shared" si="0"/>
        <v>2700000</v>
      </c>
      <c r="K46" s="21"/>
      <c r="L46" s="33" t="s">
        <v>68</v>
      </c>
      <c r="Q46" s="18"/>
    </row>
    <row r="47" spans="5:18">
      <c r="E47" s="37" t="s">
        <v>31</v>
      </c>
      <c r="F47" s="11">
        <v>25000</v>
      </c>
      <c r="G47" s="11"/>
      <c r="H47" s="11"/>
      <c r="J47" s="21">
        <f t="shared" si="0"/>
        <v>-25000</v>
      </c>
      <c r="K47" s="21"/>
      <c r="L47" s="33" t="s">
        <v>65</v>
      </c>
      <c r="M47" s="13"/>
      <c r="Q47" s="18"/>
      <c r="R47" s="18"/>
    </row>
    <row r="48" spans="5:18">
      <c r="E48" s="37" t="s">
        <v>32</v>
      </c>
      <c r="F48" s="11">
        <v>9000</v>
      </c>
      <c r="G48" s="11"/>
      <c r="H48" s="11"/>
      <c r="J48" s="21">
        <f t="shared" si="0"/>
        <v>-9000</v>
      </c>
      <c r="K48" s="21"/>
      <c r="L48" s="33" t="s">
        <v>65</v>
      </c>
      <c r="Q48" s="18"/>
    </row>
    <row r="49" spans="5:17">
      <c r="E49" s="38" t="s">
        <v>33</v>
      </c>
      <c r="F49" s="11">
        <v>0</v>
      </c>
      <c r="G49" s="11"/>
      <c r="H49" s="11">
        <v>0</v>
      </c>
      <c r="J49" s="21">
        <f t="shared" si="0"/>
        <v>0</v>
      </c>
      <c r="K49" s="21"/>
      <c r="L49" s="34" t="s">
        <v>64</v>
      </c>
      <c r="Q49" s="18"/>
    </row>
    <row r="50" spans="5:17">
      <c r="E50" s="37" t="s">
        <v>34</v>
      </c>
      <c r="F50" s="11">
        <v>600000</v>
      </c>
      <c r="G50" s="11"/>
      <c r="H50" s="11"/>
      <c r="J50" s="21">
        <f t="shared" si="0"/>
        <v>-600000</v>
      </c>
      <c r="K50" s="21"/>
      <c r="L50" s="33" t="s">
        <v>65</v>
      </c>
    </row>
    <row r="51" spans="5:17">
      <c r="E51" s="36" t="s">
        <v>35</v>
      </c>
      <c r="F51" s="11">
        <v>100000</v>
      </c>
      <c r="G51" s="11"/>
      <c r="H51" s="11">
        <f>F51</f>
        <v>100000</v>
      </c>
      <c r="J51" s="21">
        <f t="shared" si="0"/>
        <v>0</v>
      </c>
      <c r="K51" s="21"/>
      <c r="L51" s="34" t="s">
        <v>64</v>
      </c>
    </row>
    <row r="52" spans="5:17">
      <c r="E52" s="36" t="s">
        <v>36</v>
      </c>
      <c r="F52" s="11">
        <v>0</v>
      </c>
      <c r="G52" s="11"/>
      <c r="H52" s="11">
        <f>F52</f>
        <v>0</v>
      </c>
      <c r="J52" s="21">
        <f t="shared" si="0"/>
        <v>0</v>
      </c>
      <c r="K52" s="21"/>
    </row>
    <row r="53" spans="5:17">
      <c r="F53" s="11"/>
      <c r="G53" s="11"/>
      <c r="H53" s="11"/>
      <c r="J53" s="21"/>
      <c r="K53" s="21"/>
    </row>
    <row r="54" spans="5:17" ht="14.65" thickBot="1">
      <c r="E54" s="19" t="s">
        <v>37</v>
      </c>
      <c r="F54" s="14">
        <f>SUM(F44:F52)</f>
        <v>2894000</v>
      </c>
      <c r="G54" s="11"/>
      <c r="H54" s="14">
        <f>SUM(H44:H52)</f>
        <v>2860000</v>
      </c>
      <c r="J54" s="25">
        <f t="shared" si="0"/>
        <v>-34000</v>
      </c>
      <c r="K54" s="32"/>
    </row>
    <row r="55" spans="5:17" ht="14.65" thickBot="1">
      <c r="F55" s="13"/>
      <c r="G55" s="13"/>
      <c r="H55" s="13"/>
      <c r="J55" s="21"/>
      <c r="K55" s="21"/>
    </row>
    <row r="56" spans="5:17" ht="14.65" thickBot="1">
      <c r="E56" s="17" t="s">
        <v>38</v>
      </c>
      <c r="F56" s="12">
        <f>F54+F40</f>
        <v>2005000</v>
      </c>
      <c r="G56" s="11"/>
      <c r="H56" s="12">
        <f>H54+H40</f>
        <v>1875000</v>
      </c>
      <c r="J56" s="22">
        <f t="shared" si="0"/>
        <v>-130000</v>
      </c>
      <c r="K56" s="31"/>
    </row>
    <row r="57" spans="5:17">
      <c r="J57" s="21"/>
      <c r="K57" s="21"/>
    </row>
    <row r="58" spans="5:17">
      <c r="G58" s="26" t="s">
        <v>39</v>
      </c>
      <c r="H58" s="29" t="b">
        <f>H33=(H40+H54)</f>
        <v>1</v>
      </c>
      <c r="J58" s="21"/>
      <c r="K58" s="21"/>
    </row>
  </sheetData>
  <mergeCells count="1">
    <mergeCell ref="E3:M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69094-7199-4971-B51D-F9D3A40D863D}">
  <sheetPr>
    <tabColor rgb="FF0137A6"/>
  </sheetPr>
  <dimension ref="E3:R58"/>
  <sheetViews>
    <sheetView showGridLines="0" zoomScale="55" zoomScaleNormal="55" workbookViewId="0">
      <selection activeCell="H39" sqref="H39"/>
    </sheetView>
  </sheetViews>
  <sheetFormatPr defaultRowHeight="14.25"/>
  <cols>
    <col min="4" max="4" width="16.6640625" customWidth="1"/>
    <col min="5" max="5" width="47.33203125" bestFit="1" customWidth="1"/>
    <col min="6" max="6" width="12.53125" customWidth="1"/>
    <col min="11" max="11" width="4.9296875" customWidth="1"/>
    <col min="12" max="12" width="9.06640625" style="33"/>
  </cols>
  <sheetData>
    <row r="3" spans="5:13" ht="14.25" customHeight="1">
      <c r="E3" s="56" t="s">
        <v>69</v>
      </c>
      <c r="F3" s="56"/>
      <c r="G3" s="56"/>
      <c r="H3" s="56"/>
      <c r="I3" s="56"/>
      <c r="J3" s="56"/>
      <c r="K3" s="56"/>
      <c r="L3" s="56"/>
      <c r="M3" s="56"/>
    </row>
    <row r="4" spans="5:13" ht="14.25" customHeight="1">
      <c r="E4" s="56"/>
      <c r="F4" s="56"/>
      <c r="G4" s="56"/>
      <c r="H4" s="56"/>
      <c r="I4" s="56"/>
      <c r="J4" s="56"/>
      <c r="K4" s="56"/>
      <c r="L4" s="56"/>
      <c r="M4" s="56"/>
    </row>
    <row r="5" spans="5:13" ht="14.25" customHeight="1">
      <c r="E5" s="56"/>
      <c r="F5" s="56"/>
      <c r="G5" s="56"/>
      <c r="H5" s="56"/>
      <c r="I5" s="56"/>
      <c r="J5" s="56"/>
      <c r="K5" s="56"/>
      <c r="L5" s="56"/>
      <c r="M5" s="56"/>
    </row>
    <row r="10" spans="5:13">
      <c r="F10" s="27" t="s">
        <v>0</v>
      </c>
      <c r="G10" s="1"/>
      <c r="H10" s="28" t="s">
        <v>1</v>
      </c>
    </row>
    <row r="11" spans="5:13" ht="17.649999999999999">
      <c r="E11" s="2" t="s">
        <v>2</v>
      </c>
      <c r="F11" s="6">
        <v>44561</v>
      </c>
      <c r="G11" s="7"/>
      <c r="H11" s="6">
        <v>44562</v>
      </c>
      <c r="J11" s="20" t="s">
        <v>3</v>
      </c>
      <c r="K11" s="20"/>
      <c r="L11" s="33" t="s">
        <v>63</v>
      </c>
    </row>
    <row r="12" spans="5:13">
      <c r="E12" s="15"/>
      <c r="F12" s="5" t="s">
        <v>4</v>
      </c>
      <c r="G12" s="8"/>
      <c r="H12" s="5" t="s">
        <v>4</v>
      </c>
    </row>
    <row r="13" spans="5:13">
      <c r="E13" s="7"/>
      <c r="F13" s="9"/>
      <c r="G13" s="7"/>
      <c r="H13" s="9"/>
    </row>
    <row r="14" spans="5:13">
      <c r="E14" s="3" t="s">
        <v>5</v>
      </c>
      <c r="F14" s="10"/>
      <c r="G14" s="10"/>
      <c r="H14" s="10"/>
    </row>
    <row r="15" spans="5:13">
      <c r="E15" s="3"/>
      <c r="F15" s="10"/>
      <c r="G15" s="10"/>
      <c r="H15" s="10"/>
    </row>
    <row r="16" spans="5:13">
      <c r="E16" s="4" t="s">
        <v>6</v>
      </c>
      <c r="F16" s="11">
        <v>510000</v>
      </c>
      <c r="G16" s="11"/>
      <c r="H16" s="11">
        <f>F16</f>
        <v>510000</v>
      </c>
      <c r="J16" s="21">
        <f>IFERROR(H16-F16,0)</f>
        <v>0</v>
      </c>
      <c r="K16" s="21"/>
      <c r="L16" s="34" t="s">
        <v>64</v>
      </c>
      <c r="M16" s="35"/>
    </row>
    <row r="17" spans="5:15">
      <c r="E17" s="4" t="s">
        <v>7</v>
      </c>
      <c r="F17" s="11">
        <v>52000</v>
      </c>
      <c r="G17" s="11"/>
      <c r="H17" s="11">
        <f>F17</f>
        <v>52000</v>
      </c>
      <c r="J17" s="21">
        <f t="shared" ref="J17:J56" si="0">IFERROR(H17-F17,0)</f>
        <v>0</v>
      </c>
      <c r="K17" s="21"/>
      <c r="L17" s="34" t="s">
        <v>64</v>
      </c>
      <c r="M17" s="35"/>
    </row>
    <row r="18" spans="5:15">
      <c r="E18" s="36" t="s">
        <v>8</v>
      </c>
      <c r="F18" s="11">
        <v>12000</v>
      </c>
      <c r="G18" s="11"/>
      <c r="H18" s="11">
        <f t="shared" ref="H18:H19" si="1">F18</f>
        <v>12000</v>
      </c>
      <c r="J18" s="21">
        <f t="shared" si="0"/>
        <v>0</v>
      </c>
      <c r="K18" s="21"/>
      <c r="L18" s="34" t="s">
        <v>64</v>
      </c>
      <c r="M18" s="35"/>
    </row>
    <row r="19" spans="5:15">
      <c r="E19" s="36" t="s">
        <v>9</v>
      </c>
      <c r="F19" s="11">
        <v>615000</v>
      </c>
      <c r="G19" s="11"/>
      <c r="H19" s="11">
        <f t="shared" si="1"/>
        <v>615000</v>
      </c>
      <c r="J19" s="21">
        <f t="shared" si="0"/>
        <v>0</v>
      </c>
      <c r="K19" s="21"/>
      <c r="L19" s="34" t="s">
        <v>64</v>
      </c>
      <c r="M19" s="35"/>
    </row>
    <row r="20" spans="5:15">
      <c r="E20" s="37" t="s">
        <v>10</v>
      </c>
      <c r="F20" s="11">
        <v>90000</v>
      </c>
      <c r="G20" s="11"/>
      <c r="H20" s="11"/>
      <c r="J20" s="21">
        <f t="shared" si="0"/>
        <v>-90000</v>
      </c>
      <c r="K20" s="21"/>
      <c r="L20" s="33" t="s">
        <v>65</v>
      </c>
      <c r="M20" s="13"/>
    </row>
    <row r="21" spans="5:15">
      <c r="E21" s="38" t="s">
        <v>11</v>
      </c>
      <c r="F21" s="11">
        <v>0</v>
      </c>
      <c r="G21" s="11"/>
      <c r="H21" s="24">
        <v>0</v>
      </c>
      <c r="J21" s="21">
        <f t="shared" si="0"/>
        <v>0</v>
      </c>
      <c r="K21" s="21"/>
      <c r="L21" s="33" t="s">
        <v>66</v>
      </c>
      <c r="M21" s="13"/>
    </row>
    <row r="22" spans="5:15">
      <c r="E22" s="37" t="s">
        <v>12</v>
      </c>
      <c r="F22" s="11">
        <v>180000</v>
      </c>
      <c r="G22" s="11"/>
      <c r="H22" s="11"/>
      <c r="J22" s="21">
        <f t="shared" si="0"/>
        <v>-180000</v>
      </c>
      <c r="K22" s="21"/>
      <c r="L22" s="33" t="s">
        <v>65</v>
      </c>
      <c r="M22" s="13"/>
    </row>
    <row r="23" spans="5:15">
      <c r="E23" s="37" t="s">
        <v>13</v>
      </c>
      <c r="F23" s="11">
        <v>280000</v>
      </c>
      <c r="G23" s="11"/>
      <c r="H23" s="11"/>
      <c r="J23" s="21">
        <f t="shared" si="0"/>
        <v>-280000</v>
      </c>
      <c r="K23" s="21"/>
      <c r="L23" s="33" t="s">
        <v>65</v>
      </c>
      <c r="M23" s="13"/>
    </row>
    <row r="24" spans="5:15">
      <c r="E24" s="38" t="s">
        <v>14</v>
      </c>
      <c r="F24" s="11">
        <v>0</v>
      </c>
      <c r="G24" s="11"/>
      <c r="H24" s="24">
        <f>F22+F23</f>
        <v>460000</v>
      </c>
      <c r="J24" s="21">
        <f t="shared" si="0"/>
        <v>460000</v>
      </c>
      <c r="K24" s="21"/>
      <c r="L24" s="33" t="s">
        <v>67</v>
      </c>
    </row>
    <row r="25" spans="5:15">
      <c r="E25" s="37" t="s">
        <v>15</v>
      </c>
      <c r="F25" s="11">
        <v>40000</v>
      </c>
      <c r="G25" s="11"/>
      <c r="H25" s="11"/>
      <c r="J25" s="21">
        <f t="shared" si="0"/>
        <v>-40000</v>
      </c>
      <c r="K25" s="21"/>
      <c r="L25" s="33" t="s">
        <v>65</v>
      </c>
    </row>
    <row r="26" spans="5:15">
      <c r="E26" s="36" t="s">
        <v>16</v>
      </c>
      <c r="F26" s="11">
        <v>0</v>
      </c>
      <c r="G26" s="11"/>
      <c r="H26" s="11">
        <f>F26</f>
        <v>0</v>
      </c>
      <c r="J26" s="21">
        <f t="shared" si="0"/>
        <v>0</v>
      </c>
      <c r="K26" s="21"/>
      <c r="L26" s="34" t="s">
        <v>64</v>
      </c>
      <c r="M26" s="35"/>
    </row>
    <row r="27" spans="5:15">
      <c r="E27" s="4" t="s">
        <v>40</v>
      </c>
      <c r="F27" s="11">
        <v>9000</v>
      </c>
      <c r="G27" s="11"/>
      <c r="H27" s="11">
        <f t="shared" ref="H27:H31" si="2">F27</f>
        <v>9000</v>
      </c>
      <c r="J27" s="21">
        <f t="shared" si="0"/>
        <v>0</v>
      </c>
      <c r="K27" s="21"/>
      <c r="L27" s="34" t="s">
        <v>64</v>
      </c>
      <c r="M27" s="35"/>
    </row>
    <row r="28" spans="5:15">
      <c r="E28" s="4" t="s">
        <v>17</v>
      </c>
      <c r="F28" s="11">
        <v>22000</v>
      </c>
      <c r="G28" s="11"/>
      <c r="H28" s="11">
        <f t="shared" si="2"/>
        <v>22000</v>
      </c>
      <c r="J28" s="21">
        <f t="shared" si="0"/>
        <v>0</v>
      </c>
      <c r="K28" s="21"/>
      <c r="L28" s="34" t="s">
        <v>64</v>
      </c>
      <c r="M28" s="35"/>
    </row>
    <row r="29" spans="5:15">
      <c r="E29" s="4" t="s">
        <v>18</v>
      </c>
      <c r="F29" s="11">
        <v>150000</v>
      </c>
      <c r="G29" s="11"/>
      <c r="H29" s="11">
        <f t="shared" si="2"/>
        <v>150000</v>
      </c>
      <c r="J29" s="21">
        <f t="shared" si="0"/>
        <v>0</v>
      </c>
      <c r="K29" s="21"/>
      <c r="L29" s="34" t="s">
        <v>64</v>
      </c>
      <c r="M29" s="35"/>
      <c r="O29" s="13"/>
    </row>
    <row r="30" spans="5:15">
      <c r="E30" s="4" t="s">
        <v>19</v>
      </c>
      <c r="F30" s="11">
        <v>25000</v>
      </c>
      <c r="G30" s="11"/>
      <c r="H30" s="11">
        <f t="shared" si="2"/>
        <v>25000</v>
      </c>
      <c r="J30" s="21">
        <f t="shared" si="0"/>
        <v>0</v>
      </c>
      <c r="K30" s="21"/>
      <c r="L30" s="34" t="s">
        <v>64</v>
      </c>
      <c r="M30" s="35"/>
    </row>
    <row r="31" spans="5:15">
      <c r="E31" s="4" t="s">
        <v>20</v>
      </c>
      <c r="F31" s="11">
        <v>20000</v>
      </c>
      <c r="G31" s="11"/>
      <c r="H31" s="11">
        <f t="shared" si="2"/>
        <v>20000</v>
      </c>
      <c r="J31" s="21">
        <f t="shared" si="0"/>
        <v>0</v>
      </c>
      <c r="K31" s="21"/>
      <c r="L31" s="34" t="s">
        <v>64</v>
      </c>
      <c r="M31" s="35"/>
    </row>
    <row r="32" spans="5:15" ht="14.65" thickBot="1">
      <c r="E32" s="16"/>
      <c r="F32" s="11"/>
      <c r="G32" s="11"/>
      <c r="H32" s="11"/>
      <c r="J32" s="21"/>
      <c r="K32" s="21"/>
    </row>
    <row r="33" spans="5:18" ht="14.65" thickBot="1">
      <c r="E33" s="17" t="s">
        <v>21</v>
      </c>
      <c r="F33" s="12">
        <f>SUM(F16:F31)</f>
        <v>2005000</v>
      </c>
      <c r="G33" s="11"/>
      <c r="H33" s="12">
        <f>SUM(H16:H31)</f>
        <v>1875000</v>
      </c>
      <c r="J33" s="22">
        <f t="shared" si="0"/>
        <v>-130000</v>
      </c>
      <c r="K33" s="31"/>
      <c r="M33" s="23"/>
    </row>
    <row r="34" spans="5:18">
      <c r="E34" s="3"/>
      <c r="F34" s="11"/>
      <c r="G34" s="11"/>
      <c r="H34" s="11"/>
      <c r="J34" s="21"/>
      <c r="K34" s="21"/>
    </row>
    <row r="35" spans="5:18">
      <c r="E35" s="3" t="s">
        <v>22</v>
      </c>
      <c r="F35" s="11"/>
      <c r="G35" s="11"/>
      <c r="H35" s="11"/>
      <c r="J35" s="21"/>
      <c r="K35" s="21"/>
    </row>
    <row r="36" spans="5:18">
      <c r="E36" s="4" t="s">
        <v>23</v>
      </c>
      <c r="F36" s="11">
        <v>400000</v>
      </c>
      <c r="G36" s="11"/>
      <c r="H36" s="11">
        <f>F36</f>
        <v>400000</v>
      </c>
      <c r="J36" s="21">
        <f t="shared" si="0"/>
        <v>0</v>
      </c>
      <c r="K36" s="21"/>
      <c r="L36" s="34" t="s">
        <v>64</v>
      </c>
    </row>
    <row r="37" spans="5:18">
      <c r="E37" s="4" t="s">
        <v>24</v>
      </c>
      <c r="F37" s="11">
        <v>20000</v>
      </c>
      <c r="G37" s="11"/>
      <c r="H37" s="11">
        <f>F37</f>
        <v>20000</v>
      </c>
      <c r="J37" s="21">
        <f t="shared" si="0"/>
        <v>0</v>
      </c>
      <c r="K37" s="21"/>
      <c r="L37" s="34" t="s">
        <v>64</v>
      </c>
    </row>
    <row r="38" spans="5:18">
      <c r="E38" s="4" t="s">
        <v>25</v>
      </c>
      <c r="F38" s="11">
        <v>-1309000</v>
      </c>
      <c r="G38" s="11"/>
      <c r="H38" s="30">
        <f>H33-(H36+H37+H54)</f>
        <v>-1405000</v>
      </c>
      <c r="J38" s="21">
        <f t="shared" si="0"/>
        <v>-96000</v>
      </c>
      <c r="K38" s="21"/>
      <c r="L38" s="33" t="s">
        <v>26</v>
      </c>
      <c r="N38" s="13"/>
    </row>
    <row r="39" spans="5:18" ht="14.65" thickBot="1">
      <c r="F39" s="11"/>
      <c r="G39" s="11"/>
      <c r="H39" s="11"/>
      <c r="J39" s="21">
        <f t="shared" si="0"/>
        <v>0</v>
      </c>
      <c r="K39" s="21"/>
    </row>
    <row r="40" spans="5:18" ht="14.65" thickBot="1">
      <c r="E40" s="17" t="s">
        <v>27</v>
      </c>
      <c r="F40" s="12">
        <f>SUM(F36:F38)</f>
        <v>-889000</v>
      </c>
      <c r="G40" s="11"/>
      <c r="H40" s="12">
        <f>SUM(H36:H38)</f>
        <v>-985000</v>
      </c>
      <c r="J40" s="21">
        <f t="shared" si="0"/>
        <v>-96000</v>
      </c>
      <c r="K40" s="21"/>
    </row>
    <row r="41" spans="5:18">
      <c r="E41" s="3"/>
      <c r="F41" s="11"/>
      <c r="G41" s="11"/>
      <c r="H41" s="11"/>
      <c r="J41" s="21"/>
      <c r="K41" s="21"/>
    </row>
    <row r="42" spans="5:18">
      <c r="E42" s="3" t="s">
        <v>28</v>
      </c>
      <c r="F42" s="11"/>
      <c r="G42" s="11"/>
      <c r="H42" s="11"/>
      <c r="J42" s="21"/>
      <c r="K42" s="21"/>
    </row>
    <row r="43" spans="5:18">
      <c r="E43" s="3"/>
      <c r="F43" s="11"/>
      <c r="G43" s="11"/>
      <c r="H43" s="11"/>
      <c r="J43" s="21"/>
      <c r="K43" s="21"/>
    </row>
    <row r="44" spans="5:18">
      <c r="E44" s="36" t="s">
        <v>29</v>
      </c>
      <c r="F44" s="11">
        <v>60000</v>
      </c>
      <c r="G44" s="11"/>
      <c r="H44" s="11">
        <f>F44</f>
        <v>60000</v>
      </c>
      <c r="J44" s="21">
        <f t="shared" si="0"/>
        <v>0</v>
      </c>
      <c r="K44" s="21"/>
      <c r="L44" s="34" t="s">
        <v>64</v>
      </c>
    </row>
    <row r="45" spans="5:18">
      <c r="E45" s="37" t="s">
        <v>61</v>
      </c>
      <c r="F45" s="11">
        <v>2100000</v>
      </c>
      <c r="G45" s="11"/>
      <c r="H45" s="11"/>
      <c r="J45" s="21"/>
      <c r="K45" s="21"/>
      <c r="L45" s="33" t="s">
        <v>65</v>
      </c>
    </row>
    <row r="46" spans="5:18">
      <c r="E46" s="38" t="s">
        <v>62</v>
      </c>
      <c r="F46" s="11">
        <v>0</v>
      </c>
      <c r="G46" s="11"/>
      <c r="H46" s="11">
        <f>F45+F50</f>
        <v>2700000</v>
      </c>
      <c r="J46" s="21">
        <f t="shared" si="0"/>
        <v>2700000</v>
      </c>
      <c r="K46" s="21"/>
      <c r="L46" s="33" t="s">
        <v>68</v>
      </c>
      <c r="Q46" s="18"/>
    </row>
    <row r="47" spans="5:18">
      <c r="E47" s="37" t="s">
        <v>31</v>
      </c>
      <c r="F47" s="11">
        <v>25000</v>
      </c>
      <c r="G47" s="11"/>
      <c r="H47" s="11"/>
      <c r="J47" s="21">
        <f t="shared" si="0"/>
        <v>-25000</v>
      </c>
      <c r="K47" s="21"/>
      <c r="L47" s="33" t="s">
        <v>65</v>
      </c>
      <c r="M47" s="13"/>
      <c r="Q47" s="18"/>
      <c r="R47" s="18"/>
    </row>
    <row r="48" spans="5:18">
      <c r="E48" s="37" t="s">
        <v>32</v>
      </c>
      <c r="F48" s="11">
        <v>9000</v>
      </c>
      <c r="G48" s="11"/>
      <c r="H48" s="11"/>
      <c r="J48" s="21">
        <f t="shared" si="0"/>
        <v>-9000</v>
      </c>
      <c r="K48" s="21"/>
      <c r="L48" s="33" t="s">
        <v>65</v>
      </c>
      <c r="Q48" s="18"/>
    </row>
    <row r="49" spans="5:17">
      <c r="E49" s="38" t="s">
        <v>33</v>
      </c>
      <c r="F49" s="11">
        <v>0</v>
      </c>
      <c r="G49" s="11"/>
      <c r="H49" s="11">
        <v>0</v>
      </c>
      <c r="J49" s="21">
        <f t="shared" si="0"/>
        <v>0</v>
      </c>
      <c r="K49" s="21"/>
      <c r="L49" s="34" t="s">
        <v>64</v>
      </c>
      <c r="Q49" s="18"/>
    </row>
    <row r="50" spans="5:17">
      <c r="E50" s="37" t="s">
        <v>34</v>
      </c>
      <c r="F50" s="11">
        <v>600000</v>
      </c>
      <c r="G50" s="11"/>
      <c r="H50" s="11"/>
      <c r="J50" s="21">
        <f t="shared" si="0"/>
        <v>-600000</v>
      </c>
      <c r="K50" s="21"/>
      <c r="L50" s="33" t="s">
        <v>65</v>
      </c>
    </row>
    <row r="51" spans="5:17">
      <c r="E51" s="36" t="s">
        <v>35</v>
      </c>
      <c r="F51" s="11">
        <v>100000</v>
      </c>
      <c r="G51" s="11"/>
      <c r="H51" s="11">
        <f>F51</f>
        <v>100000</v>
      </c>
      <c r="J51" s="21">
        <f t="shared" si="0"/>
        <v>0</v>
      </c>
      <c r="K51" s="21"/>
      <c r="L51" s="34" t="s">
        <v>64</v>
      </c>
    </row>
    <row r="52" spans="5:17">
      <c r="E52" s="36" t="s">
        <v>36</v>
      </c>
      <c r="F52" s="11">
        <v>0</v>
      </c>
      <c r="G52" s="11"/>
      <c r="H52" s="11">
        <f>F52</f>
        <v>0</v>
      </c>
      <c r="J52" s="21">
        <f t="shared" si="0"/>
        <v>0</v>
      </c>
      <c r="K52" s="21"/>
    </row>
    <row r="53" spans="5:17">
      <c r="F53" s="11"/>
      <c r="G53" s="11"/>
      <c r="H53" s="11"/>
      <c r="J53" s="21"/>
      <c r="K53" s="21"/>
    </row>
    <row r="54" spans="5:17" ht="14.65" thickBot="1">
      <c r="E54" s="19" t="s">
        <v>37</v>
      </c>
      <c r="F54" s="14">
        <f>SUM(F44:F52)</f>
        <v>2894000</v>
      </c>
      <c r="G54" s="11"/>
      <c r="H54" s="14">
        <f>SUM(H44:H52)</f>
        <v>2860000</v>
      </c>
      <c r="J54" s="25">
        <f t="shared" si="0"/>
        <v>-34000</v>
      </c>
      <c r="K54" s="32"/>
    </row>
    <row r="55" spans="5:17" ht="14.65" thickBot="1">
      <c r="F55" s="13"/>
      <c r="G55" s="13"/>
      <c r="H55" s="13"/>
      <c r="J55" s="21"/>
      <c r="K55" s="21"/>
    </row>
    <row r="56" spans="5:17" ht="14.65" thickBot="1">
      <c r="E56" s="17" t="s">
        <v>38</v>
      </c>
      <c r="F56" s="12">
        <f>F54+F40</f>
        <v>2005000</v>
      </c>
      <c r="G56" s="11"/>
      <c r="H56" s="12">
        <f>H54+H40</f>
        <v>1875000</v>
      </c>
      <c r="J56" s="22">
        <f t="shared" si="0"/>
        <v>-130000</v>
      </c>
      <c r="K56" s="31"/>
    </row>
    <row r="57" spans="5:17">
      <c r="J57" s="21"/>
      <c r="K57" s="21"/>
    </row>
    <row r="58" spans="5:17">
      <c r="G58" s="26" t="s">
        <v>39</v>
      </c>
      <c r="H58" s="29" t="b">
        <f>H33=(H40+H54)</f>
        <v>1</v>
      </c>
      <c r="J58" s="21"/>
      <c r="K58" s="21"/>
    </row>
  </sheetData>
  <mergeCells count="1">
    <mergeCell ref="E3:M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2394CD-E570-4B94-8514-5811210AF228}"/>
</file>

<file path=customXml/itemProps2.xml><?xml version="1.0" encoding="utf-8"?>
<ds:datastoreItem xmlns:ds="http://schemas.openxmlformats.org/officeDocument/2006/customXml" ds:itemID="{650246E4-98DC-40B1-BECA-40ADE0077056}">
  <ds:schemaRefs>
    <ds:schemaRef ds:uri="http://schemas.microsoft.com/office/2006/metadata/properties"/>
    <ds:schemaRef ds:uri="http://schemas.microsoft.com/office/infopath/2007/PartnerControls"/>
    <ds:schemaRef ds:uri="dfa2d9f5-199c-4212-8ee5-c011be210f49"/>
  </ds:schemaRefs>
</ds:datastoreItem>
</file>

<file path=customXml/itemProps3.xml><?xml version="1.0" encoding="utf-8"?>
<ds:datastoreItem xmlns:ds="http://schemas.openxmlformats.org/officeDocument/2006/customXml" ds:itemID="{9BD13547-4FC7-4D33-BB05-C8BA179A7E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Course_Content</vt:lpstr>
      <vt:lpstr>Guidance_Note</vt:lpstr>
      <vt:lpstr>IFRS_4_BS</vt:lpstr>
      <vt:lpstr>Working_File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 Akello</dc:creator>
  <cp:lastModifiedBy>Leslie Akello</cp:lastModifiedBy>
  <dcterms:created xsi:type="dcterms:W3CDTF">2025-10-01T08:42:36Z</dcterms:created>
  <dcterms:modified xsi:type="dcterms:W3CDTF">2025-10-01T11:12:36Z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