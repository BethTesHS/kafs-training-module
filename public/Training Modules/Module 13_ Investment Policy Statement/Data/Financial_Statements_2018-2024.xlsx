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nbright-my.sharepoint.com/personal/fmbula_kenbright_africa/Documents/desktop/Work/Training Modules/IPS/"/>
    </mc:Choice>
  </mc:AlternateContent>
  <xr:revisionPtr revIDLastSave="356" documentId="8_{E40AEAA3-CA83-4CC1-9C8F-99D00B413489}" xr6:coauthVersionLast="47" xr6:coauthVersionMax="47" xr10:uidLastSave="{A92F6B3F-B4D2-4EFA-A472-ED9E0879BF68}"/>
  <bookViews>
    <workbookView xWindow="-110" yWindow="-110" windowWidth="19420" windowHeight="10300" activeTab="1" xr2:uid="{00000000-000D-0000-FFFF-FFFF00000000}"/>
  </bookViews>
  <sheets>
    <sheet name="Changes in Net Assets" sheetId="1" r:id="rId1"/>
    <sheet name="Net Assets Available" sheetId="2" r:id="rId2"/>
    <sheet name="Notes to the Financia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<sst xmlns="http://schemas.openxmlformats.org/spreadsheetml/2006/main" count="86" uniqueCount="68">
  <si>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2018</t>
  </si>
  <si>
    <t>2019</t>
  </si>
  <si>
    <t>2020</t>
  </si>
  <si>
    <t>2021</t>
  </si>
  <si>
    <t>2022</t>
  </si>
  <si>
    <t>2023</t>
  </si>
  <si>
    <t>2024</t>
  </si>
  <si>
    <t>Contribution receivable</t>
  </si>
  <si>
    <t>Benefits payable</t>
  </si>
  <si>
    <t>Net deductions from dealings with members</t>
  </si>
  <si>
    <t>Investment income</t>
  </si>
  <si>
    <t>Change in fair value of investments</t>
  </si>
  <si>
    <t>Investment management expenses</t>
  </si>
  <si>
    <t>Gross return on investments</t>
  </si>
  <si>
    <t>Administrative expenses</t>
  </si>
  <si>
    <t>Tax expense</t>
  </si>
  <si>
    <t>Net return on investments</t>
  </si>
  <si>
    <t>Net assets at start of year</t>
  </si>
  <si>
    <t>Net assets at end of year</t>
  </si>
  <si>
    <t>Notes</t>
  </si>
  <si>
    <t>Investments</t>
  </si>
  <si>
    <t>Financial assets</t>
  </si>
  <si>
    <t>Current Assets</t>
  </si>
  <si>
    <t>Contributions due and other receivables</t>
  </si>
  <si>
    <t>Total Assets</t>
  </si>
  <si>
    <t>Current Liabilities</t>
  </si>
  <si>
    <t>Payables and accrued expenses</t>
  </si>
  <si>
    <t>Tax Payable</t>
  </si>
  <si>
    <t>Total Liabilities</t>
  </si>
  <si>
    <t>Net assets available for benefits</t>
  </si>
  <si>
    <t>Income from dealings with members</t>
  </si>
  <si>
    <t>Outgoings from dealings with members</t>
  </si>
  <si>
    <t>Return on Investments</t>
  </si>
  <si>
    <t>Less:</t>
  </si>
  <si>
    <t>Solara Summit</t>
  </si>
  <si>
    <t>Staff Pension Scheme</t>
  </si>
  <si>
    <t>Statement of Changes in Net Assets Available for Benefits</t>
  </si>
  <si>
    <t>For the years ended 31 December 2018, 2019, 2020, 2021, 2022, 2023 &amp; 2024</t>
  </si>
  <si>
    <t>Financial Assets</t>
  </si>
  <si>
    <t>Government Securities</t>
  </si>
  <si>
    <t>Fixed Deposits</t>
  </si>
  <si>
    <t>Quoted Equities</t>
  </si>
  <si>
    <t>Corporate Bonds</t>
  </si>
  <si>
    <t>Offshore equities</t>
  </si>
  <si>
    <t>Treasury Bills</t>
  </si>
  <si>
    <t>Custodian Fees</t>
  </si>
  <si>
    <t>Investment Managers Fees</t>
  </si>
  <si>
    <t>Employer</t>
  </si>
  <si>
    <t>Employee</t>
  </si>
  <si>
    <t>Total</t>
  </si>
  <si>
    <t>Investment Income</t>
  </si>
  <si>
    <t>Change in Fair Value of Investments</t>
  </si>
  <si>
    <t>Equity investments</t>
  </si>
  <si>
    <t>Treasury Bonds</t>
  </si>
  <si>
    <t>Offshore investments</t>
  </si>
  <si>
    <t>Cash</t>
  </si>
  <si>
    <t>Alpha Bank Kenya Limited</t>
  </si>
  <si>
    <t>Cash at Hand</t>
  </si>
  <si>
    <t>Outstanding for less than 30 days</t>
  </si>
  <si>
    <t>Outstanding for more than 30 days</t>
  </si>
  <si>
    <t>Dividends on equities</t>
  </si>
  <si>
    <t>Interest and Discounts receivable:</t>
  </si>
  <si>
    <t>Fixed and call deposits</t>
  </si>
  <si>
    <t>Equities</t>
  </si>
  <si>
    <t>Total Income</t>
  </si>
  <si>
    <t>Gains and losses on disposal and maturity of Investments:</t>
  </si>
  <si>
    <t>Statement of Net Assets Available for Benefits</t>
  </si>
  <si>
    <t>Notes to the Financials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</si>
</sst>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71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Nunito Sans"/>
    </font>
    <font>
      <b/>
      <sz val="9"/>
      <color theme="1"/>
      <name val="Nunito Sans"/>
    </font>
    <font>
      <b/>
      <i/>
      <sz val="9"/>
      <color theme="1"/>
      <name val="Nunito Sans"/>
    </font>
    <font>
      <b/>
      <sz val="9"/>
      <color rgb="FF000000"/>
      <name val="Nunito Sans"/>
    </font>
    <font>
      <sz val="9"/>
      <color rgb="FF000000"/>
      <name val="Nuni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5" fontId="2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5" fontId="2" fillId="2" borderId="0" xfId="1" applyNumberFormat="1" applyFont="1" applyFill="1" applyAlignment="1">
      <alignment horizontal="right"/>
    </xf>
    <xf numFmtId="165" fontId="3" fillId="2" borderId="0" xfId="1" applyNumberFormat="1" applyFont="1" applyFill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171" fontId="2" fillId="0" borderId="0" xfId="1" applyNumberFormat="1" applyFont="1" applyBorder="1" applyAlignment="1">
      <alignment vertical="center"/>
    </xf>
    <xf numFmtId="165" fontId="2" fillId="0" borderId="0" xfId="1" applyNumberFormat="1" applyFont="1"/>
    <xf numFmtId="0" fontId="3" fillId="0" borderId="0" xfId="0" applyFont="1" applyBorder="1"/>
    <xf numFmtId="171" fontId="2" fillId="0" borderId="0" xfId="0" applyNumberFormat="1" applyFont="1"/>
    <xf numFmtId="171" fontId="3" fillId="0" borderId="0" xfId="0" applyNumberFormat="1" applyFont="1" applyAlignment="1">
      <alignment wrapText="1"/>
    </xf>
    <xf numFmtId="171" fontId="2" fillId="2" borderId="0" xfId="1" applyNumberFormat="1" applyFont="1" applyFill="1" applyAlignment="1">
      <alignment horizontal="right"/>
    </xf>
    <xf numFmtId="171" fontId="3" fillId="0" borderId="2" xfId="0" applyNumberFormat="1" applyFont="1" applyBorder="1"/>
    <xf numFmtId="171" fontId="3" fillId="0" borderId="0" xfId="0" applyNumberFormat="1" applyFont="1"/>
    <xf numFmtId="171" fontId="3" fillId="2" borderId="0" xfId="1" applyNumberFormat="1" applyFont="1" applyFill="1" applyAlignment="1">
      <alignment horizontal="right"/>
    </xf>
    <xf numFmtId="171" fontId="2" fillId="0" borderId="0" xfId="0" applyNumberFormat="1" applyFont="1" applyAlignment="1">
      <alignment wrapText="1"/>
    </xf>
    <xf numFmtId="171" fontId="2" fillId="0" borderId="0" xfId="1" applyNumberFormat="1" applyFont="1"/>
    <xf numFmtId="171" fontId="3" fillId="0" borderId="0" xfId="0" applyNumberFormat="1" applyFont="1" applyBorder="1"/>
    <xf numFmtId="1" fontId="3" fillId="0" borderId="0" xfId="0" applyNumberFormat="1" applyFont="1" applyAlignment="1">
      <alignment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5" fontId="3" fillId="0" borderId="0" xfId="1" applyNumberFormat="1" applyFont="1"/>
    <xf numFmtId="0" fontId="3" fillId="0" borderId="1" xfId="0" applyFont="1" applyBorder="1"/>
    <xf numFmtId="0" fontId="5" fillId="0" borderId="0" xfId="0" applyFont="1" applyAlignment="1">
      <alignment horizontal="right"/>
    </xf>
    <xf numFmtId="1" fontId="3" fillId="0" borderId="0" xfId="0" applyNumberFormat="1" applyFont="1" applyAlignment="1">
      <alignment horizontal="right" wrapText="1"/>
    </xf>
    <xf numFmtId="165" fontId="5" fillId="0" borderId="0" xfId="1" applyNumberFormat="1" applyFont="1" applyAlignment="1">
      <alignment horizontal="right"/>
    </xf>
    <xf numFmtId="165" fontId="6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showGridLines="0" workbookViewId="0">
      <selection activeCell="A15" sqref="A15"/>
    </sheetView>
  </sheetViews>
  <sheetFormatPr defaultRowHeight="14.5" x14ac:dyDescent="0.45"/>
  <cols>
    <col min="1" max="1" width="34.90625" style="1" customWidth="1"/>
    <col min="2" max="2" width="7.453125" style="3" customWidth="1"/>
    <col min="3" max="9" width="12" style="1" bestFit="1" customWidth="1"/>
    <col min="10" max="16384" width="8.7265625" style="1"/>
  </cols>
  <sheetData>
    <row r="1" spans="1:9" x14ac:dyDescent="0.45">
      <c r="B1" s="1"/>
    </row>
    <row r="2" spans="1:9" x14ac:dyDescent="0.45">
      <c r="A2" s="3" t="s">
        <v>34</v>
      </c>
      <c r="B2" s="1"/>
    </row>
    <row r="3" spans="1:9" x14ac:dyDescent="0.45">
      <c r="A3" s="3" t="s">
        <v>35</v>
      </c>
      <c r="B3" s="1"/>
    </row>
    <row r="4" spans="1:9" x14ac:dyDescent="0.45">
      <c r="A4" s="3" t="s">
        <v>36</v>
      </c>
      <c r="B4" s="1"/>
    </row>
    <row r="5" spans="1:9" ht="15" thickBot="1" x14ac:dyDescent="0.5">
      <c r="A5" s="30" t="s">
        <v>37</v>
      </c>
      <c r="B5" s="2"/>
      <c r="C5" s="2"/>
      <c r="D5" s="2"/>
      <c r="E5" s="2"/>
      <c r="F5" s="2"/>
      <c r="G5" s="2"/>
      <c r="H5" s="2"/>
      <c r="I5" s="2"/>
    </row>
    <row r="6" spans="1:9" ht="15" thickTop="1" x14ac:dyDescent="0.45">
      <c r="B6" s="1"/>
    </row>
    <row r="7" spans="1:9" x14ac:dyDescent="0.45">
      <c r="B7" s="3" t="s">
        <v>19</v>
      </c>
      <c r="C7" s="5" t="s">
        <v>0</v>
      </c>
      <c r="D7" s="5" t="s">
        <v>1</v>
      </c>
      <c r="E7" s="5" t="s">
        <v>2</v>
      </c>
      <c r="F7" s="5" t="s">
        <v>3</v>
      </c>
      <c r="G7" s="5" t="s">
        <v>4</v>
      </c>
      <c r="H7" s="5" t="s">
        <v>5</v>
      </c>
      <c r="I7" s="5" t="s">
        <v>6</v>
      </c>
    </row>
    <row r="8" spans="1:9" x14ac:dyDescent="0.45">
      <c r="C8" s="5"/>
      <c r="D8" s="5"/>
      <c r="E8" s="5"/>
      <c r="F8" s="5"/>
      <c r="G8" s="5"/>
      <c r="H8" s="5"/>
      <c r="I8" s="5"/>
    </row>
    <row r="9" spans="1:9" x14ac:dyDescent="0.45">
      <c r="A9" s="3" t="s">
        <v>30</v>
      </c>
      <c r="C9" s="6"/>
      <c r="D9" s="6"/>
      <c r="E9" s="6"/>
      <c r="F9" s="6"/>
      <c r="G9" s="6"/>
      <c r="H9" s="6"/>
      <c r="I9" s="6"/>
    </row>
    <row r="10" spans="1:9" x14ac:dyDescent="0.45">
      <c r="A10" s="1" t="s">
        <v>7</v>
      </c>
      <c r="B10" s="3">
        <v>1</v>
      </c>
      <c r="C10" s="7">
        <v>38233998</v>
      </c>
      <c r="D10" s="7">
        <v>52802442</v>
      </c>
      <c r="E10" s="7">
        <v>37710816</v>
      </c>
      <c r="F10" s="7">
        <v>47313519</v>
      </c>
      <c r="G10" s="7">
        <v>43275507</v>
      </c>
      <c r="H10" s="7">
        <v>48074202</v>
      </c>
      <c r="I10" s="7">
        <v>71451765</v>
      </c>
    </row>
    <row r="11" spans="1:9" x14ac:dyDescent="0.45">
      <c r="C11" s="7"/>
      <c r="D11" s="7"/>
      <c r="E11" s="7"/>
      <c r="F11" s="7"/>
      <c r="G11" s="7"/>
      <c r="H11" s="7"/>
      <c r="I11" s="7"/>
    </row>
    <row r="12" spans="1:9" x14ac:dyDescent="0.45">
      <c r="A12" s="3" t="s">
        <v>31</v>
      </c>
      <c r="C12" s="7"/>
      <c r="D12" s="7"/>
      <c r="E12" s="7"/>
      <c r="F12" s="7"/>
      <c r="G12" s="7"/>
      <c r="H12" s="7"/>
      <c r="I12" s="7"/>
    </row>
    <row r="13" spans="1:9" x14ac:dyDescent="0.45">
      <c r="A13" s="1" t="s">
        <v>8</v>
      </c>
      <c r="B13" s="3">
        <v>2</v>
      </c>
      <c r="C13" s="7">
        <v>13809493.764705881</v>
      </c>
      <c r="D13" s="7">
        <v>16357180.588235294</v>
      </c>
      <c r="E13" s="7">
        <v>18811779.117647059</v>
      </c>
      <c r="F13" s="7">
        <v>21353512.529411763</v>
      </c>
      <c r="G13" s="7">
        <v>23036836.882352941</v>
      </c>
      <c r="H13" s="7">
        <v>25430704.352941178</v>
      </c>
      <c r="I13" s="7">
        <v>29816162.647058822</v>
      </c>
    </row>
    <row r="14" spans="1:9" x14ac:dyDescent="0.45">
      <c r="C14" s="7"/>
      <c r="D14" s="7"/>
      <c r="E14" s="7"/>
      <c r="F14" s="7"/>
      <c r="G14" s="7"/>
      <c r="H14" s="7"/>
      <c r="I14" s="7"/>
    </row>
    <row r="15" spans="1:9" s="3" customFormat="1" x14ac:dyDescent="0.45">
      <c r="A15" s="3" t="s">
        <v>9</v>
      </c>
      <c r="C15" s="8">
        <v>24424504.235294119</v>
      </c>
      <c r="D15" s="8">
        <v>36445261.411764704</v>
      </c>
      <c r="E15" s="8">
        <v>18899036.882352941</v>
      </c>
      <c r="F15" s="8">
        <v>25960006.470588237</v>
      </c>
      <c r="G15" s="8">
        <v>20238670.117647059</v>
      </c>
      <c r="H15" s="8">
        <v>22643497.647058822</v>
      </c>
      <c r="I15" s="8">
        <v>41635602.352941178</v>
      </c>
    </row>
    <row r="16" spans="1:9" x14ac:dyDescent="0.45">
      <c r="C16" s="7"/>
      <c r="D16" s="7"/>
      <c r="E16" s="7"/>
      <c r="F16" s="7"/>
      <c r="G16" s="7"/>
      <c r="H16" s="7"/>
      <c r="I16" s="7"/>
    </row>
    <row r="17" spans="1:9" x14ac:dyDescent="0.45">
      <c r="A17" s="3" t="s">
        <v>32</v>
      </c>
      <c r="C17" s="7"/>
      <c r="D17" s="7"/>
      <c r="E17" s="7"/>
      <c r="F17" s="7"/>
      <c r="G17" s="7"/>
      <c r="H17" s="7"/>
      <c r="I17" s="7"/>
    </row>
    <row r="18" spans="1:9" x14ac:dyDescent="0.45">
      <c r="A18" s="1" t="s">
        <v>10</v>
      </c>
      <c r="B18" s="3">
        <v>3</v>
      </c>
      <c r="C18" s="7">
        <v>15034521.000000002</v>
      </c>
      <c r="D18" s="7">
        <v>15475002</v>
      </c>
      <c r="E18" s="7">
        <v>15914498.000000002</v>
      </c>
      <c r="F18" s="7">
        <v>16352922</v>
      </c>
      <c r="G18" s="7">
        <v>16789219</v>
      </c>
      <c r="H18" s="7">
        <v>17220867.000000004</v>
      </c>
      <c r="I18" s="7">
        <v>17651103</v>
      </c>
    </row>
    <row r="19" spans="1:9" x14ac:dyDescent="0.45">
      <c r="A19" s="1" t="s">
        <v>11</v>
      </c>
      <c r="B19" s="3">
        <v>4</v>
      </c>
      <c r="C19" s="7">
        <v>3860939</v>
      </c>
      <c r="D19" s="7">
        <v>7124812</v>
      </c>
      <c r="E19" s="7">
        <v>-252601</v>
      </c>
      <c r="F19" s="7">
        <v>-1314000</v>
      </c>
      <c r="G19" s="7">
        <v>-12572033</v>
      </c>
      <c r="H19" s="7">
        <v>-6660109</v>
      </c>
      <c r="I19" s="7">
        <v>11132071</v>
      </c>
    </row>
    <row r="20" spans="1:9" x14ac:dyDescent="0.45">
      <c r="A20" s="3" t="s">
        <v>33</v>
      </c>
      <c r="C20" s="7"/>
      <c r="D20" s="7"/>
      <c r="E20" s="7"/>
      <c r="F20" s="7"/>
      <c r="G20" s="7"/>
      <c r="H20" s="7"/>
      <c r="I20" s="7"/>
    </row>
    <row r="21" spans="1:9" x14ac:dyDescent="0.45">
      <c r="A21" s="1" t="s">
        <v>12</v>
      </c>
      <c r="B21" s="3">
        <v>5</v>
      </c>
      <c r="C21" s="7">
        <v>2464986</v>
      </c>
      <c r="D21" s="7">
        <v>3455292.8</v>
      </c>
      <c r="E21" s="7">
        <v>4037221.42</v>
      </c>
      <c r="F21" s="7">
        <v>3502220.08</v>
      </c>
      <c r="G21" s="7">
        <v>3894897.99</v>
      </c>
      <c r="H21" s="7">
        <v>4216002.58</v>
      </c>
      <c r="I21" s="7">
        <v>4667893.8</v>
      </c>
    </row>
    <row r="22" spans="1:9" x14ac:dyDescent="0.45">
      <c r="C22" s="7"/>
      <c r="D22" s="7"/>
      <c r="E22" s="7"/>
      <c r="F22" s="7"/>
      <c r="G22" s="7"/>
      <c r="H22" s="7"/>
      <c r="I22" s="7"/>
    </row>
    <row r="23" spans="1:9" s="3" customFormat="1" x14ac:dyDescent="0.45">
      <c r="A23" s="3" t="s">
        <v>13</v>
      </c>
      <c r="C23" s="8">
        <v>8708596.0000000019</v>
      </c>
      <c r="D23" s="8">
        <v>4894897.2</v>
      </c>
      <c r="E23" s="8">
        <v>12129877.580000002</v>
      </c>
      <c r="F23" s="8">
        <v>14164701.92</v>
      </c>
      <c r="G23" s="8">
        <v>25466354.009999998</v>
      </c>
      <c r="H23" s="8">
        <v>19664973.420000002</v>
      </c>
      <c r="I23" s="8">
        <v>1851138.2000000002</v>
      </c>
    </row>
    <row r="24" spans="1:9" x14ac:dyDescent="0.45">
      <c r="A24" s="3"/>
      <c r="C24" s="7"/>
      <c r="D24" s="7"/>
      <c r="E24" s="7"/>
      <c r="F24" s="7"/>
      <c r="G24" s="7"/>
      <c r="H24" s="7"/>
      <c r="I24" s="7"/>
    </row>
    <row r="25" spans="1:9" x14ac:dyDescent="0.45">
      <c r="A25" s="1" t="s">
        <v>14</v>
      </c>
      <c r="B25" s="3">
        <v>6</v>
      </c>
      <c r="C25" s="7">
        <v>1191820</v>
      </c>
      <c r="D25" s="7">
        <v>1334430</v>
      </c>
      <c r="E25" s="7">
        <v>1219897</v>
      </c>
      <c r="F25" s="7">
        <v>1581285.0252031966</v>
      </c>
      <c r="G25" s="7">
        <v>1920397</v>
      </c>
      <c r="H25" s="7">
        <v>2474131</v>
      </c>
      <c r="I25" s="7">
        <v>2631699</v>
      </c>
    </row>
    <row r="26" spans="1:9" x14ac:dyDescent="0.45">
      <c r="A26" s="1" t="s">
        <v>15</v>
      </c>
      <c r="B26" s="3">
        <v>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</row>
    <row r="27" spans="1:9" x14ac:dyDescent="0.45">
      <c r="C27" s="7"/>
      <c r="D27" s="7"/>
      <c r="E27" s="7"/>
      <c r="F27" s="7"/>
      <c r="G27" s="7"/>
      <c r="H27" s="7"/>
      <c r="I27" s="7"/>
    </row>
    <row r="28" spans="1:9" s="3" customFormat="1" x14ac:dyDescent="0.45">
      <c r="A28" s="3" t="s">
        <v>16</v>
      </c>
      <c r="C28" s="8">
        <v>7516776.0000000019</v>
      </c>
      <c r="D28" s="8">
        <v>3560467.2</v>
      </c>
      <c r="E28" s="8">
        <v>10909980.580000002</v>
      </c>
      <c r="F28" s="8">
        <v>12583416.894796804</v>
      </c>
      <c r="G28" s="8">
        <v>23545957.009999998</v>
      </c>
      <c r="H28" s="8">
        <v>17190842.420000002</v>
      </c>
      <c r="I28" s="8">
        <v>-780560.79999999981</v>
      </c>
    </row>
    <row r="29" spans="1:9" x14ac:dyDescent="0.45">
      <c r="A29" s="3"/>
      <c r="C29" s="7"/>
      <c r="D29" s="7"/>
      <c r="E29" s="7"/>
      <c r="F29" s="7"/>
      <c r="G29" s="7"/>
      <c r="H29" s="7"/>
      <c r="I29" s="7"/>
    </row>
    <row r="30" spans="1:9" x14ac:dyDescent="0.45">
      <c r="A30" s="1" t="s">
        <v>17</v>
      </c>
      <c r="C30" s="7">
        <v>0</v>
      </c>
      <c r="D30" s="7">
        <v>382339980</v>
      </c>
      <c r="E30" s="7">
        <v>528024420</v>
      </c>
      <c r="F30" s="7">
        <v>377108160</v>
      </c>
      <c r="G30" s="7">
        <v>473135190</v>
      </c>
      <c r="H30" s="7">
        <v>432755070</v>
      </c>
      <c r="I30" s="7">
        <v>480742020</v>
      </c>
    </row>
    <row r="31" spans="1:9" x14ac:dyDescent="0.45">
      <c r="C31" s="7"/>
      <c r="D31" s="7"/>
      <c r="E31" s="7"/>
      <c r="F31" s="7"/>
      <c r="G31" s="7"/>
      <c r="H31" s="7"/>
      <c r="I31" s="7"/>
    </row>
    <row r="32" spans="1:9" s="3" customFormat="1" x14ac:dyDescent="0.45">
      <c r="A32" s="3" t="s">
        <v>18</v>
      </c>
      <c r="C32" s="8">
        <v>382339980</v>
      </c>
      <c r="D32" s="8">
        <v>528024420</v>
      </c>
      <c r="E32" s="8">
        <v>377108160</v>
      </c>
      <c r="F32" s="8">
        <v>473135190</v>
      </c>
      <c r="G32" s="8">
        <v>432755070</v>
      </c>
      <c r="H32" s="8">
        <v>480742020</v>
      </c>
      <c r="I32" s="5">
        <v>714517650</v>
      </c>
    </row>
    <row r="34" spans="3:9" x14ac:dyDescent="0.45">
      <c r="C34" s="4"/>
      <c r="D34" s="4"/>
      <c r="E34" s="4"/>
      <c r="F34" s="4"/>
      <c r="G34" s="4"/>
      <c r="H34" s="4"/>
      <c r="I34" s="4"/>
    </row>
    <row r="35" spans="3:9" x14ac:dyDescent="0.45">
      <c r="D35" s="4"/>
    </row>
    <row r="36" spans="3:9" x14ac:dyDescent="0.45">
      <c r="C36" s="4"/>
      <c r="D36" s="4"/>
      <c r="E36" s="4"/>
      <c r="F36" s="4"/>
      <c r="G36" s="4"/>
      <c r="H36" s="4"/>
      <c r="I3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E990-5478-4CD0-B7EC-4F324507DCC7}">
  <dimension ref="A1:J24"/>
  <sheetViews>
    <sheetView showGridLines="0" tabSelected="1" workbookViewId="0">
      <selection activeCell="E15" sqref="E15"/>
    </sheetView>
  </sheetViews>
  <sheetFormatPr defaultRowHeight="14.5" x14ac:dyDescent="0.45"/>
  <cols>
    <col min="1" max="1" width="31.36328125" style="1" customWidth="1"/>
    <col min="2" max="2" width="7.7265625" style="5" customWidth="1"/>
    <col min="3" max="3" width="13.6328125" style="36" customWidth="1"/>
    <col min="4" max="6" width="14.81640625" style="36" bestFit="1" customWidth="1"/>
    <col min="7" max="7" width="14.81640625" style="35" bestFit="1" customWidth="1"/>
    <col min="8" max="9" width="14.6328125" style="35" bestFit="1" customWidth="1"/>
    <col min="10" max="10" width="14.6328125" style="1" bestFit="1" customWidth="1"/>
    <col min="11" max="16384" width="8.7265625" style="1"/>
  </cols>
  <sheetData>
    <row r="1" spans="1:10" x14ac:dyDescent="0.45">
      <c r="B1" s="1"/>
      <c r="C1" s="3"/>
      <c r="D1" s="29"/>
      <c r="E1" s="29"/>
      <c r="F1" s="29"/>
      <c r="G1" s="29"/>
      <c r="H1" s="11"/>
      <c r="I1" s="11"/>
      <c r="J1" s="11"/>
    </row>
    <row r="2" spans="1:10" x14ac:dyDescent="0.45">
      <c r="A2" s="3" t="s">
        <v>34</v>
      </c>
      <c r="B2" s="1"/>
      <c r="C2" s="1"/>
      <c r="D2" s="1"/>
      <c r="E2" s="1"/>
      <c r="F2" s="1"/>
      <c r="G2" s="1"/>
      <c r="H2" s="1"/>
      <c r="I2" s="1"/>
    </row>
    <row r="3" spans="1:10" x14ac:dyDescent="0.45">
      <c r="A3" s="3" t="s">
        <v>35</v>
      </c>
      <c r="B3" s="1"/>
      <c r="C3" s="1"/>
      <c r="D3" s="1"/>
      <c r="E3" s="1"/>
      <c r="F3" s="1"/>
      <c r="G3" s="1"/>
      <c r="H3" s="1"/>
      <c r="I3" s="1"/>
    </row>
    <row r="4" spans="1:10" x14ac:dyDescent="0.45">
      <c r="A4" s="3" t="s">
        <v>66</v>
      </c>
      <c r="B4" s="1"/>
      <c r="C4" s="1"/>
      <c r="D4" s="1"/>
      <c r="E4" s="1"/>
      <c r="F4" s="1"/>
      <c r="G4" s="1"/>
      <c r="H4" s="1"/>
      <c r="I4" s="1"/>
    </row>
    <row r="5" spans="1:10" ht="15" thickBot="1" x14ac:dyDescent="0.5">
      <c r="A5" s="30" t="s">
        <v>37</v>
      </c>
      <c r="B5" s="2"/>
      <c r="C5" s="2"/>
      <c r="D5" s="2"/>
      <c r="E5" s="2"/>
      <c r="F5" s="2"/>
      <c r="G5" s="2"/>
      <c r="H5" s="2"/>
      <c r="I5" s="2"/>
    </row>
    <row r="6" spans="1:10" ht="15" thickTop="1" x14ac:dyDescent="0.45">
      <c r="B6" s="3"/>
      <c r="C6" s="29"/>
      <c r="D6" s="29"/>
      <c r="E6" s="29"/>
      <c r="F6" s="29"/>
      <c r="G6" s="11"/>
      <c r="H6" s="11"/>
      <c r="I6" s="11"/>
    </row>
    <row r="7" spans="1:10" x14ac:dyDescent="0.45">
      <c r="B7" s="31" t="s">
        <v>19</v>
      </c>
      <c r="C7" s="32">
        <v>2018</v>
      </c>
      <c r="D7" s="32">
        <v>2019</v>
      </c>
      <c r="E7" s="32">
        <v>2020</v>
      </c>
      <c r="F7" s="32">
        <v>2021</v>
      </c>
      <c r="G7" s="32">
        <v>2022</v>
      </c>
      <c r="H7" s="32">
        <v>2023</v>
      </c>
      <c r="I7" s="32">
        <v>2024</v>
      </c>
    </row>
    <row r="8" spans="1:10" x14ac:dyDescent="0.45">
      <c r="B8" s="31"/>
      <c r="C8" s="33"/>
      <c r="D8" s="33"/>
      <c r="E8" s="33"/>
      <c r="F8" s="33"/>
      <c r="G8" s="34"/>
      <c r="H8" s="34"/>
    </row>
    <row r="9" spans="1:10" x14ac:dyDescent="0.45">
      <c r="A9" s="27" t="s">
        <v>20</v>
      </c>
      <c r="B9" s="31"/>
      <c r="C9" s="33"/>
      <c r="D9" s="33"/>
      <c r="E9" s="33"/>
      <c r="F9" s="33"/>
      <c r="G9" s="34"/>
      <c r="H9" s="34"/>
    </row>
    <row r="10" spans="1:10" x14ac:dyDescent="0.45">
      <c r="A10" s="28" t="s">
        <v>21</v>
      </c>
      <c r="B10" s="31">
        <v>8</v>
      </c>
      <c r="C10" s="34">
        <v>426880383.80320054</v>
      </c>
      <c r="D10" s="34">
        <v>525415977.12792379</v>
      </c>
      <c r="E10" s="34">
        <v>656914839.22132015</v>
      </c>
      <c r="F10" s="34">
        <v>718743148.78878355</v>
      </c>
      <c r="G10" s="34">
        <v>849192965.60813785</v>
      </c>
      <c r="H10" s="34">
        <v>1035030222.6122186</v>
      </c>
      <c r="I10" s="35">
        <v>1117430833.6125164</v>
      </c>
    </row>
    <row r="11" spans="1:10" x14ac:dyDescent="0.45">
      <c r="A11" s="28"/>
      <c r="B11" s="31"/>
      <c r="C11" s="33"/>
      <c r="D11" s="33"/>
      <c r="E11" s="33"/>
      <c r="F11" s="33"/>
      <c r="G11" s="34"/>
      <c r="H11" s="34"/>
    </row>
    <row r="12" spans="1:10" x14ac:dyDescent="0.45">
      <c r="A12" s="27" t="s">
        <v>22</v>
      </c>
      <c r="B12" s="31"/>
      <c r="C12" s="33"/>
      <c r="D12" s="33"/>
      <c r="E12" s="33"/>
      <c r="F12" s="33"/>
      <c r="G12" s="34"/>
      <c r="H12" s="34"/>
    </row>
    <row r="13" spans="1:10" x14ac:dyDescent="0.45">
      <c r="A13" s="28" t="s">
        <v>23</v>
      </c>
      <c r="B13" s="31">
        <v>9</v>
      </c>
      <c r="C13" s="34">
        <v>242378</v>
      </c>
      <c r="D13" s="34">
        <v>240889</v>
      </c>
      <c r="E13" s="34">
        <v>424211</v>
      </c>
      <c r="F13" s="34">
        <v>543705</v>
      </c>
      <c r="G13" s="34">
        <v>726686</v>
      </c>
      <c r="H13" s="34">
        <v>727679</v>
      </c>
      <c r="I13" s="35">
        <v>363361</v>
      </c>
    </row>
    <row r="14" spans="1:10" x14ac:dyDescent="0.45">
      <c r="A14" s="28" t="s">
        <v>55</v>
      </c>
      <c r="B14" s="31">
        <v>10</v>
      </c>
      <c r="C14" s="34">
        <v>676754.00466134271</v>
      </c>
      <c r="D14" s="34">
        <v>461090.86207570689</v>
      </c>
      <c r="E14" s="34">
        <v>182415.80789989175</v>
      </c>
      <c r="F14" s="34">
        <v>55409.90017178213</v>
      </c>
      <c r="G14" s="34">
        <v>1064327.3395999297</v>
      </c>
      <c r="H14" s="34">
        <v>5496416.9342356371</v>
      </c>
      <c r="I14" s="35">
        <v>1439381.3874840031</v>
      </c>
    </row>
    <row r="15" spans="1:10" x14ac:dyDescent="0.45">
      <c r="A15" s="28"/>
      <c r="B15" s="31"/>
      <c r="C15" s="33"/>
      <c r="D15" s="33"/>
      <c r="E15" s="33"/>
      <c r="F15" s="33"/>
      <c r="G15" s="34"/>
      <c r="H15" s="34"/>
    </row>
    <row r="16" spans="1:10" s="3" customFormat="1" x14ac:dyDescent="0.45">
      <c r="A16" s="27" t="s">
        <v>24</v>
      </c>
      <c r="B16" s="31"/>
      <c r="C16" s="33">
        <v>427799515.80786186</v>
      </c>
      <c r="D16" s="33">
        <v>526117956.98999947</v>
      </c>
      <c r="E16" s="33">
        <v>657521466.02921999</v>
      </c>
      <c r="F16" s="33">
        <v>719342263.68895531</v>
      </c>
      <c r="G16" s="33">
        <v>850983978.94773781</v>
      </c>
      <c r="H16" s="33">
        <v>1041254318.5464543</v>
      </c>
      <c r="I16" s="33">
        <v>1119233576.0000005</v>
      </c>
    </row>
    <row r="17" spans="1:9" x14ac:dyDescent="0.45">
      <c r="A17" s="27"/>
      <c r="B17" s="31"/>
      <c r="C17" s="33"/>
      <c r="D17" s="33"/>
      <c r="E17" s="33"/>
      <c r="F17" s="33"/>
      <c r="G17" s="34"/>
      <c r="H17" s="34"/>
    </row>
    <row r="18" spans="1:9" s="3" customFormat="1" x14ac:dyDescent="0.45">
      <c r="A18" s="27" t="s">
        <v>25</v>
      </c>
      <c r="B18" s="31"/>
      <c r="C18" s="33"/>
      <c r="D18" s="33"/>
      <c r="E18" s="33"/>
      <c r="F18" s="33"/>
      <c r="G18" s="33"/>
      <c r="H18" s="33"/>
      <c r="I18" s="36"/>
    </row>
    <row r="19" spans="1:9" x14ac:dyDescent="0.45">
      <c r="A19" s="28" t="s">
        <v>26</v>
      </c>
      <c r="B19" s="31"/>
      <c r="C19" s="34">
        <v>40913582.227075681</v>
      </c>
      <c r="D19" s="34">
        <v>-1715816.7090004743</v>
      </c>
      <c r="E19" s="34">
        <v>252371975.42629799</v>
      </c>
      <c r="F19" s="34">
        <v>221586366.32005978</v>
      </c>
      <c r="G19" s="34">
        <v>376406018.05296403</v>
      </c>
      <c r="H19" s="34">
        <v>504461068.69180888</v>
      </c>
      <c r="I19" s="34">
        <v>364244333.40000045</v>
      </c>
    </row>
    <row r="20" spans="1:9" x14ac:dyDescent="0.45">
      <c r="A20" s="28" t="s">
        <v>27</v>
      </c>
      <c r="B20" s="31"/>
      <c r="C20" s="34">
        <v>4545953.5807861835</v>
      </c>
      <c r="D20" s="34">
        <v>-190646.3010000526</v>
      </c>
      <c r="E20" s="34">
        <v>28041330.602921993</v>
      </c>
      <c r="F20" s="34">
        <v>24620707.368895531</v>
      </c>
      <c r="G20" s="34">
        <v>41822890.894773781</v>
      </c>
      <c r="H20" s="34">
        <v>56051229.854645431</v>
      </c>
      <c r="I20" s="34">
        <v>40471592.600000024</v>
      </c>
    </row>
    <row r="21" spans="1:9" s="3" customFormat="1" x14ac:dyDescent="0.45">
      <c r="A21" s="27" t="s">
        <v>28</v>
      </c>
      <c r="B21" s="31"/>
      <c r="C21" s="33">
        <v>45459535.807861865</v>
      </c>
      <c r="D21" s="33">
        <v>-1906463.0100005269</v>
      </c>
      <c r="E21" s="33">
        <v>280413306.02921999</v>
      </c>
      <c r="F21" s="33">
        <v>246207073.68895531</v>
      </c>
      <c r="G21" s="33">
        <v>418228908.94773781</v>
      </c>
      <c r="H21" s="33">
        <v>560512298.54645431</v>
      </c>
      <c r="I21" s="33">
        <v>404715926.00000048</v>
      </c>
    </row>
    <row r="22" spans="1:9" s="3" customFormat="1" x14ac:dyDescent="0.45">
      <c r="A22" s="27"/>
      <c r="B22" s="31"/>
      <c r="C22" s="33"/>
      <c r="D22" s="33"/>
      <c r="E22" s="33"/>
      <c r="F22" s="33"/>
      <c r="G22" s="33"/>
      <c r="H22" s="33"/>
      <c r="I22" s="36"/>
    </row>
    <row r="23" spans="1:9" s="3" customFormat="1" x14ac:dyDescent="0.45">
      <c r="A23" s="27" t="s">
        <v>29</v>
      </c>
      <c r="B23" s="31"/>
      <c r="C23" s="33">
        <v>382339980</v>
      </c>
      <c r="D23" s="33">
        <v>528024420</v>
      </c>
      <c r="E23" s="33">
        <v>377108160</v>
      </c>
      <c r="F23" s="33">
        <v>473135190</v>
      </c>
      <c r="G23" s="33">
        <v>432755070</v>
      </c>
      <c r="H23" s="33">
        <v>480742020</v>
      </c>
      <c r="I23" s="33">
        <v>714517650</v>
      </c>
    </row>
    <row r="24" spans="1:9" s="3" customFormat="1" x14ac:dyDescent="0.45">
      <c r="A24" s="27"/>
      <c r="B24" s="31"/>
      <c r="C24" s="33"/>
      <c r="D24" s="33"/>
      <c r="E24" s="33"/>
      <c r="F24" s="33"/>
      <c r="G24" s="33"/>
      <c r="H24" s="33"/>
      <c r="I24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3815-7880-4EDC-9E0A-D393D9AB3E26}">
  <dimension ref="B1:J63"/>
  <sheetViews>
    <sheetView showGridLines="0" topLeftCell="A45" workbookViewId="0">
      <selection activeCell="D13" sqref="D13"/>
    </sheetView>
  </sheetViews>
  <sheetFormatPr defaultRowHeight="14.5" x14ac:dyDescent="0.45"/>
  <cols>
    <col min="1" max="1" width="8.7265625" style="1"/>
    <col min="2" max="2" width="8.7265625" style="5"/>
    <col min="3" max="3" width="43.6328125" style="1" customWidth="1"/>
    <col min="4" max="4" width="15.453125" style="13" customWidth="1"/>
    <col min="5" max="5" width="13.26953125" style="13" customWidth="1"/>
    <col min="6" max="6" width="14.54296875" style="13" customWidth="1"/>
    <col min="7" max="8" width="12.26953125" style="13" customWidth="1"/>
    <col min="9" max="9" width="14.36328125" style="13" customWidth="1"/>
    <col min="10" max="10" width="13.1796875" style="13" customWidth="1"/>
    <col min="11" max="16384" width="8.7265625" style="1"/>
  </cols>
  <sheetData>
    <row r="1" spans="2:10" x14ac:dyDescent="0.45">
      <c r="B1" s="5" t="s">
        <v>67</v>
      </c>
    </row>
    <row r="3" spans="2:10" x14ac:dyDescent="0.45">
      <c r="B3" s="5">
        <v>1</v>
      </c>
      <c r="C3" s="3" t="s">
        <v>7</v>
      </c>
      <c r="D3" s="22">
        <v>2018</v>
      </c>
      <c r="E3" s="22">
        <v>2019</v>
      </c>
      <c r="F3" s="22">
        <v>2020</v>
      </c>
      <c r="G3" s="22">
        <v>2021</v>
      </c>
      <c r="H3" s="22">
        <v>2022</v>
      </c>
      <c r="I3" s="22">
        <v>2023</v>
      </c>
      <c r="J3" s="22">
        <v>2024</v>
      </c>
    </row>
    <row r="4" spans="2:10" x14ac:dyDescent="0.45">
      <c r="C4" s="6" t="s">
        <v>47</v>
      </c>
      <c r="D4" s="15">
        <v>15293599.199999999</v>
      </c>
      <c r="E4" s="15">
        <v>21120976.800000001</v>
      </c>
      <c r="F4" s="15">
        <v>15084326.400000002</v>
      </c>
      <c r="G4" s="15">
        <v>18925407.600000001</v>
      </c>
      <c r="H4" s="15">
        <v>17310202.800000001</v>
      </c>
      <c r="I4" s="15">
        <v>19229680.800000001</v>
      </c>
      <c r="J4" s="15">
        <v>28580706</v>
      </c>
    </row>
    <row r="5" spans="2:10" ht="15" thickBot="1" x14ac:dyDescent="0.5">
      <c r="C5" s="6" t="s">
        <v>48</v>
      </c>
      <c r="D5" s="15">
        <v>22940398.800000001</v>
      </c>
      <c r="E5" s="15">
        <v>31681465.199999999</v>
      </c>
      <c r="F5" s="15">
        <v>22626489.599999998</v>
      </c>
      <c r="G5" s="15">
        <v>28388111.399999999</v>
      </c>
      <c r="H5" s="15">
        <v>25965304.199999999</v>
      </c>
      <c r="I5" s="15">
        <v>28844521.199999999</v>
      </c>
      <c r="J5" s="15">
        <v>42871059</v>
      </c>
    </row>
    <row r="6" spans="2:10" ht="15" thickBot="1" x14ac:dyDescent="0.5">
      <c r="C6" s="24" t="s">
        <v>49</v>
      </c>
      <c r="D6" s="16">
        <v>38233998</v>
      </c>
      <c r="E6" s="16">
        <v>52802442</v>
      </c>
      <c r="F6" s="16">
        <v>37710816</v>
      </c>
      <c r="G6" s="16">
        <v>47313519</v>
      </c>
      <c r="H6" s="16">
        <v>43275507</v>
      </c>
      <c r="I6" s="16">
        <v>48074202</v>
      </c>
      <c r="J6" s="16">
        <v>71451765</v>
      </c>
    </row>
    <row r="7" spans="2:10" x14ac:dyDescent="0.45">
      <c r="C7" s="3"/>
      <c r="D7" s="17"/>
      <c r="E7" s="17"/>
      <c r="F7" s="17"/>
      <c r="G7" s="17"/>
      <c r="H7" s="17"/>
      <c r="I7" s="17"/>
      <c r="J7" s="17"/>
    </row>
    <row r="8" spans="2:10" x14ac:dyDescent="0.45">
      <c r="C8" s="3"/>
      <c r="D8" s="17"/>
      <c r="E8" s="17"/>
      <c r="F8" s="17"/>
      <c r="G8" s="17"/>
      <c r="H8" s="17"/>
      <c r="I8" s="17"/>
      <c r="J8" s="17"/>
    </row>
    <row r="9" spans="2:10" x14ac:dyDescent="0.45">
      <c r="B9" s="3">
        <v>2</v>
      </c>
      <c r="C9" s="3" t="s">
        <v>8</v>
      </c>
      <c r="D9" s="18">
        <v>13809493.764705881</v>
      </c>
      <c r="E9" s="18">
        <v>16357180.588235294</v>
      </c>
      <c r="F9" s="18">
        <v>18811779.117647059</v>
      </c>
      <c r="G9" s="18">
        <v>21353512.529411763</v>
      </c>
      <c r="H9" s="18">
        <v>23036836.882352941</v>
      </c>
      <c r="I9" s="18">
        <v>25430704.352941178</v>
      </c>
      <c r="J9" s="18">
        <v>29816162.647058822</v>
      </c>
    </row>
    <row r="10" spans="2:10" x14ac:dyDescent="0.45">
      <c r="B10" s="3"/>
      <c r="C10" s="3"/>
      <c r="D10" s="18"/>
      <c r="E10" s="18"/>
      <c r="F10" s="18"/>
      <c r="G10" s="18"/>
      <c r="H10" s="18"/>
      <c r="I10" s="18"/>
      <c r="J10" s="18"/>
    </row>
    <row r="11" spans="2:10" x14ac:dyDescent="0.45">
      <c r="B11" s="3"/>
      <c r="C11" s="3"/>
      <c r="D11" s="18"/>
      <c r="E11" s="18"/>
      <c r="F11" s="18"/>
      <c r="G11" s="18"/>
      <c r="H11" s="18"/>
      <c r="I11" s="18"/>
      <c r="J11" s="18"/>
    </row>
    <row r="12" spans="2:10" x14ac:dyDescent="0.45">
      <c r="B12" s="3">
        <v>3</v>
      </c>
      <c r="C12" s="3" t="s">
        <v>50</v>
      </c>
      <c r="D12" s="18"/>
      <c r="E12" s="18"/>
      <c r="F12" s="18"/>
      <c r="G12" s="18"/>
      <c r="H12" s="18"/>
      <c r="I12" s="18"/>
      <c r="J12" s="18"/>
    </row>
    <row r="13" spans="2:10" x14ac:dyDescent="0.45">
      <c r="B13" s="3"/>
      <c r="C13" s="6" t="s">
        <v>60</v>
      </c>
      <c r="D13" s="15">
        <v>1681916.7709510436</v>
      </c>
      <c r="E13" s="15">
        <v>2076631.0682503989</v>
      </c>
      <c r="F13" s="15">
        <v>1581285.0252031966</v>
      </c>
      <c r="G13" s="15">
        <v>1226703.4786512656</v>
      </c>
      <c r="H13" s="15">
        <v>2243460.2987171221</v>
      </c>
      <c r="I13" s="15">
        <v>1802047.0985237444</v>
      </c>
      <c r="J13" s="15">
        <v>1401691.2955832724</v>
      </c>
    </row>
    <row r="14" spans="2:10" x14ac:dyDescent="0.45">
      <c r="B14" s="3"/>
      <c r="C14" s="26" t="s">
        <v>61</v>
      </c>
      <c r="D14" s="18"/>
      <c r="E14" s="18"/>
      <c r="F14" s="18"/>
      <c r="G14" s="18"/>
      <c r="H14" s="18"/>
      <c r="I14" s="18"/>
      <c r="J14" s="18"/>
    </row>
    <row r="15" spans="2:10" x14ac:dyDescent="0.45">
      <c r="B15" s="3"/>
      <c r="C15" s="6" t="s">
        <v>62</v>
      </c>
      <c r="D15" s="15">
        <v>889040.60376390186</v>
      </c>
      <c r="E15" s="15">
        <v>1013411.5103729311</v>
      </c>
      <c r="F15" s="15">
        <v>678960.26743357163</v>
      </c>
      <c r="G15" s="15">
        <v>304772.91627583164</v>
      </c>
      <c r="H15" s="15">
        <v>258618.79526967072</v>
      </c>
      <c r="I15" s="15">
        <v>2192640.949372848</v>
      </c>
      <c r="J15" s="15">
        <v>899952.72894343443</v>
      </c>
    </row>
    <row r="16" spans="2:10" x14ac:dyDescent="0.45">
      <c r="B16" s="3"/>
      <c r="C16" s="6" t="s">
        <v>39</v>
      </c>
      <c r="D16" s="15">
        <v>9652807.4691275656</v>
      </c>
      <c r="E16" s="15">
        <v>10184996.130943812</v>
      </c>
      <c r="F16" s="15">
        <v>13599205.044452041</v>
      </c>
      <c r="G16" s="15">
        <v>14566345.095233319</v>
      </c>
      <c r="H16" s="15">
        <v>14407901.829016674</v>
      </c>
      <c r="I16" s="15">
        <v>12498723.26152877</v>
      </c>
      <c r="J16" s="15">
        <v>13524316.562985245</v>
      </c>
    </row>
    <row r="17" spans="2:10" x14ac:dyDescent="0.45">
      <c r="B17" s="3"/>
      <c r="C17" s="6" t="s">
        <v>42</v>
      </c>
      <c r="D17" s="15">
        <v>70638.016670208221</v>
      </c>
      <c r="E17" s="15">
        <v>43594.030924841281</v>
      </c>
      <c r="F17" s="15">
        <v>46238.55187498546</v>
      </c>
      <c r="G17" s="15">
        <v>30913.158346791472</v>
      </c>
      <c r="H17" s="15">
        <v>56689.263451859457</v>
      </c>
      <c r="I17" s="15">
        <v>52305.909212044156</v>
      </c>
      <c r="J17" s="15">
        <v>38998.243873230233</v>
      </c>
    </row>
    <row r="18" spans="2:10" x14ac:dyDescent="0.45">
      <c r="B18" s="3"/>
      <c r="C18" s="26" t="s">
        <v>65</v>
      </c>
      <c r="D18" s="15"/>
      <c r="E18" s="15"/>
      <c r="F18" s="15"/>
      <c r="G18" s="15"/>
      <c r="H18" s="15"/>
      <c r="I18" s="15"/>
      <c r="J18" s="15"/>
    </row>
    <row r="19" spans="2:10" x14ac:dyDescent="0.45">
      <c r="B19" s="3"/>
      <c r="C19" s="6" t="s">
        <v>63</v>
      </c>
      <c r="D19" s="15">
        <v>53966.631042789108</v>
      </c>
      <c r="E19" s="15">
        <v>2292218.9147447422</v>
      </c>
      <c r="F19" s="15">
        <v>90219.187195554536</v>
      </c>
      <c r="G19" s="15">
        <v>200684.33650901262</v>
      </c>
      <c r="H19" s="15">
        <v>0</v>
      </c>
      <c r="I19" s="15">
        <v>236236.44490714619</v>
      </c>
      <c r="J19" s="15">
        <v>1638381.6287758679</v>
      </c>
    </row>
    <row r="20" spans="2:10" ht="15" thickBot="1" x14ac:dyDescent="0.5">
      <c r="B20" s="3"/>
      <c r="C20" s="6" t="s">
        <v>53</v>
      </c>
      <c r="D20" s="15">
        <v>-63328.474978695413</v>
      </c>
      <c r="E20" s="15">
        <v>-247644.22377961467</v>
      </c>
      <c r="F20" s="15">
        <v>-81410.076159348711</v>
      </c>
      <c r="G20" s="15">
        <v>23503.014983780438</v>
      </c>
      <c r="H20" s="15">
        <v>-177451.1864553277</v>
      </c>
      <c r="I20" s="15">
        <v>438913.33645544742</v>
      </c>
      <c r="J20" s="15">
        <v>147762.53983894998</v>
      </c>
    </row>
    <row r="21" spans="2:10" ht="15" thickBot="1" x14ac:dyDescent="0.5">
      <c r="B21" s="3"/>
      <c r="C21" s="24" t="s">
        <v>64</v>
      </c>
      <c r="D21" s="16">
        <v>12285041.016576814</v>
      </c>
      <c r="E21" s="16">
        <v>15363207.431457112</v>
      </c>
      <c r="F21" s="16">
        <v>15914498</v>
      </c>
      <c r="G21" s="16">
        <v>16352922</v>
      </c>
      <c r="H21" s="16">
        <v>16789219</v>
      </c>
      <c r="I21" s="16">
        <v>17220866.999999996</v>
      </c>
      <c r="J21" s="16">
        <v>17651103.000000004</v>
      </c>
    </row>
    <row r="22" spans="2:10" x14ac:dyDescent="0.45">
      <c r="B22" s="3"/>
      <c r="C22" s="3"/>
      <c r="D22" s="18"/>
      <c r="E22" s="18"/>
      <c r="F22" s="18"/>
      <c r="G22" s="18"/>
      <c r="H22" s="18"/>
      <c r="I22" s="18"/>
      <c r="J22" s="18"/>
    </row>
    <row r="23" spans="2:10" x14ac:dyDescent="0.45">
      <c r="B23" s="3"/>
      <c r="C23" s="3"/>
      <c r="D23" s="18"/>
      <c r="E23" s="18"/>
      <c r="F23" s="18"/>
      <c r="G23" s="18"/>
      <c r="H23" s="18"/>
      <c r="I23" s="18"/>
      <c r="J23" s="18"/>
    </row>
    <row r="24" spans="2:10" x14ac:dyDescent="0.45">
      <c r="B24" s="3">
        <v>4</v>
      </c>
      <c r="C24" s="3" t="s">
        <v>51</v>
      </c>
      <c r="D24" s="18"/>
      <c r="E24" s="18"/>
      <c r="F24" s="18"/>
      <c r="G24" s="18"/>
      <c r="H24" s="18"/>
      <c r="I24" s="18"/>
      <c r="J24" s="18"/>
    </row>
    <row r="25" spans="2:10" x14ac:dyDescent="0.45">
      <c r="B25" s="3"/>
      <c r="C25" s="7" t="s">
        <v>53</v>
      </c>
      <c r="D25" s="15">
        <v>6103323</v>
      </c>
      <c r="E25" s="15">
        <v>-1016102</v>
      </c>
      <c r="F25" s="15">
        <v>758482</v>
      </c>
      <c r="G25" s="15">
        <v>-5454126</v>
      </c>
      <c r="H25" s="15">
        <v>-3228652</v>
      </c>
      <c r="I25" s="15">
        <v>-5832423</v>
      </c>
      <c r="J25" s="13">
        <v>7885916</v>
      </c>
    </row>
    <row r="26" spans="2:10" x14ac:dyDescent="0.45">
      <c r="C26" s="7" t="s">
        <v>54</v>
      </c>
      <c r="D26" s="15">
        <v>0</v>
      </c>
      <c r="E26" s="15">
        <v>0</v>
      </c>
      <c r="F26" s="15">
        <v>0</v>
      </c>
      <c r="G26" s="15">
        <v>757991</v>
      </c>
      <c r="H26" s="15">
        <v>-977498</v>
      </c>
      <c r="I26" s="15">
        <v>6682180</v>
      </c>
      <c r="J26" s="13">
        <v>-250239</v>
      </c>
    </row>
    <row r="27" spans="2:10" x14ac:dyDescent="0.45">
      <c r="C27" s="7" t="s">
        <v>52</v>
      </c>
      <c r="D27" s="15">
        <v>-2242384</v>
      </c>
      <c r="E27" s="15">
        <v>8140914</v>
      </c>
      <c r="F27" s="15">
        <v>-1011083</v>
      </c>
      <c r="G27" s="15">
        <v>3382135</v>
      </c>
      <c r="H27" s="15">
        <v>-8365883</v>
      </c>
      <c r="I27" s="15">
        <v>-7509866</v>
      </c>
      <c r="J27" s="13">
        <v>3496394</v>
      </c>
    </row>
    <row r="28" spans="2:10" x14ac:dyDescent="0.45">
      <c r="C28" s="7"/>
      <c r="D28" s="15"/>
      <c r="E28" s="15"/>
      <c r="F28" s="15"/>
      <c r="G28" s="15"/>
      <c r="H28" s="15"/>
      <c r="I28" s="15"/>
    </row>
    <row r="30" spans="2:10" x14ac:dyDescent="0.45">
      <c r="B30" s="5">
        <v>5</v>
      </c>
      <c r="C30" s="3" t="s">
        <v>12</v>
      </c>
      <c r="D30" s="14"/>
      <c r="E30" s="14"/>
      <c r="F30" s="14"/>
      <c r="G30" s="14"/>
      <c r="H30" s="14"/>
      <c r="I30" s="14"/>
      <c r="J30" s="14"/>
    </row>
    <row r="31" spans="2:10" x14ac:dyDescent="0.45">
      <c r="C31" s="3"/>
      <c r="D31" s="19"/>
      <c r="E31" s="19"/>
      <c r="F31" s="19"/>
      <c r="G31" s="19"/>
      <c r="H31" s="19"/>
      <c r="I31" s="19"/>
      <c r="J31" s="19"/>
    </row>
    <row r="32" spans="2:10" x14ac:dyDescent="0.45">
      <c r="C32" s="6" t="s">
        <v>46</v>
      </c>
      <c r="D32" s="13">
        <v>1152717</v>
      </c>
      <c r="E32" s="13">
        <v>1746774.8</v>
      </c>
      <c r="F32" s="13">
        <v>2086819.42</v>
      </c>
      <c r="G32" s="13">
        <v>2337170.08</v>
      </c>
      <c r="H32" s="13">
        <v>2456989.9900000002</v>
      </c>
      <c r="I32" s="13">
        <v>2669266.58</v>
      </c>
      <c r="J32" s="13">
        <v>2871752.8</v>
      </c>
    </row>
    <row r="33" spans="2:10" ht="15" thickBot="1" x14ac:dyDescent="0.5">
      <c r="C33" s="6" t="s">
        <v>45</v>
      </c>
      <c r="D33" s="20">
        <v>1312269</v>
      </c>
      <c r="E33" s="20">
        <v>1708518</v>
      </c>
      <c r="F33" s="20">
        <v>1950402</v>
      </c>
      <c r="G33" s="20">
        <v>1165050</v>
      </c>
      <c r="H33" s="20">
        <v>1437908</v>
      </c>
      <c r="I33" s="20">
        <v>1546736</v>
      </c>
      <c r="J33" s="20">
        <v>1796141</v>
      </c>
    </row>
    <row r="34" spans="2:10" ht="15" thickBot="1" x14ac:dyDescent="0.5">
      <c r="C34" s="24" t="s">
        <v>49</v>
      </c>
      <c r="D34" s="16">
        <v>2464986</v>
      </c>
      <c r="E34" s="16">
        <v>3455292.8</v>
      </c>
      <c r="F34" s="16">
        <v>4037221.42</v>
      </c>
      <c r="G34" s="16">
        <v>3502220.08</v>
      </c>
      <c r="H34" s="16">
        <v>3894897.99</v>
      </c>
      <c r="I34" s="16">
        <v>4216002.58</v>
      </c>
      <c r="J34" s="16">
        <v>4667893.8</v>
      </c>
    </row>
    <row r="35" spans="2:10" x14ac:dyDescent="0.45">
      <c r="C35" s="12"/>
      <c r="D35" s="21"/>
      <c r="E35" s="21"/>
      <c r="F35" s="21"/>
      <c r="G35" s="21"/>
      <c r="H35" s="21"/>
      <c r="I35" s="21"/>
      <c r="J35" s="21"/>
    </row>
    <row r="37" spans="2:10" x14ac:dyDescent="0.45">
      <c r="B37" s="3">
        <v>6</v>
      </c>
      <c r="C37" s="3" t="s">
        <v>14</v>
      </c>
      <c r="D37" s="15">
        <v>1191820</v>
      </c>
      <c r="E37" s="15">
        <v>1334430</v>
      </c>
      <c r="F37" s="15">
        <v>1219897</v>
      </c>
      <c r="G37" s="15">
        <v>1581285.0252031966</v>
      </c>
      <c r="H37" s="15">
        <v>1920397</v>
      </c>
      <c r="I37" s="15">
        <v>2474131</v>
      </c>
      <c r="J37" s="15">
        <v>2631699</v>
      </c>
    </row>
    <row r="38" spans="2:10" x14ac:dyDescent="0.45">
      <c r="B38" s="3"/>
      <c r="C38" s="3"/>
      <c r="D38" s="15"/>
      <c r="E38" s="15"/>
      <c r="F38" s="15"/>
      <c r="G38" s="15"/>
      <c r="H38" s="15"/>
      <c r="I38" s="15"/>
      <c r="J38" s="15"/>
    </row>
    <row r="39" spans="2:10" x14ac:dyDescent="0.45">
      <c r="B39" s="3"/>
      <c r="C39" s="3"/>
      <c r="D39" s="15"/>
      <c r="E39" s="15"/>
      <c r="F39" s="15"/>
      <c r="G39" s="15"/>
      <c r="H39" s="15"/>
      <c r="I39" s="15"/>
      <c r="J39" s="15"/>
    </row>
    <row r="40" spans="2:10" x14ac:dyDescent="0.45">
      <c r="B40" s="3">
        <v>7</v>
      </c>
      <c r="C40" s="3" t="s">
        <v>15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</row>
    <row r="43" spans="2:10" x14ac:dyDescent="0.45">
      <c r="B43" s="5">
        <v>8</v>
      </c>
      <c r="C43" s="23" t="s">
        <v>38</v>
      </c>
      <c r="D43" s="14"/>
      <c r="E43" s="14"/>
      <c r="F43" s="14"/>
      <c r="G43" s="14"/>
      <c r="H43" s="14"/>
      <c r="I43" s="14"/>
      <c r="J43" s="14"/>
    </row>
    <row r="44" spans="2:10" x14ac:dyDescent="0.45">
      <c r="C44" s="6"/>
      <c r="D44" s="19"/>
      <c r="E44" s="19"/>
      <c r="F44" s="19"/>
      <c r="G44" s="19"/>
      <c r="H44" s="19"/>
      <c r="I44" s="19"/>
      <c r="J44" s="19"/>
    </row>
    <row r="45" spans="2:10" x14ac:dyDescent="0.45">
      <c r="C45" s="9" t="s">
        <v>53</v>
      </c>
      <c r="D45" s="10">
        <v>218968345.38112351</v>
      </c>
      <c r="E45" s="10">
        <v>244580355.57412314</v>
      </c>
      <c r="F45" s="10">
        <v>334931340.09457719</v>
      </c>
      <c r="G45" s="10">
        <v>360948946.87684602</v>
      </c>
      <c r="H45" s="10">
        <v>455966696.9402625</v>
      </c>
      <c r="I45" s="10">
        <v>556167110.92278039</v>
      </c>
      <c r="J45" s="10">
        <v>689671040.92278063</v>
      </c>
    </row>
    <row r="46" spans="2:10" x14ac:dyDescent="0.45">
      <c r="C46" s="9" t="s">
        <v>44</v>
      </c>
      <c r="D46" s="10">
        <v>93843576.591910094</v>
      </c>
      <c r="E46" s="10">
        <v>104820152.38890994</v>
      </c>
      <c r="F46" s="10">
        <v>143542002.89767599</v>
      </c>
      <c r="G46" s="10">
        <v>154692405.8043626</v>
      </c>
      <c r="H46" s="10">
        <v>195414298.68868393</v>
      </c>
      <c r="I46" s="10">
        <v>238357333.25262022</v>
      </c>
      <c r="J46" s="10">
        <v>295573303.25262034</v>
      </c>
    </row>
    <row r="47" spans="2:10" x14ac:dyDescent="0.45">
      <c r="C47" s="9" t="s">
        <v>41</v>
      </c>
      <c r="D47" s="10">
        <v>87178325.636494562</v>
      </c>
      <c r="E47" s="10">
        <v>116040281.25282179</v>
      </c>
      <c r="F47" s="10">
        <v>125657253.22112417</v>
      </c>
      <c r="G47" s="10">
        <v>168946451.66557199</v>
      </c>
      <c r="H47" s="10">
        <v>156667094.48474413</v>
      </c>
      <c r="I47" s="10">
        <v>130319325.15696692</v>
      </c>
      <c r="J47" s="10">
        <v>93983863.747347832</v>
      </c>
    </row>
    <row r="48" spans="2:10" x14ac:dyDescent="0.45">
      <c r="C48" s="9" t="s">
        <v>42</v>
      </c>
      <c r="D48" s="10">
        <v>966813.00503174495</v>
      </c>
      <c r="E48" s="10">
        <v>1057032.7327321004</v>
      </c>
      <c r="F48" s="10">
        <v>1011838.2673851673</v>
      </c>
      <c r="G48" s="10">
        <v>1986838.2573447025</v>
      </c>
      <c r="H48" s="10">
        <v>2096732.4611959904</v>
      </c>
      <c r="I48" s="10">
        <v>2787000.656654953</v>
      </c>
      <c r="J48" s="10">
        <v>2349815.7468585186</v>
      </c>
    </row>
    <row r="49" spans="2:10" x14ac:dyDescent="0.45">
      <c r="C49" s="9" t="s">
        <v>43</v>
      </c>
      <c r="D49" s="10">
        <v>0</v>
      </c>
      <c r="E49" s="10">
        <v>0</v>
      </c>
      <c r="F49" s="10">
        <v>0</v>
      </c>
      <c r="G49" s="10">
        <v>14344963.462573582</v>
      </c>
      <c r="H49" s="10">
        <v>16748796.130090641</v>
      </c>
      <c r="I49" s="10">
        <v>34900929.875220887</v>
      </c>
      <c r="J49" s="10">
        <v>28821014.101511564</v>
      </c>
    </row>
    <row r="50" spans="2:10" ht="15" thickBot="1" x14ac:dyDescent="0.5">
      <c r="C50" s="9" t="s">
        <v>40</v>
      </c>
      <c r="D50" s="10">
        <v>25923323.188640594</v>
      </c>
      <c r="E50" s="10">
        <v>58918155.179336801</v>
      </c>
      <c r="F50" s="10">
        <v>51772404.740557671</v>
      </c>
      <c r="G50" s="10">
        <v>17823542.722084753</v>
      </c>
      <c r="H50" s="10">
        <v>22299346.903160736</v>
      </c>
      <c r="I50" s="10">
        <v>72498522.74797523</v>
      </c>
      <c r="J50" s="10">
        <v>7031795.8413974112</v>
      </c>
    </row>
    <row r="51" spans="2:10" ht="15" thickBot="1" x14ac:dyDescent="0.5">
      <c r="C51" s="24" t="s">
        <v>49</v>
      </c>
      <c r="D51" s="16">
        <v>426880383.80320054</v>
      </c>
      <c r="E51" s="16">
        <v>525415977.12792379</v>
      </c>
      <c r="F51" s="16">
        <v>656914839.22132015</v>
      </c>
      <c r="G51" s="16">
        <v>718743148.78878355</v>
      </c>
      <c r="H51" s="16">
        <v>849192965.60813785</v>
      </c>
      <c r="I51" s="16">
        <v>1035030222.6122186</v>
      </c>
      <c r="J51" s="16">
        <v>1117430833.6125164</v>
      </c>
    </row>
    <row r="54" spans="2:10" x14ac:dyDescent="0.45">
      <c r="B54" s="5">
        <v>9</v>
      </c>
      <c r="C54" s="23" t="s">
        <v>23</v>
      </c>
    </row>
    <row r="55" spans="2:10" x14ac:dyDescent="0.45">
      <c r="C55" s="6" t="s">
        <v>58</v>
      </c>
      <c r="D55" s="13">
        <v>0</v>
      </c>
      <c r="E55" s="13">
        <v>0</v>
      </c>
      <c r="F55" s="13">
        <v>181337</v>
      </c>
      <c r="G55" s="13">
        <v>362368</v>
      </c>
      <c r="H55" s="13">
        <v>364318</v>
      </c>
      <c r="I55" s="13">
        <v>363361</v>
      </c>
      <c r="J55" s="13">
        <v>0</v>
      </c>
    </row>
    <row r="56" spans="2:10" ht="15" thickBot="1" x14ac:dyDescent="0.5">
      <c r="C56" s="6" t="s">
        <v>59</v>
      </c>
      <c r="D56" s="13">
        <v>242378</v>
      </c>
      <c r="E56" s="13">
        <v>240889</v>
      </c>
      <c r="F56" s="13">
        <v>242874</v>
      </c>
      <c r="G56" s="13">
        <v>181337</v>
      </c>
      <c r="H56" s="13">
        <v>362368</v>
      </c>
      <c r="I56" s="13">
        <v>364318</v>
      </c>
      <c r="J56" s="13">
        <v>363361</v>
      </c>
    </row>
    <row r="57" spans="2:10" ht="15" thickBot="1" x14ac:dyDescent="0.5">
      <c r="C57" s="24" t="s">
        <v>49</v>
      </c>
      <c r="D57" s="16">
        <v>242378</v>
      </c>
      <c r="E57" s="16">
        <v>240889</v>
      </c>
      <c r="F57" s="16">
        <v>424211</v>
      </c>
      <c r="G57" s="16">
        <v>543705</v>
      </c>
      <c r="H57" s="16">
        <v>726686</v>
      </c>
      <c r="I57" s="16">
        <v>727679</v>
      </c>
      <c r="J57" s="16">
        <v>363361</v>
      </c>
    </row>
    <row r="58" spans="2:10" x14ac:dyDescent="0.45">
      <c r="C58" s="25"/>
      <c r="D58" s="21"/>
      <c r="E58" s="21"/>
      <c r="F58" s="21"/>
      <c r="G58" s="21"/>
      <c r="H58" s="21"/>
      <c r="I58" s="21"/>
      <c r="J58" s="21"/>
    </row>
    <row r="59" spans="2:10" x14ac:dyDescent="0.45">
      <c r="C59" s="6"/>
    </row>
    <row r="60" spans="2:10" x14ac:dyDescent="0.45">
      <c r="B60" s="5">
        <v>10</v>
      </c>
      <c r="C60" s="23" t="s">
        <v>55</v>
      </c>
    </row>
    <row r="61" spans="2:10" x14ac:dyDescent="0.45">
      <c r="C61" s="6" t="s">
        <v>56</v>
      </c>
      <c r="D61" s="13">
        <v>541403.20372907422</v>
      </c>
      <c r="E61" s="13">
        <v>368872.68966056552</v>
      </c>
      <c r="F61" s="13">
        <v>145932.64631991339</v>
      </c>
      <c r="G61" s="13">
        <v>44327.920137425703</v>
      </c>
      <c r="H61" s="13">
        <v>851461.87167994375</v>
      </c>
      <c r="I61" s="13">
        <v>4397133.5473885098</v>
      </c>
      <c r="J61" s="13">
        <v>1151505.1099872026</v>
      </c>
    </row>
    <row r="62" spans="2:10" ht="15" thickBot="1" x14ac:dyDescent="0.5">
      <c r="C62" s="6" t="s">
        <v>57</v>
      </c>
      <c r="D62" s="13">
        <v>135350.80093226855</v>
      </c>
      <c r="E62" s="13">
        <v>92218.17241514138</v>
      </c>
      <c r="F62" s="13">
        <v>36483.161579978354</v>
      </c>
      <c r="G62" s="13">
        <v>11081.980034356427</v>
      </c>
      <c r="H62" s="13">
        <v>212865.46791998597</v>
      </c>
      <c r="I62" s="13">
        <v>1099283.3868471275</v>
      </c>
      <c r="J62" s="13">
        <v>287876.27749680064</v>
      </c>
    </row>
    <row r="63" spans="2:10" ht="15" thickBot="1" x14ac:dyDescent="0.5">
      <c r="C63" s="24" t="s">
        <v>49</v>
      </c>
      <c r="D63" s="16">
        <v>676754.00466134271</v>
      </c>
      <c r="E63" s="16">
        <v>461090.86207570689</v>
      </c>
      <c r="F63" s="16">
        <v>182415.80789989175</v>
      </c>
      <c r="G63" s="16">
        <v>55409.90017178213</v>
      </c>
      <c r="H63" s="16">
        <v>1064327.3395999297</v>
      </c>
      <c r="I63" s="16">
        <v>5496416.9342356371</v>
      </c>
      <c r="J63" s="16">
        <v>1439381.3874840031</v>
      </c>
    </row>
  </sheetData>
  <conditionalFormatting sqref="D45:J50">
    <cfRule type="cellIs" dxfId="1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B2A591-7CF0-48FC-AAF6-687228D16062}"/>
</file>

<file path=customXml/itemProps2.xml><?xml version="1.0" encoding="utf-8"?>
<ds:datastoreItem xmlns:ds="http://schemas.openxmlformats.org/officeDocument/2006/customXml" ds:itemID="{D5A8894E-3A0C-47A3-9ABB-09CAC5D9F673}"/>
</file>

<file path=customXml/itemProps3.xml><?xml version="1.0" encoding="utf-8"?>
<ds:datastoreItem xmlns:ds="http://schemas.openxmlformats.org/officeDocument/2006/customXml" ds:itemID="{C033009B-F33C-4A0E-985D-450DA3B03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Changes in Net Assets</vt:lpstr>
      <vt:lpstr>Net Assets Available</vt:lpstr>
      <vt:lpstr>Notes to the 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Mbula</cp:lastModifiedBy>
  <dcterms:created xsi:type="dcterms:W3CDTF">2025-11-27T09:45:02Z</dcterms:created>
  <dcterms:modified xsi:type="dcterms:W3CDTF">2025-11-27T12:41:46Z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</Properties>
</file>