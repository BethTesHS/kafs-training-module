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11_Group Life Valuation/Results/"/>
    </mc:Choice>
  </mc:AlternateContent>
  <xr:revisionPtr revIDLastSave="1" documentId="8_{E47044BF-2A5E-4443-99B6-4D643A2AA7EC}" xr6:coauthVersionLast="47" xr6:coauthVersionMax="47" xr10:uidLastSave="{A1BCA654-02F9-45FE-9245-FDA60C326392}"/>
  <bookViews>
    <workbookView xWindow="-103" yWindow="-103" windowWidth="26537" windowHeight="15943" firstSheet="5" activeTab="5" xr2:uid="{202A78FF-7E34-4829-A16F-853C096B8062}"/>
  </bookViews>
  <sheets>
    <sheet name="Intro" sheetId="5" r:id="rId1"/>
    <sheet name="GWP" sheetId="1" r:id="rId2"/>
    <sheet name="Premium Receivables" sheetId="8" r:id="rId3"/>
    <sheet name="DAC" sheetId="3" r:id="rId4"/>
    <sheet name="UPR" sheetId="2" r:id="rId5"/>
    <sheet name="LRC" sheetId="4" r:id="rId6"/>
  </sheets>
  <definedNames>
    <definedName name="_xlnm._FilterDatabase" localSheetId="1" hidden="1">GWP!$C$2:$N$19993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4" l="1"/>
  <c r="I34" i="4"/>
  <c r="I32" i="4"/>
  <c r="H33" i="4"/>
  <c r="H34" i="4"/>
  <c r="H32" i="4"/>
  <c r="F33" i="4"/>
  <c r="F34" i="4"/>
  <c r="G34" i="4" s="1"/>
  <c r="F32" i="4"/>
  <c r="F35" i="4" s="1"/>
  <c r="D33" i="4"/>
  <c r="D35" i="4" s="1"/>
  <c r="D34" i="4"/>
  <c r="D32" i="4"/>
  <c r="E34" i="4"/>
  <c r="E33" i="4"/>
  <c r="G33" i="4" s="1"/>
  <c r="I25" i="4"/>
  <c r="I26" i="4"/>
  <c r="I24" i="4"/>
  <c r="H25" i="4"/>
  <c r="H26" i="4"/>
  <c r="H24" i="4"/>
  <c r="F25" i="4"/>
  <c r="F26" i="4"/>
  <c r="F24" i="4"/>
  <c r="E24" i="4"/>
  <c r="D25" i="4"/>
  <c r="D26" i="4"/>
  <c r="D24" i="4"/>
  <c r="I17" i="4"/>
  <c r="I18" i="4"/>
  <c r="I16" i="4"/>
  <c r="I19" i="4" s="1"/>
  <c r="H17" i="4"/>
  <c r="H18" i="4"/>
  <c r="H16" i="4"/>
  <c r="H19" i="4" s="1"/>
  <c r="D17" i="4"/>
  <c r="D18" i="4"/>
  <c r="D16" i="4"/>
  <c r="F17" i="4"/>
  <c r="F19" i="4" s="1"/>
  <c r="F18" i="4"/>
  <c r="E26" i="4" s="1"/>
  <c r="F16" i="4"/>
  <c r="G26" i="4" l="1"/>
  <c r="D19" i="4"/>
  <c r="E25" i="4"/>
  <c r="G25" i="4" s="1"/>
  <c r="F27" i="4"/>
  <c r="E32" i="4"/>
  <c r="E35" i="4" s="1"/>
  <c r="I35" i="4"/>
  <c r="H35" i="4"/>
  <c r="G32" i="4"/>
  <c r="I27" i="4"/>
  <c r="H27" i="4"/>
  <c r="D27" i="4"/>
  <c r="G24" i="4"/>
  <c r="E27" i="4" l="1"/>
  <c r="G27" i="4"/>
  <c r="G35" i="4"/>
  <c r="C8" i="4" l="1"/>
  <c r="C7" i="4"/>
  <c r="D8" i="4"/>
  <c r="E8" i="4"/>
  <c r="E17" i="4" s="1"/>
  <c r="G17" i="4" s="1"/>
  <c r="C9" i="4"/>
  <c r="D9" i="4"/>
  <c r="E9" i="4"/>
  <c r="E18" i="4" s="1"/>
  <c r="G18" i="4" s="1"/>
  <c r="E7" i="4"/>
  <c r="E16" i="4" s="1"/>
  <c r="D7" i="4"/>
  <c r="E19" i="4" l="1"/>
  <c r="G16" i="4"/>
  <c r="G19" i="4" s="1"/>
  <c r="F9" i="4"/>
  <c r="D10" i="4"/>
  <c r="F8" i="4"/>
  <c r="C10" i="4"/>
  <c r="F7" i="4"/>
  <c r="E10" i="4"/>
  <c r="C16" i="4" l="1"/>
  <c r="J16" i="4" s="1"/>
  <c r="C24" i="4" s="1"/>
  <c r="C17" i="4"/>
  <c r="J17" i="4" s="1"/>
  <c r="C25" i="4" s="1"/>
  <c r="J25" i="4" s="1"/>
  <c r="C33" i="4" s="1"/>
  <c r="J33" i="4" s="1"/>
  <c r="C18" i="4"/>
  <c r="J18" i="4" s="1"/>
  <c r="C26" i="4" s="1"/>
  <c r="J26" i="4" s="1"/>
  <c r="C34" i="4" s="1"/>
  <c r="J34" i="4" s="1"/>
  <c r="F10" i="4"/>
  <c r="C27" i="4" l="1"/>
  <c r="J24" i="4"/>
  <c r="C19" i="4"/>
  <c r="J19" i="4"/>
  <c r="D8" i="3"/>
  <c r="E8" i="3"/>
  <c r="F8" i="3"/>
  <c r="G8" i="3"/>
  <c r="E8" i="2"/>
  <c r="F8" i="2"/>
  <c r="G8" i="2"/>
  <c r="D8" i="2"/>
  <c r="E8" i="8"/>
  <c r="F8" i="8"/>
  <c r="G8" i="8"/>
  <c r="D8" i="8"/>
  <c r="E8" i="1"/>
  <c r="F8" i="1"/>
  <c r="G8" i="1"/>
  <c r="D8" i="1"/>
  <c r="J27" i="4" l="1"/>
  <c r="C32" i="4"/>
  <c r="C35" i="4" l="1"/>
  <c r="J32" i="4"/>
  <c r="J35" i="4" s="1"/>
</calcChain>
</file>

<file path=xl/sharedStrings.xml><?xml version="1.0" encoding="utf-8"?>
<sst xmlns="http://schemas.openxmlformats.org/spreadsheetml/2006/main" count="82" uniqueCount="35">
  <si>
    <t>YY ASSURANCE COMPANY LIMITED</t>
  </si>
  <si>
    <t>Group Life Insurance Business</t>
  </si>
  <si>
    <t>LRC Analysis</t>
  </si>
  <si>
    <t>Start Date</t>
  </si>
  <si>
    <t>Valuation Date</t>
  </si>
  <si>
    <t>Summary of Gross Written Premium</t>
  </si>
  <si>
    <t>Class of Business</t>
  </si>
  <si>
    <t>Group Life</t>
  </si>
  <si>
    <t>Group Credit</t>
  </si>
  <si>
    <t>Group Last Expense</t>
  </si>
  <si>
    <t>Total</t>
  </si>
  <si>
    <t>Summary of  Premium Receivables</t>
  </si>
  <si>
    <t>Summary of Deferred Acquisition Costs</t>
  </si>
  <si>
    <t>Summary of Unearned Premium Reserve</t>
  </si>
  <si>
    <t>YY Assurance Company Limited
Summary of LRC as at 31 December 2021</t>
  </si>
  <si>
    <t>Class</t>
  </si>
  <si>
    <t>UPR</t>
  </si>
  <si>
    <t>DAC</t>
  </si>
  <si>
    <t>Premium Receivables as at 31 Dec 2021</t>
  </si>
  <si>
    <t>Closing LRC</t>
  </si>
  <si>
    <t>Grand Total</t>
  </si>
  <si>
    <t>YY Assurance Company Limited
Summary of LRC as at 31 December 2022</t>
  </si>
  <si>
    <t>Opening LRC</t>
  </si>
  <si>
    <t>GWP 2022</t>
  </si>
  <si>
    <t>Premium Receivables as at 31 Dec 2022</t>
  </si>
  <si>
    <t>Premium Received for the year</t>
  </si>
  <si>
    <t>Earned Premium for the year</t>
  </si>
  <si>
    <t>Change in DAC</t>
  </si>
  <si>
    <t>YY Assurance Company Limited
Summary of LRC as at 31 December 2023</t>
  </si>
  <si>
    <t>GWP 2023</t>
  </si>
  <si>
    <t>Premium Receivables as at 31 Dec 2023</t>
  </si>
  <si>
    <t>YY Assurance Company Limited
Summary of LRC as at 31 December 2024</t>
  </si>
  <si>
    <t>GWP 2024</t>
  </si>
  <si>
    <t>Premium Receivables as at 31 Dec 2024</t>
  </si>
  <si>
    <t>Use Net figures/ retention rates to compute Net LRC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</si>
</sst>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32">
    <font>
      <sz val="9"/>
      <color theme="1"/>
      <name val="Nunito Sans"/>
      <family val="2"/>
    </font>
    <font>
      <sz val="11"/>
      <color theme="1"/>
      <name val="Aptos Narrow"/>
      <family val="2"/>
      <scheme val="minor"/>
    </font>
    <font>
      <sz val="9"/>
      <color theme="1"/>
      <name val="Nunito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Nunito Sans"/>
      <family val="2"/>
    </font>
    <font>
      <b/>
      <sz val="13"/>
      <color theme="3"/>
      <name val="Nunito Sans"/>
      <family val="2"/>
    </font>
    <font>
      <b/>
      <sz val="11"/>
      <color theme="3"/>
      <name val="Nunito Sans"/>
      <family val="2"/>
    </font>
    <font>
      <sz val="9"/>
      <color rgb="FF006100"/>
      <name val="Nunito Sans"/>
      <family val="2"/>
    </font>
    <font>
      <sz val="9"/>
      <color rgb="FF9C0006"/>
      <name val="Nunito Sans"/>
      <family val="2"/>
    </font>
    <font>
      <sz val="9"/>
      <color rgb="FF9C5700"/>
      <name val="Nunito Sans"/>
      <family val="2"/>
    </font>
    <font>
      <sz val="9"/>
      <color rgb="FF3F3F76"/>
      <name val="Nunito Sans"/>
      <family val="2"/>
    </font>
    <font>
      <b/>
      <sz val="9"/>
      <color rgb="FF3F3F3F"/>
      <name val="Nunito Sans"/>
      <family val="2"/>
    </font>
    <font>
      <b/>
      <sz val="9"/>
      <color rgb="FFFA7D00"/>
      <name val="Nunito Sans"/>
      <family val="2"/>
    </font>
    <font>
      <sz val="9"/>
      <color rgb="FFFA7D00"/>
      <name val="Nunito Sans"/>
      <family val="2"/>
    </font>
    <font>
      <b/>
      <sz val="9"/>
      <color theme="0"/>
      <name val="Nunito Sans"/>
      <family val="2"/>
    </font>
    <font>
      <sz val="9"/>
      <color rgb="FFFF0000"/>
      <name val="Nunito Sans"/>
      <family val="2"/>
    </font>
    <font>
      <i/>
      <sz val="9"/>
      <color rgb="FF7F7F7F"/>
      <name val="Nunito Sans"/>
      <family val="2"/>
    </font>
    <font>
      <b/>
      <sz val="9"/>
      <color theme="1"/>
      <name val="Nunito Sans"/>
      <family val="2"/>
    </font>
    <font>
      <sz val="9"/>
      <color theme="0"/>
      <name val="Nunito Sans"/>
      <family val="2"/>
    </font>
    <font>
      <b/>
      <sz val="9"/>
      <color theme="0"/>
      <name val="Nunito Sans"/>
    </font>
    <font>
      <sz val="8"/>
      <color theme="1"/>
      <name val="Lato"/>
      <family val="2"/>
    </font>
    <font>
      <sz val="10"/>
      <color indexed="8"/>
      <name val="Arial"/>
      <family val="2"/>
    </font>
    <font>
      <b/>
      <sz val="9"/>
      <color theme="1"/>
      <name val="Nunito Sans"/>
    </font>
    <font>
      <b/>
      <sz val="9"/>
      <color rgb="FF0137A6"/>
      <name val="Nunito Sans"/>
    </font>
    <font>
      <b/>
      <sz val="9"/>
      <color rgb="FFC00000"/>
      <name val="Nunito Sans"/>
    </font>
    <font>
      <sz val="9"/>
      <color theme="1"/>
      <name val="Nunito Sans"/>
    </font>
    <font>
      <sz val="9"/>
      <color rgb="FF0137A6"/>
      <name val="Nunito Sans"/>
      <family val="2"/>
    </font>
    <font>
      <sz val="9"/>
      <color rgb="FF0137A6"/>
      <name val="Nunito Sans"/>
    </font>
    <font>
      <b/>
      <sz val="16"/>
      <color rgb="FF0137A6"/>
      <name val="Nunito Sans"/>
    </font>
    <font>
      <b/>
      <sz val="14"/>
      <color rgb="FF0137A6"/>
      <name val="Nunito Sans"/>
    </font>
    <font>
      <b/>
      <sz val="11"/>
      <color rgb="FF0137A6"/>
      <name val="Nunito Sans"/>
    </font>
    <font>
      <sz val="9"/>
      <color rgb="FFC00000"/>
      <name val="Nunito Sans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137A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0137A6"/>
      </left>
      <right/>
      <top style="thin">
        <color rgb="FF0137A6"/>
      </top>
      <bottom style="thin">
        <color rgb="FF0137A6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indexed="64"/>
      </top>
      <bottom/>
      <diagonal/>
    </border>
    <border>
      <left style="thin">
        <color rgb="FF0137A6"/>
      </left>
      <right style="thin">
        <color rgb="FF0137A6"/>
      </right>
      <top style="thin">
        <color rgb="FF0137A6"/>
      </top>
      <bottom/>
      <diagonal/>
    </border>
    <border>
      <left/>
      <right/>
      <top style="thin">
        <color rgb="FF0137A6"/>
      </top>
      <bottom style="thin">
        <color rgb="FF0137A6"/>
      </bottom>
      <diagonal/>
    </border>
    <border>
      <left/>
      <right/>
      <top style="thin">
        <color rgb="FF0137A6"/>
      </top>
      <bottom style="double">
        <color rgb="FF0137A6"/>
      </bottom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double">
        <color rgb="FF0137A6"/>
      </bottom>
      <diagonal/>
    </border>
    <border>
      <left/>
      <right/>
      <top style="thin">
        <color rgb="FF0137A6"/>
      </top>
      <bottom/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0" fillId="0" borderId="0"/>
    <xf numFmtId="0" fontId="2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5" fillId="0" borderId="0" xfId="0" applyFont="1"/>
    <xf numFmtId="0" fontId="23" fillId="34" borderId="11" xfId="0" applyFont="1" applyFill="1" applyBorder="1"/>
    <xf numFmtId="0" fontId="23" fillId="34" borderId="12" xfId="0" applyFont="1" applyFill="1" applyBorder="1"/>
    <xf numFmtId="3" fontId="0" fillId="0" borderId="11" xfId="0" applyNumberFormat="1" applyBorder="1"/>
    <xf numFmtId="3" fontId="0" fillId="0" borderId="12" xfId="0" applyNumberFormat="1" applyBorder="1"/>
    <xf numFmtId="3" fontId="22" fillId="0" borderId="11" xfId="0" applyNumberFormat="1" applyFont="1" applyBorder="1"/>
    <xf numFmtId="3" fontId="22" fillId="0" borderId="12" xfId="0" applyNumberFormat="1" applyFont="1" applyBorder="1"/>
    <xf numFmtId="0" fontId="26" fillId="0" borderId="10" xfId="0" applyFont="1" applyBorder="1" applyAlignment="1">
      <alignment horizontal="right"/>
    </xf>
    <xf numFmtId="0" fontId="23" fillId="0" borderId="10" xfId="0" applyFont="1" applyBorder="1" applyAlignment="1">
      <alignment horizontal="right"/>
    </xf>
    <xf numFmtId="0" fontId="23" fillId="34" borderId="10" xfId="0" applyFont="1" applyFill="1" applyBorder="1" applyAlignment="1">
      <alignment horizontal="right"/>
    </xf>
    <xf numFmtId="0" fontId="23" fillId="34" borderId="14" xfId="0" applyFont="1" applyFill="1" applyBorder="1" applyAlignment="1">
      <alignment horizontal="right" vertical="center"/>
    </xf>
    <xf numFmtId="0" fontId="23" fillId="36" borderId="15" xfId="0" applyFont="1" applyFill="1" applyBorder="1" applyAlignment="1">
      <alignment horizontal="right" vertical="center"/>
    </xf>
    <xf numFmtId="0" fontId="23" fillId="34" borderId="15" xfId="0" applyFont="1" applyFill="1" applyBorder="1" applyAlignment="1">
      <alignment horizontal="right" vertical="center"/>
    </xf>
    <xf numFmtId="0" fontId="23" fillId="34" borderId="15" xfId="0" applyFont="1" applyFill="1" applyBorder="1" applyAlignment="1">
      <alignment horizontal="right" vertical="center" wrapText="1"/>
    </xf>
    <xf numFmtId="0" fontId="23" fillId="36" borderId="15" xfId="0" applyFont="1" applyFill="1" applyBorder="1" applyAlignment="1">
      <alignment horizontal="right" vertical="center" wrapText="1"/>
    </xf>
    <xf numFmtId="0" fontId="27" fillId="0" borderId="16" xfId="0" applyFont="1" applyBorder="1" applyAlignment="1">
      <alignment horizontal="right"/>
    </xf>
    <xf numFmtId="165" fontId="25" fillId="36" borderId="11" xfId="44" applyNumberFormat="1" applyFont="1" applyFill="1" applyBorder="1" applyAlignment="1">
      <alignment horizontal="right"/>
    </xf>
    <xf numFmtId="165" fontId="25" fillId="0" borderId="11" xfId="44" applyNumberFormat="1" applyFont="1" applyBorder="1" applyAlignment="1">
      <alignment horizontal="right"/>
    </xf>
    <xf numFmtId="0" fontId="27" fillId="0" borderId="19" xfId="0" applyFont="1" applyBorder="1" applyAlignment="1">
      <alignment horizontal="right"/>
    </xf>
    <xf numFmtId="0" fontId="23" fillId="0" borderId="17" xfId="0" applyFont="1" applyBorder="1" applyAlignment="1">
      <alignment horizontal="right"/>
    </xf>
    <xf numFmtId="165" fontId="22" fillId="36" borderId="18" xfId="44" applyNumberFormat="1" applyFont="1" applyFill="1" applyBorder="1" applyAlignment="1">
      <alignment horizontal="right"/>
    </xf>
    <xf numFmtId="165" fontId="22" fillId="0" borderId="18" xfId="44" applyNumberFormat="1" applyFont="1" applyBorder="1" applyAlignment="1">
      <alignment horizontal="right"/>
    </xf>
    <xf numFmtId="0" fontId="25" fillId="34" borderId="0" xfId="0" applyFont="1" applyFill="1" applyAlignment="1">
      <alignment vertical="center"/>
    </xf>
    <xf numFmtId="0" fontId="25" fillId="35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0" fontId="24" fillId="36" borderId="13" xfId="0" applyFont="1" applyFill="1" applyBorder="1" applyAlignment="1">
      <alignment horizontal="right" vertical="center"/>
    </xf>
    <xf numFmtId="14" fontId="31" fillId="35" borderId="13" xfId="0" applyNumberFormat="1" applyFont="1" applyFill="1" applyBorder="1" applyAlignment="1">
      <alignment vertical="center"/>
    </xf>
    <xf numFmtId="14" fontId="31" fillId="35" borderId="13" xfId="0" applyNumberFormat="1" applyFont="1" applyFill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8" fillId="35" borderId="0" xfId="42" applyFont="1" applyFill="1" applyAlignment="1">
      <alignment horizontal="center" vertical="center"/>
    </xf>
    <xf numFmtId="0" fontId="29" fillId="35" borderId="0" xfId="0" applyFont="1" applyFill="1" applyAlignment="1">
      <alignment horizontal="center"/>
    </xf>
    <xf numFmtId="0" fontId="30" fillId="35" borderId="0" xfId="42" applyFont="1" applyFill="1" applyAlignment="1">
      <alignment horizontal="center" vertical="center"/>
    </xf>
    <xf numFmtId="0" fontId="19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 3" xfId="44" xr:uid="{47C6D5FA-4D6A-4E5D-B6EB-3215A525A785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3" xr:uid="{5B84A07B-B03A-456C-8BCA-5BF046625477}"/>
    <cellStyle name="Normal 3 3" xfId="42" xr:uid="{EC23090A-16D2-4613-BAB4-2CA59BD5B84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137A6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234042</xdr:colOff>
      <xdr:row>7</xdr:row>
      <xdr:rowOff>10885</xdr:rowOff>
    </xdr:from>
    <xdr:to>
      <xdr:col>10</xdr:col>
      <xdr:colOff>41501</xdr:colOff>
      <xdr:row>13</xdr:row>
      <xdr:rowOff>70075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12899B-3A7C-410A-B733-012F4C73E652}"/>
            </a:ext>
          </a:extLst>
        </xdr:cNvPr>
        <xdr:cNvSpPr txBox="1"/>
      </xdr:nvSpPr>
      <xdr:spPr>
        <a:xfrm>
          <a:off x="6498771" y="1268185"/>
          <a:ext cx="2599644" cy="1136876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rgbClr val="0137A6"/>
              </a:solidFill>
              <a:latin typeface="Mulish" pitchFamily="2" charset="0"/>
            </a:rPr>
            <a:t>YY</a:t>
          </a:r>
          <a:r>
            <a:rPr lang="en-US" sz="2800" b="1" baseline="0">
              <a:solidFill>
                <a:srgbClr val="0137A6"/>
              </a:solidFill>
              <a:latin typeface="Mulish" pitchFamily="2" charset="0"/>
            </a:rPr>
            <a:t> COMPANY LOGO</a:t>
          </a:r>
          <a:endParaRPr lang="en-KE" sz="2800" b="1">
            <a:solidFill>
              <a:srgbClr val="0137A6"/>
            </a:solidFill>
            <a:latin typeface="Mulish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7F3D-B119-4C36-8114-38EDB5E3678A}">
  <sheetPr>
    <tabColor theme="9" tint="-0.249977111117893"/>
  </sheetPr>
  <dimension ref="D7:K23"/>
  <sheetViews>
    <sheetView showGridLines="0" workbookViewId="0">
      <selection activeCell="G5" sqref="G5"/>
    </sheetView>
  </sheetViews>
  <sheetFormatPr defaultColWidth="9.28515625" defaultRowHeight="14.1"/>
  <cols>
    <col min="1" max="3" width="9.28515625" style="1"/>
    <col min="4" max="4" width="16" style="1" customWidth="1"/>
    <col min="5" max="6" width="9.28515625" style="1"/>
    <col min="7" max="7" width="13.5703125" style="1" customWidth="1"/>
    <col min="8" max="8" width="12.85546875" style="1" customWidth="1"/>
    <col min="9" max="9" width="9.28515625" style="1"/>
    <col min="10" max="10" width="30.28515625" style="1" customWidth="1"/>
    <col min="11" max="11" width="23.42578125" style="1" customWidth="1"/>
    <col min="12" max="16384" width="9.28515625" style="1"/>
  </cols>
  <sheetData>
    <row r="7" spans="4:11">
      <c r="D7" s="23"/>
      <c r="E7" s="23"/>
      <c r="F7" s="23"/>
      <c r="G7" s="23"/>
      <c r="H7" s="23"/>
      <c r="I7" s="23"/>
      <c r="J7" s="23"/>
      <c r="K7" s="23"/>
    </row>
    <row r="8" spans="4:11">
      <c r="D8" s="23"/>
      <c r="E8" s="24"/>
      <c r="F8" s="24"/>
      <c r="G8" s="24"/>
      <c r="H8" s="24"/>
      <c r="I8" s="24"/>
      <c r="J8" s="24"/>
      <c r="K8" s="23"/>
    </row>
    <row r="9" spans="4:11">
      <c r="D9" s="23"/>
      <c r="E9" s="24"/>
      <c r="F9" s="24"/>
      <c r="G9" s="24"/>
      <c r="H9" s="24"/>
      <c r="I9" s="24"/>
      <c r="J9" s="24"/>
      <c r="K9" s="23"/>
    </row>
    <row r="10" spans="4:11">
      <c r="D10" s="23"/>
      <c r="E10" s="24"/>
      <c r="F10" s="24"/>
      <c r="G10" s="24"/>
      <c r="H10" s="24"/>
      <c r="I10" s="24"/>
      <c r="J10" s="24"/>
      <c r="K10" s="23"/>
    </row>
    <row r="11" spans="4:11">
      <c r="D11" s="23"/>
      <c r="E11" s="24"/>
      <c r="F11" s="24"/>
      <c r="G11" s="24"/>
      <c r="H11" s="24"/>
      <c r="I11" s="24"/>
      <c r="J11" s="24"/>
      <c r="K11" s="23"/>
    </row>
    <row r="12" spans="4:11">
      <c r="D12" s="23"/>
      <c r="E12" s="24"/>
      <c r="F12" s="24"/>
      <c r="G12" s="24"/>
      <c r="H12" s="24"/>
      <c r="I12" s="24"/>
      <c r="J12" s="24"/>
      <c r="K12" s="23"/>
    </row>
    <row r="13" spans="4:11">
      <c r="D13" s="23"/>
      <c r="E13" s="24"/>
      <c r="F13" s="24"/>
      <c r="G13" s="24"/>
      <c r="H13" s="24"/>
      <c r="I13" s="24"/>
      <c r="J13" s="24"/>
      <c r="K13" s="23"/>
    </row>
    <row r="14" spans="4:11">
      <c r="D14" s="23"/>
      <c r="E14" s="24"/>
      <c r="F14" s="24"/>
      <c r="G14" s="24"/>
      <c r="H14" s="24"/>
      <c r="I14" s="24"/>
      <c r="J14" s="24"/>
      <c r="K14" s="23"/>
    </row>
    <row r="15" spans="4:11" ht="24.95">
      <c r="D15" s="23"/>
      <c r="E15" s="30" t="s">
        <v>0</v>
      </c>
      <c r="F15" s="30"/>
      <c r="G15" s="30"/>
      <c r="H15" s="30"/>
      <c r="I15" s="30"/>
      <c r="J15" s="30"/>
      <c r="K15" s="23"/>
    </row>
    <row r="16" spans="4:11" ht="21.95">
      <c r="D16" s="23"/>
      <c r="E16" s="31" t="s">
        <v>1</v>
      </c>
      <c r="F16" s="31"/>
      <c r="G16" s="31"/>
      <c r="H16" s="31"/>
      <c r="I16" s="31"/>
      <c r="J16" s="31"/>
      <c r="K16" s="23"/>
    </row>
    <row r="17" spans="4:11" ht="18">
      <c r="D17" s="23"/>
      <c r="E17" s="32" t="s">
        <v>2</v>
      </c>
      <c r="F17" s="32"/>
      <c r="G17" s="32"/>
      <c r="H17" s="32"/>
      <c r="I17" s="32"/>
      <c r="J17" s="32"/>
      <c r="K17" s="23"/>
    </row>
    <row r="18" spans="4:11">
      <c r="D18" s="23"/>
      <c r="E18" s="25"/>
      <c r="F18" s="25"/>
      <c r="G18" s="25"/>
      <c r="H18" s="25"/>
      <c r="I18" s="25"/>
      <c r="J18" s="25"/>
      <c r="K18" s="23"/>
    </row>
    <row r="19" spans="4:11">
      <c r="D19" s="23"/>
      <c r="E19" s="25"/>
      <c r="F19" s="25"/>
      <c r="G19" s="25"/>
      <c r="H19" s="25"/>
      <c r="I19" s="25"/>
      <c r="J19" s="25"/>
      <c r="K19" s="23"/>
    </row>
    <row r="20" spans="4:11">
      <c r="D20" s="23"/>
      <c r="E20" s="25"/>
      <c r="F20" s="25"/>
      <c r="G20" s="26" t="s">
        <v>3</v>
      </c>
      <c r="H20" s="27">
        <v>44197</v>
      </c>
      <c r="I20" s="25"/>
      <c r="J20" s="25"/>
      <c r="K20" s="23"/>
    </row>
    <row r="21" spans="4:11">
      <c r="D21" s="23"/>
      <c r="E21" s="25"/>
      <c r="F21" s="25"/>
      <c r="G21" s="26" t="s">
        <v>4</v>
      </c>
      <c r="H21" s="28">
        <v>45657</v>
      </c>
      <c r="I21" s="25"/>
      <c r="J21" s="25"/>
      <c r="K21" s="23"/>
    </row>
    <row r="22" spans="4:11">
      <c r="D22" s="23"/>
      <c r="E22" s="25"/>
      <c r="F22" s="25"/>
      <c r="G22" s="25"/>
      <c r="H22" s="25"/>
      <c r="I22" s="25"/>
      <c r="J22" s="25"/>
      <c r="K22" s="23"/>
    </row>
    <row r="23" spans="4:11">
      <c r="D23" s="23"/>
      <c r="E23" s="23"/>
      <c r="F23" s="23"/>
      <c r="G23" s="23"/>
      <c r="H23" s="23"/>
      <c r="I23" s="23"/>
      <c r="J23" s="23"/>
      <c r="K23" s="23"/>
    </row>
  </sheetData>
  <mergeCells count="3">
    <mergeCell ref="E15:J15"/>
    <mergeCell ref="E16:J16"/>
    <mergeCell ref="E17:J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7FAC-B9FF-4A3E-B5D8-E0E422D57C79}">
  <sheetPr>
    <tabColor rgb="FF0137A6"/>
  </sheetPr>
  <dimension ref="C2:G8"/>
  <sheetViews>
    <sheetView showGridLines="0" workbookViewId="0">
      <selection activeCell="E21" sqref="E21"/>
    </sheetView>
  </sheetViews>
  <sheetFormatPr defaultRowHeight="14.1"/>
  <cols>
    <col min="3" max="3" width="24.28515625" customWidth="1"/>
    <col min="4" max="4" width="9.85546875" customWidth="1"/>
    <col min="5" max="5" width="12.5703125" bestFit="1" customWidth="1"/>
    <col min="6" max="6" width="12" bestFit="1" customWidth="1"/>
    <col min="7" max="7" width="14.28515625" bestFit="1" customWidth="1"/>
    <col min="8" max="8" width="17.85546875" bestFit="1" customWidth="1"/>
    <col min="10" max="10" width="16.140625" bestFit="1" customWidth="1"/>
    <col min="11" max="11" width="13.7109375" bestFit="1" customWidth="1"/>
    <col min="12" max="12" width="15.140625" bestFit="1" customWidth="1"/>
    <col min="13" max="13" width="16.28515625" bestFit="1" customWidth="1"/>
  </cols>
  <sheetData>
    <row r="2" spans="3:7">
      <c r="D2" s="1"/>
    </row>
    <row r="3" spans="3:7">
      <c r="C3" s="33" t="s">
        <v>5</v>
      </c>
      <c r="D3" s="33"/>
      <c r="E3" s="33"/>
      <c r="F3" s="33"/>
      <c r="G3" s="33"/>
    </row>
    <row r="4" spans="3:7">
      <c r="C4" s="10" t="s">
        <v>6</v>
      </c>
      <c r="D4" s="2">
        <v>2021</v>
      </c>
      <c r="E4" s="2">
        <v>2022</v>
      </c>
      <c r="F4" s="2">
        <v>2023</v>
      </c>
      <c r="G4" s="3">
        <v>2024</v>
      </c>
    </row>
    <row r="5" spans="3:7">
      <c r="C5" s="8" t="s">
        <v>7</v>
      </c>
      <c r="D5" s="4">
        <v>3330769.2307692305</v>
      </c>
      <c r="E5" s="4">
        <v>3697153.846153846</v>
      </c>
      <c r="F5" s="4">
        <v>4251726.923076923</v>
      </c>
      <c r="G5" s="5">
        <v>4330000</v>
      </c>
    </row>
    <row r="6" spans="3:7">
      <c r="C6" s="8" t="s">
        <v>8</v>
      </c>
      <c r="D6" s="4">
        <v>4038461.5384615385</v>
      </c>
      <c r="E6" s="4">
        <v>4482692.307692308</v>
      </c>
      <c r="F6" s="4">
        <v>5155096.153846154</v>
      </c>
      <c r="G6" s="5">
        <v>5250000</v>
      </c>
    </row>
    <row r="7" spans="3:7">
      <c r="C7" s="8" t="s">
        <v>9</v>
      </c>
      <c r="D7" s="4">
        <v>3738461.5384615385</v>
      </c>
      <c r="E7" s="4">
        <v>4149692.307692308</v>
      </c>
      <c r="F7" s="4">
        <v>4772146.153846154</v>
      </c>
      <c r="G7" s="5">
        <v>4860000</v>
      </c>
    </row>
    <row r="8" spans="3:7">
      <c r="C8" s="9" t="s">
        <v>10</v>
      </c>
      <c r="D8" s="6">
        <f>SUM(D5:D7)</f>
        <v>11107692.307692308</v>
      </c>
      <c r="E8" s="6">
        <f>SUM(E5:E7)</f>
        <v>12329538.461538462</v>
      </c>
      <c r="F8" s="6">
        <f>SUM(F5:F7)</f>
        <v>14178969.23076923</v>
      </c>
      <c r="G8" s="7">
        <f>SUM(G5:G7)</f>
        <v>14440000</v>
      </c>
    </row>
  </sheetData>
  <mergeCells count="1">
    <mergeCell ref="C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4E0C-B5E1-406B-B8D4-18E3BCB538CC}">
  <sheetPr>
    <tabColor rgb="FF0137A6"/>
  </sheetPr>
  <dimension ref="C2:G8"/>
  <sheetViews>
    <sheetView showGridLines="0" workbookViewId="0">
      <selection activeCell="E25" sqref="E25"/>
    </sheetView>
  </sheetViews>
  <sheetFormatPr defaultRowHeight="14.1"/>
  <cols>
    <col min="3" max="3" width="24.28515625" customWidth="1"/>
    <col min="4" max="4" width="10.42578125" customWidth="1"/>
    <col min="5" max="5" width="12.5703125" bestFit="1" customWidth="1"/>
    <col min="6" max="6" width="12" bestFit="1" customWidth="1"/>
    <col min="7" max="7" width="14.28515625" bestFit="1" customWidth="1"/>
    <col min="8" max="8" width="17.85546875" bestFit="1" customWidth="1"/>
    <col min="10" max="10" width="16.140625" bestFit="1" customWidth="1"/>
    <col min="11" max="11" width="13.7109375" bestFit="1" customWidth="1"/>
    <col min="12" max="12" width="15.140625" bestFit="1" customWidth="1"/>
    <col min="13" max="13" width="16.28515625" bestFit="1" customWidth="1"/>
  </cols>
  <sheetData>
    <row r="2" spans="3:7">
      <c r="D2" s="1"/>
    </row>
    <row r="3" spans="3:7">
      <c r="C3" s="33" t="s">
        <v>11</v>
      </c>
      <c r="D3" s="33"/>
      <c r="E3" s="33"/>
      <c r="F3" s="33"/>
      <c r="G3" s="33"/>
    </row>
    <row r="4" spans="3:7">
      <c r="C4" s="10" t="s">
        <v>6</v>
      </c>
      <c r="D4" s="2">
        <v>2021</v>
      </c>
      <c r="E4" s="2">
        <v>2022</v>
      </c>
      <c r="F4" s="2">
        <v>2023</v>
      </c>
      <c r="G4" s="3">
        <v>2024</v>
      </c>
    </row>
    <row r="5" spans="3:7">
      <c r="C5" s="8" t="s">
        <v>7</v>
      </c>
      <c r="D5" s="4">
        <v>666153.84615384613</v>
      </c>
      <c r="E5" s="4">
        <v>739430.76923076925</v>
      </c>
      <c r="F5" s="4">
        <v>850345.38461538462</v>
      </c>
      <c r="G5" s="4">
        <v>866000</v>
      </c>
    </row>
    <row r="6" spans="3:7">
      <c r="C6" s="8" t="s">
        <v>8</v>
      </c>
      <c r="D6" s="4">
        <v>807692.30769230775</v>
      </c>
      <c r="E6" s="4">
        <v>896538.46153846162</v>
      </c>
      <c r="F6" s="4">
        <v>1031019.2307692308</v>
      </c>
      <c r="G6" s="4">
        <v>1050000</v>
      </c>
    </row>
    <row r="7" spans="3:7">
      <c r="C7" s="8" t="s">
        <v>9</v>
      </c>
      <c r="D7" s="4">
        <v>747692.30769230775</v>
      </c>
      <c r="E7" s="4">
        <v>829938.46153846162</v>
      </c>
      <c r="F7" s="4">
        <v>954429.23076923075</v>
      </c>
      <c r="G7" s="4">
        <v>972000</v>
      </c>
    </row>
    <row r="8" spans="3:7">
      <c r="C8" s="9" t="s">
        <v>10</v>
      </c>
      <c r="D8" s="6">
        <f>SUM(D5:D7)</f>
        <v>2221538.461538462</v>
      </c>
      <c r="E8" s="6">
        <f>SUM(E5:E7)</f>
        <v>2465907.6923076925</v>
      </c>
      <c r="F8" s="6">
        <f>SUM(F5:F7)</f>
        <v>2835793.846153846</v>
      </c>
      <c r="G8" s="7">
        <f>SUM(G5:G7)</f>
        <v>2888000</v>
      </c>
    </row>
  </sheetData>
  <mergeCells count="1">
    <mergeCell ref="C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E486-4963-40C4-B2BA-5933F0ADA9A2}">
  <sheetPr>
    <tabColor rgb="FF0137A6"/>
  </sheetPr>
  <dimension ref="C2:G8"/>
  <sheetViews>
    <sheetView showGridLines="0" workbookViewId="0">
      <selection activeCell="D5" sqref="D5:G7"/>
    </sheetView>
  </sheetViews>
  <sheetFormatPr defaultRowHeight="14.1"/>
  <cols>
    <col min="3" max="3" width="24.28515625" customWidth="1"/>
    <col min="4" max="4" width="9.85546875" customWidth="1"/>
    <col min="5" max="5" width="12.5703125" bestFit="1" customWidth="1"/>
    <col min="6" max="6" width="12" bestFit="1" customWidth="1"/>
    <col min="7" max="7" width="14.28515625" bestFit="1" customWidth="1"/>
    <col min="8" max="8" width="17.85546875" bestFit="1" customWidth="1"/>
    <col min="10" max="10" width="16.140625" bestFit="1" customWidth="1"/>
    <col min="11" max="11" width="13.7109375" bestFit="1" customWidth="1"/>
    <col min="12" max="12" width="15.140625" bestFit="1" customWidth="1"/>
    <col min="13" max="13" width="16.28515625" bestFit="1" customWidth="1"/>
  </cols>
  <sheetData>
    <row r="2" spans="3:7">
      <c r="D2" s="1"/>
    </row>
    <row r="3" spans="3:7">
      <c r="C3" s="33" t="s">
        <v>12</v>
      </c>
      <c r="D3" s="33"/>
      <c r="E3" s="33"/>
      <c r="F3" s="33"/>
      <c r="G3" s="33"/>
    </row>
    <row r="4" spans="3:7">
      <c r="C4" s="10" t="s">
        <v>6</v>
      </c>
      <c r="D4" s="2">
        <v>2021</v>
      </c>
      <c r="E4" s="2">
        <v>2022</v>
      </c>
      <c r="F4" s="2">
        <v>2023</v>
      </c>
      <c r="G4" s="3">
        <v>2024</v>
      </c>
    </row>
    <row r="5" spans="3:7">
      <c r="C5" s="8" t="s">
        <v>7</v>
      </c>
      <c r="D5" s="4">
        <v>166538.46153846153</v>
      </c>
      <c r="E5" s="4">
        <v>184857.69230769231</v>
      </c>
      <c r="F5" s="4">
        <v>212586.34615384616</v>
      </c>
      <c r="G5" s="4">
        <v>216500</v>
      </c>
    </row>
    <row r="6" spans="3:7">
      <c r="C6" s="8" t="s">
        <v>8</v>
      </c>
      <c r="D6" s="4">
        <v>201923.07692307694</v>
      </c>
      <c r="E6" s="4">
        <v>224134.6153846154</v>
      </c>
      <c r="F6" s="4">
        <v>257754.80769230769</v>
      </c>
      <c r="G6" s="4">
        <v>262500</v>
      </c>
    </row>
    <row r="7" spans="3:7">
      <c r="C7" s="8" t="s">
        <v>9</v>
      </c>
      <c r="D7" s="4">
        <v>186923.07692307694</v>
      </c>
      <c r="E7" s="4">
        <v>207484.6153846154</v>
      </c>
      <c r="F7" s="4">
        <v>238607.30769230769</v>
      </c>
      <c r="G7" s="4">
        <v>243000</v>
      </c>
    </row>
    <row r="8" spans="3:7">
      <c r="C8" s="9" t="s">
        <v>10</v>
      </c>
      <c r="D8" s="6">
        <f>SUM(D5:D7)</f>
        <v>555384.61538461549</v>
      </c>
      <c r="E8" s="6">
        <f>SUM(E5:E7)</f>
        <v>616476.92307692312</v>
      </c>
      <c r="F8" s="6">
        <f>SUM(F5:F7)</f>
        <v>708948.4615384615</v>
      </c>
      <c r="G8" s="7">
        <f>SUM(G5:G7)</f>
        <v>722000</v>
      </c>
    </row>
  </sheetData>
  <mergeCells count="1">
    <mergeCell ref="C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08BE-1147-40F9-85D1-FC336C25876D}">
  <sheetPr>
    <tabColor rgb="FF0137A6"/>
  </sheetPr>
  <dimension ref="C2:G8"/>
  <sheetViews>
    <sheetView showGridLines="0" workbookViewId="0">
      <selection activeCell="D5" sqref="D5:G7"/>
    </sheetView>
  </sheetViews>
  <sheetFormatPr defaultRowHeight="14.1"/>
  <cols>
    <col min="3" max="3" width="24.28515625" customWidth="1"/>
    <col min="4" max="4" width="8.85546875" bestFit="1" customWidth="1"/>
    <col min="5" max="5" width="12.5703125" bestFit="1" customWidth="1"/>
    <col min="6" max="6" width="12" bestFit="1" customWidth="1"/>
    <col min="7" max="7" width="14.28515625" bestFit="1" customWidth="1"/>
    <col min="8" max="8" width="17.85546875" bestFit="1" customWidth="1"/>
    <col min="10" max="10" width="16.140625" bestFit="1" customWidth="1"/>
    <col min="11" max="11" width="13.7109375" bestFit="1" customWidth="1"/>
    <col min="12" max="12" width="15.140625" bestFit="1" customWidth="1"/>
    <col min="13" max="13" width="16.28515625" bestFit="1" customWidth="1"/>
  </cols>
  <sheetData>
    <row r="2" spans="3:7">
      <c r="D2" s="1"/>
    </row>
    <row r="3" spans="3:7">
      <c r="C3" s="33" t="s">
        <v>13</v>
      </c>
      <c r="D3" s="33"/>
      <c r="E3" s="33"/>
      <c r="F3" s="33"/>
      <c r="G3" s="33"/>
    </row>
    <row r="4" spans="3:7">
      <c r="C4" s="10" t="s">
        <v>6</v>
      </c>
      <c r="D4" s="2">
        <v>2021</v>
      </c>
      <c r="E4" s="2">
        <v>2022</v>
      </c>
      <c r="F4" s="2">
        <v>2023</v>
      </c>
      <c r="G4" s="3">
        <v>2024</v>
      </c>
    </row>
    <row r="5" spans="3:7">
      <c r="C5" s="8" t="s">
        <v>7</v>
      </c>
      <c r="D5" s="4">
        <v>1110256.4102564103</v>
      </c>
      <c r="E5" s="4">
        <v>1232384.6153846153</v>
      </c>
      <c r="F5" s="4">
        <v>1417242.3076923077</v>
      </c>
      <c r="G5" s="4">
        <v>1443333.3333333333</v>
      </c>
    </row>
    <row r="6" spans="3:7">
      <c r="C6" s="8" t="s">
        <v>8</v>
      </c>
      <c r="D6" s="4">
        <v>1346153.8461538462</v>
      </c>
      <c r="E6" s="4">
        <v>1494230.7692307692</v>
      </c>
      <c r="F6" s="4">
        <v>1718365.3846153847</v>
      </c>
      <c r="G6" s="4">
        <v>1750000</v>
      </c>
    </row>
    <row r="7" spans="3:7">
      <c r="C7" s="8" t="s">
        <v>9</v>
      </c>
      <c r="D7" s="4">
        <v>1246153.8461538462</v>
      </c>
      <c r="E7" s="4">
        <v>1383230.7692307692</v>
      </c>
      <c r="F7" s="4">
        <v>1590715.3846153847</v>
      </c>
      <c r="G7" s="4">
        <v>1620000</v>
      </c>
    </row>
    <row r="8" spans="3:7">
      <c r="C8" s="9" t="s">
        <v>10</v>
      </c>
      <c r="D8" s="6">
        <f>SUM(D5:D7)</f>
        <v>3702564.102564103</v>
      </c>
      <c r="E8" s="6">
        <f>SUM(E5:E7)</f>
        <v>4109846.153846154</v>
      </c>
      <c r="F8" s="6">
        <f>SUM(F5:F7)</f>
        <v>4726323.076923077</v>
      </c>
      <c r="G8" s="7">
        <f>SUM(G5:G7)</f>
        <v>4813333.333333333</v>
      </c>
    </row>
  </sheetData>
  <mergeCells count="1">
    <mergeCell ref="C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F20C-2213-4055-AB8E-7B28A7734F80}">
  <sheetPr>
    <tabColor rgb="FFC00000"/>
  </sheetPr>
  <dimension ref="A5:P39"/>
  <sheetViews>
    <sheetView showGridLines="0" tabSelected="1" topLeftCell="A13" workbookViewId="0">
      <selection activeCell="B31" sqref="B31"/>
    </sheetView>
  </sheetViews>
  <sheetFormatPr defaultColWidth="9.28515625" defaultRowHeight="14.1"/>
  <cols>
    <col min="1" max="1" width="21.28515625" style="1" customWidth="1"/>
    <col min="2" max="2" width="19.85546875" style="1" bestFit="1" customWidth="1"/>
    <col min="3" max="3" width="18.28515625" style="1" bestFit="1" customWidth="1"/>
    <col min="4" max="4" width="23.7109375" style="1" customWidth="1"/>
    <col min="5" max="6" width="13.42578125" style="1" bestFit="1" customWidth="1"/>
    <col min="7" max="7" width="12" style="1" bestFit="1" customWidth="1"/>
    <col min="8" max="8" width="21.140625" style="1" bestFit="1" customWidth="1"/>
    <col min="9" max="10" width="13.42578125" style="1" bestFit="1" customWidth="1"/>
    <col min="11" max="12" width="13.42578125" style="1" customWidth="1"/>
    <col min="13" max="16" width="13.42578125" style="1" bestFit="1" customWidth="1"/>
    <col min="17" max="16384" width="9.28515625" style="1"/>
  </cols>
  <sheetData>
    <row r="5" spans="2:16" ht="27.95" customHeight="1">
      <c r="B5" s="34" t="s">
        <v>14</v>
      </c>
      <c r="C5" s="34"/>
      <c r="D5" s="34"/>
      <c r="E5" s="34"/>
      <c r="F5" s="34"/>
      <c r="H5"/>
      <c r="I5"/>
      <c r="J5"/>
      <c r="K5"/>
      <c r="L5"/>
      <c r="M5"/>
      <c r="N5"/>
      <c r="O5"/>
      <c r="P5"/>
    </row>
    <row r="6" spans="2:16" ht="42.4">
      <c r="B6" s="11" t="s">
        <v>15</v>
      </c>
      <c r="C6" s="12" t="s">
        <v>16</v>
      </c>
      <c r="D6" s="13" t="s">
        <v>17</v>
      </c>
      <c r="E6" s="14" t="s">
        <v>18</v>
      </c>
      <c r="F6" s="15" t="s">
        <v>19</v>
      </c>
      <c r="H6"/>
      <c r="I6"/>
      <c r="J6"/>
      <c r="K6"/>
      <c r="L6"/>
      <c r="M6"/>
      <c r="N6"/>
      <c r="O6"/>
      <c r="P6"/>
    </row>
    <row r="7" spans="2:16">
      <c r="B7" s="16" t="s">
        <v>7</v>
      </c>
      <c r="C7" s="17">
        <f>UPR!D5</f>
        <v>1110256.4102564103</v>
      </c>
      <c r="D7" s="18">
        <f>DAC!D5</f>
        <v>166538.46153846153</v>
      </c>
      <c r="E7" s="18">
        <f>'Premium Receivables'!D5</f>
        <v>666153.84615384613</v>
      </c>
      <c r="F7" s="17">
        <f>C7-D7-E7</f>
        <v>277564.10256410262</v>
      </c>
      <c r="H7"/>
      <c r="I7"/>
      <c r="J7"/>
      <c r="K7"/>
      <c r="L7"/>
      <c r="M7"/>
      <c r="N7"/>
      <c r="O7"/>
      <c r="P7"/>
    </row>
    <row r="8" spans="2:16">
      <c r="B8" s="16" t="s">
        <v>8</v>
      </c>
      <c r="C8" s="17">
        <f>UPR!D6</f>
        <v>1346153.8461538462</v>
      </c>
      <c r="D8" s="18">
        <f>DAC!D6</f>
        <v>201923.07692307694</v>
      </c>
      <c r="E8" s="18">
        <f>'Premium Receivables'!D6</f>
        <v>807692.30769230775</v>
      </c>
      <c r="F8" s="17">
        <f>C8-D8-E8</f>
        <v>336538.4615384615</v>
      </c>
      <c r="H8"/>
      <c r="I8"/>
      <c r="J8"/>
      <c r="K8"/>
      <c r="L8"/>
      <c r="M8"/>
      <c r="N8"/>
      <c r="O8"/>
      <c r="P8"/>
    </row>
    <row r="9" spans="2:16">
      <c r="B9" s="19" t="s">
        <v>9</v>
      </c>
      <c r="C9" s="17">
        <f>UPR!D7</f>
        <v>1246153.8461538462</v>
      </c>
      <c r="D9" s="18">
        <f>DAC!D7</f>
        <v>186923.07692307694</v>
      </c>
      <c r="E9" s="18">
        <f>'Premium Receivables'!D7</f>
        <v>747692.30769230775</v>
      </c>
      <c r="F9" s="17">
        <f>C9-D9-E9</f>
        <v>311538.4615384615</v>
      </c>
      <c r="H9"/>
      <c r="I9"/>
      <c r="J9"/>
      <c r="K9"/>
      <c r="L9"/>
      <c r="M9"/>
      <c r="N9"/>
      <c r="O9"/>
      <c r="P9"/>
    </row>
    <row r="10" spans="2:16" ht="14.65" thickBot="1">
      <c r="B10" s="20" t="s">
        <v>20</v>
      </c>
      <c r="C10" s="21">
        <f>SUM(C7:C8)</f>
        <v>2456410.2564102565</v>
      </c>
      <c r="D10" s="22">
        <f t="shared" ref="D10:E10" si="0">SUM(D7:D8)</f>
        <v>368461.5384615385</v>
      </c>
      <c r="E10" s="22">
        <f t="shared" si="0"/>
        <v>1473846.153846154</v>
      </c>
      <c r="F10" s="21">
        <f>SUM(F7:F8)</f>
        <v>614102.56410256412</v>
      </c>
      <c r="H10"/>
      <c r="I10"/>
      <c r="J10"/>
      <c r="K10"/>
      <c r="L10"/>
      <c r="M10"/>
      <c r="N10"/>
      <c r="O10"/>
      <c r="P10"/>
    </row>
    <row r="11" spans="2:16" ht="14.65" thickTop="1">
      <c r="H11"/>
      <c r="I11"/>
      <c r="J11"/>
      <c r="K11"/>
      <c r="L11"/>
      <c r="M11"/>
      <c r="N11"/>
      <c r="O11"/>
      <c r="P11"/>
    </row>
    <row r="12" spans="2:16">
      <c r="H12"/>
      <c r="I12"/>
      <c r="J12"/>
      <c r="K12"/>
      <c r="L12"/>
      <c r="M12"/>
      <c r="N12"/>
      <c r="O12"/>
      <c r="P12"/>
    </row>
    <row r="14" spans="2:16" ht="27" customHeight="1">
      <c r="B14" s="34" t="s">
        <v>21</v>
      </c>
      <c r="C14" s="34"/>
      <c r="D14" s="34"/>
      <c r="E14" s="34"/>
      <c r="F14" s="34"/>
      <c r="G14" s="34"/>
      <c r="H14" s="34"/>
      <c r="I14" s="34"/>
      <c r="J14" s="34"/>
    </row>
    <row r="15" spans="2:16" ht="42.4">
      <c r="B15" s="11" t="s">
        <v>15</v>
      </c>
      <c r="C15" s="12" t="s">
        <v>22</v>
      </c>
      <c r="D15" s="14" t="s">
        <v>23</v>
      </c>
      <c r="E15" s="14" t="s">
        <v>18</v>
      </c>
      <c r="F15" s="14" t="s">
        <v>24</v>
      </c>
      <c r="G15" s="15" t="s">
        <v>25</v>
      </c>
      <c r="H15" s="14" t="s">
        <v>26</v>
      </c>
      <c r="I15" s="14" t="s">
        <v>27</v>
      </c>
      <c r="J15" s="15" t="s">
        <v>19</v>
      </c>
    </row>
    <row r="16" spans="2:16">
      <c r="B16" s="16" t="s">
        <v>7</v>
      </c>
      <c r="C16" s="17">
        <f>F7</f>
        <v>277564.10256410262</v>
      </c>
      <c r="D16" s="18">
        <f>GWP!E5</f>
        <v>3697153.846153846</v>
      </c>
      <c r="E16" s="18">
        <f>E7</f>
        <v>666153.84615384613</v>
      </c>
      <c r="F16" s="18">
        <f>'Premium Receivables'!E5</f>
        <v>739430.76923076925</v>
      </c>
      <c r="G16" s="17">
        <f>D16+E16-F16</f>
        <v>3623876.923076923</v>
      </c>
      <c r="H16" s="18">
        <f>GWP!E5-(UPR!E5-UPR!D5)</f>
        <v>3575025.641025641</v>
      </c>
      <c r="I16" s="18">
        <f>DAC!E5-DAC!D5</f>
        <v>18319.23076923078</v>
      </c>
      <c r="J16" s="17">
        <f>C16+G16-H16-I16</f>
        <v>308096.15384615376</v>
      </c>
    </row>
    <row r="17" spans="1:10">
      <c r="B17" s="16" t="s">
        <v>8</v>
      </c>
      <c r="C17" s="17">
        <f t="shared" ref="C17:C18" si="1">F8</f>
        <v>336538.4615384615</v>
      </c>
      <c r="D17" s="18">
        <f>GWP!E6</f>
        <v>4482692.307692308</v>
      </c>
      <c r="E17" s="18">
        <f t="shared" ref="E17:E18" si="2">E8</f>
        <v>807692.30769230775</v>
      </c>
      <c r="F17" s="18">
        <f>'Premium Receivables'!E6</f>
        <v>896538.46153846162</v>
      </c>
      <c r="G17" s="17">
        <f t="shared" ref="G17:G18" si="3">D17+E17-F17</f>
        <v>4393846.153846154</v>
      </c>
      <c r="H17" s="18">
        <f>GWP!E6-(UPR!E6-UPR!D6)</f>
        <v>4334615.384615385</v>
      </c>
      <c r="I17" s="18">
        <f>DAC!E6-DAC!D6</f>
        <v>22211.538461538468</v>
      </c>
      <c r="J17" s="17">
        <f t="shared" ref="J17:J18" si="4">C17+G17-H17-I17</f>
        <v>373557.69230769249</v>
      </c>
    </row>
    <row r="18" spans="1:10">
      <c r="B18" s="19" t="s">
        <v>9</v>
      </c>
      <c r="C18" s="17">
        <f t="shared" si="1"/>
        <v>311538.4615384615</v>
      </c>
      <c r="D18" s="18">
        <f>GWP!E7</f>
        <v>4149692.307692308</v>
      </c>
      <c r="E18" s="18">
        <f t="shared" si="2"/>
        <v>747692.30769230775</v>
      </c>
      <c r="F18" s="18">
        <f>'Premium Receivables'!E7</f>
        <v>829938.46153846162</v>
      </c>
      <c r="G18" s="17">
        <f t="shared" si="3"/>
        <v>4067446.1538461545</v>
      </c>
      <c r="H18" s="18">
        <f>GWP!E7-(UPR!E7-UPR!D7)</f>
        <v>4012615.384615385</v>
      </c>
      <c r="I18" s="18">
        <f>DAC!E7-DAC!D7</f>
        <v>20561.538461538468</v>
      </c>
      <c r="J18" s="17">
        <f t="shared" si="4"/>
        <v>345807.69230769249</v>
      </c>
    </row>
    <row r="19" spans="1:10" ht="14.65" thickBot="1">
      <c r="B19" s="20" t="s">
        <v>20</v>
      </c>
      <c r="C19" s="21">
        <f>SUM(C16:C17)</f>
        <v>614102.56410256412</v>
      </c>
      <c r="D19" s="22">
        <f>SUM(D16:D18)</f>
        <v>12329538.461538462</v>
      </c>
      <c r="E19" s="22">
        <f>SUM(E16:E18)</f>
        <v>2221538.461538462</v>
      </c>
      <c r="F19" s="22">
        <f>SUM(F16:F18)</f>
        <v>2465907.6923076925</v>
      </c>
      <c r="G19" s="21">
        <f t="shared" ref="G19" si="5">SUM(G16:G17)</f>
        <v>8017723.076923077</v>
      </c>
      <c r="H19" s="22">
        <f t="shared" ref="H19" si="6">SUM(H16:H17)</f>
        <v>7909641.025641026</v>
      </c>
      <c r="I19" s="22">
        <f t="shared" ref="I19" si="7">SUM(I16:I17)</f>
        <v>40530.769230769249</v>
      </c>
      <c r="J19" s="21">
        <f t="shared" ref="J19" si="8">SUM(J16:J17)</f>
        <v>681653.84615384624</v>
      </c>
    </row>
    <row r="20" spans="1:10" ht="14.65" thickTop="1">
      <c r="A20"/>
      <c r="B20"/>
      <c r="C20"/>
      <c r="D20"/>
      <c r="E20"/>
      <c r="F20"/>
      <c r="G20"/>
      <c r="H20"/>
    </row>
    <row r="21" spans="1:10">
      <c r="A21"/>
      <c r="B21"/>
      <c r="C21"/>
      <c r="D21"/>
      <c r="E21"/>
      <c r="F21"/>
      <c r="G21"/>
      <c r="H21"/>
    </row>
    <row r="22" spans="1:10" ht="26.25" customHeight="1">
      <c r="A22"/>
      <c r="B22" s="34" t="s">
        <v>28</v>
      </c>
      <c r="C22" s="34"/>
      <c r="D22" s="34"/>
      <c r="E22" s="34"/>
      <c r="F22" s="34"/>
      <c r="G22" s="34"/>
      <c r="H22" s="34"/>
      <c r="I22" s="34"/>
      <c r="J22" s="34"/>
    </row>
    <row r="23" spans="1:10" ht="42.4">
      <c r="A23"/>
      <c r="B23" s="11" t="s">
        <v>15</v>
      </c>
      <c r="C23" s="12" t="s">
        <v>22</v>
      </c>
      <c r="D23" s="14" t="s">
        <v>29</v>
      </c>
      <c r="E23" s="14" t="s">
        <v>24</v>
      </c>
      <c r="F23" s="14" t="s">
        <v>30</v>
      </c>
      <c r="G23" s="15" t="s">
        <v>25</v>
      </c>
      <c r="H23" s="14" t="s">
        <v>26</v>
      </c>
      <c r="I23" s="14" t="s">
        <v>27</v>
      </c>
      <c r="J23" s="15" t="s">
        <v>19</v>
      </c>
    </row>
    <row r="24" spans="1:10">
      <c r="A24"/>
      <c r="B24" s="16" t="s">
        <v>7</v>
      </c>
      <c r="C24" s="17">
        <f>J16</f>
        <v>308096.15384615376</v>
      </c>
      <c r="D24" s="18">
        <f>GWP!F5</f>
        <v>4251726.923076923</v>
      </c>
      <c r="E24" s="18">
        <f>F16</f>
        <v>739430.76923076925</v>
      </c>
      <c r="F24" s="18">
        <f>'Premium Receivables'!F5</f>
        <v>850345.38461538462</v>
      </c>
      <c r="G24" s="17">
        <f>D24+E24-F24</f>
        <v>4140812.3076923075</v>
      </c>
      <c r="H24" s="18">
        <f>GWP!F5-(UPR!F5-UPR!E5)</f>
        <v>4066869.2307692305</v>
      </c>
      <c r="I24" s="18">
        <f>DAC!F5-DAC!E5</f>
        <v>27728.653846153844</v>
      </c>
      <c r="J24" s="17">
        <f>C24+G24-H24-I24</f>
        <v>354310.57692307665</v>
      </c>
    </row>
    <row r="25" spans="1:10">
      <c r="A25"/>
      <c r="B25" s="16" t="s">
        <v>8</v>
      </c>
      <c r="C25" s="17">
        <f t="shared" ref="C25:C26" si="9">J17</f>
        <v>373557.69230769249</v>
      </c>
      <c r="D25" s="18">
        <f>GWP!F6</f>
        <v>5155096.153846154</v>
      </c>
      <c r="E25" s="18">
        <f t="shared" ref="E25:E26" si="10">F17</f>
        <v>896538.46153846162</v>
      </c>
      <c r="F25" s="18">
        <f>'Premium Receivables'!F6</f>
        <v>1031019.2307692308</v>
      </c>
      <c r="G25" s="17">
        <f t="shared" ref="G25:G26" si="11">D25+E25-F25</f>
        <v>5020615.384615385</v>
      </c>
      <c r="H25" s="18">
        <f>GWP!F6-(UPR!F6-UPR!E6)</f>
        <v>4930961.538461538</v>
      </c>
      <c r="I25" s="18">
        <f>DAC!F6-DAC!E6</f>
        <v>33620.192307692283</v>
      </c>
      <c r="J25" s="17">
        <f t="shared" ref="J25:J26" si="12">C25+G25-H25-I25</f>
        <v>429591.34615384764</v>
      </c>
    </row>
    <row r="26" spans="1:10">
      <c r="A26"/>
      <c r="B26" s="19" t="s">
        <v>9</v>
      </c>
      <c r="C26" s="17">
        <f t="shared" si="9"/>
        <v>345807.69230769249</v>
      </c>
      <c r="D26" s="18">
        <f>GWP!F7</f>
        <v>4772146.153846154</v>
      </c>
      <c r="E26" s="18">
        <f t="shared" si="10"/>
        <v>829938.46153846162</v>
      </c>
      <c r="F26" s="18">
        <f>'Premium Receivables'!F7</f>
        <v>954429.23076923075</v>
      </c>
      <c r="G26" s="17">
        <f t="shared" si="11"/>
        <v>4647655.384615385</v>
      </c>
      <c r="H26" s="18">
        <f>GWP!F7-(UPR!F7-UPR!E7)</f>
        <v>4564661.538461538</v>
      </c>
      <c r="I26" s="18">
        <f>DAC!F7-DAC!E7</f>
        <v>31122.692307692283</v>
      </c>
      <c r="J26" s="17">
        <f t="shared" si="12"/>
        <v>397678.84615384764</v>
      </c>
    </row>
    <row r="27" spans="1:10" ht="14.65" thickBot="1">
      <c r="A27"/>
      <c r="B27" s="20" t="s">
        <v>20</v>
      </c>
      <c r="C27" s="21">
        <f>SUM(C24:C25)</f>
        <v>681653.84615384624</v>
      </c>
      <c r="D27" s="22">
        <f>SUM(D24:D26)</f>
        <v>14178969.23076923</v>
      </c>
      <c r="E27" s="22">
        <f>SUM(E24:E26)</f>
        <v>2465907.6923076925</v>
      </c>
      <c r="F27" s="22">
        <f>SUM(F24:F26)</f>
        <v>2835793.846153846</v>
      </c>
      <c r="G27" s="21">
        <f t="shared" ref="G27" si="13">SUM(G24:G25)</f>
        <v>9161427.692307692</v>
      </c>
      <c r="H27" s="22">
        <f t="shared" ref="H27" si="14">SUM(H24:H25)</f>
        <v>8997830.7692307681</v>
      </c>
      <c r="I27" s="22">
        <f t="shared" ref="I27" si="15">SUM(I24:I25)</f>
        <v>61348.846153846127</v>
      </c>
      <c r="J27" s="21">
        <f t="shared" ref="J27" si="16">SUM(J24:J25)</f>
        <v>783901.92307692429</v>
      </c>
    </row>
    <row r="28" spans="1:10" ht="14.65" thickTop="1">
      <c r="A28"/>
      <c r="B28"/>
      <c r="C28"/>
      <c r="D28"/>
      <c r="E28"/>
      <c r="F28"/>
      <c r="G28"/>
      <c r="H28"/>
    </row>
    <row r="29" spans="1:10">
      <c r="A29"/>
      <c r="B29"/>
      <c r="C29"/>
      <c r="D29"/>
      <c r="E29"/>
      <c r="F29"/>
      <c r="G29"/>
      <c r="H29"/>
    </row>
    <row r="30" spans="1:10" ht="34.9" customHeight="1">
      <c r="A30"/>
      <c r="B30" s="34" t="s">
        <v>31</v>
      </c>
      <c r="C30" s="34"/>
      <c r="D30" s="34"/>
      <c r="E30" s="34"/>
      <c r="F30" s="34"/>
      <c r="G30" s="34"/>
      <c r="H30" s="34"/>
      <c r="I30" s="34"/>
      <c r="J30" s="34"/>
    </row>
    <row r="31" spans="1:10" ht="42.4">
      <c r="A31"/>
      <c r="B31" s="11" t="s">
        <v>15</v>
      </c>
      <c r="C31" s="12" t="s">
        <v>22</v>
      </c>
      <c r="D31" s="14" t="s">
        <v>32</v>
      </c>
      <c r="E31" s="14" t="s">
        <v>30</v>
      </c>
      <c r="F31" s="14" t="s">
        <v>33</v>
      </c>
      <c r="G31" s="15" t="s">
        <v>25</v>
      </c>
      <c r="H31" s="14" t="s">
        <v>26</v>
      </c>
      <c r="I31" s="14" t="s">
        <v>27</v>
      </c>
      <c r="J31" s="15" t="s">
        <v>19</v>
      </c>
    </row>
    <row r="32" spans="1:10">
      <c r="A32"/>
      <c r="B32" s="16" t="s">
        <v>7</v>
      </c>
      <c r="C32" s="17">
        <f>J24</f>
        <v>354310.57692307665</v>
      </c>
      <c r="D32" s="18">
        <f>GWP!G5</f>
        <v>4330000</v>
      </c>
      <c r="E32" s="18">
        <f>F24</f>
        <v>850345.38461538462</v>
      </c>
      <c r="F32" s="18">
        <f>'Premium Receivables'!G5</f>
        <v>866000</v>
      </c>
      <c r="G32" s="17">
        <f>D32+E32-F32</f>
        <v>4314345.384615385</v>
      </c>
      <c r="H32" s="18">
        <f>GWP!G5-(UPR!G5-UPR!F5)</f>
        <v>4303908.974358974</v>
      </c>
      <c r="I32" s="18">
        <f>DAC!G5-DAC!F5</f>
        <v>3913.6538461538439</v>
      </c>
      <c r="J32" s="17">
        <f>C32+G32-H32-I32</f>
        <v>360833.33333333407</v>
      </c>
    </row>
    <row r="33" spans="1:10">
      <c r="A33"/>
      <c r="B33" s="16" t="s">
        <v>8</v>
      </c>
      <c r="C33" s="17">
        <f t="shared" ref="C33:C34" si="17">J25</f>
        <v>429591.34615384764</v>
      </c>
      <c r="D33" s="18">
        <f>GWP!G6</f>
        <v>5250000</v>
      </c>
      <c r="E33" s="18">
        <f t="shared" ref="E33:E34" si="18">F25</f>
        <v>1031019.2307692308</v>
      </c>
      <c r="F33" s="18">
        <f>'Premium Receivables'!G6</f>
        <v>1050000</v>
      </c>
      <c r="G33" s="17">
        <f t="shared" ref="G33:G34" si="19">D33+E33-F33</f>
        <v>5231019.230769231</v>
      </c>
      <c r="H33" s="18">
        <f>GWP!G6-(UPR!G6-UPR!F6)</f>
        <v>5218365.384615385</v>
      </c>
      <c r="I33" s="18">
        <f>DAC!G6-DAC!F6</f>
        <v>4745.1923076923122</v>
      </c>
      <c r="J33" s="17">
        <f t="shared" ref="J33:J34" si="20">C33+G33-H33-I33</f>
        <v>437500.00000000157</v>
      </c>
    </row>
    <row r="34" spans="1:10">
      <c r="A34"/>
      <c r="B34" s="19" t="s">
        <v>9</v>
      </c>
      <c r="C34" s="17">
        <f t="shared" si="17"/>
        <v>397678.84615384764</v>
      </c>
      <c r="D34" s="18">
        <f>GWP!G7</f>
        <v>4860000</v>
      </c>
      <c r="E34" s="18">
        <f t="shared" si="18"/>
        <v>954429.23076923075</v>
      </c>
      <c r="F34" s="18">
        <f>'Premium Receivables'!G7</f>
        <v>972000</v>
      </c>
      <c r="G34" s="17">
        <f t="shared" si="19"/>
        <v>4842429.230769231</v>
      </c>
      <c r="H34" s="18">
        <f>GWP!G7-(UPR!G7-UPR!F7)</f>
        <v>4830715.384615385</v>
      </c>
      <c r="I34" s="18">
        <f>DAC!G7-DAC!F7</f>
        <v>4392.6923076923122</v>
      </c>
      <c r="J34" s="17">
        <f t="shared" si="20"/>
        <v>405000.00000000157</v>
      </c>
    </row>
    <row r="35" spans="1:10" ht="14.65" thickBot="1">
      <c r="A35"/>
      <c r="B35" s="20" t="s">
        <v>20</v>
      </c>
      <c r="C35" s="21">
        <f>SUM(C32:C33)</f>
        <v>783901.92307692429</v>
      </c>
      <c r="D35" s="22">
        <f>SUM(D32:D34)</f>
        <v>14440000</v>
      </c>
      <c r="E35" s="22">
        <f>SUM(E32:E34)</f>
        <v>2835793.846153846</v>
      </c>
      <c r="F35" s="22">
        <f>SUM(F32:F34)</f>
        <v>2888000</v>
      </c>
      <c r="G35" s="21">
        <f t="shared" ref="G35" si="21">SUM(G32:G33)</f>
        <v>9545364.615384616</v>
      </c>
      <c r="H35" s="22">
        <f t="shared" ref="H35" si="22">SUM(H32:H33)</f>
        <v>9522274.3589743599</v>
      </c>
      <c r="I35" s="22">
        <f t="shared" ref="I35" si="23">SUM(I32:I33)</f>
        <v>8658.8461538461561</v>
      </c>
      <c r="J35" s="21">
        <f t="shared" ref="J35" si="24">SUM(J32:J33)</f>
        <v>798333.33333333558</v>
      </c>
    </row>
    <row r="36" spans="1:10" ht="14.65" thickTop="1">
      <c r="A36"/>
      <c r="B36"/>
      <c r="C36"/>
      <c r="D36"/>
      <c r="E36"/>
      <c r="F36"/>
      <c r="G36"/>
      <c r="H36"/>
    </row>
    <row r="39" spans="1:10">
      <c r="B39" s="29" t="s">
        <v>34</v>
      </c>
    </row>
  </sheetData>
  <mergeCells count="4">
    <mergeCell ref="B22:J22"/>
    <mergeCell ref="B30:J30"/>
    <mergeCell ref="B5:F5"/>
    <mergeCell ref="B14:J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3577F3-9124-4975-9678-872EB0499BC9}"/>
</file>

<file path=customXml/itemProps2.xml><?xml version="1.0" encoding="utf-8"?>
<ds:datastoreItem xmlns:ds="http://schemas.openxmlformats.org/officeDocument/2006/customXml" ds:itemID="{E04FE8EF-0B56-4359-BA06-83CE212450BD}"/>
</file>

<file path=customXml/itemProps3.xml><?xml version="1.0" encoding="utf-8"?>
<ds:datastoreItem xmlns:ds="http://schemas.openxmlformats.org/officeDocument/2006/customXml" ds:itemID="{F1C36948-6001-427F-8403-53432E0729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 Kalunde</dc:creator>
  <cp:keywords/>
  <dc:description/>
  <cp:lastModifiedBy>Aliyah Njeri</cp:lastModifiedBy>
  <cp:revision/>
  <dcterms:created xsi:type="dcterms:W3CDTF">2025-09-25T18:05:59Z</dcterms:created>
  <dcterms:modified xsi:type="dcterms:W3CDTF">2025-12-10T22:23:30Z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