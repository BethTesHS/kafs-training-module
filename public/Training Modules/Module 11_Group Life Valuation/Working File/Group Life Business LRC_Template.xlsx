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11_Group Life Valuation/Working File/"/>
    </mc:Choice>
  </mc:AlternateContent>
  <xr:revisionPtr revIDLastSave="0" documentId="8_{35D2677B-64A5-4939-AFF3-1FC48EA14EF4}" xr6:coauthVersionLast="47" xr6:coauthVersionMax="47" xr10:uidLastSave="{00000000-0000-0000-0000-000000000000}"/>
  <bookViews>
    <workbookView xWindow="-103" yWindow="-103" windowWidth="26537" windowHeight="15943" xr2:uid="{202A78FF-7E34-4829-A16F-853C096B8062}"/>
  </bookViews>
  <sheets>
    <sheet name="Intro" sheetId="5" r:id="rId1"/>
    <sheet name="GWP" sheetId="1" r:id="rId2"/>
    <sheet name="Premium Receivables" sheetId="8" r:id="rId3"/>
    <sheet name="DAC" sheetId="3" r:id="rId4"/>
    <sheet name="UPR" sheetId="2" r:id="rId5"/>
    <sheet name="LRC" sheetId="4" r:id="rId6"/>
  </sheets>
  <definedNames>
    <definedName name="_xlnm._FilterDatabase" localSheetId="1" hidden="1">GWP!$C$2:$N$19993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4" l="1"/>
  <c r="I41" i="4"/>
  <c r="I39" i="4"/>
  <c r="H40" i="4"/>
  <c r="H41" i="4"/>
  <c r="H39" i="4"/>
  <c r="F40" i="4"/>
  <c r="F41" i="4"/>
  <c r="F39" i="4"/>
  <c r="D40" i="4"/>
  <c r="D41" i="4"/>
  <c r="D39" i="4"/>
  <c r="D42" i="4"/>
  <c r="E41" i="4"/>
  <c r="G41" i="4"/>
  <c r="G40" i="4"/>
  <c r="E40" i="4"/>
  <c r="F42" i="4"/>
  <c r="E39" i="4"/>
  <c r="E42" i="4" s="1"/>
  <c r="I32" i="4"/>
  <c r="I33" i="4"/>
  <c r="I31" i="4"/>
  <c r="H32" i="4"/>
  <c r="H33" i="4"/>
  <c r="H31" i="4"/>
  <c r="F32" i="4"/>
  <c r="F33" i="4"/>
  <c r="F31" i="4"/>
  <c r="F34" i="4" s="1"/>
  <c r="E32" i="4"/>
  <c r="E33" i="4"/>
  <c r="E31" i="4"/>
  <c r="D32" i="4"/>
  <c r="G32" i="4" s="1"/>
  <c r="D33" i="4"/>
  <c r="D31" i="4"/>
  <c r="I24" i="4"/>
  <c r="I25" i="4"/>
  <c r="I23" i="4"/>
  <c r="I26" i="4" s="1"/>
  <c r="H24" i="4"/>
  <c r="H25" i="4"/>
  <c r="H23" i="4"/>
  <c r="H26" i="4" s="1"/>
  <c r="D24" i="4"/>
  <c r="D26" i="4" s="1"/>
  <c r="D25" i="4"/>
  <c r="D23" i="4"/>
  <c r="F24" i="4"/>
  <c r="F25" i="4"/>
  <c r="F23" i="4"/>
  <c r="F26" i="4" s="1"/>
  <c r="E34" i="4" l="1"/>
  <c r="G33" i="4"/>
  <c r="I42" i="4"/>
  <c r="H42" i="4"/>
  <c r="G39" i="4"/>
  <c r="I34" i="4"/>
  <c r="H34" i="4"/>
  <c r="D34" i="4"/>
  <c r="G31" i="4"/>
  <c r="G34" i="4" s="1"/>
  <c r="G42" i="4" l="1"/>
  <c r="E24" i="4" l="1"/>
  <c r="G24" i="4" s="1"/>
  <c r="E25" i="4"/>
  <c r="G25" i="4" s="1"/>
  <c r="E23" i="4"/>
  <c r="E26" i="4" l="1"/>
  <c r="G23" i="4"/>
  <c r="G26" i="4" s="1"/>
  <c r="F16" i="4"/>
  <c r="D17" i="4"/>
  <c r="F15" i="4"/>
  <c r="C17" i="4"/>
  <c r="F14" i="4"/>
  <c r="E17" i="4"/>
  <c r="C23" i="4" l="1"/>
  <c r="J23" i="4" s="1"/>
  <c r="C31" i="4" s="1"/>
  <c r="C24" i="4"/>
  <c r="J24" i="4" s="1"/>
  <c r="C32" i="4" s="1"/>
  <c r="J32" i="4" s="1"/>
  <c r="C40" i="4" s="1"/>
  <c r="J40" i="4" s="1"/>
  <c r="C25" i="4"/>
  <c r="J25" i="4" s="1"/>
  <c r="C33" i="4" s="1"/>
  <c r="J33" i="4" s="1"/>
  <c r="C41" i="4" s="1"/>
  <c r="J41" i="4" s="1"/>
  <c r="F17" i="4"/>
  <c r="C34" i="4" l="1"/>
  <c r="J31" i="4"/>
  <c r="C26" i="4"/>
  <c r="J26" i="4"/>
  <c r="D8" i="3"/>
  <c r="E8" i="3"/>
  <c r="F8" i="3"/>
  <c r="G8" i="3"/>
  <c r="E8" i="2"/>
  <c r="F8" i="2"/>
  <c r="G8" i="2"/>
  <c r="D8" i="2"/>
  <c r="E8" i="8"/>
  <c r="F8" i="8"/>
  <c r="G8" i="8"/>
  <c r="D8" i="8"/>
  <c r="E8" i="1"/>
  <c r="F8" i="1"/>
  <c r="G8" i="1"/>
  <c r="D8" i="1"/>
  <c r="J34" i="4" l="1"/>
  <c r="C39" i="4"/>
  <c r="C42" i="4" l="1"/>
  <c r="J39" i="4"/>
  <c r="J42" i="4" s="1"/>
</calcChain>
</file>

<file path=xl/sharedStrings.xml><?xml version="1.0" encoding="utf-8"?>
<sst xmlns="http://schemas.openxmlformats.org/spreadsheetml/2006/main" count="91" uniqueCount="44">
  <si>
    <t>CLIENT NAME</t>
  </si>
  <si>
    <t>Group Life Insurance Business</t>
  </si>
  <si>
    <t>LRC Analysis</t>
  </si>
  <si>
    <t>Start Date</t>
  </si>
  <si>
    <t>Valuation Date</t>
  </si>
  <si>
    <t>Paste GWP Summaries</t>
  </si>
  <si>
    <t>Summary of Gross Written Premium</t>
  </si>
  <si>
    <t>Class of Business</t>
  </si>
  <si>
    <t>Group Life</t>
  </si>
  <si>
    <t>Group Credit</t>
  </si>
  <si>
    <t>Group Last Expense</t>
  </si>
  <si>
    <t>Total</t>
  </si>
  <si>
    <t>Paste Premium Receivables Summaries</t>
  </si>
  <si>
    <t>Summary of  Premium Receivables</t>
  </si>
  <si>
    <t>Paste DAC Summaries</t>
  </si>
  <si>
    <t>Summary of Deferred Acquisition Costs</t>
  </si>
  <si>
    <t>Paste UPR Data</t>
  </si>
  <si>
    <t>Summary of Unearned Premium Reserve</t>
  </si>
  <si>
    <t>COMPUTE LRC AS AT :</t>
  </si>
  <si>
    <t>1. 31 December 2021</t>
  </si>
  <si>
    <t>2. 31 December 2022</t>
  </si>
  <si>
    <t>3. 31 December 2023</t>
  </si>
  <si>
    <t>4. 31 December 2024</t>
  </si>
  <si>
    <t>Client Name
Summary of LRC as at 31 December 2021</t>
  </si>
  <si>
    <t>Class</t>
  </si>
  <si>
    <t>UPR</t>
  </si>
  <si>
    <t>DAC</t>
  </si>
  <si>
    <t>Premium Receivables as at 31 Dec 2021</t>
  </si>
  <si>
    <t>Closing LRC</t>
  </si>
  <si>
    <t>Grand Total</t>
  </si>
  <si>
    <t>Client Name
Summary of LRC as at 31 December 2022</t>
  </si>
  <si>
    <t>Opening LRC</t>
  </si>
  <si>
    <t>GWP 2022</t>
  </si>
  <si>
    <t>Premium Receivables as at 31 Dec 2022</t>
  </si>
  <si>
    <t>Premium Received for the year</t>
  </si>
  <si>
    <t>Earned Premium for the year</t>
  </si>
  <si>
    <t>Change in DAC</t>
  </si>
  <si>
    <t>Client Name
Summary of LRC as at 31 December 2023</t>
  </si>
  <si>
    <t>GWP 2023</t>
  </si>
  <si>
    <t>Premium Receivables as at 31 Dec 2023</t>
  </si>
  <si>
    <t>Client Name
Summary of LRC as at 31 December 2024</t>
  </si>
  <si>
    <t>GWP 2024</t>
  </si>
  <si>
    <t>Premium Receivables as at 31 Dec 2024</t>
  </si>
  <si>
    <t>Use Net figures/ retention rates to compute Net LRC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</si>
</sst>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34">
    <font>
      <sz val="9"/>
      <color theme="1"/>
      <name val="Nunito Sans"/>
      <family val="2"/>
    </font>
    <font>
      <sz val="11"/>
      <color theme="1"/>
      <name val="Aptos Narrow"/>
      <family val="2"/>
      <scheme val="minor"/>
    </font>
    <font>
      <sz val="9"/>
      <color theme="1"/>
      <name val="Nunito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Nunito Sans"/>
      <family val="2"/>
    </font>
    <font>
      <b/>
      <sz val="13"/>
      <color theme="3"/>
      <name val="Nunito Sans"/>
      <family val="2"/>
    </font>
    <font>
      <b/>
      <sz val="11"/>
      <color theme="3"/>
      <name val="Nunito Sans"/>
      <family val="2"/>
    </font>
    <font>
      <sz val="9"/>
      <color rgb="FF006100"/>
      <name val="Nunito Sans"/>
      <family val="2"/>
    </font>
    <font>
      <sz val="9"/>
      <color rgb="FF9C0006"/>
      <name val="Nunito Sans"/>
      <family val="2"/>
    </font>
    <font>
      <sz val="9"/>
      <color rgb="FF9C5700"/>
      <name val="Nunito Sans"/>
      <family val="2"/>
    </font>
    <font>
      <sz val="9"/>
      <color rgb="FF3F3F76"/>
      <name val="Nunito Sans"/>
      <family val="2"/>
    </font>
    <font>
      <b/>
      <sz val="9"/>
      <color rgb="FF3F3F3F"/>
      <name val="Nunito Sans"/>
      <family val="2"/>
    </font>
    <font>
      <b/>
      <sz val="9"/>
      <color rgb="FFFA7D00"/>
      <name val="Nunito Sans"/>
      <family val="2"/>
    </font>
    <font>
      <sz val="9"/>
      <color rgb="FFFA7D00"/>
      <name val="Nunito Sans"/>
      <family val="2"/>
    </font>
    <font>
      <b/>
      <sz val="9"/>
      <color theme="0"/>
      <name val="Nunito Sans"/>
      <family val="2"/>
    </font>
    <font>
      <sz val="9"/>
      <color rgb="FFFF0000"/>
      <name val="Nunito Sans"/>
      <family val="2"/>
    </font>
    <font>
      <i/>
      <sz val="9"/>
      <color rgb="FF7F7F7F"/>
      <name val="Nunito Sans"/>
      <family val="2"/>
    </font>
    <font>
      <b/>
      <sz val="9"/>
      <color theme="1"/>
      <name val="Nunito Sans"/>
      <family val="2"/>
    </font>
    <font>
      <sz val="9"/>
      <color theme="0"/>
      <name val="Nunito Sans"/>
      <family val="2"/>
    </font>
    <font>
      <b/>
      <sz val="9"/>
      <color theme="0"/>
      <name val="Nunito Sans"/>
    </font>
    <font>
      <sz val="9"/>
      <color theme="1"/>
      <name val="Nunito"/>
    </font>
    <font>
      <sz val="8"/>
      <color theme="1"/>
      <name val="Lato"/>
      <family val="2"/>
    </font>
    <font>
      <b/>
      <sz val="16"/>
      <color rgb="FF0137A6"/>
      <name val="Nunito"/>
    </font>
    <font>
      <b/>
      <sz val="14"/>
      <color rgb="FF0137A6"/>
      <name val="Nunito"/>
    </font>
    <font>
      <b/>
      <sz val="11"/>
      <color rgb="FF0137A6"/>
      <name val="Nunito"/>
    </font>
    <font>
      <b/>
      <sz val="9"/>
      <color rgb="FFC00000"/>
      <name val="Nunito"/>
    </font>
    <font>
      <sz val="9"/>
      <color rgb="FFC00000"/>
      <name val="Nunito"/>
    </font>
    <font>
      <sz val="10"/>
      <color indexed="8"/>
      <name val="Arial"/>
      <family val="2"/>
    </font>
    <font>
      <b/>
      <sz val="9"/>
      <color theme="1"/>
      <name val="Nunito Sans"/>
    </font>
    <font>
      <b/>
      <sz val="9"/>
      <color rgb="FF0137A6"/>
      <name val="Nunito Sans"/>
    </font>
    <font>
      <b/>
      <sz val="9"/>
      <color rgb="FFC00000"/>
      <name val="Nunito Sans"/>
    </font>
    <font>
      <sz val="9"/>
      <color theme="1"/>
      <name val="Nunito Sans"/>
    </font>
    <font>
      <sz val="9"/>
      <color rgb="FF0137A6"/>
      <name val="Nunito Sans"/>
      <family val="2"/>
    </font>
    <font>
      <sz val="9"/>
      <color rgb="FF0137A6"/>
      <name val="Nunito Sans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137A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indexed="64"/>
      </top>
      <bottom/>
      <diagonal/>
    </border>
    <border>
      <left style="thin">
        <color rgb="FF0137A6"/>
      </left>
      <right style="thin">
        <color rgb="FF0137A6"/>
      </right>
      <top style="thin">
        <color rgb="FF0137A6"/>
      </top>
      <bottom/>
      <diagonal/>
    </border>
    <border>
      <left/>
      <right/>
      <top style="thin">
        <color rgb="FF0137A6"/>
      </top>
      <bottom style="thin">
        <color rgb="FF0137A6"/>
      </bottom>
      <diagonal/>
    </border>
    <border>
      <left/>
      <right/>
      <top style="thin">
        <color rgb="FF0137A6"/>
      </top>
      <bottom style="double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double">
        <color rgb="FF0137A6"/>
      </bottom>
      <diagonal/>
    </border>
    <border>
      <left/>
      <right/>
      <top style="thin">
        <color rgb="FF0137A6"/>
      </top>
      <bottom/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1" fillId="0" borderId="0"/>
    <xf numFmtId="0" fontId="27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0" fillId="34" borderId="0" xfId="0" applyFont="1" applyFill="1" applyAlignment="1">
      <alignment vertical="center"/>
    </xf>
    <xf numFmtId="0" fontId="20" fillId="35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5" fillId="36" borderId="13" xfId="0" applyFont="1" applyFill="1" applyBorder="1" applyAlignment="1">
      <alignment horizontal="right" vertical="center"/>
    </xf>
    <xf numFmtId="14" fontId="26" fillId="35" borderId="13" xfId="0" applyNumberFormat="1" applyFont="1" applyFill="1" applyBorder="1" applyAlignment="1">
      <alignment vertical="center"/>
    </xf>
    <xf numFmtId="14" fontId="26" fillId="35" borderId="13" xfId="0" applyNumberFormat="1" applyFont="1" applyFill="1" applyBorder="1" applyAlignment="1">
      <alignment horizontal="right" vertical="center"/>
    </xf>
    <xf numFmtId="0" fontId="31" fillId="0" borderId="0" xfId="0" applyFont="1"/>
    <xf numFmtId="0" fontId="29" fillId="34" borderId="11" xfId="0" applyFont="1" applyFill="1" applyBorder="1"/>
    <xf numFmtId="0" fontId="29" fillId="34" borderId="12" xfId="0" applyFont="1" applyFill="1" applyBorder="1"/>
    <xf numFmtId="3" fontId="0" fillId="0" borderId="11" xfId="0" applyNumberFormat="1" applyBorder="1"/>
    <xf numFmtId="3" fontId="0" fillId="0" borderId="12" xfId="0" applyNumberFormat="1" applyBorder="1"/>
    <xf numFmtId="3" fontId="28" fillId="0" borderId="11" xfId="0" applyNumberFormat="1" applyFont="1" applyBorder="1"/>
    <xf numFmtId="3" fontId="28" fillId="0" borderId="12" xfId="0" applyNumberFormat="1" applyFont="1" applyBorder="1"/>
    <xf numFmtId="0" fontId="32" fillId="0" borderId="10" xfId="0" applyFont="1" applyBorder="1" applyAlignment="1">
      <alignment horizontal="right"/>
    </xf>
    <xf numFmtId="0" fontId="29" fillId="0" borderId="10" xfId="0" applyFont="1" applyBorder="1" applyAlignment="1">
      <alignment horizontal="right"/>
    </xf>
    <xf numFmtId="0" fontId="29" fillId="34" borderId="10" xfId="0" applyFont="1" applyFill="1" applyBorder="1" applyAlignment="1">
      <alignment horizontal="right"/>
    </xf>
    <xf numFmtId="0" fontId="29" fillId="34" borderId="14" xfId="0" applyFont="1" applyFill="1" applyBorder="1" applyAlignment="1">
      <alignment horizontal="right" vertical="center"/>
    </xf>
    <xf numFmtId="0" fontId="29" fillId="36" borderId="15" xfId="0" applyFont="1" applyFill="1" applyBorder="1" applyAlignment="1">
      <alignment horizontal="right" vertical="center"/>
    </xf>
    <xf numFmtId="0" fontId="29" fillId="34" borderId="15" xfId="0" applyFont="1" applyFill="1" applyBorder="1" applyAlignment="1">
      <alignment horizontal="right" vertical="center"/>
    </xf>
    <xf numFmtId="0" fontId="29" fillId="34" borderId="15" xfId="0" applyFont="1" applyFill="1" applyBorder="1" applyAlignment="1">
      <alignment horizontal="right" vertical="center" wrapText="1"/>
    </xf>
    <xf numFmtId="0" fontId="29" fillId="36" borderId="15" xfId="0" applyFont="1" applyFill="1" applyBorder="1" applyAlignment="1">
      <alignment horizontal="right" vertical="center" wrapText="1"/>
    </xf>
    <xf numFmtId="0" fontId="33" fillId="0" borderId="16" xfId="0" applyFont="1" applyBorder="1" applyAlignment="1">
      <alignment horizontal="right" vertical="center"/>
    </xf>
    <xf numFmtId="165" fontId="31" fillId="36" borderId="11" xfId="44" applyNumberFormat="1" applyFont="1" applyFill="1" applyBorder="1" applyAlignment="1">
      <alignment horizontal="right" vertical="center"/>
    </xf>
    <xf numFmtId="165" fontId="31" fillId="0" borderId="11" xfId="44" applyNumberFormat="1" applyFont="1" applyBorder="1" applyAlignment="1">
      <alignment horizontal="right" vertical="center"/>
    </xf>
    <xf numFmtId="0" fontId="33" fillId="0" borderId="19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165" fontId="28" fillId="36" borderId="18" xfId="44" applyNumberFormat="1" applyFont="1" applyFill="1" applyBorder="1" applyAlignment="1">
      <alignment horizontal="right" vertical="center"/>
    </xf>
    <xf numFmtId="165" fontId="28" fillId="0" borderId="18" xfId="44" applyNumberFormat="1" applyFont="1" applyBorder="1" applyAlignment="1">
      <alignment horizontal="right" vertical="center"/>
    </xf>
    <xf numFmtId="0" fontId="30" fillId="0" borderId="0" xfId="0" applyFont="1" applyAlignment="1">
      <alignment horizontal="right" vertical="center" wrapText="1"/>
    </xf>
    <xf numFmtId="0" fontId="29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9" fillId="37" borderId="0" xfId="0" applyFont="1" applyFill="1"/>
    <xf numFmtId="0" fontId="22" fillId="35" borderId="0" xfId="42" applyFont="1" applyFill="1" applyAlignment="1">
      <alignment horizontal="center" vertical="center"/>
    </xf>
    <xf numFmtId="0" fontId="23" fillId="35" borderId="0" xfId="0" applyFont="1" applyFill="1" applyAlignment="1">
      <alignment horizontal="center"/>
    </xf>
    <xf numFmtId="0" fontId="24" fillId="35" borderId="0" xfId="42" applyFont="1" applyFill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 3" xfId="44" xr:uid="{47C6D5FA-4D6A-4E5D-B6EB-3215A525A78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 xr:uid="{5B84A07B-B03A-456C-8BCA-5BF046625477}"/>
    <cellStyle name="Normal 3 3" xfId="42" xr:uid="{EC23090A-16D2-4613-BAB4-2CA59BD5B8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137A6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234042</xdr:colOff>
      <xdr:row>7</xdr:row>
      <xdr:rowOff>10885</xdr:rowOff>
    </xdr:from>
    <xdr:to>
      <xdr:col>10</xdr:col>
      <xdr:colOff>41501</xdr:colOff>
      <xdr:row>13</xdr:row>
      <xdr:rowOff>70075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12899B-3A7C-410A-B733-012F4C73E652}"/>
            </a:ext>
          </a:extLst>
        </xdr:cNvPr>
        <xdr:cNvSpPr txBox="1"/>
      </xdr:nvSpPr>
      <xdr:spPr>
        <a:xfrm>
          <a:off x="6498771" y="1268185"/>
          <a:ext cx="2599644" cy="113687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137A6"/>
              </a:solidFill>
              <a:latin typeface="Mulish" pitchFamily="2" charset="0"/>
            </a:rPr>
            <a:t>PASTE</a:t>
          </a:r>
          <a:r>
            <a:rPr lang="en-US" sz="2800" b="1" baseline="0">
              <a:solidFill>
                <a:srgbClr val="0137A6"/>
              </a:solidFill>
              <a:latin typeface="Mulish" pitchFamily="2" charset="0"/>
            </a:rPr>
            <a:t> CLIENT LOGO</a:t>
          </a:r>
          <a:endParaRPr lang="en-KE" sz="2800" b="1">
            <a:solidFill>
              <a:srgbClr val="0137A6"/>
            </a:solidFill>
            <a:latin typeface="Mulish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7F3D-B119-4C36-8114-38EDB5E3678A}">
  <sheetPr>
    <tabColor theme="9" tint="-0.249977111117893"/>
  </sheetPr>
  <dimension ref="D7:K23"/>
  <sheetViews>
    <sheetView showGridLines="0" tabSelected="1" workbookViewId="0">
      <selection activeCell="D26" sqref="D26"/>
    </sheetView>
  </sheetViews>
  <sheetFormatPr defaultRowHeight="14.1"/>
  <cols>
    <col min="4" max="4" width="16" customWidth="1"/>
    <col min="7" max="7" width="13.5703125" customWidth="1"/>
    <col min="8" max="8" width="12.85546875" customWidth="1"/>
    <col min="10" max="10" width="30.28515625" customWidth="1"/>
    <col min="11" max="11" width="23.42578125" customWidth="1"/>
  </cols>
  <sheetData>
    <row r="7" spans="4:11">
      <c r="D7" s="1"/>
      <c r="E7" s="1"/>
      <c r="F7" s="1"/>
      <c r="G7" s="1"/>
      <c r="H7" s="1"/>
      <c r="I7" s="1"/>
      <c r="J7" s="1"/>
      <c r="K7" s="1"/>
    </row>
    <row r="8" spans="4:11">
      <c r="D8" s="1"/>
      <c r="E8" s="2"/>
      <c r="F8" s="2"/>
      <c r="G8" s="2"/>
      <c r="H8" s="2"/>
      <c r="I8" s="2"/>
      <c r="J8" s="2"/>
      <c r="K8" s="1"/>
    </row>
    <row r="9" spans="4:11">
      <c r="D9" s="1"/>
      <c r="E9" s="2"/>
      <c r="F9" s="2"/>
      <c r="G9" s="2"/>
      <c r="H9" s="2"/>
      <c r="I9" s="2"/>
      <c r="J9" s="2"/>
      <c r="K9" s="1"/>
    </row>
    <row r="10" spans="4:11">
      <c r="D10" s="1"/>
      <c r="E10" s="2"/>
      <c r="F10" s="2"/>
      <c r="G10" s="2"/>
      <c r="H10" s="2"/>
      <c r="I10" s="2"/>
      <c r="J10" s="2"/>
      <c r="K10" s="1"/>
    </row>
    <row r="11" spans="4:11">
      <c r="D11" s="1"/>
      <c r="E11" s="2"/>
      <c r="F11" s="2"/>
      <c r="G11" s="2"/>
      <c r="H11" s="2"/>
      <c r="I11" s="2"/>
      <c r="J11" s="2"/>
      <c r="K11" s="1"/>
    </row>
    <row r="12" spans="4:11">
      <c r="D12" s="1"/>
      <c r="E12" s="2"/>
      <c r="F12" s="2"/>
      <c r="G12" s="2"/>
      <c r="H12" s="2"/>
      <c r="I12" s="2"/>
      <c r="J12" s="2"/>
      <c r="K12" s="1"/>
    </row>
    <row r="13" spans="4:11">
      <c r="D13" s="1"/>
      <c r="E13" s="2"/>
      <c r="F13" s="2"/>
      <c r="G13" s="2"/>
      <c r="H13" s="2"/>
      <c r="I13" s="2"/>
      <c r="J13" s="2"/>
      <c r="K13" s="1"/>
    </row>
    <row r="14" spans="4:11">
      <c r="D14" s="1"/>
      <c r="E14" s="2"/>
      <c r="F14" s="2"/>
      <c r="G14" s="2"/>
      <c r="H14" s="2"/>
      <c r="I14" s="2"/>
      <c r="J14" s="2"/>
      <c r="K14" s="1"/>
    </row>
    <row r="15" spans="4:11" ht="23.65">
      <c r="D15" s="1"/>
      <c r="E15" s="34" t="s">
        <v>0</v>
      </c>
      <c r="F15" s="34"/>
      <c r="G15" s="34"/>
      <c r="H15" s="34"/>
      <c r="I15" s="34"/>
      <c r="J15" s="34"/>
      <c r="K15" s="1"/>
    </row>
    <row r="16" spans="4:11" ht="21.4">
      <c r="D16" s="1"/>
      <c r="E16" s="35" t="s">
        <v>1</v>
      </c>
      <c r="F16" s="35"/>
      <c r="G16" s="35"/>
      <c r="H16" s="35"/>
      <c r="I16" s="35"/>
      <c r="J16" s="35"/>
      <c r="K16" s="1"/>
    </row>
    <row r="17" spans="4:11" ht="16.7">
      <c r="D17" s="1"/>
      <c r="E17" s="36" t="s">
        <v>2</v>
      </c>
      <c r="F17" s="36"/>
      <c r="G17" s="36"/>
      <c r="H17" s="36"/>
      <c r="I17" s="36"/>
      <c r="J17" s="36"/>
      <c r="K17" s="1"/>
    </row>
    <row r="18" spans="4:11">
      <c r="D18" s="1"/>
      <c r="E18" s="3"/>
      <c r="F18" s="3"/>
      <c r="G18" s="3"/>
      <c r="H18" s="3"/>
      <c r="I18" s="3"/>
      <c r="J18" s="3"/>
      <c r="K18" s="1"/>
    </row>
    <row r="19" spans="4:11">
      <c r="D19" s="1"/>
      <c r="E19" s="3"/>
      <c r="F19" s="3"/>
      <c r="G19" s="3"/>
      <c r="H19" s="3"/>
      <c r="I19" s="3"/>
      <c r="J19" s="3"/>
      <c r="K19" s="1"/>
    </row>
    <row r="20" spans="4:11">
      <c r="D20" s="1"/>
      <c r="E20" s="3"/>
      <c r="F20" s="3"/>
      <c r="G20" s="4" t="s">
        <v>3</v>
      </c>
      <c r="H20" s="5">
        <v>44197</v>
      </c>
      <c r="I20" s="3"/>
      <c r="J20" s="3"/>
      <c r="K20" s="1"/>
    </row>
    <row r="21" spans="4:11">
      <c r="D21" s="1"/>
      <c r="E21" s="3"/>
      <c r="F21" s="3"/>
      <c r="G21" s="4" t="s">
        <v>4</v>
      </c>
      <c r="H21" s="6">
        <v>45657</v>
      </c>
      <c r="I21" s="3"/>
      <c r="J21" s="3"/>
      <c r="K21" s="1"/>
    </row>
    <row r="22" spans="4:11">
      <c r="D22" s="1"/>
      <c r="E22" s="3"/>
      <c r="F22" s="3"/>
      <c r="G22" s="3"/>
      <c r="H22" s="3"/>
      <c r="I22" s="3"/>
      <c r="J22" s="3"/>
      <c r="K22" s="1"/>
    </row>
    <row r="23" spans="4:11">
      <c r="D23" s="1"/>
      <c r="E23" s="1"/>
      <c r="F23" s="1"/>
      <c r="G23" s="1"/>
      <c r="H23" s="1"/>
      <c r="I23" s="1"/>
      <c r="J23" s="1"/>
      <c r="K23" s="1"/>
    </row>
  </sheetData>
  <mergeCells count="3">
    <mergeCell ref="E15:J15"/>
    <mergeCell ref="E16:J16"/>
    <mergeCell ref="E17:J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7FAC-B9FF-4A3E-B5D8-E0E422D57C79}">
  <sheetPr>
    <tabColor rgb="FF0137A6"/>
  </sheetPr>
  <dimension ref="A1:G8"/>
  <sheetViews>
    <sheetView showGridLines="0" workbookViewId="0">
      <selection activeCell="A2" sqref="A2"/>
    </sheetView>
  </sheetViews>
  <sheetFormatPr defaultRowHeight="14.1"/>
  <cols>
    <col min="1" max="1" width="21" customWidth="1"/>
    <col min="3" max="3" width="24.28515625" customWidth="1"/>
    <col min="4" max="4" width="9.85546875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1" spans="1:7">
      <c r="A1" s="33" t="s">
        <v>5</v>
      </c>
    </row>
    <row r="2" spans="1:7">
      <c r="D2" s="7"/>
    </row>
    <row r="3" spans="1:7">
      <c r="C3" s="37" t="s">
        <v>6</v>
      </c>
      <c r="D3" s="37"/>
      <c r="E3" s="37"/>
      <c r="F3" s="37"/>
      <c r="G3" s="37"/>
    </row>
    <row r="4" spans="1:7">
      <c r="C4" s="16" t="s">
        <v>7</v>
      </c>
      <c r="D4" s="8">
        <v>2021</v>
      </c>
      <c r="E4" s="8">
        <v>2022</v>
      </c>
      <c r="F4" s="8">
        <v>2023</v>
      </c>
      <c r="G4" s="9">
        <v>2024</v>
      </c>
    </row>
    <row r="5" spans="1:7">
      <c r="C5" s="14" t="s">
        <v>8</v>
      </c>
      <c r="D5" s="10"/>
      <c r="E5" s="10"/>
      <c r="F5" s="10"/>
      <c r="G5" s="11"/>
    </row>
    <row r="6" spans="1:7">
      <c r="C6" s="14" t="s">
        <v>9</v>
      </c>
      <c r="D6" s="10"/>
      <c r="E6" s="10"/>
      <c r="F6" s="10"/>
      <c r="G6" s="11"/>
    </row>
    <row r="7" spans="1:7">
      <c r="C7" s="14" t="s">
        <v>10</v>
      </c>
      <c r="D7" s="10"/>
      <c r="E7" s="10"/>
      <c r="F7" s="10"/>
      <c r="G7" s="11"/>
    </row>
    <row r="8" spans="1:7">
      <c r="C8" s="15" t="s">
        <v>11</v>
      </c>
      <c r="D8" s="12">
        <f>SUM(D5:D7)</f>
        <v>0</v>
      </c>
      <c r="E8" s="12">
        <f>SUM(E5:E7)</f>
        <v>0</v>
      </c>
      <c r="F8" s="12">
        <f>SUM(F5:F7)</f>
        <v>0</v>
      </c>
      <c r="G8" s="13">
        <f>SUM(G5:G7)</f>
        <v>0</v>
      </c>
    </row>
  </sheetData>
  <mergeCells count="1">
    <mergeCell ref="C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4E0C-B5E1-406B-B8D4-18E3BCB538CC}">
  <sheetPr>
    <tabColor rgb="FF0137A6"/>
  </sheetPr>
  <dimension ref="A1:G8"/>
  <sheetViews>
    <sheetView showGridLines="0" workbookViewId="0">
      <selection activeCell="B4" sqref="B4"/>
    </sheetView>
  </sheetViews>
  <sheetFormatPr defaultRowHeight="14.1"/>
  <cols>
    <col min="1" max="1" width="30.5703125" customWidth="1"/>
    <col min="3" max="3" width="24.28515625" customWidth="1"/>
    <col min="4" max="4" width="10.42578125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1" spans="1:7">
      <c r="A1" s="33" t="s">
        <v>12</v>
      </c>
    </row>
    <row r="2" spans="1:7">
      <c r="D2" s="7"/>
    </row>
    <row r="3" spans="1:7">
      <c r="C3" s="37" t="s">
        <v>13</v>
      </c>
      <c r="D3" s="37"/>
      <c r="E3" s="37"/>
      <c r="F3" s="37"/>
      <c r="G3" s="37"/>
    </row>
    <row r="4" spans="1:7">
      <c r="C4" s="16" t="s">
        <v>7</v>
      </c>
      <c r="D4" s="8">
        <v>2021</v>
      </c>
      <c r="E4" s="8">
        <v>2022</v>
      </c>
      <c r="F4" s="8">
        <v>2023</v>
      </c>
      <c r="G4" s="9">
        <v>2024</v>
      </c>
    </row>
    <row r="5" spans="1:7">
      <c r="C5" s="14" t="s">
        <v>8</v>
      </c>
      <c r="D5" s="10"/>
      <c r="E5" s="10"/>
      <c r="F5" s="10"/>
      <c r="G5" s="10"/>
    </row>
    <row r="6" spans="1:7">
      <c r="C6" s="14" t="s">
        <v>9</v>
      </c>
      <c r="D6" s="10"/>
      <c r="E6" s="10"/>
      <c r="F6" s="10"/>
      <c r="G6" s="10"/>
    </row>
    <row r="7" spans="1:7">
      <c r="C7" s="14" t="s">
        <v>10</v>
      </c>
      <c r="D7" s="10"/>
      <c r="E7" s="10"/>
      <c r="F7" s="10"/>
      <c r="G7" s="10"/>
    </row>
    <row r="8" spans="1:7">
      <c r="C8" s="15" t="s">
        <v>11</v>
      </c>
      <c r="D8" s="12">
        <f>SUM(D5:D7)</f>
        <v>0</v>
      </c>
      <c r="E8" s="12">
        <f>SUM(E5:E7)</f>
        <v>0</v>
      </c>
      <c r="F8" s="12">
        <f>SUM(F5:F7)</f>
        <v>0</v>
      </c>
      <c r="G8" s="13">
        <f>SUM(G5:G7)</f>
        <v>0</v>
      </c>
    </row>
  </sheetData>
  <mergeCells count="1">
    <mergeCell ref="C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E486-4963-40C4-B2BA-5933F0ADA9A2}">
  <sheetPr>
    <tabColor rgb="FF0137A6"/>
  </sheetPr>
  <dimension ref="A1:G8"/>
  <sheetViews>
    <sheetView showGridLines="0" workbookViewId="0">
      <selection activeCell="C15" sqref="C15"/>
    </sheetView>
  </sheetViews>
  <sheetFormatPr defaultRowHeight="14.1"/>
  <cols>
    <col min="1" max="1" width="18.42578125" customWidth="1"/>
    <col min="3" max="3" width="24.28515625" customWidth="1"/>
    <col min="4" max="4" width="9.85546875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1" spans="1:7">
      <c r="A1" s="33" t="s">
        <v>14</v>
      </c>
    </row>
    <row r="2" spans="1:7">
      <c r="D2" s="7"/>
    </row>
    <row r="3" spans="1:7">
      <c r="C3" s="37" t="s">
        <v>15</v>
      </c>
      <c r="D3" s="37"/>
      <c r="E3" s="37"/>
      <c r="F3" s="37"/>
      <c r="G3" s="37"/>
    </row>
    <row r="4" spans="1:7">
      <c r="C4" s="16" t="s">
        <v>7</v>
      </c>
      <c r="D4" s="8">
        <v>2021</v>
      </c>
      <c r="E4" s="8">
        <v>2022</v>
      </c>
      <c r="F4" s="8">
        <v>2023</v>
      </c>
      <c r="G4" s="9">
        <v>2024</v>
      </c>
    </row>
    <row r="5" spans="1:7">
      <c r="C5" s="14" t="s">
        <v>8</v>
      </c>
      <c r="D5" s="10"/>
      <c r="E5" s="10"/>
      <c r="F5" s="10"/>
      <c r="G5" s="10"/>
    </row>
    <row r="6" spans="1:7">
      <c r="C6" s="14" t="s">
        <v>9</v>
      </c>
      <c r="D6" s="10"/>
      <c r="E6" s="10"/>
      <c r="F6" s="10"/>
      <c r="G6" s="10"/>
    </row>
    <row r="7" spans="1:7">
      <c r="C7" s="14" t="s">
        <v>10</v>
      </c>
      <c r="D7" s="10"/>
      <c r="E7" s="10"/>
      <c r="F7" s="10"/>
      <c r="G7" s="10"/>
    </row>
    <row r="8" spans="1:7">
      <c r="C8" s="15" t="s">
        <v>11</v>
      </c>
      <c r="D8" s="12">
        <f>SUM(D5:D7)</f>
        <v>0</v>
      </c>
      <c r="E8" s="12">
        <f>SUM(E5:E7)</f>
        <v>0</v>
      </c>
      <c r="F8" s="12">
        <f>SUM(F5:F7)</f>
        <v>0</v>
      </c>
      <c r="G8" s="13">
        <f>SUM(G5:G7)</f>
        <v>0</v>
      </c>
    </row>
  </sheetData>
  <mergeCells count="1">
    <mergeCell ref="C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08BE-1147-40F9-85D1-FC336C25876D}">
  <sheetPr>
    <tabColor rgb="FF0137A6"/>
  </sheetPr>
  <dimension ref="A1:G8"/>
  <sheetViews>
    <sheetView showGridLines="0" workbookViewId="0"/>
  </sheetViews>
  <sheetFormatPr defaultRowHeight="14.1"/>
  <cols>
    <col min="1" max="1" width="13.28515625" customWidth="1"/>
    <col min="3" max="3" width="24.28515625" customWidth="1"/>
    <col min="4" max="4" width="8.85546875" bestFit="1" customWidth="1"/>
    <col min="5" max="5" width="12.5703125" bestFit="1" customWidth="1"/>
    <col min="6" max="6" width="12" bestFit="1" customWidth="1"/>
    <col min="7" max="7" width="14.28515625" bestFit="1" customWidth="1"/>
    <col min="8" max="8" width="17.85546875" bestFit="1" customWidth="1"/>
    <col min="10" max="10" width="16.140625" bestFit="1" customWidth="1"/>
    <col min="11" max="11" width="13.7109375" bestFit="1" customWidth="1"/>
    <col min="12" max="12" width="15.140625" bestFit="1" customWidth="1"/>
    <col min="13" max="13" width="16.28515625" bestFit="1" customWidth="1"/>
  </cols>
  <sheetData>
    <row r="1" spans="1:7">
      <c r="A1" s="33" t="s">
        <v>16</v>
      </c>
    </row>
    <row r="2" spans="1:7">
      <c r="D2" s="7"/>
    </row>
    <row r="3" spans="1:7">
      <c r="C3" s="37" t="s">
        <v>17</v>
      </c>
      <c r="D3" s="37"/>
      <c r="E3" s="37"/>
      <c r="F3" s="37"/>
      <c r="G3" s="37"/>
    </row>
    <row r="4" spans="1:7">
      <c r="C4" s="16" t="s">
        <v>7</v>
      </c>
      <c r="D4" s="8">
        <v>2021</v>
      </c>
      <c r="E4" s="8">
        <v>2022</v>
      </c>
      <c r="F4" s="8">
        <v>2023</v>
      </c>
      <c r="G4" s="9">
        <v>2024</v>
      </c>
    </row>
    <row r="5" spans="1:7">
      <c r="C5" s="14" t="s">
        <v>8</v>
      </c>
      <c r="D5" s="10"/>
      <c r="E5" s="10"/>
      <c r="F5" s="10"/>
      <c r="G5" s="10"/>
    </row>
    <row r="6" spans="1:7">
      <c r="C6" s="14" t="s">
        <v>9</v>
      </c>
      <c r="D6" s="10"/>
      <c r="E6" s="10"/>
      <c r="F6" s="10"/>
      <c r="G6" s="10"/>
    </row>
    <row r="7" spans="1:7">
      <c r="C7" s="14" t="s">
        <v>10</v>
      </c>
      <c r="D7" s="10"/>
      <c r="E7" s="10"/>
      <c r="F7" s="10"/>
      <c r="G7" s="10"/>
    </row>
    <row r="8" spans="1:7">
      <c r="C8" s="15" t="s">
        <v>11</v>
      </c>
      <c r="D8" s="12">
        <f>SUM(D5:D7)</f>
        <v>0</v>
      </c>
      <c r="E8" s="12">
        <f>SUM(E5:E7)</f>
        <v>0</v>
      </c>
      <c r="F8" s="12">
        <f>SUM(F5:F7)</f>
        <v>0</v>
      </c>
      <c r="G8" s="13">
        <f>SUM(G5:G7)</f>
        <v>0</v>
      </c>
    </row>
  </sheetData>
  <mergeCells count="1">
    <mergeCell ref="C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F20C-2213-4055-AB8E-7B28A7734F80}">
  <sheetPr>
    <tabColor rgb="FFC00000"/>
  </sheetPr>
  <dimension ref="A2:P47"/>
  <sheetViews>
    <sheetView showGridLines="0" topLeftCell="A22" workbookViewId="0">
      <selection activeCell="D46" sqref="D46"/>
    </sheetView>
  </sheetViews>
  <sheetFormatPr defaultColWidth="9.28515625" defaultRowHeight="14.1"/>
  <cols>
    <col min="1" max="1" width="21.28515625" style="31" customWidth="1"/>
    <col min="2" max="2" width="19.85546875" style="31" bestFit="1" customWidth="1"/>
    <col min="3" max="3" width="18.28515625" style="31" bestFit="1" customWidth="1"/>
    <col min="4" max="4" width="23.7109375" style="31" customWidth="1"/>
    <col min="5" max="6" width="15.7109375" style="31" customWidth="1"/>
    <col min="7" max="7" width="16.42578125" style="31" customWidth="1"/>
    <col min="8" max="8" width="21.140625" style="31" bestFit="1" customWidth="1"/>
    <col min="9" max="10" width="13.42578125" style="31" bestFit="1" customWidth="1"/>
    <col min="11" max="12" width="13.42578125" style="31" customWidth="1"/>
    <col min="13" max="16" width="13.42578125" style="31" bestFit="1" customWidth="1"/>
    <col min="17" max="16384" width="9.28515625" style="31"/>
  </cols>
  <sheetData>
    <row r="2" spans="1:16" ht="15" customHeight="1">
      <c r="A2" s="29" t="s">
        <v>18</v>
      </c>
      <c r="B2" s="30"/>
      <c r="C2" s="30"/>
      <c r="D2" s="30"/>
      <c r="E2" s="30"/>
    </row>
    <row r="3" spans="1:16">
      <c r="A3" s="30" t="s">
        <v>19</v>
      </c>
    </row>
    <row r="4" spans="1:16">
      <c r="A4" s="30" t="s">
        <v>20</v>
      </c>
    </row>
    <row r="5" spans="1:16">
      <c r="A5" s="30" t="s">
        <v>21</v>
      </c>
    </row>
    <row r="6" spans="1:16">
      <c r="A6" s="30" t="s">
        <v>22</v>
      </c>
    </row>
    <row r="12" spans="1:16" ht="27.95" customHeight="1">
      <c r="B12" s="38" t="s">
        <v>23</v>
      </c>
      <c r="C12" s="38"/>
      <c r="D12" s="38"/>
      <c r="E12" s="38"/>
      <c r="F12" s="38"/>
      <c r="H12" s="32"/>
      <c r="I12" s="32"/>
      <c r="J12" s="32"/>
      <c r="K12" s="32"/>
      <c r="L12" s="32"/>
      <c r="M12" s="32"/>
      <c r="N12" s="32"/>
      <c r="O12" s="32"/>
      <c r="P12" s="32"/>
    </row>
    <row r="13" spans="1:16" ht="42.4">
      <c r="B13" s="17" t="s">
        <v>24</v>
      </c>
      <c r="C13" s="18" t="s">
        <v>25</v>
      </c>
      <c r="D13" s="19" t="s">
        <v>26</v>
      </c>
      <c r="E13" s="20" t="s">
        <v>27</v>
      </c>
      <c r="F13" s="21" t="s">
        <v>28</v>
      </c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B14" s="22" t="s">
        <v>8</v>
      </c>
      <c r="C14" s="23"/>
      <c r="D14" s="24"/>
      <c r="E14" s="24"/>
      <c r="F14" s="23">
        <f>C14-D14-E14</f>
        <v>0</v>
      </c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B15" s="22" t="s">
        <v>9</v>
      </c>
      <c r="C15" s="23"/>
      <c r="D15" s="24"/>
      <c r="E15" s="24"/>
      <c r="F15" s="23">
        <f>C15-D15-E15</f>
        <v>0</v>
      </c>
      <c r="H15" s="32"/>
      <c r="I15" s="32"/>
      <c r="J15" s="32"/>
      <c r="K15" s="32"/>
      <c r="L15" s="32"/>
      <c r="M15" s="32"/>
      <c r="N15" s="32"/>
      <c r="O15" s="32"/>
      <c r="P15" s="32"/>
    </row>
    <row r="16" spans="1:16">
      <c r="B16" s="25" t="s">
        <v>10</v>
      </c>
      <c r="C16" s="23"/>
      <c r="D16" s="24"/>
      <c r="E16" s="24"/>
      <c r="F16" s="23">
        <f>C16-D16-E16</f>
        <v>0</v>
      </c>
      <c r="H16" s="32"/>
      <c r="I16" s="32"/>
      <c r="J16" s="32"/>
      <c r="K16" s="32"/>
      <c r="L16" s="32"/>
      <c r="M16" s="32"/>
      <c r="N16" s="32"/>
      <c r="O16" s="32"/>
      <c r="P16" s="32"/>
    </row>
    <row r="17" spans="1:16" ht="14.65" thickBot="1">
      <c r="B17" s="26" t="s">
        <v>29</v>
      </c>
      <c r="C17" s="27">
        <f>SUM(C14:C15)</f>
        <v>0</v>
      </c>
      <c r="D17" s="28">
        <f t="shared" ref="D17:E17" si="0">SUM(D14:D15)</f>
        <v>0</v>
      </c>
      <c r="E17" s="28">
        <f t="shared" si="0"/>
        <v>0</v>
      </c>
      <c r="F17" s="27">
        <f>SUM(F14:F15)</f>
        <v>0</v>
      </c>
      <c r="H17" s="32"/>
      <c r="I17" s="32"/>
      <c r="J17" s="32"/>
      <c r="K17" s="32"/>
      <c r="L17" s="32"/>
      <c r="M17" s="32"/>
      <c r="N17" s="32"/>
      <c r="O17" s="32"/>
      <c r="P17" s="32"/>
    </row>
    <row r="18" spans="1:16" ht="14.65" thickTop="1"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H19" s="32"/>
      <c r="I19" s="32"/>
      <c r="J19" s="32"/>
      <c r="K19" s="32"/>
      <c r="L19" s="32"/>
      <c r="M19" s="32"/>
      <c r="N19" s="32"/>
      <c r="O19" s="32"/>
      <c r="P19" s="32"/>
    </row>
    <row r="21" spans="1:16" ht="27" customHeight="1">
      <c r="B21" s="38" t="s">
        <v>30</v>
      </c>
      <c r="C21" s="38"/>
      <c r="D21" s="38"/>
      <c r="E21" s="38"/>
      <c r="F21" s="38"/>
      <c r="G21" s="38"/>
      <c r="H21" s="38"/>
      <c r="I21" s="38"/>
      <c r="J21" s="38"/>
    </row>
    <row r="22" spans="1:16" ht="42.4">
      <c r="B22" s="17" t="s">
        <v>24</v>
      </c>
      <c r="C22" s="18" t="s">
        <v>31</v>
      </c>
      <c r="D22" s="20" t="s">
        <v>32</v>
      </c>
      <c r="E22" s="20" t="s">
        <v>27</v>
      </c>
      <c r="F22" s="20" t="s">
        <v>33</v>
      </c>
      <c r="G22" s="21" t="s">
        <v>34</v>
      </c>
      <c r="H22" s="20" t="s">
        <v>35</v>
      </c>
      <c r="I22" s="20" t="s">
        <v>36</v>
      </c>
      <c r="J22" s="21" t="s">
        <v>28</v>
      </c>
    </row>
    <row r="23" spans="1:16">
      <c r="B23" s="22" t="s">
        <v>8</v>
      </c>
      <c r="C23" s="23">
        <f>F14</f>
        <v>0</v>
      </c>
      <c r="D23" s="24">
        <f>GWP!E5</f>
        <v>0</v>
      </c>
      <c r="E23" s="24">
        <f>E14</f>
        <v>0</v>
      </c>
      <c r="F23" s="24">
        <f>'Premium Receivables'!E5</f>
        <v>0</v>
      </c>
      <c r="G23" s="23">
        <f>D23+E23-F23</f>
        <v>0</v>
      </c>
      <c r="H23" s="24">
        <f>GWP!E5-(UPR!E5-UPR!D5)</f>
        <v>0</v>
      </c>
      <c r="I23" s="24">
        <f>DAC!E5-DAC!D5</f>
        <v>0</v>
      </c>
      <c r="J23" s="23">
        <f>C23+G23-H23-I23</f>
        <v>0</v>
      </c>
    </row>
    <row r="24" spans="1:16">
      <c r="B24" s="22" t="s">
        <v>9</v>
      </c>
      <c r="C24" s="23">
        <f t="shared" ref="C24:C25" si="1">F15</f>
        <v>0</v>
      </c>
      <c r="D24" s="24">
        <f>GWP!E6</f>
        <v>0</v>
      </c>
      <c r="E24" s="24">
        <f t="shared" ref="E24:E25" si="2">E15</f>
        <v>0</v>
      </c>
      <c r="F24" s="24">
        <f>'Premium Receivables'!E6</f>
        <v>0</v>
      </c>
      <c r="G24" s="23">
        <f t="shared" ref="G24:G25" si="3">D24+E24-F24</f>
        <v>0</v>
      </c>
      <c r="H24" s="24">
        <f>GWP!E6-(UPR!E6-UPR!D6)</f>
        <v>0</v>
      </c>
      <c r="I24" s="24">
        <f>DAC!E6-DAC!D6</f>
        <v>0</v>
      </c>
      <c r="J24" s="23">
        <f t="shared" ref="J24:J25" si="4">C24+G24-H24-I24</f>
        <v>0</v>
      </c>
    </row>
    <row r="25" spans="1:16">
      <c r="B25" s="25" t="s">
        <v>10</v>
      </c>
      <c r="C25" s="23">
        <f t="shared" si="1"/>
        <v>0</v>
      </c>
      <c r="D25" s="24">
        <f>GWP!E7</f>
        <v>0</v>
      </c>
      <c r="E25" s="24">
        <f t="shared" si="2"/>
        <v>0</v>
      </c>
      <c r="F25" s="24">
        <f>'Premium Receivables'!E7</f>
        <v>0</v>
      </c>
      <c r="G25" s="23">
        <f t="shared" si="3"/>
        <v>0</v>
      </c>
      <c r="H25" s="24">
        <f>GWP!E7-(UPR!E7-UPR!D7)</f>
        <v>0</v>
      </c>
      <c r="I25" s="24">
        <f>DAC!E7-DAC!D7</f>
        <v>0</v>
      </c>
      <c r="J25" s="23">
        <f t="shared" si="4"/>
        <v>0</v>
      </c>
    </row>
    <row r="26" spans="1:16" ht="14.65" thickBot="1">
      <c r="B26" s="26" t="s">
        <v>29</v>
      </c>
      <c r="C26" s="27">
        <f>SUM(C23:C24)</f>
        <v>0</v>
      </c>
      <c r="D26" s="28">
        <f>SUM(D23:D25)</f>
        <v>0</v>
      </c>
      <c r="E26" s="28">
        <f>SUM(E23:E25)</f>
        <v>0</v>
      </c>
      <c r="F26" s="28">
        <f>SUM(F23:F25)</f>
        <v>0</v>
      </c>
      <c r="G26" s="27">
        <f t="shared" ref="G26" si="5">SUM(G23:G24)</f>
        <v>0</v>
      </c>
      <c r="H26" s="28">
        <f t="shared" ref="H26" si="6">SUM(H23:H24)</f>
        <v>0</v>
      </c>
      <c r="I26" s="28">
        <f t="shared" ref="I26" si="7">SUM(I23:I24)</f>
        <v>0</v>
      </c>
      <c r="J26" s="27">
        <f t="shared" ref="J26" si="8">SUM(J23:J24)</f>
        <v>0</v>
      </c>
    </row>
    <row r="27" spans="1:16" ht="14.65" thickTop="1">
      <c r="A27" s="32"/>
      <c r="B27" s="32"/>
      <c r="C27" s="32"/>
      <c r="D27" s="32"/>
      <c r="E27" s="32"/>
      <c r="F27" s="32"/>
      <c r="G27" s="32"/>
      <c r="H27" s="32"/>
    </row>
    <row r="28" spans="1:16">
      <c r="A28" s="32"/>
      <c r="B28" s="32"/>
      <c r="C28" s="32"/>
      <c r="D28" s="32"/>
      <c r="E28" s="32"/>
      <c r="F28" s="32"/>
      <c r="G28" s="32"/>
      <c r="H28" s="32"/>
    </row>
    <row r="29" spans="1:16" ht="26.25" customHeight="1">
      <c r="A29" s="32"/>
      <c r="B29" s="38" t="s">
        <v>37</v>
      </c>
      <c r="C29" s="38"/>
      <c r="D29" s="38"/>
      <c r="E29" s="38"/>
      <c r="F29" s="38"/>
      <c r="G29" s="38"/>
      <c r="H29" s="38"/>
      <c r="I29" s="38"/>
      <c r="J29" s="38"/>
    </row>
    <row r="30" spans="1:16" ht="42.4">
      <c r="A30" s="32"/>
      <c r="B30" s="17" t="s">
        <v>24</v>
      </c>
      <c r="C30" s="18" t="s">
        <v>31</v>
      </c>
      <c r="D30" s="20" t="s">
        <v>38</v>
      </c>
      <c r="E30" s="20" t="s">
        <v>33</v>
      </c>
      <c r="F30" s="20" t="s">
        <v>39</v>
      </c>
      <c r="G30" s="21" t="s">
        <v>34</v>
      </c>
      <c r="H30" s="20" t="s">
        <v>35</v>
      </c>
      <c r="I30" s="20" t="s">
        <v>36</v>
      </c>
      <c r="J30" s="21" t="s">
        <v>28</v>
      </c>
    </row>
    <row r="31" spans="1:16">
      <c r="A31" s="32"/>
      <c r="B31" s="22" t="s">
        <v>8</v>
      </c>
      <c r="C31" s="23">
        <f>J23</f>
        <v>0</v>
      </c>
      <c r="D31" s="24">
        <f>GWP!F5</f>
        <v>0</v>
      </c>
      <c r="E31" s="24">
        <f>F23</f>
        <v>0</v>
      </c>
      <c r="F31" s="24">
        <f>'Premium Receivables'!F5</f>
        <v>0</v>
      </c>
      <c r="G31" s="23">
        <f>D31+E31-F31</f>
        <v>0</v>
      </c>
      <c r="H31" s="24">
        <f>GWP!F5-(UPR!F5-UPR!E5)</f>
        <v>0</v>
      </c>
      <c r="I31" s="24">
        <f>DAC!F5-DAC!E5</f>
        <v>0</v>
      </c>
      <c r="J31" s="23">
        <f>C31+G31-H31-I31</f>
        <v>0</v>
      </c>
    </row>
    <row r="32" spans="1:16">
      <c r="A32" s="32"/>
      <c r="B32" s="22" t="s">
        <v>9</v>
      </c>
      <c r="C32" s="23">
        <f t="shared" ref="C32:C33" si="9">J24</f>
        <v>0</v>
      </c>
      <c r="D32" s="24">
        <f>GWP!F6</f>
        <v>0</v>
      </c>
      <c r="E32" s="24">
        <f t="shared" ref="E32:E33" si="10">F24</f>
        <v>0</v>
      </c>
      <c r="F32" s="24">
        <f>'Premium Receivables'!F6</f>
        <v>0</v>
      </c>
      <c r="G32" s="23">
        <f t="shared" ref="G32:G33" si="11">D32+E32-F32</f>
        <v>0</v>
      </c>
      <c r="H32" s="24">
        <f>GWP!F6-(UPR!F6-UPR!E6)</f>
        <v>0</v>
      </c>
      <c r="I32" s="24">
        <f>DAC!F6-DAC!E6</f>
        <v>0</v>
      </c>
      <c r="J32" s="23">
        <f t="shared" ref="J32:J33" si="12">C32+G32-H32-I32</f>
        <v>0</v>
      </c>
    </row>
    <row r="33" spans="1:10">
      <c r="A33" s="32"/>
      <c r="B33" s="25" t="s">
        <v>10</v>
      </c>
      <c r="C33" s="23">
        <f t="shared" si="9"/>
        <v>0</v>
      </c>
      <c r="D33" s="24">
        <f>GWP!F7</f>
        <v>0</v>
      </c>
      <c r="E33" s="24">
        <f t="shared" si="10"/>
        <v>0</v>
      </c>
      <c r="F33" s="24">
        <f>'Premium Receivables'!F7</f>
        <v>0</v>
      </c>
      <c r="G33" s="23">
        <f t="shared" si="11"/>
        <v>0</v>
      </c>
      <c r="H33" s="24">
        <f>GWP!F7-(UPR!F7-UPR!E7)</f>
        <v>0</v>
      </c>
      <c r="I33" s="24">
        <f>DAC!F7-DAC!E7</f>
        <v>0</v>
      </c>
      <c r="J33" s="23">
        <f t="shared" si="12"/>
        <v>0</v>
      </c>
    </row>
    <row r="34" spans="1:10" ht="14.65" thickBot="1">
      <c r="A34" s="32"/>
      <c r="B34" s="26" t="s">
        <v>29</v>
      </c>
      <c r="C34" s="27">
        <f>SUM(C31:C32)</f>
        <v>0</v>
      </c>
      <c r="D34" s="28">
        <f>SUM(D31:D33)</f>
        <v>0</v>
      </c>
      <c r="E34" s="28">
        <f>SUM(E31:E33)</f>
        <v>0</v>
      </c>
      <c r="F34" s="28">
        <f>SUM(F31:F33)</f>
        <v>0</v>
      </c>
      <c r="G34" s="27">
        <f t="shared" ref="G34" si="13">SUM(G31:G32)</f>
        <v>0</v>
      </c>
      <c r="H34" s="28">
        <f t="shared" ref="H34" si="14">SUM(H31:H32)</f>
        <v>0</v>
      </c>
      <c r="I34" s="28">
        <f t="shared" ref="I34" si="15">SUM(I31:I32)</f>
        <v>0</v>
      </c>
      <c r="J34" s="27">
        <f t="shared" ref="J34" si="16">SUM(J31:J32)</f>
        <v>0</v>
      </c>
    </row>
    <row r="35" spans="1:10" ht="14.65" thickTop="1">
      <c r="A35" s="32"/>
      <c r="B35" s="32"/>
      <c r="C35" s="32"/>
      <c r="D35" s="32"/>
      <c r="E35" s="32"/>
      <c r="F35" s="32"/>
      <c r="G35" s="32"/>
      <c r="H35" s="32"/>
    </row>
    <row r="36" spans="1:10">
      <c r="A36" s="32"/>
      <c r="B36" s="32"/>
      <c r="C36" s="32"/>
      <c r="D36" s="32"/>
      <c r="E36" s="32"/>
      <c r="F36" s="32"/>
      <c r="G36" s="32"/>
      <c r="H36" s="32"/>
    </row>
    <row r="37" spans="1:10" ht="34.9" customHeight="1">
      <c r="A37" s="32"/>
      <c r="B37" s="38" t="s">
        <v>40</v>
      </c>
      <c r="C37" s="38"/>
      <c r="D37" s="38"/>
      <c r="E37" s="38"/>
      <c r="F37" s="38"/>
      <c r="G37" s="38"/>
      <c r="H37" s="38"/>
      <c r="I37" s="38"/>
      <c r="J37" s="38"/>
    </row>
    <row r="38" spans="1:10" ht="42.4">
      <c r="A38" s="32"/>
      <c r="B38" s="17" t="s">
        <v>24</v>
      </c>
      <c r="C38" s="18" t="s">
        <v>31</v>
      </c>
      <c r="D38" s="20" t="s">
        <v>41</v>
      </c>
      <c r="E38" s="20" t="s">
        <v>39</v>
      </c>
      <c r="F38" s="20" t="s">
        <v>42</v>
      </c>
      <c r="G38" s="21" t="s">
        <v>34</v>
      </c>
      <c r="H38" s="20" t="s">
        <v>35</v>
      </c>
      <c r="I38" s="20" t="s">
        <v>36</v>
      </c>
      <c r="J38" s="21" t="s">
        <v>28</v>
      </c>
    </row>
    <row r="39" spans="1:10">
      <c r="A39" s="32"/>
      <c r="B39" s="22" t="s">
        <v>8</v>
      </c>
      <c r="C39" s="23">
        <f>J31</f>
        <v>0</v>
      </c>
      <c r="D39" s="24">
        <f>GWP!G5</f>
        <v>0</v>
      </c>
      <c r="E39" s="24">
        <f>F31</f>
        <v>0</v>
      </c>
      <c r="F39" s="24">
        <f>'Premium Receivables'!G5</f>
        <v>0</v>
      </c>
      <c r="G39" s="23">
        <f>D39+E39-F39</f>
        <v>0</v>
      </c>
      <c r="H39" s="24">
        <f>GWP!G5-(UPR!G5-UPR!F5)</f>
        <v>0</v>
      </c>
      <c r="I39" s="24">
        <f>DAC!G5-DAC!F5</f>
        <v>0</v>
      </c>
      <c r="J39" s="23">
        <f>C39+G39-H39-I39</f>
        <v>0</v>
      </c>
    </row>
    <row r="40" spans="1:10">
      <c r="A40" s="32"/>
      <c r="B40" s="22" t="s">
        <v>9</v>
      </c>
      <c r="C40" s="23">
        <f t="shared" ref="C40:C41" si="17">J32</f>
        <v>0</v>
      </c>
      <c r="D40" s="24">
        <f>GWP!G6</f>
        <v>0</v>
      </c>
      <c r="E40" s="24">
        <f t="shared" ref="E40:E41" si="18">F32</f>
        <v>0</v>
      </c>
      <c r="F40" s="24">
        <f>'Premium Receivables'!G6</f>
        <v>0</v>
      </c>
      <c r="G40" s="23">
        <f t="shared" ref="G40:G41" si="19">D40+E40-F40</f>
        <v>0</v>
      </c>
      <c r="H40" s="24">
        <f>GWP!G6-(UPR!G6-UPR!F6)</f>
        <v>0</v>
      </c>
      <c r="I40" s="24">
        <f>DAC!G6-DAC!F6</f>
        <v>0</v>
      </c>
      <c r="J40" s="23">
        <f t="shared" ref="J40:J41" si="20">C40+G40-H40-I40</f>
        <v>0</v>
      </c>
    </row>
    <row r="41" spans="1:10">
      <c r="A41" s="32"/>
      <c r="B41" s="25" t="s">
        <v>10</v>
      </c>
      <c r="C41" s="23">
        <f t="shared" si="17"/>
        <v>0</v>
      </c>
      <c r="D41" s="24">
        <f>GWP!G7</f>
        <v>0</v>
      </c>
      <c r="E41" s="24">
        <f t="shared" si="18"/>
        <v>0</v>
      </c>
      <c r="F41" s="24">
        <f>'Premium Receivables'!G7</f>
        <v>0</v>
      </c>
      <c r="G41" s="23">
        <f t="shared" si="19"/>
        <v>0</v>
      </c>
      <c r="H41" s="24">
        <f>GWP!G7-(UPR!G7-UPR!F7)</f>
        <v>0</v>
      </c>
      <c r="I41" s="24">
        <f>DAC!G7-DAC!F7</f>
        <v>0</v>
      </c>
      <c r="J41" s="23">
        <f t="shared" si="20"/>
        <v>0</v>
      </c>
    </row>
    <row r="42" spans="1:10" ht="14.65" thickBot="1">
      <c r="A42" s="32"/>
      <c r="B42" s="26" t="s">
        <v>29</v>
      </c>
      <c r="C42" s="27">
        <f>SUM(C39:C40)</f>
        <v>0</v>
      </c>
      <c r="D42" s="28">
        <f>SUM(D39:D41)</f>
        <v>0</v>
      </c>
      <c r="E42" s="28">
        <f>SUM(E39:E41)</f>
        <v>0</v>
      </c>
      <c r="F42" s="28">
        <f>SUM(F39:F41)</f>
        <v>0</v>
      </c>
      <c r="G42" s="27">
        <f t="shared" ref="G42" si="21">SUM(G39:G40)</f>
        <v>0</v>
      </c>
      <c r="H42" s="28">
        <f t="shared" ref="H42" si="22">SUM(H39:H40)</f>
        <v>0</v>
      </c>
      <c r="I42" s="28">
        <f t="shared" ref="I42" si="23">SUM(I39:I40)</f>
        <v>0</v>
      </c>
      <c r="J42" s="27">
        <f t="shared" ref="J42" si="24">SUM(J39:J40)</f>
        <v>0</v>
      </c>
    </row>
    <row r="43" spans="1:10" ht="14.65" thickTop="1">
      <c r="A43" s="32"/>
      <c r="B43" s="32"/>
      <c r="C43" s="32"/>
      <c r="D43" s="32"/>
      <c r="E43" s="32"/>
      <c r="F43" s="32"/>
      <c r="G43" s="32"/>
      <c r="H43" s="32"/>
    </row>
    <row r="47" spans="1:10">
      <c r="B47" s="30" t="s">
        <v>43</v>
      </c>
    </row>
  </sheetData>
  <mergeCells count="4">
    <mergeCell ref="B29:J29"/>
    <mergeCell ref="B37:J37"/>
    <mergeCell ref="B12:F12"/>
    <mergeCell ref="B21:J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36948-6001-427F-8403-53432E072925}"/>
</file>

<file path=customXml/itemProps2.xml><?xml version="1.0" encoding="utf-8"?>
<ds:datastoreItem xmlns:ds="http://schemas.openxmlformats.org/officeDocument/2006/customXml" ds:itemID="{D73577F3-9124-4975-9678-872EB0499BC9}"/>
</file>

<file path=customXml/itemProps3.xml><?xml version="1.0" encoding="utf-8"?>
<ds:datastoreItem xmlns:ds="http://schemas.openxmlformats.org/officeDocument/2006/customXml" ds:itemID="{334C0202-57D2-4E4A-ABAD-1332C07CC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Kalunde</dc:creator>
  <cp:keywords/>
  <dc:description/>
  <cp:lastModifiedBy>Aliyah Njeri</cp:lastModifiedBy>
  <cp:revision/>
  <dcterms:created xsi:type="dcterms:W3CDTF">2025-09-25T18:05:59Z</dcterms:created>
  <dcterms:modified xsi:type="dcterms:W3CDTF">2025-12-10T22:20:28Z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