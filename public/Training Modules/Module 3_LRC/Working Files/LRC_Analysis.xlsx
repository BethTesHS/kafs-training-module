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3_LRC/Working Files/"/>
    </mc:Choice>
  </mc:AlternateContent>
  <xr:revisionPtr revIDLastSave="427" documentId="8_{6A520FDF-6576-4CAE-A3DB-614029B68A5A}" xr6:coauthVersionLast="47" xr6:coauthVersionMax="47" xr10:uidLastSave="{C796CED7-636B-46D1-A175-F5B26767A071}"/>
  <bookViews>
    <workbookView xWindow="-108" yWindow="-108" windowWidth="23256" windowHeight="14856" xr2:uid="{202A78FF-7E34-4829-A16F-853C096B8062}"/>
  </bookViews>
  <sheets>
    <sheet name="Audit Trail" sheetId="13" r:id="rId1"/>
    <sheet name="Intro" sheetId="5" r:id="rId2"/>
    <sheet name="GWP" sheetId="1" r:id="rId3"/>
    <sheet name="UPR" sheetId="2" r:id="rId4"/>
    <sheet name="DAC" sheetId="3" r:id="rId5"/>
    <sheet name="Premium Receivables" sheetId="8" r:id="rId6"/>
    <sheet name="Bad Debts" sheetId="11" r:id="rId7"/>
    <sheet name="LRC" sheetId="4" r:id="rId8"/>
    <sheet name="Loss Component" sheetId="9" r:id="rId9"/>
    <sheet name="Closing LRC" sheetId="10" r:id="rId10"/>
    <sheet name="ARC" sheetId="12" r:id="rId11"/>
  </sheets>
  <definedNames>
    <definedName name="_xlnm._FilterDatabase" localSheetId="2" hidden="1">GWP!$C$2:$N$20002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2" l="1"/>
  <c r="F16" i="12"/>
  <c r="E16" i="12"/>
  <c r="D16" i="12"/>
  <c r="M16" i="12"/>
  <c r="L16" i="12"/>
  <c r="K16" i="12"/>
  <c r="J16" i="12"/>
  <c r="E36" i="12"/>
  <c r="F36" i="12"/>
  <c r="G36" i="12"/>
  <c r="H36" i="12"/>
  <c r="D36" i="12"/>
  <c r="K37" i="9" l="1"/>
  <c r="J37" i="9"/>
  <c r="I37" i="9"/>
  <c r="H37" i="9"/>
  <c r="F17" i="9"/>
  <c r="C17" i="9"/>
  <c r="D17" i="3"/>
  <c r="E17" i="3"/>
  <c r="F17" i="3"/>
  <c r="G17" i="3"/>
  <c r="E17" i="2"/>
  <c r="F17" i="2"/>
  <c r="G17" i="2"/>
  <c r="D17" i="2"/>
  <c r="E17" i="8"/>
  <c r="F17" i="8"/>
  <c r="G17" i="8"/>
  <c r="D17" i="8"/>
  <c r="E17" i="1"/>
  <c r="F17" i="1"/>
  <c r="G17" i="1"/>
  <c r="D17" i="1"/>
</calcChain>
</file>

<file path=xl/sharedStrings.xml><?xml version="1.0" encoding="utf-8"?>
<sst xmlns="http://schemas.openxmlformats.org/spreadsheetml/2006/main" count="287" uniqueCount="79">
  <si>
    <t>Fire Industrial</t>
  </si>
  <si>
    <t>Fire Domestic</t>
  </si>
  <si>
    <t>Aviation</t>
  </si>
  <si>
    <t>Motor Commercial</t>
  </si>
  <si>
    <t>Personal Accident</t>
  </si>
  <si>
    <t>Marine</t>
  </si>
  <si>
    <t>Liability</t>
  </si>
  <si>
    <t>Engineering</t>
  </si>
  <si>
    <t>Miscellaneous</t>
  </si>
  <si>
    <t>Theft</t>
  </si>
  <si>
    <t>Motor Private</t>
  </si>
  <si>
    <t>General Insurance Business</t>
  </si>
  <si>
    <t>Start Date</t>
  </si>
  <si>
    <t>Valuation Date</t>
  </si>
  <si>
    <t>ABC COMPANY LIMITED</t>
  </si>
  <si>
    <t>Class of Business</t>
  </si>
  <si>
    <t>Total</t>
  </si>
  <si>
    <t>2024 LRC Analysis</t>
  </si>
  <si>
    <t>Workmen’s Compensation</t>
  </si>
  <si>
    <t>Summary of Gross Written Premium</t>
  </si>
  <si>
    <t>Summary of  Premium Receivables</t>
  </si>
  <si>
    <t>Summary of Unearned Premium Reserve</t>
  </si>
  <si>
    <t>Summary of Deferred Acquisition Costs</t>
  </si>
  <si>
    <t>COMPUTE LRC AS AT :</t>
  </si>
  <si>
    <t>2. 31 December 2022</t>
  </si>
  <si>
    <t>3. 31 December 2023</t>
  </si>
  <si>
    <t>4. 31 December 2024</t>
  </si>
  <si>
    <t>1. 31 December 2021 (At Initial Recognition)</t>
  </si>
  <si>
    <t>*From Premium Register</t>
  </si>
  <si>
    <t>*Shared by the Client</t>
  </si>
  <si>
    <t>Calculate Loss Component as at 31st December 2024</t>
  </si>
  <si>
    <t>Gross Unearned Premium Rerserve</t>
  </si>
  <si>
    <t>Net Unearned Premium Reserve</t>
  </si>
  <si>
    <t>Ultimate Loss Ratio</t>
  </si>
  <si>
    <t>Commission Ratio</t>
  </si>
  <si>
    <t>Expense Ratio</t>
  </si>
  <si>
    <t>Risk Adjustment</t>
  </si>
  <si>
    <t>ABC Company Limited
Summary of Loss Component as at 31 December 2024 (in KES)</t>
  </si>
  <si>
    <t>Combined Ratio</t>
  </si>
  <si>
    <t>Gross UPR</t>
  </si>
  <si>
    <t>Net UPR</t>
  </si>
  <si>
    <t>Gross Loss Component</t>
  </si>
  <si>
    <t>Net Loss Component</t>
  </si>
  <si>
    <t>Compute the Closing Liability for Remaining Coverage as at 31st December 2024</t>
  </si>
  <si>
    <t>Attributable Expense Ratio</t>
  </si>
  <si>
    <t>Summary of Impairment ( Bad Debt)</t>
  </si>
  <si>
    <t>Reinsurers Share of Unearned Premium Reserve</t>
  </si>
  <si>
    <t>Business Class</t>
  </si>
  <si>
    <t>H1 2025</t>
  </si>
  <si>
    <t xml:space="preserve">Assets for Remaining Coverage </t>
  </si>
  <si>
    <t>ABC Insurance Company</t>
  </si>
  <si>
    <t>Compute Assets for Remaining Coverage</t>
  </si>
  <si>
    <t>Summary of Reinsurance Deferred Acquisition Costs</t>
  </si>
  <si>
    <t xml:space="preserve">Total </t>
  </si>
  <si>
    <t>Summary of Loss Recovery Component</t>
  </si>
  <si>
    <t>Audit Trail</t>
  </si>
  <si>
    <t>Intro</t>
  </si>
  <si>
    <t>GWP</t>
  </si>
  <si>
    <t>UPR</t>
  </si>
  <si>
    <t>DAC</t>
  </si>
  <si>
    <t>Premium Receivables</t>
  </si>
  <si>
    <t>Bad Debts</t>
  </si>
  <si>
    <t>LRC</t>
  </si>
  <si>
    <t xml:space="preserve">Loss Component </t>
  </si>
  <si>
    <t>Closing LRC</t>
  </si>
  <si>
    <t>ARC</t>
  </si>
  <si>
    <t>Provides a control index of the workbook showing how all tabs link together and how data flows from inputs and summaries to final IFRS 17 balances</t>
  </si>
  <si>
    <t>Sets a valuation date, reporting period, business cope and key IFRS 17 assumptions applied consistently across all tabs</t>
  </si>
  <si>
    <t>Shows a summary of gross written premium by class of business, sourced from underwriting and policy systems and used as an input to UPR, receivables and LRC calaculations</t>
  </si>
  <si>
    <t>Shows a summary of unearned premiums by class of business as at valuation date, used to represent the unexpired coverage obligation within the LRC</t>
  </si>
  <si>
    <t>Shows a summary of deferred acquisition costs and unamortised balances by class of business, representing acquisition costs relating to future coverage.</t>
  </si>
  <si>
    <t>Shows a summary of billed but unpaid premiums by class of business, used in the LRC and cash flow reconciliation.</t>
  </si>
  <si>
    <t>Shows impairment allowances and net collectible premium receivables by class of business in accordance with IFRS 9.</t>
  </si>
  <si>
    <t>Computes the Liability for Remaining Coverage using both the component approach (UPR minus DAC minus net receivables) and the roll forward approach.</t>
  </si>
  <si>
    <t>Identifies onerous groups of contracts and calculates the loss component for expected future losses in accordance with IFRS 17.</t>
  </si>
  <si>
    <t>Aggregates the LRC and the loss component to derive the total closing Liability for Remaining Coverage for reporting.</t>
  </si>
  <si>
    <t>Calculates the reinsurance Asset for Remaining Coverage, including unearned ceded premiums, deferred commissions and loss recovery components.</t>
  </si>
  <si>
    <t>Tab Name</t>
  </si>
  <si>
    <t>Purpose and Data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</si>
</sst>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4" x14ac:knownFonts="1">
    <font>
      <sz val="9"/>
      <color theme="1"/>
      <name val="Nunito Sans"/>
      <family val="2"/>
    </font>
    <font>
      <sz val="9"/>
      <color theme="1"/>
      <name val="Nunito San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Nunito Sans"/>
      <family val="2"/>
    </font>
    <font>
      <b/>
      <sz val="13"/>
      <color theme="3"/>
      <name val="Nunito Sans"/>
      <family val="2"/>
    </font>
    <font>
      <b/>
      <sz val="11"/>
      <color theme="3"/>
      <name val="Nunito Sans"/>
      <family val="2"/>
    </font>
    <font>
      <sz val="9"/>
      <color rgb="FF006100"/>
      <name val="Nunito Sans"/>
      <family val="2"/>
    </font>
    <font>
      <sz val="9"/>
      <color rgb="FF9C0006"/>
      <name val="Nunito Sans"/>
      <family val="2"/>
    </font>
    <font>
      <sz val="9"/>
      <color rgb="FF9C5700"/>
      <name val="Nunito Sans"/>
      <family val="2"/>
    </font>
    <font>
      <sz val="9"/>
      <color rgb="FF3F3F76"/>
      <name val="Nunito Sans"/>
      <family val="2"/>
    </font>
    <font>
      <b/>
      <sz val="9"/>
      <color rgb="FF3F3F3F"/>
      <name val="Nunito Sans"/>
      <family val="2"/>
    </font>
    <font>
      <b/>
      <sz val="9"/>
      <color rgb="FFFA7D00"/>
      <name val="Nunito Sans"/>
      <family val="2"/>
    </font>
    <font>
      <sz val="9"/>
      <color rgb="FFFA7D00"/>
      <name val="Nunito Sans"/>
      <family val="2"/>
    </font>
    <font>
      <b/>
      <sz val="9"/>
      <color theme="0"/>
      <name val="Nunito Sans"/>
      <family val="2"/>
    </font>
    <font>
      <sz val="9"/>
      <color rgb="FFFF0000"/>
      <name val="Nunito Sans"/>
      <family val="2"/>
    </font>
    <font>
      <i/>
      <sz val="9"/>
      <color rgb="FF7F7F7F"/>
      <name val="Nunito Sans"/>
      <family val="2"/>
    </font>
    <font>
      <b/>
      <sz val="9"/>
      <color theme="1"/>
      <name val="Nunito Sans"/>
      <family val="2"/>
    </font>
    <font>
      <sz val="9"/>
      <color theme="0"/>
      <name val="Nunito Sans"/>
      <family val="2"/>
    </font>
    <font>
      <b/>
      <sz val="9"/>
      <color theme="0"/>
      <name val="Nunito Sans"/>
    </font>
    <font>
      <sz val="9"/>
      <color theme="1"/>
      <name val="Nunito"/>
    </font>
    <font>
      <sz val="8"/>
      <color theme="1"/>
      <name val="Lato"/>
      <family val="2"/>
    </font>
    <font>
      <b/>
      <sz val="16"/>
      <color rgb="FF0137A6"/>
      <name val="Nunito"/>
    </font>
    <font>
      <b/>
      <sz val="14"/>
      <color rgb="FF0137A6"/>
      <name val="Nunito"/>
    </font>
    <font>
      <b/>
      <sz val="11"/>
      <color rgb="FF0137A6"/>
      <name val="Nunito"/>
    </font>
    <font>
      <b/>
      <sz val="9"/>
      <color rgb="FFC00000"/>
      <name val="Nunito"/>
    </font>
    <font>
      <sz val="9"/>
      <color rgb="FFC00000"/>
      <name val="Nunito"/>
    </font>
    <font>
      <sz val="10"/>
      <color indexed="8"/>
      <name val="Arial"/>
      <family val="2"/>
    </font>
    <font>
      <b/>
      <sz val="9"/>
      <color theme="1"/>
      <name val="Nunito Sans"/>
    </font>
    <font>
      <b/>
      <sz val="9"/>
      <color rgb="FF0137A6"/>
      <name val="Nunito Sans"/>
    </font>
    <font>
      <b/>
      <sz val="9"/>
      <color rgb="FFC00000"/>
      <name val="Nunito Sans"/>
    </font>
    <font>
      <sz val="9"/>
      <color theme="1"/>
      <name val="Nunito Sans"/>
    </font>
    <font>
      <sz val="9"/>
      <color rgb="FF0137A6"/>
      <name val="Nunito Sans"/>
      <family val="2"/>
    </font>
    <font>
      <b/>
      <i/>
      <sz val="8"/>
      <color rgb="FFC00000"/>
      <name val="Nunito Sans"/>
    </font>
    <font>
      <b/>
      <sz val="9"/>
      <color rgb="FFFFFFFF"/>
      <name val="Nunito Sans"/>
    </font>
    <font>
      <sz val="9"/>
      <color rgb="FF0137A6"/>
      <name val="Nunito Sans"/>
    </font>
    <font>
      <sz val="11"/>
      <color theme="1"/>
      <name val="Aptos Narrow"/>
      <family val="2"/>
      <scheme val="minor"/>
    </font>
    <font>
      <sz val="9"/>
      <color rgb="FF000000"/>
      <name val="Nunito Sans"/>
    </font>
    <font>
      <b/>
      <sz val="9"/>
      <color rgb="FF000000"/>
      <name val="Nunito Sans"/>
    </font>
    <font>
      <b/>
      <i/>
      <sz val="9"/>
      <color rgb="FFC00000"/>
      <name val="Nunito Sans"/>
    </font>
    <font>
      <sz val="11"/>
      <color theme="1"/>
      <name val="Nunito Sans"/>
    </font>
    <font>
      <b/>
      <sz val="11"/>
      <color theme="8" tint="-0.249977111117893"/>
      <name val="Nunito Sans"/>
    </font>
    <font>
      <b/>
      <sz val="11"/>
      <color rgb="FF00B050"/>
      <name val="Nunito Sans"/>
    </font>
    <font>
      <b/>
      <sz val="11"/>
      <color rgb="FF0137A6"/>
      <name val="Nunito Sans"/>
    </font>
    <font>
      <b/>
      <sz val="11"/>
      <color rgb="FFC00000"/>
      <name val="Nunito Sans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137A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/>
      <top style="thin">
        <color rgb="FF0137A6"/>
      </top>
      <bottom style="thin">
        <color rgb="FF0137A6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/>
      <bottom style="thin">
        <color rgb="FF0137A6"/>
      </bottom>
      <diagonal/>
    </border>
    <border>
      <left/>
      <right/>
      <top/>
      <bottom style="medium">
        <color rgb="FF0137A6"/>
      </bottom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/>
      <right style="hair">
        <color rgb="FF0137A6"/>
      </right>
      <top style="hair">
        <color rgb="FF0137A6"/>
      </top>
      <bottom style="hair">
        <color rgb="FF0137A6"/>
      </bottom>
      <diagonal/>
    </border>
    <border>
      <left style="hair">
        <color rgb="FF0137A6"/>
      </left>
      <right/>
      <top style="hair">
        <color rgb="FF0137A6"/>
      </top>
      <bottom style="hair">
        <color rgb="FF0137A6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6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5" fillId="0" borderId="0" applyFont="0" applyFill="0" applyBorder="0" applyAlignment="0" applyProtection="0"/>
  </cellStyleXfs>
  <cellXfs count="48">
    <xf numFmtId="0" fontId="0" fillId="0" borderId="0" xfId="0"/>
    <xf numFmtId="0" fontId="19" fillId="34" borderId="0" xfId="0" applyFont="1" applyFill="1" applyAlignment="1">
      <alignment vertical="center"/>
    </xf>
    <xf numFmtId="0" fontId="19" fillId="35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4" fillId="36" borderId="13" xfId="0" applyFont="1" applyFill="1" applyBorder="1" applyAlignment="1">
      <alignment horizontal="right" vertical="center"/>
    </xf>
    <xf numFmtId="14" fontId="25" fillId="35" borderId="13" xfId="0" applyNumberFormat="1" applyFont="1" applyFill="1" applyBorder="1" applyAlignment="1">
      <alignment vertical="center"/>
    </xf>
    <xf numFmtId="14" fontId="25" fillId="35" borderId="13" xfId="0" applyNumberFormat="1" applyFont="1" applyFill="1" applyBorder="1" applyAlignment="1">
      <alignment horizontal="right" vertical="center"/>
    </xf>
    <xf numFmtId="0" fontId="28" fillId="0" borderId="0" xfId="0" applyFont="1"/>
    <xf numFmtId="0" fontId="30" fillId="0" borderId="0" xfId="0" applyFont="1"/>
    <xf numFmtId="0" fontId="28" fillId="34" borderId="11" xfId="0" applyFont="1" applyFill="1" applyBorder="1"/>
    <xf numFmtId="0" fontId="28" fillId="34" borderId="12" xfId="0" applyFont="1" applyFill="1" applyBorder="1"/>
    <xf numFmtId="3" fontId="0" fillId="0" borderId="11" xfId="0" applyNumberFormat="1" applyBorder="1"/>
    <xf numFmtId="3" fontId="0" fillId="0" borderId="12" xfId="0" applyNumberFormat="1" applyBorder="1"/>
    <xf numFmtId="3" fontId="27" fillId="0" borderId="11" xfId="0" applyNumberFormat="1" applyFont="1" applyBorder="1"/>
    <xf numFmtId="3" fontId="27" fillId="0" borderId="12" xfId="0" applyNumberFormat="1" applyFont="1" applyBorder="1"/>
    <xf numFmtId="0" fontId="31" fillId="0" borderId="10" xfId="0" applyFont="1" applyBorder="1" applyAlignment="1">
      <alignment horizontal="right"/>
    </xf>
    <xf numFmtId="0" fontId="28" fillId="0" borderId="10" xfId="0" applyFont="1" applyBorder="1" applyAlignment="1">
      <alignment horizontal="right"/>
    </xf>
    <xf numFmtId="0" fontId="28" fillId="34" borderId="10" xfId="0" applyFont="1" applyFill="1" applyBorder="1" applyAlignment="1">
      <alignment horizontal="right"/>
    </xf>
    <xf numFmtId="0" fontId="29" fillId="0" borderId="0" xfId="0" applyFont="1" applyAlignment="1">
      <alignment wrapText="1"/>
    </xf>
    <xf numFmtId="0" fontId="32" fillId="0" borderId="0" xfId="0" applyFont="1"/>
    <xf numFmtId="9" fontId="0" fillId="0" borderId="12" xfId="45" applyFont="1" applyBorder="1"/>
    <xf numFmtId="0" fontId="29" fillId="0" borderId="0" xfId="0" applyFont="1"/>
    <xf numFmtId="164" fontId="27" fillId="0" borderId="12" xfId="44" applyNumberFormat="1" applyFont="1" applyBorder="1"/>
    <xf numFmtId="164" fontId="0" fillId="0" borderId="0" xfId="44" applyNumberFormat="1" applyFont="1"/>
    <xf numFmtId="3" fontId="0" fillId="0" borderId="0" xfId="0" applyNumberFormat="1"/>
    <xf numFmtId="0" fontId="28" fillId="34" borderId="15" xfId="0" applyFont="1" applyFill="1" applyBorder="1" applyAlignment="1">
      <alignment horizontal="right" vertical="center" wrapText="1"/>
    </xf>
    <xf numFmtId="0" fontId="34" fillId="0" borderId="0" xfId="0" applyFont="1" applyAlignment="1">
      <alignment horizontal="right" vertical="center"/>
    </xf>
    <xf numFmtId="164" fontId="36" fillId="0" borderId="0" xfId="46" applyNumberFormat="1" applyFont="1" applyAlignment="1">
      <alignment horizontal="right" vertical="center"/>
    </xf>
    <xf numFmtId="164" fontId="36" fillId="0" borderId="0" xfId="46" applyNumberFormat="1" applyFont="1" applyFill="1" applyAlignment="1">
      <alignment horizontal="right" vertical="center"/>
    </xf>
    <xf numFmtId="0" fontId="28" fillId="0" borderId="16" xfId="0" applyFont="1" applyBorder="1" applyAlignment="1">
      <alignment horizontal="right" vertical="center"/>
    </xf>
    <xf numFmtId="164" fontId="37" fillId="0" borderId="16" xfId="46" applyNumberFormat="1" applyFont="1" applyBorder="1" applyAlignment="1">
      <alignment horizontal="right" vertical="center"/>
    </xf>
    <xf numFmtId="0" fontId="38" fillId="0" borderId="0" xfId="0" applyFont="1"/>
    <xf numFmtId="0" fontId="21" fillId="35" borderId="0" xfId="42" applyFont="1" applyFill="1" applyAlignment="1">
      <alignment horizontal="center" vertical="center"/>
    </xf>
    <xf numFmtId="0" fontId="22" fillId="35" borderId="0" xfId="0" applyFont="1" applyFill="1" applyAlignment="1">
      <alignment horizontal="center"/>
    </xf>
    <xf numFmtId="0" fontId="23" fillId="35" borderId="0" xfId="42" applyFont="1" applyFill="1" applyAlignment="1">
      <alignment horizontal="center" vertical="center"/>
    </xf>
    <xf numFmtId="0" fontId="18" fillId="33" borderId="0" xfId="0" applyFont="1" applyFill="1" applyAlignment="1">
      <alignment horizontal="center"/>
    </xf>
    <xf numFmtId="0" fontId="18" fillId="33" borderId="14" xfId="0" applyFont="1" applyFill="1" applyBorder="1" applyAlignment="1">
      <alignment horizontal="center" wrapText="1"/>
    </xf>
    <xf numFmtId="0" fontId="18" fillId="33" borderId="14" xfId="0" applyFont="1" applyFill="1" applyBorder="1" applyAlignment="1">
      <alignment horizontal="center"/>
    </xf>
    <xf numFmtId="0" fontId="33" fillId="33" borderId="0" xfId="0" applyFont="1" applyFill="1" applyAlignment="1">
      <alignment horizontal="center" vertical="center" wrapText="1"/>
    </xf>
    <xf numFmtId="0" fontId="33" fillId="33" borderId="15" xfId="0" applyFont="1" applyFill="1" applyBorder="1" applyAlignment="1">
      <alignment horizontal="center" vertical="center" wrapText="1"/>
    </xf>
    <xf numFmtId="0" fontId="39" fillId="0" borderId="0" xfId="0" applyFont="1"/>
    <xf numFmtId="0" fontId="42" fillId="34" borderId="17" xfId="0" applyFont="1" applyFill="1" applyBorder="1"/>
    <xf numFmtId="0" fontId="42" fillId="34" borderId="18" xfId="0" applyFont="1" applyFill="1" applyBorder="1"/>
    <xf numFmtId="0" fontId="40" fillId="0" borderId="17" xfId="0" applyFont="1" applyFill="1" applyBorder="1"/>
    <xf numFmtId="0" fontId="39" fillId="0" borderId="18" xfId="0" applyFont="1" applyBorder="1"/>
    <xf numFmtId="0" fontId="41" fillId="0" borderId="17" xfId="0" applyFont="1" applyFill="1" applyBorder="1"/>
    <xf numFmtId="0" fontId="42" fillId="0" borderId="17" xfId="0" applyFont="1" applyFill="1" applyBorder="1"/>
    <xf numFmtId="0" fontId="43" fillId="0" borderId="17" xfId="0" applyFont="1" applyFill="1" applyBorder="1"/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Comma 2" xfId="46" xr:uid="{9083AF8B-AD65-469C-A9F8-9771850CE3F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3" xr:uid="{5B84A07B-B03A-456C-8BCA-5BF046625477}"/>
    <cellStyle name="Normal 3 3" xfId="42" xr:uid="{EC23090A-16D2-4613-BAB4-2CA59BD5B84A}"/>
    <cellStyle name="Note" xfId="15" builtinId="10" customBuiltin="1"/>
    <cellStyle name="Output" xfId="10" builtinId="21" customBuiltin="1"/>
    <cellStyle name="Percent" xfId="45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D9E1F2"/>
      <color rgb="FF0137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358141</xdr:colOff>
      <xdr:row>7</xdr:row>
      <xdr:rowOff>32344</xdr:rowOff>
    </xdr:from>
    <xdr:to>
      <xdr:col>9</xdr:col>
      <xdr:colOff>2034540</xdr:colOff>
      <xdr:row>13</xdr:row>
      <xdr:rowOff>67076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1B8A30-46F0-E071-4F47-6C3C57CE4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2221" y="1365844"/>
          <a:ext cx="1676399" cy="11777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6D15F-5110-4571-A29D-5C49F3127C45}">
  <sheetPr>
    <tabColor theme="8" tint="-0.249977111117893"/>
  </sheetPr>
  <dimension ref="B3:C14"/>
  <sheetViews>
    <sheetView showGridLines="0" tabSelected="1" workbookViewId="0">
      <selection activeCell="C15" sqref="C15"/>
    </sheetView>
  </sheetViews>
  <sheetFormatPr defaultRowHeight="17.399999999999999" x14ac:dyDescent="0.45"/>
  <cols>
    <col min="1" max="1" width="8.88671875" style="40"/>
    <col min="2" max="2" width="24.109375" style="40" customWidth="1"/>
    <col min="3" max="3" width="182.109375" style="40" bestFit="1" customWidth="1"/>
    <col min="4" max="16384" width="8.88671875" style="40"/>
  </cols>
  <sheetData>
    <row r="3" spans="2:3" x14ac:dyDescent="0.45">
      <c r="B3" s="41" t="s">
        <v>77</v>
      </c>
      <c r="C3" s="42" t="s">
        <v>78</v>
      </c>
    </row>
    <row r="4" spans="2:3" x14ac:dyDescent="0.45">
      <c r="B4" s="43" t="s">
        <v>55</v>
      </c>
      <c r="C4" s="44" t="s">
        <v>66</v>
      </c>
    </row>
    <row r="5" spans="2:3" x14ac:dyDescent="0.45">
      <c r="B5" s="45" t="s">
        <v>56</v>
      </c>
      <c r="C5" s="44" t="s">
        <v>67</v>
      </c>
    </row>
    <row r="6" spans="2:3" x14ac:dyDescent="0.45">
      <c r="B6" s="46" t="s">
        <v>57</v>
      </c>
      <c r="C6" s="44" t="s">
        <v>68</v>
      </c>
    </row>
    <row r="7" spans="2:3" x14ac:dyDescent="0.45">
      <c r="B7" s="46" t="s">
        <v>58</v>
      </c>
      <c r="C7" s="44" t="s">
        <v>69</v>
      </c>
    </row>
    <row r="8" spans="2:3" x14ac:dyDescent="0.45">
      <c r="B8" s="46" t="s">
        <v>59</v>
      </c>
      <c r="C8" s="44" t="s">
        <v>70</v>
      </c>
    </row>
    <row r="9" spans="2:3" x14ac:dyDescent="0.45">
      <c r="B9" s="46" t="s">
        <v>60</v>
      </c>
      <c r="C9" s="44" t="s">
        <v>71</v>
      </c>
    </row>
    <row r="10" spans="2:3" x14ac:dyDescent="0.45">
      <c r="B10" s="46" t="s">
        <v>61</v>
      </c>
      <c r="C10" s="44" t="s">
        <v>72</v>
      </c>
    </row>
    <row r="11" spans="2:3" x14ac:dyDescent="0.45">
      <c r="B11" s="47" t="s">
        <v>62</v>
      </c>
      <c r="C11" s="44" t="s">
        <v>73</v>
      </c>
    </row>
    <row r="12" spans="2:3" x14ac:dyDescent="0.45">
      <c r="B12" s="47" t="s">
        <v>63</v>
      </c>
      <c r="C12" s="44" t="s">
        <v>74</v>
      </c>
    </row>
    <row r="13" spans="2:3" x14ac:dyDescent="0.45">
      <c r="B13" s="47" t="s">
        <v>64</v>
      </c>
      <c r="C13" s="44" t="s">
        <v>75</v>
      </c>
    </row>
    <row r="14" spans="2:3" x14ac:dyDescent="0.45">
      <c r="B14" s="47" t="s">
        <v>65</v>
      </c>
      <c r="C14" s="4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67F3D-B119-4C36-8114-38EDB5E3678A}">
  <sheetPr>
    <tabColor theme="9" tint="-0.249977111117893"/>
  </sheetPr>
  <dimension ref="D7:K23"/>
  <sheetViews>
    <sheetView showGridLines="0" workbookViewId="0">
      <selection activeCell="H21" sqref="H21"/>
    </sheetView>
  </sheetViews>
  <sheetFormatPr defaultRowHeight="15" x14ac:dyDescent="0.4"/>
  <cols>
    <col min="4" max="4" width="16" customWidth="1"/>
    <col min="7" max="7" width="13.5546875" customWidth="1"/>
    <col min="8" max="8" width="12.88671875" customWidth="1"/>
    <col min="10" max="10" width="30.21875" customWidth="1"/>
    <col min="11" max="11" width="23.44140625" customWidth="1"/>
  </cols>
  <sheetData>
    <row r="7" spans="4:11" x14ac:dyDescent="0.4">
      <c r="D7" s="1"/>
      <c r="E7" s="1"/>
      <c r="F7" s="1"/>
      <c r="G7" s="1"/>
      <c r="H7" s="1"/>
      <c r="I7" s="1"/>
      <c r="J7" s="1"/>
      <c r="K7" s="1"/>
    </row>
    <row r="8" spans="4:11" x14ac:dyDescent="0.4">
      <c r="D8" s="1"/>
      <c r="E8" s="2"/>
      <c r="F8" s="2"/>
      <c r="G8" s="2"/>
      <c r="H8" s="2"/>
      <c r="I8" s="2"/>
      <c r="J8" s="2"/>
      <c r="K8" s="1"/>
    </row>
    <row r="9" spans="4:11" x14ac:dyDescent="0.4">
      <c r="D9" s="1"/>
      <c r="E9" s="2"/>
      <c r="F9" s="2"/>
      <c r="G9" s="2"/>
      <c r="H9" s="2"/>
      <c r="I9" s="2"/>
      <c r="J9" s="2"/>
      <c r="K9" s="1"/>
    </row>
    <row r="10" spans="4:11" x14ac:dyDescent="0.4">
      <c r="D10" s="1"/>
      <c r="E10" s="2"/>
      <c r="F10" s="2"/>
      <c r="G10" s="2"/>
      <c r="H10" s="2"/>
      <c r="I10" s="2"/>
      <c r="J10" s="2"/>
      <c r="K10" s="1"/>
    </row>
    <row r="11" spans="4:11" x14ac:dyDescent="0.4">
      <c r="D11" s="1"/>
      <c r="E11" s="2"/>
      <c r="F11" s="2"/>
      <c r="G11" s="2"/>
      <c r="H11" s="2"/>
      <c r="I11" s="2"/>
      <c r="J11" s="2"/>
      <c r="K11" s="1"/>
    </row>
    <row r="12" spans="4:11" x14ac:dyDescent="0.4">
      <c r="D12" s="1"/>
      <c r="E12" s="2"/>
      <c r="F12" s="2"/>
      <c r="G12" s="2"/>
      <c r="H12" s="2"/>
      <c r="I12" s="2"/>
      <c r="J12" s="2"/>
      <c r="K12" s="1"/>
    </row>
    <row r="13" spans="4:11" x14ac:dyDescent="0.4">
      <c r="D13" s="1"/>
      <c r="E13" s="2"/>
      <c r="F13" s="2"/>
      <c r="G13" s="2"/>
      <c r="H13" s="2"/>
      <c r="I13" s="2"/>
      <c r="J13" s="2"/>
      <c r="K13" s="1"/>
    </row>
    <row r="14" spans="4:11" x14ac:dyDescent="0.4">
      <c r="D14" s="1"/>
      <c r="E14" s="2"/>
      <c r="F14" s="2"/>
      <c r="G14" s="2"/>
      <c r="H14" s="2"/>
      <c r="I14" s="2"/>
      <c r="J14" s="2"/>
      <c r="K14" s="1"/>
    </row>
    <row r="15" spans="4:11" ht="24" x14ac:dyDescent="0.4">
      <c r="D15" s="1"/>
      <c r="E15" s="32" t="s">
        <v>14</v>
      </c>
      <c r="F15" s="32"/>
      <c r="G15" s="32"/>
      <c r="H15" s="32"/>
      <c r="I15" s="32"/>
      <c r="J15" s="32"/>
      <c r="K15" s="1"/>
    </row>
    <row r="16" spans="4:11" ht="21" x14ac:dyDescent="0.5">
      <c r="D16" s="1"/>
      <c r="E16" s="33" t="s">
        <v>11</v>
      </c>
      <c r="F16" s="33"/>
      <c r="G16" s="33"/>
      <c r="H16" s="33"/>
      <c r="I16" s="33"/>
      <c r="J16" s="33"/>
      <c r="K16" s="1"/>
    </row>
    <row r="17" spans="4:11" ht="15.6" x14ac:dyDescent="0.4">
      <c r="D17" s="1"/>
      <c r="E17" s="34" t="s">
        <v>17</v>
      </c>
      <c r="F17" s="34"/>
      <c r="G17" s="34"/>
      <c r="H17" s="34"/>
      <c r="I17" s="34"/>
      <c r="J17" s="34"/>
      <c r="K17" s="1"/>
    </row>
    <row r="18" spans="4:11" x14ac:dyDescent="0.4">
      <c r="D18" s="1"/>
      <c r="E18" s="3"/>
      <c r="F18" s="3"/>
      <c r="G18" s="3"/>
      <c r="H18" s="3"/>
      <c r="I18" s="3"/>
      <c r="J18" s="3"/>
      <c r="K18" s="1"/>
    </row>
    <row r="19" spans="4:11" x14ac:dyDescent="0.4">
      <c r="D19" s="1"/>
      <c r="E19" s="3"/>
      <c r="F19" s="3"/>
      <c r="G19" s="3"/>
      <c r="H19" s="3"/>
      <c r="I19" s="3"/>
      <c r="J19" s="3"/>
      <c r="K19" s="1"/>
    </row>
    <row r="20" spans="4:11" x14ac:dyDescent="0.4">
      <c r="D20" s="1"/>
      <c r="E20" s="3"/>
      <c r="F20" s="3"/>
      <c r="G20" s="4" t="s">
        <v>12</v>
      </c>
      <c r="H20" s="5">
        <v>44197</v>
      </c>
      <c r="I20" s="3"/>
      <c r="J20" s="3"/>
      <c r="K20" s="1"/>
    </row>
    <row r="21" spans="4:11" x14ac:dyDescent="0.4">
      <c r="D21" s="1"/>
      <c r="E21" s="3"/>
      <c r="F21" s="3"/>
      <c r="G21" s="4" t="s">
        <v>13</v>
      </c>
      <c r="H21" s="6">
        <v>45657</v>
      </c>
      <c r="I21" s="3"/>
      <c r="J21" s="3"/>
      <c r="K21" s="1"/>
    </row>
    <row r="22" spans="4:11" x14ac:dyDescent="0.4">
      <c r="D22" s="1"/>
      <c r="E22" s="3"/>
      <c r="F22" s="3"/>
      <c r="G22" s="3"/>
      <c r="H22" s="3"/>
      <c r="I22" s="3"/>
      <c r="J22" s="3"/>
      <c r="K22" s="1"/>
    </row>
    <row r="23" spans="4:11" x14ac:dyDescent="0.4">
      <c r="D23" s="1"/>
      <c r="E23" s="1"/>
      <c r="F23" s="1"/>
      <c r="G23" s="1"/>
      <c r="H23" s="1"/>
      <c r="I23" s="1"/>
      <c r="J23" s="1"/>
      <c r="K23" s="1"/>
    </row>
  </sheetData>
  <mergeCells count="3">
    <mergeCell ref="E15:J15"/>
    <mergeCell ref="E16:J16"/>
    <mergeCell ref="E17:J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B7FAC-B9FF-4A3E-B5D8-E0E422D57C79}">
  <sheetPr>
    <tabColor rgb="FF0137A6"/>
  </sheetPr>
  <dimension ref="C2:O18"/>
  <sheetViews>
    <sheetView showGridLines="0" topLeftCell="C3" workbookViewId="0">
      <selection activeCell="G30" sqref="G30"/>
    </sheetView>
  </sheetViews>
  <sheetFormatPr defaultRowHeight="15" x14ac:dyDescent="0.4"/>
  <cols>
    <col min="3" max="3" width="24.33203125" customWidth="1"/>
    <col min="4" max="4" width="9.8867187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15" x14ac:dyDescent="0.4">
      <c r="C2" s="19" t="s">
        <v>28</v>
      </c>
      <c r="D2" s="8"/>
    </row>
    <row r="3" spans="3:15" x14ac:dyDescent="0.4">
      <c r="C3" s="35" t="s">
        <v>19</v>
      </c>
      <c r="D3" s="35"/>
      <c r="E3" s="35"/>
      <c r="F3" s="35"/>
      <c r="G3" s="35"/>
    </row>
    <row r="4" spans="3:15" x14ac:dyDescent="0.4">
      <c r="C4" s="17" t="s">
        <v>15</v>
      </c>
      <c r="D4" s="9">
        <v>2021</v>
      </c>
      <c r="E4" s="9">
        <v>2022</v>
      </c>
      <c r="F4" s="9">
        <v>2023</v>
      </c>
      <c r="G4" s="10">
        <v>2024</v>
      </c>
    </row>
    <row r="5" spans="3:15" x14ac:dyDescent="0.4">
      <c r="C5" s="15" t="s">
        <v>2</v>
      </c>
      <c r="D5" s="11">
        <v>180500</v>
      </c>
      <c r="E5" s="11">
        <v>192300</v>
      </c>
      <c r="F5" s="11">
        <v>205700</v>
      </c>
      <c r="G5" s="12">
        <v>220400</v>
      </c>
    </row>
    <row r="6" spans="3:15" x14ac:dyDescent="0.4">
      <c r="C6" s="15" t="s">
        <v>7</v>
      </c>
      <c r="D6" s="11">
        <v>150700</v>
      </c>
      <c r="E6" s="11">
        <v>162100</v>
      </c>
      <c r="F6" s="11">
        <v>175000</v>
      </c>
      <c r="G6" s="12">
        <v>188600</v>
      </c>
      <c r="L6" s="24"/>
      <c r="M6" s="24"/>
      <c r="N6" s="24"/>
      <c r="O6" s="24"/>
    </row>
    <row r="7" spans="3:15" x14ac:dyDescent="0.4">
      <c r="C7" s="15" t="s">
        <v>1</v>
      </c>
      <c r="D7" s="11">
        <v>120600</v>
      </c>
      <c r="E7" s="11">
        <v>128900</v>
      </c>
      <c r="F7" s="11">
        <v>137800</v>
      </c>
      <c r="G7" s="12">
        <v>147500</v>
      </c>
      <c r="L7" s="24"/>
      <c r="M7" s="24"/>
      <c r="N7" s="24"/>
      <c r="O7" s="24"/>
    </row>
    <row r="8" spans="3:15" x14ac:dyDescent="0.4">
      <c r="C8" s="15" t="s">
        <v>0</v>
      </c>
      <c r="D8" s="11">
        <v>290400</v>
      </c>
      <c r="E8" s="11">
        <v>310500</v>
      </c>
      <c r="F8" s="11">
        <v>333700</v>
      </c>
      <c r="G8" s="12">
        <v>358600</v>
      </c>
      <c r="L8" s="24"/>
      <c r="M8" s="24"/>
      <c r="N8" s="24"/>
      <c r="O8" s="24"/>
    </row>
    <row r="9" spans="3:15" x14ac:dyDescent="0.4">
      <c r="C9" s="15" t="s">
        <v>6</v>
      </c>
      <c r="D9" s="11">
        <v>98300</v>
      </c>
      <c r="E9" s="11">
        <v>105700</v>
      </c>
      <c r="F9" s="11">
        <v>113900</v>
      </c>
      <c r="G9" s="12">
        <v>122600</v>
      </c>
      <c r="L9" s="24"/>
      <c r="M9" s="24"/>
      <c r="N9" s="24"/>
      <c r="O9" s="24"/>
    </row>
    <row r="10" spans="3:15" x14ac:dyDescent="0.4">
      <c r="C10" s="15" t="s">
        <v>5</v>
      </c>
      <c r="D10" s="11">
        <v>110200</v>
      </c>
      <c r="E10" s="11">
        <v>118900</v>
      </c>
      <c r="F10" s="11">
        <v>128100</v>
      </c>
      <c r="G10" s="12">
        <v>138000</v>
      </c>
      <c r="L10" s="24"/>
      <c r="M10" s="24"/>
      <c r="N10" s="24"/>
      <c r="O10" s="24"/>
    </row>
    <row r="11" spans="3:15" x14ac:dyDescent="0.4">
      <c r="C11" s="15" t="s">
        <v>8</v>
      </c>
      <c r="D11" s="11">
        <v>86900</v>
      </c>
      <c r="E11" s="11">
        <v>93700</v>
      </c>
      <c r="F11" s="11">
        <v>101200</v>
      </c>
      <c r="G11" s="12">
        <v>109800</v>
      </c>
      <c r="L11" s="24"/>
      <c r="M11" s="24"/>
      <c r="N11" s="24"/>
      <c r="O11" s="24"/>
    </row>
    <row r="12" spans="3:15" x14ac:dyDescent="0.4">
      <c r="C12" s="15" t="s">
        <v>3</v>
      </c>
      <c r="D12" s="11">
        <v>330500</v>
      </c>
      <c r="E12" s="11">
        <v>352400</v>
      </c>
      <c r="F12" s="11">
        <v>376800</v>
      </c>
      <c r="G12" s="12">
        <v>403500</v>
      </c>
      <c r="M12" s="24"/>
      <c r="N12" s="24"/>
      <c r="O12" s="24"/>
    </row>
    <row r="13" spans="3:15" x14ac:dyDescent="0.4">
      <c r="C13" s="15" t="s">
        <v>10</v>
      </c>
      <c r="D13" s="11">
        <v>370600</v>
      </c>
      <c r="E13" s="11">
        <v>395800</v>
      </c>
      <c r="F13" s="11">
        <v>422900</v>
      </c>
      <c r="G13" s="12">
        <v>452700</v>
      </c>
      <c r="L13" s="24"/>
      <c r="M13" s="24"/>
      <c r="N13" s="24"/>
      <c r="O13" s="24"/>
    </row>
    <row r="14" spans="3:15" x14ac:dyDescent="0.4">
      <c r="C14" s="15" t="s">
        <v>4</v>
      </c>
      <c r="D14" s="11">
        <v>75200</v>
      </c>
      <c r="E14" s="11">
        <v>80400</v>
      </c>
      <c r="F14" s="11">
        <v>86700</v>
      </c>
      <c r="G14" s="12">
        <v>93300</v>
      </c>
      <c r="L14" s="24"/>
      <c r="M14" s="24"/>
      <c r="N14" s="24"/>
      <c r="O14" s="24"/>
    </row>
    <row r="15" spans="3:15" x14ac:dyDescent="0.4">
      <c r="C15" s="15" t="s">
        <v>9</v>
      </c>
      <c r="D15" s="11">
        <v>66800</v>
      </c>
      <c r="E15" s="11">
        <v>71400</v>
      </c>
      <c r="F15" s="11">
        <v>76900</v>
      </c>
      <c r="G15" s="12">
        <v>82900</v>
      </c>
      <c r="O15" s="24"/>
    </row>
    <row r="16" spans="3:15" x14ac:dyDescent="0.4">
      <c r="C16" s="15" t="s">
        <v>18</v>
      </c>
      <c r="D16" s="11">
        <v>140900</v>
      </c>
      <c r="E16" s="11">
        <v>150800</v>
      </c>
      <c r="F16" s="11">
        <v>162100</v>
      </c>
      <c r="G16" s="12">
        <v>174600</v>
      </c>
      <c r="L16" s="24"/>
      <c r="M16" s="24"/>
      <c r="N16" s="24"/>
      <c r="O16" s="24"/>
    </row>
    <row r="17" spans="3:15" x14ac:dyDescent="0.4">
      <c r="C17" s="16" t="s">
        <v>16</v>
      </c>
      <c r="D17" s="13">
        <f>SUM(D5:D16)</f>
        <v>2021600</v>
      </c>
      <c r="E17" s="13">
        <f t="shared" ref="E17:G17" si="0">SUM(E5:E16)</f>
        <v>2162900</v>
      </c>
      <c r="F17" s="13">
        <f t="shared" si="0"/>
        <v>2320800</v>
      </c>
      <c r="G17" s="14">
        <f t="shared" si="0"/>
        <v>2492500</v>
      </c>
      <c r="L17" s="24"/>
      <c r="M17" s="24"/>
      <c r="N17" s="24"/>
      <c r="O17" s="24"/>
    </row>
    <row r="18" spans="3:15" x14ac:dyDescent="0.4">
      <c r="L18" s="24"/>
      <c r="M18" s="24"/>
      <c r="N18" s="24"/>
      <c r="O18" s="24"/>
    </row>
  </sheetData>
  <mergeCells count="1">
    <mergeCell ref="C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08BE-1147-40F9-85D1-FC336C25876D}">
  <sheetPr>
    <tabColor rgb="FF0137A6"/>
  </sheetPr>
  <dimension ref="C2:N17"/>
  <sheetViews>
    <sheetView showGridLines="0" topLeftCell="A13" workbookViewId="0">
      <selection activeCell="H33" sqref="H33"/>
    </sheetView>
  </sheetViews>
  <sheetFormatPr defaultRowHeight="15" x14ac:dyDescent="0.4"/>
  <cols>
    <col min="3" max="3" width="24.33203125" customWidth="1"/>
    <col min="4" max="4" width="8.88671875" bestFit="1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14" x14ac:dyDescent="0.4">
      <c r="D2" s="8"/>
    </row>
    <row r="3" spans="3:14" x14ac:dyDescent="0.4">
      <c r="C3" s="35" t="s">
        <v>21</v>
      </c>
      <c r="D3" s="35"/>
      <c r="E3" s="35"/>
      <c r="F3" s="35"/>
      <c r="G3" s="35"/>
    </row>
    <row r="4" spans="3:14" x14ac:dyDescent="0.4">
      <c r="C4" s="17" t="s">
        <v>15</v>
      </c>
      <c r="D4" s="9">
        <v>2021</v>
      </c>
      <c r="E4" s="9">
        <v>2022</v>
      </c>
      <c r="F4" s="9">
        <v>2023</v>
      </c>
      <c r="G4" s="10">
        <v>2024</v>
      </c>
    </row>
    <row r="5" spans="3:14" x14ac:dyDescent="0.4">
      <c r="C5" s="15" t="s">
        <v>2</v>
      </c>
      <c r="D5" s="11">
        <v>120500</v>
      </c>
      <c r="E5" s="11">
        <v>135200</v>
      </c>
      <c r="F5" s="11">
        <v>142300</v>
      </c>
      <c r="G5" s="12">
        <v>150800</v>
      </c>
      <c r="K5" s="24"/>
      <c r="L5" s="24"/>
      <c r="M5" s="24"/>
      <c r="N5" s="24"/>
    </row>
    <row r="6" spans="3:14" x14ac:dyDescent="0.4">
      <c r="C6" s="15" t="s">
        <v>7</v>
      </c>
      <c r="D6" s="11">
        <v>98700</v>
      </c>
      <c r="E6" s="11">
        <v>104900</v>
      </c>
      <c r="F6" s="11">
        <v>110400</v>
      </c>
      <c r="G6" s="12">
        <v>117000</v>
      </c>
      <c r="K6" s="24"/>
      <c r="L6" s="24"/>
      <c r="M6" s="24"/>
      <c r="N6" s="24"/>
    </row>
    <row r="7" spans="3:14" x14ac:dyDescent="0.4">
      <c r="C7" s="15" t="s">
        <v>1</v>
      </c>
      <c r="D7" s="11">
        <v>82300</v>
      </c>
      <c r="E7" s="11">
        <v>87600</v>
      </c>
      <c r="F7" s="11">
        <v>94100</v>
      </c>
      <c r="G7" s="12">
        <v>99500</v>
      </c>
      <c r="K7" s="24"/>
      <c r="L7" s="24"/>
      <c r="M7" s="24"/>
      <c r="N7" s="24"/>
    </row>
    <row r="8" spans="3:14" x14ac:dyDescent="0.4">
      <c r="C8" s="15" t="s">
        <v>0</v>
      </c>
      <c r="D8" s="11">
        <v>150400</v>
      </c>
      <c r="E8" s="11">
        <v>162900</v>
      </c>
      <c r="F8" s="11">
        <v>171200</v>
      </c>
      <c r="G8" s="12">
        <v>185000</v>
      </c>
      <c r="K8" s="24"/>
      <c r="L8" s="24"/>
      <c r="M8" s="24"/>
      <c r="N8" s="24"/>
    </row>
    <row r="9" spans="3:14" x14ac:dyDescent="0.4">
      <c r="C9" s="15" t="s">
        <v>6</v>
      </c>
      <c r="D9" s="11">
        <v>65800</v>
      </c>
      <c r="E9" s="11">
        <v>72300</v>
      </c>
      <c r="F9" s="11">
        <v>77600</v>
      </c>
      <c r="G9" s="12">
        <v>84100</v>
      </c>
      <c r="K9" s="24"/>
      <c r="L9" s="24"/>
      <c r="M9" s="24"/>
      <c r="N9" s="24"/>
    </row>
    <row r="10" spans="3:14" x14ac:dyDescent="0.4">
      <c r="C10" s="15" t="s">
        <v>5</v>
      </c>
      <c r="D10" s="11">
        <v>73900</v>
      </c>
      <c r="E10" s="11">
        <v>79100</v>
      </c>
      <c r="F10" s="11">
        <v>84400</v>
      </c>
      <c r="G10" s="12">
        <v>91000</v>
      </c>
      <c r="K10" s="24"/>
      <c r="L10" s="24"/>
      <c r="M10" s="24"/>
      <c r="N10" s="24"/>
    </row>
    <row r="11" spans="3:14" x14ac:dyDescent="0.4">
      <c r="C11" s="15" t="s">
        <v>8</v>
      </c>
      <c r="D11" s="11">
        <v>60400</v>
      </c>
      <c r="E11" s="11">
        <v>64800</v>
      </c>
      <c r="F11" s="11">
        <v>69700</v>
      </c>
      <c r="G11" s="12">
        <v>75900</v>
      </c>
      <c r="K11" s="24"/>
      <c r="L11" s="24"/>
      <c r="M11" s="24"/>
      <c r="N11" s="24"/>
    </row>
    <row r="12" spans="3:14" x14ac:dyDescent="0.4">
      <c r="C12" s="15" t="s">
        <v>3</v>
      </c>
      <c r="D12" s="11">
        <v>200600</v>
      </c>
      <c r="E12" s="11">
        <v>215400</v>
      </c>
      <c r="F12" s="11">
        <v>229500</v>
      </c>
      <c r="G12" s="12">
        <v>245700</v>
      </c>
      <c r="K12" s="24"/>
      <c r="L12" s="24"/>
      <c r="M12" s="24"/>
      <c r="N12" s="24"/>
    </row>
    <row r="13" spans="3:14" x14ac:dyDescent="0.4">
      <c r="C13" s="15" t="s">
        <v>10</v>
      </c>
      <c r="D13" s="11">
        <v>230500</v>
      </c>
      <c r="E13" s="11">
        <v>248300</v>
      </c>
      <c r="F13" s="11">
        <v>265100</v>
      </c>
      <c r="G13" s="12">
        <v>281400</v>
      </c>
      <c r="K13" s="24"/>
      <c r="L13" s="24"/>
      <c r="M13" s="24"/>
      <c r="N13" s="24"/>
    </row>
    <row r="14" spans="3:14" x14ac:dyDescent="0.4">
      <c r="C14" s="15" t="s">
        <v>4</v>
      </c>
      <c r="D14" s="11">
        <v>55200</v>
      </c>
      <c r="E14" s="11">
        <v>59700</v>
      </c>
      <c r="F14" s="11">
        <v>64900</v>
      </c>
      <c r="G14" s="12">
        <v>70100</v>
      </c>
      <c r="K14" s="24"/>
      <c r="L14" s="24"/>
      <c r="M14" s="24"/>
      <c r="N14" s="24"/>
    </row>
    <row r="15" spans="3:14" x14ac:dyDescent="0.4">
      <c r="C15" s="15" t="s">
        <v>9</v>
      </c>
      <c r="D15" s="11">
        <v>48700</v>
      </c>
      <c r="E15" s="11">
        <v>52900</v>
      </c>
      <c r="F15" s="11">
        <v>56800</v>
      </c>
      <c r="G15" s="12">
        <v>61400</v>
      </c>
      <c r="K15" s="24"/>
      <c r="L15" s="24"/>
      <c r="M15" s="24"/>
      <c r="N15" s="24"/>
    </row>
    <row r="16" spans="3:14" x14ac:dyDescent="0.4">
      <c r="C16" s="15" t="s">
        <v>18</v>
      </c>
      <c r="D16" s="11">
        <v>92600</v>
      </c>
      <c r="E16" s="11">
        <v>99800</v>
      </c>
      <c r="F16" s="11">
        <v>105900</v>
      </c>
      <c r="G16" s="12">
        <v>113500</v>
      </c>
      <c r="K16" s="24"/>
      <c r="L16" s="24"/>
      <c r="M16" s="24"/>
      <c r="N16" s="24"/>
    </row>
    <row r="17" spans="3:14" x14ac:dyDescent="0.4">
      <c r="C17" s="16" t="s">
        <v>16</v>
      </c>
      <c r="D17" s="13">
        <f>SUM(D5:D16)</f>
        <v>1279600</v>
      </c>
      <c r="E17" s="13">
        <f t="shared" ref="E17:G17" si="0">SUM(E5:E16)</f>
        <v>1382900</v>
      </c>
      <c r="F17" s="13">
        <f t="shared" si="0"/>
        <v>1471900</v>
      </c>
      <c r="G17" s="14">
        <f t="shared" si="0"/>
        <v>1575400</v>
      </c>
      <c r="K17" s="24"/>
      <c r="L17" s="24"/>
      <c r="M17" s="24"/>
      <c r="N17" s="24"/>
    </row>
  </sheetData>
  <mergeCells count="1">
    <mergeCell ref="C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E486-4963-40C4-B2BA-5933F0ADA9A2}">
  <sheetPr>
    <tabColor rgb="FF0137A6"/>
  </sheetPr>
  <dimension ref="C2:N20"/>
  <sheetViews>
    <sheetView showGridLines="0" topLeftCell="A3" workbookViewId="0">
      <selection activeCell="A21" sqref="A21:XFD35"/>
    </sheetView>
  </sheetViews>
  <sheetFormatPr defaultRowHeight="15" x14ac:dyDescent="0.4"/>
  <cols>
    <col min="3" max="3" width="24.33203125" customWidth="1"/>
    <col min="4" max="4" width="9.8867187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14" x14ac:dyDescent="0.4">
      <c r="D2" s="8"/>
    </row>
    <row r="3" spans="3:14" x14ac:dyDescent="0.4">
      <c r="C3" s="35" t="s">
        <v>22</v>
      </c>
      <c r="D3" s="35"/>
      <c r="E3" s="35"/>
      <c r="F3" s="35"/>
      <c r="G3" s="35"/>
    </row>
    <row r="4" spans="3:14" x14ac:dyDescent="0.4">
      <c r="C4" s="17" t="s">
        <v>15</v>
      </c>
      <c r="D4" s="9">
        <v>2021</v>
      </c>
      <c r="E4" s="9">
        <v>2022</v>
      </c>
      <c r="F4" s="9">
        <v>2023</v>
      </c>
      <c r="G4" s="10">
        <v>2024</v>
      </c>
    </row>
    <row r="5" spans="3:14" x14ac:dyDescent="0.4">
      <c r="C5" s="15" t="s">
        <v>2</v>
      </c>
      <c r="D5" s="11">
        <v>19700</v>
      </c>
      <c r="E5" s="11">
        <v>21100</v>
      </c>
      <c r="F5" s="11">
        <v>22800</v>
      </c>
      <c r="G5" s="12">
        <v>24600</v>
      </c>
    </row>
    <row r="6" spans="3:14" x14ac:dyDescent="0.4">
      <c r="C6" s="15" t="s">
        <v>7</v>
      </c>
      <c r="D6" s="11">
        <v>15600</v>
      </c>
      <c r="E6" s="11">
        <v>16900</v>
      </c>
      <c r="F6" s="11">
        <v>18200</v>
      </c>
      <c r="G6" s="12">
        <v>19700</v>
      </c>
    </row>
    <row r="7" spans="3:14" x14ac:dyDescent="0.4">
      <c r="C7" s="15" t="s">
        <v>1</v>
      </c>
      <c r="D7" s="11">
        <v>12600</v>
      </c>
      <c r="E7" s="11">
        <v>13700</v>
      </c>
      <c r="F7" s="11">
        <v>14800</v>
      </c>
      <c r="G7" s="12">
        <v>16000</v>
      </c>
    </row>
    <row r="8" spans="3:14" x14ac:dyDescent="0.4">
      <c r="C8" s="15" t="s">
        <v>0</v>
      </c>
      <c r="D8" s="11">
        <v>28200</v>
      </c>
      <c r="E8" s="11">
        <v>30100</v>
      </c>
      <c r="F8" s="11">
        <v>32400</v>
      </c>
      <c r="G8" s="12">
        <v>34800</v>
      </c>
    </row>
    <row r="9" spans="3:14" x14ac:dyDescent="0.4">
      <c r="C9" s="15" t="s">
        <v>6</v>
      </c>
      <c r="D9" s="11">
        <v>10000</v>
      </c>
      <c r="E9" s="11">
        <v>10900</v>
      </c>
      <c r="F9" s="11">
        <v>11900</v>
      </c>
      <c r="G9" s="12">
        <v>12900</v>
      </c>
      <c r="K9" s="24"/>
      <c r="L9" s="24"/>
      <c r="M9" s="24"/>
      <c r="N9" s="24"/>
    </row>
    <row r="10" spans="3:14" x14ac:dyDescent="0.4">
      <c r="C10" s="15" t="s">
        <v>5</v>
      </c>
      <c r="D10" s="11">
        <v>11600</v>
      </c>
      <c r="E10" s="11">
        <v>12600</v>
      </c>
      <c r="F10" s="11">
        <v>13700</v>
      </c>
      <c r="G10" s="12">
        <v>14900</v>
      </c>
      <c r="K10" s="24"/>
      <c r="L10" s="24"/>
      <c r="M10" s="24"/>
      <c r="N10" s="24"/>
    </row>
    <row r="11" spans="3:14" x14ac:dyDescent="0.4">
      <c r="C11" s="15" t="s">
        <v>8</v>
      </c>
      <c r="D11" s="11">
        <v>8300</v>
      </c>
      <c r="E11" s="11">
        <v>9100</v>
      </c>
      <c r="F11" s="11">
        <v>9900</v>
      </c>
      <c r="G11" s="12">
        <v>10800</v>
      </c>
      <c r="K11" s="24"/>
      <c r="L11" s="24"/>
      <c r="M11" s="24"/>
      <c r="N11" s="24"/>
    </row>
    <row r="12" spans="3:14" x14ac:dyDescent="0.4">
      <c r="C12" s="15" t="s">
        <v>3</v>
      </c>
      <c r="D12" s="11">
        <v>31200</v>
      </c>
      <c r="E12" s="11">
        <v>33400</v>
      </c>
      <c r="F12" s="11">
        <v>35700</v>
      </c>
      <c r="G12" s="12">
        <v>38200</v>
      </c>
      <c r="K12" s="24"/>
      <c r="L12" s="24"/>
      <c r="M12" s="24"/>
      <c r="N12" s="24"/>
    </row>
    <row r="13" spans="3:14" x14ac:dyDescent="0.4">
      <c r="C13" s="15" t="s">
        <v>10</v>
      </c>
      <c r="D13" s="11">
        <v>34900</v>
      </c>
      <c r="E13" s="11">
        <v>37300</v>
      </c>
      <c r="F13" s="11">
        <v>39900</v>
      </c>
      <c r="G13" s="12">
        <v>42600</v>
      </c>
      <c r="K13" s="24"/>
      <c r="L13" s="24"/>
      <c r="M13" s="24"/>
      <c r="N13" s="24"/>
    </row>
    <row r="14" spans="3:14" x14ac:dyDescent="0.4">
      <c r="C14" s="15" t="s">
        <v>4</v>
      </c>
      <c r="D14" s="11">
        <v>7000</v>
      </c>
      <c r="E14" s="11">
        <v>7600</v>
      </c>
      <c r="F14" s="11">
        <v>8200</v>
      </c>
      <c r="G14" s="12">
        <v>8900</v>
      </c>
      <c r="K14" s="24"/>
      <c r="L14" s="24"/>
      <c r="M14" s="24"/>
      <c r="N14" s="24"/>
    </row>
    <row r="15" spans="3:14" x14ac:dyDescent="0.4">
      <c r="C15" s="15" t="s">
        <v>9</v>
      </c>
      <c r="D15" s="11">
        <v>6200</v>
      </c>
      <c r="E15" s="11">
        <v>6700</v>
      </c>
      <c r="F15" s="11">
        <v>7300</v>
      </c>
      <c r="G15" s="12">
        <v>7900</v>
      </c>
      <c r="K15" s="24"/>
      <c r="L15" s="24"/>
      <c r="M15" s="24"/>
      <c r="N15" s="24"/>
    </row>
    <row r="16" spans="3:14" x14ac:dyDescent="0.4">
      <c r="C16" s="15" t="s">
        <v>18</v>
      </c>
      <c r="D16" s="11">
        <v>14100</v>
      </c>
      <c r="E16" s="11">
        <v>15100</v>
      </c>
      <c r="F16" s="11">
        <v>16300</v>
      </c>
      <c r="G16" s="12">
        <v>17700</v>
      </c>
      <c r="K16" s="24"/>
      <c r="L16" s="24"/>
      <c r="M16" s="24"/>
      <c r="N16" s="24"/>
    </row>
    <row r="17" spans="3:14" x14ac:dyDescent="0.4">
      <c r="C17" s="16" t="s">
        <v>16</v>
      </c>
      <c r="D17" s="13">
        <f t="shared" ref="D17:G17" si="0">SUM(D5:D16)</f>
        <v>199400</v>
      </c>
      <c r="E17" s="13">
        <f t="shared" si="0"/>
        <v>214500</v>
      </c>
      <c r="F17" s="13">
        <f t="shared" si="0"/>
        <v>231100</v>
      </c>
      <c r="G17" s="14">
        <f t="shared" si="0"/>
        <v>249000</v>
      </c>
      <c r="K17" s="24"/>
      <c r="L17" s="24"/>
      <c r="M17" s="24"/>
      <c r="N17" s="24"/>
    </row>
    <row r="18" spans="3:14" x14ac:dyDescent="0.4">
      <c r="K18" s="24"/>
      <c r="L18" s="24"/>
      <c r="M18" s="24"/>
      <c r="N18" s="24"/>
    </row>
    <row r="19" spans="3:14" x14ac:dyDescent="0.4">
      <c r="K19" s="24"/>
      <c r="L19" s="24"/>
      <c r="M19" s="24"/>
      <c r="N19" s="24"/>
    </row>
    <row r="20" spans="3:14" x14ac:dyDescent="0.4">
      <c r="K20" s="24"/>
      <c r="L20" s="24"/>
      <c r="M20" s="24"/>
      <c r="N20" s="24"/>
    </row>
  </sheetData>
  <mergeCells count="1">
    <mergeCell ref="C3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4E0C-B5E1-406B-B8D4-18E3BCB538CC}">
  <sheetPr>
    <tabColor rgb="FF0137A6"/>
  </sheetPr>
  <dimension ref="C2:G17"/>
  <sheetViews>
    <sheetView showGridLines="0" workbookViewId="0">
      <selection activeCell="C21" sqref="C21"/>
    </sheetView>
  </sheetViews>
  <sheetFormatPr defaultRowHeight="15" x14ac:dyDescent="0.4"/>
  <cols>
    <col min="3" max="3" width="24.33203125" customWidth="1"/>
    <col min="4" max="4" width="10.4414062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7" x14ac:dyDescent="0.4">
      <c r="C2" s="19" t="s">
        <v>29</v>
      </c>
      <c r="D2" s="8"/>
    </row>
    <row r="3" spans="3:7" x14ac:dyDescent="0.4">
      <c r="C3" s="35" t="s">
        <v>20</v>
      </c>
      <c r="D3" s="35"/>
      <c r="E3" s="35"/>
      <c r="F3" s="35"/>
      <c r="G3" s="35"/>
    </row>
    <row r="4" spans="3:7" x14ac:dyDescent="0.4">
      <c r="C4" s="17" t="s">
        <v>15</v>
      </c>
      <c r="D4" s="9">
        <v>2021</v>
      </c>
      <c r="E4" s="9">
        <v>2022</v>
      </c>
      <c r="F4" s="9">
        <v>2023</v>
      </c>
      <c r="G4" s="10">
        <v>2024</v>
      </c>
    </row>
    <row r="5" spans="3:7" x14ac:dyDescent="0.4">
      <c r="C5" s="15" t="s">
        <v>2</v>
      </c>
      <c r="D5" s="11">
        <v>45800</v>
      </c>
      <c r="E5" s="11">
        <v>51200</v>
      </c>
      <c r="F5" s="11">
        <v>54700</v>
      </c>
      <c r="G5" s="12">
        <v>59000</v>
      </c>
    </row>
    <row r="6" spans="3:7" x14ac:dyDescent="0.4">
      <c r="C6" s="15" t="s">
        <v>7</v>
      </c>
      <c r="D6" s="11">
        <v>36400</v>
      </c>
      <c r="E6" s="11">
        <v>39800</v>
      </c>
      <c r="F6" s="11">
        <v>42900</v>
      </c>
      <c r="G6" s="12">
        <v>46500</v>
      </c>
    </row>
    <row r="7" spans="3:7" x14ac:dyDescent="0.4">
      <c r="C7" s="15" t="s">
        <v>1</v>
      </c>
      <c r="D7" s="11">
        <v>28600</v>
      </c>
      <c r="E7" s="11">
        <v>30900</v>
      </c>
      <c r="F7" s="11">
        <v>34200</v>
      </c>
      <c r="G7" s="12">
        <v>36700</v>
      </c>
    </row>
    <row r="8" spans="3:7" x14ac:dyDescent="0.4">
      <c r="C8" s="15" t="s">
        <v>0</v>
      </c>
      <c r="D8" s="11">
        <v>63900</v>
      </c>
      <c r="E8" s="11">
        <v>68500</v>
      </c>
      <c r="F8" s="11">
        <v>72800</v>
      </c>
      <c r="G8" s="12">
        <v>78200</v>
      </c>
    </row>
    <row r="9" spans="3:7" x14ac:dyDescent="0.4">
      <c r="C9" s="15" t="s">
        <v>6</v>
      </c>
      <c r="D9" s="11">
        <v>22700</v>
      </c>
      <c r="E9" s="11">
        <v>24900</v>
      </c>
      <c r="F9" s="11">
        <v>26800</v>
      </c>
      <c r="G9" s="12">
        <v>29300</v>
      </c>
    </row>
    <row r="10" spans="3:7" x14ac:dyDescent="0.4">
      <c r="C10" s="15" t="s">
        <v>5</v>
      </c>
      <c r="D10" s="11">
        <v>27800</v>
      </c>
      <c r="E10" s="11">
        <v>29900</v>
      </c>
      <c r="F10" s="11">
        <v>32700</v>
      </c>
      <c r="G10" s="12">
        <v>35400</v>
      </c>
    </row>
    <row r="11" spans="3:7" x14ac:dyDescent="0.4">
      <c r="C11" s="15" t="s">
        <v>8</v>
      </c>
      <c r="D11" s="11">
        <v>19500</v>
      </c>
      <c r="E11" s="11">
        <v>21600</v>
      </c>
      <c r="F11" s="11">
        <v>23400</v>
      </c>
      <c r="G11" s="12">
        <v>25800</v>
      </c>
    </row>
    <row r="12" spans="3:7" x14ac:dyDescent="0.4">
      <c r="C12" s="15" t="s">
        <v>3</v>
      </c>
      <c r="D12" s="11">
        <v>74200</v>
      </c>
      <c r="E12" s="11">
        <v>79300</v>
      </c>
      <c r="F12" s="11">
        <v>85100</v>
      </c>
      <c r="G12" s="12">
        <v>91400</v>
      </c>
    </row>
    <row r="13" spans="3:7" x14ac:dyDescent="0.4">
      <c r="C13" s="15" t="s">
        <v>10</v>
      </c>
      <c r="D13" s="11">
        <v>81900</v>
      </c>
      <c r="E13" s="11">
        <v>87600</v>
      </c>
      <c r="F13" s="11">
        <v>93800</v>
      </c>
      <c r="G13" s="12">
        <v>101200</v>
      </c>
    </row>
    <row r="14" spans="3:7" x14ac:dyDescent="0.4">
      <c r="C14" s="15" t="s">
        <v>4</v>
      </c>
      <c r="D14" s="11">
        <v>16200</v>
      </c>
      <c r="E14" s="11">
        <v>17800</v>
      </c>
      <c r="F14" s="11">
        <v>19300</v>
      </c>
      <c r="G14" s="12">
        <v>21000</v>
      </c>
    </row>
    <row r="15" spans="3:7" x14ac:dyDescent="0.4">
      <c r="C15" s="15" t="s">
        <v>9</v>
      </c>
      <c r="D15" s="11">
        <v>14300</v>
      </c>
      <c r="E15" s="11">
        <v>15700</v>
      </c>
      <c r="F15" s="11">
        <v>17100</v>
      </c>
      <c r="G15" s="12">
        <v>18900</v>
      </c>
    </row>
    <row r="16" spans="3:7" x14ac:dyDescent="0.4">
      <c r="C16" s="15" t="s">
        <v>18</v>
      </c>
      <c r="D16" s="11">
        <v>33700</v>
      </c>
      <c r="E16" s="11">
        <v>36900</v>
      </c>
      <c r="F16" s="11">
        <v>39800</v>
      </c>
      <c r="G16" s="12">
        <v>43600</v>
      </c>
    </row>
    <row r="17" spans="3:7" x14ac:dyDescent="0.4">
      <c r="C17" s="16" t="s">
        <v>16</v>
      </c>
      <c r="D17" s="13">
        <f>SUM(D5:D16)</f>
        <v>465000</v>
      </c>
      <c r="E17" s="13">
        <f t="shared" ref="E17:G17" si="0">SUM(E5:E16)</f>
        <v>504100</v>
      </c>
      <c r="F17" s="13">
        <f t="shared" si="0"/>
        <v>542600</v>
      </c>
      <c r="G17" s="14">
        <f t="shared" si="0"/>
        <v>587000</v>
      </c>
    </row>
  </sheetData>
  <mergeCells count="1">
    <mergeCell ref="C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7B1D-4717-49F6-83E2-7A4018AE4C5F}">
  <sheetPr>
    <tabColor rgb="FF0137A6"/>
  </sheetPr>
  <dimension ref="C3:G18"/>
  <sheetViews>
    <sheetView showGridLines="0" workbookViewId="0">
      <selection activeCell="E22" sqref="E22"/>
    </sheetView>
  </sheetViews>
  <sheetFormatPr defaultRowHeight="15" x14ac:dyDescent="0.4"/>
  <cols>
    <col min="3" max="3" width="22.109375" customWidth="1"/>
    <col min="7" max="7" width="9.5546875" customWidth="1"/>
  </cols>
  <sheetData>
    <row r="3" spans="3:7" x14ac:dyDescent="0.4">
      <c r="C3" s="19" t="s">
        <v>29</v>
      </c>
    </row>
    <row r="4" spans="3:7" x14ac:dyDescent="0.4">
      <c r="C4" s="35" t="s">
        <v>45</v>
      </c>
      <c r="D4" s="35"/>
      <c r="E4" s="35"/>
      <c r="F4" s="35"/>
      <c r="G4" s="35"/>
    </row>
    <row r="5" spans="3:7" x14ac:dyDescent="0.4">
      <c r="C5" s="17" t="s">
        <v>15</v>
      </c>
      <c r="D5" s="9">
        <v>2021</v>
      </c>
      <c r="E5" s="9">
        <v>2022</v>
      </c>
      <c r="F5" s="9">
        <v>2023</v>
      </c>
      <c r="G5" s="10">
        <v>2024</v>
      </c>
    </row>
    <row r="6" spans="3:7" x14ac:dyDescent="0.4">
      <c r="C6" s="15" t="s">
        <v>2</v>
      </c>
      <c r="D6" s="11">
        <v>1200</v>
      </c>
      <c r="E6" s="11">
        <v>1350</v>
      </c>
      <c r="F6" s="11">
        <v>1500</v>
      </c>
      <c r="G6" s="12">
        <v>1650</v>
      </c>
    </row>
    <row r="7" spans="3:7" x14ac:dyDescent="0.4">
      <c r="C7" s="15" t="s">
        <v>7</v>
      </c>
      <c r="D7" s="11">
        <v>1000</v>
      </c>
      <c r="E7" s="11">
        <v>1150</v>
      </c>
      <c r="F7" s="11">
        <v>1300</v>
      </c>
      <c r="G7" s="12">
        <v>1450</v>
      </c>
    </row>
    <row r="8" spans="3:7" x14ac:dyDescent="0.4">
      <c r="C8" s="15" t="s">
        <v>1</v>
      </c>
      <c r="D8" s="11">
        <v>2800</v>
      </c>
      <c r="E8" s="11">
        <v>3100</v>
      </c>
      <c r="F8" s="11">
        <v>3400</v>
      </c>
      <c r="G8" s="12">
        <v>3700</v>
      </c>
    </row>
    <row r="9" spans="3:7" x14ac:dyDescent="0.4">
      <c r="C9" s="15" t="s">
        <v>0</v>
      </c>
      <c r="D9" s="11">
        <v>3600</v>
      </c>
      <c r="E9" s="11">
        <v>4000</v>
      </c>
      <c r="F9" s="11">
        <v>4400</v>
      </c>
      <c r="G9" s="12">
        <v>4800</v>
      </c>
    </row>
    <row r="10" spans="3:7" x14ac:dyDescent="0.4">
      <c r="C10" s="15" t="s">
        <v>6</v>
      </c>
      <c r="D10" s="11">
        <v>1100</v>
      </c>
      <c r="E10" s="11">
        <v>1250</v>
      </c>
      <c r="F10" s="11">
        <v>1400</v>
      </c>
      <c r="G10" s="12">
        <v>1550</v>
      </c>
    </row>
    <row r="11" spans="3:7" x14ac:dyDescent="0.4">
      <c r="C11" s="15" t="s">
        <v>5</v>
      </c>
      <c r="D11" s="11">
        <v>2200</v>
      </c>
      <c r="E11" s="11">
        <v>2450</v>
      </c>
      <c r="F11" s="11">
        <v>2700</v>
      </c>
      <c r="G11" s="12">
        <v>2950</v>
      </c>
    </row>
    <row r="12" spans="3:7" x14ac:dyDescent="0.4">
      <c r="C12" s="15" t="s">
        <v>8</v>
      </c>
      <c r="D12" s="11">
        <v>900</v>
      </c>
      <c r="E12" s="11">
        <v>1050</v>
      </c>
      <c r="F12" s="11">
        <v>1200</v>
      </c>
      <c r="G12" s="12">
        <v>1350</v>
      </c>
    </row>
    <row r="13" spans="3:7" x14ac:dyDescent="0.4">
      <c r="C13" s="15" t="s">
        <v>3</v>
      </c>
      <c r="D13" s="11">
        <v>4500</v>
      </c>
      <c r="E13" s="11">
        <v>4950</v>
      </c>
      <c r="F13" s="11">
        <v>5400</v>
      </c>
      <c r="G13" s="12">
        <v>5850</v>
      </c>
    </row>
    <row r="14" spans="3:7" x14ac:dyDescent="0.4">
      <c r="C14" s="15" t="s">
        <v>10</v>
      </c>
      <c r="D14" s="11">
        <v>3800</v>
      </c>
      <c r="E14" s="11">
        <v>4200</v>
      </c>
      <c r="F14" s="11">
        <v>4600</v>
      </c>
      <c r="G14" s="12">
        <v>5000</v>
      </c>
    </row>
    <row r="15" spans="3:7" x14ac:dyDescent="0.4">
      <c r="C15" s="15" t="s">
        <v>4</v>
      </c>
      <c r="D15" s="11">
        <v>700</v>
      </c>
      <c r="E15" s="11">
        <v>800</v>
      </c>
      <c r="F15" s="11">
        <v>900</v>
      </c>
      <c r="G15" s="12">
        <v>1000</v>
      </c>
    </row>
    <row r="16" spans="3:7" x14ac:dyDescent="0.4">
      <c r="C16" s="15" t="s">
        <v>9</v>
      </c>
      <c r="D16" s="11">
        <v>1300</v>
      </c>
      <c r="E16" s="11">
        <v>1450</v>
      </c>
      <c r="F16" s="11">
        <v>1600</v>
      </c>
      <c r="G16" s="12">
        <v>1750</v>
      </c>
    </row>
    <row r="17" spans="3:7" x14ac:dyDescent="0.4">
      <c r="C17" s="15" t="s">
        <v>18</v>
      </c>
      <c r="D17" s="11">
        <v>1400</v>
      </c>
      <c r="E17" s="11">
        <v>1600</v>
      </c>
      <c r="F17" s="11">
        <v>1800</v>
      </c>
      <c r="G17" s="12">
        <v>2000</v>
      </c>
    </row>
    <row r="18" spans="3:7" x14ac:dyDescent="0.4">
      <c r="C18" s="16" t="s">
        <v>16</v>
      </c>
      <c r="D18" s="13">
        <v>26500</v>
      </c>
      <c r="E18" s="13">
        <v>29300</v>
      </c>
      <c r="F18" s="13">
        <v>32200</v>
      </c>
      <c r="G18" s="14">
        <v>35050</v>
      </c>
    </row>
  </sheetData>
  <mergeCells count="1">
    <mergeCell ref="C4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F20C-2213-4055-AB8E-7B28A7734F80}">
  <sheetPr>
    <tabColor rgb="FFC00000"/>
  </sheetPr>
  <dimension ref="A2:F6"/>
  <sheetViews>
    <sheetView showGridLines="0" workbookViewId="0">
      <selection activeCell="C27" sqref="C27"/>
    </sheetView>
  </sheetViews>
  <sheetFormatPr defaultRowHeight="15" x14ac:dyDescent="0.4"/>
  <cols>
    <col min="1" max="1" width="23.88671875" customWidth="1"/>
    <col min="2" max="2" width="19.88671875" bestFit="1" customWidth="1"/>
    <col min="3" max="3" width="18.21875" bestFit="1" customWidth="1"/>
    <col min="4" max="7" width="13.44140625" bestFit="1" customWidth="1"/>
    <col min="8" max="8" width="12" bestFit="1" customWidth="1"/>
    <col min="9" max="9" width="21.109375" bestFit="1" customWidth="1"/>
    <col min="10" max="15" width="13.44140625" bestFit="1" customWidth="1"/>
  </cols>
  <sheetData>
    <row r="2" spans="1:6" ht="15" customHeight="1" x14ac:dyDescent="0.4">
      <c r="A2" s="18" t="s">
        <v>23</v>
      </c>
      <c r="B2" s="7"/>
      <c r="C2" s="7"/>
      <c r="D2" s="7"/>
      <c r="E2" s="7"/>
      <c r="F2" s="7"/>
    </row>
    <row r="3" spans="1:6" x14ac:dyDescent="0.4">
      <c r="A3" s="7" t="s">
        <v>27</v>
      </c>
    </row>
    <row r="4" spans="1:6" x14ac:dyDescent="0.4">
      <c r="A4" s="7" t="s">
        <v>24</v>
      </c>
    </row>
    <row r="5" spans="1:6" x14ac:dyDescent="0.4">
      <c r="A5" s="7" t="s">
        <v>25</v>
      </c>
    </row>
    <row r="6" spans="1:6" x14ac:dyDescent="0.4">
      <c r="A6" s="7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32AE-683C-4364-A7BA-23B713F90BFF}">
  <sheetPr>
    <tabColor rgb="FFC00000"/>
  </sheetPr>
  <dimension ref="B1:R37"/>
  <sheetViews>
    <sheetView showGridLines="0" topLeftCell="A27" workbookViewId="0">
      <selection activeCell="A41" sqref="A41:XFD55"/>
    </sheetView>
  </sheetViews>
  <sheetFormatPr defaultRowHeight="15" x14ac:dyDescent="0.4"/>
  <cols>
    <col min="2" max="2" width="21.109375" bestFit="1" customWidth="1"/>
    <col min="3" max="3" width="15.21875" customWidth="1"/>
    <col min="4" max="4" width="14.6640625" customWidth="1"/>
    <col min="5" max="5" width="21.109375" bestFit="1" customWidth="1"/>
    <col min="6" max="6" width="13.77734375" bestFit="1" customWidth="1"/>
    <col min="7" max="7" width="13.44140625" customWidth="1"/>
    <col min="8" max="8" width="19.44140625" customWidth="1"/>
    <col min="10" max="10" width="14.88671875" customWidth="1"/>
    <col min="11" max="11" width="21.109375" bestFit="1" customWidth="1"/>
    <col min="14" max="14" width="21.109375" bestFit="1" customWidth="1"/>
    <col min="17" max="17" width="21.109375" bestFit="1" customWidth="1"/>
  </cols>
  <sheetData>
    <row r="1" spans="2:18" x14ac:dyDescent="0.4">
      <c r="B1" s="21" t="s">
        <v>30</v>
      </c>
    </row>
    <row r="3" spans="2:18" x14ac:dyDescent="0.4">
      <c r="B3" s="35" t="s">
        <v>31</v>
      </c>
      <c r="C3" s="35"/>
      <c r="E3" s="35" t="s">
        <v>32</v>
      </c>
      <c r="F3" s="35"/>
      <c r="H3" s="35" t="s">
        <v>33</v>
      </c>
      <c r="I3" s="35"/>
      <c r="K3" s="35" t="s">
        <v>34</v>
      </c>
      <c r="L3" s="35"/>
      <c r="N3" s="35" t="s">
        <v>44</v>
      </c>
      <c r="O3" s="35"/>
      <c r="Q3" s="35" t="s">
        <v>36</v>
      </c>
      <c r="R3" s="35"/>
    </row>
    <row r="4" spans="2:18" x14ac:dyDescent="0.4">
      <c r="B4" s="17" t="s">
        <v>15</v>
      </c>
      <c r="C4" s="10">
        <v>2024</v>
      </c>
      <c r="E4" s="17" t="s">
        <v>15</v>
      </c>
      <c r="F4" s="10">
        <v>2024</v>
      </c>
      <c r="H4" s="17" t="s">
        <v>15</v>
      </c>
      <c r="I4" s="10">
        <v>2024</v>
      </c>
      <c r="K4" s="17" t="s">
        <v>15</v>
      </c>
      <c r="L4" s="10">
        <v>2024</v>
      </c>
      <c r="N4" s="17" t="s">
        <v>15</v>
      </c>
      <c r="O4" s="10">
        <v>2024</v>
      </c>
      <c r="Q4" s="17" t="s">
        <v>15</v>
      </c>
      <c r="R4" s="10">
        <v>2024</v>
      </c>
    </row>
    <row r="5" spans="2:18" x14ac:dyDescent="0.4">
      <c r="B5" s="15" t="s">
        <v>2</v>
      </c>
      <c r="C5" s="12">
        <v>150800</v>
      </c>
      <c r="E5" s="15" t="s">
        <v>2</v>
      </c>
      <c r="F5" s="12">
        <v>90480</v>
      </c>
      <c r="H5" s="15" t="s">
        <v>2</v>
      </c>
      <c r="I5" s="20">
        <v>0.7</v>
      </c>
      <c r="K5" s="15" t="s">
        <v>2</v>
      </c>
      <c r="L5" s="20">
        <v>0.12</v>
      </c>
      <c r="N5" s="15" t="s">
        <v>2</v>
      </c>
      <c r="O5" s="20">
        <v>0.28000000000000003</v>
      </c>
      <c r="Q5" s="15" t="s">
        <v>2</v>
      </c>
      <c r="R5" s="20">
        <v>0.02</v>
      </c>
    </row>
    <row r="6" spans="2:18" x14ac:dyDescent="0.4">
      <c r="B6" s="15" t="s">
        <v>7</v>
      </c>
      <c r="C6" s="12">
        <v>117000</v>
      </c>
      <c r="E6" s="15" t="s">
        <v>7</v>
      </c>
      <c r="F6" s="12">
        <v>105300</v>
      </c>
      <c r="H6" s="15" t="s">
        <v>7</v>
      </c>
      <c r="I6" s="20">
        <v>0.34</v>
      </c>
      <c r="K6" s="15" t="s">
        <v>7</v>
      </c>
      <c r="L6" s="20">
        <v>0.16</v>
      </c>
      <c r="N6" s="15" t="s">
        <v>7</v>
      </c>
      <c r="O6" s="20">
        <v>0.28000000000000003</v>
      </c>
      <c r="Q6" s="15" t="s">
        <v>7</v>
      </c>
      <c r="R6" s="20">
        <v>0.01</v>
      </c>
    </row>
    <row r="7" spans="2:18" x14ac:dyDescent="0.4">
      <c r="B7" s="15" t="s">
        <v>1</v>
      </c>
      <c r="C7" s="12">
        <v>99500</v>
      </c>
      <c r="E7" s="15" t="s">
        <v>1</v>
      </c>
      <c r="F7" s="12">
        <v>94525</v>
      </c>
      <c r="H7" s="15" t="s">
        <v>1</v>
      </c>
      <c r="I7" s="20">
        <v>0.02</v>
      </c>
      <c r="K7" s="15" t="s">
        <v>1</v>
      </c>
      <c r="L7" s="20">
        <v>0.16</v>
      </c>
      <c r="N7" s="15" t="s">
        <v>1</v>
      </c>
      <c r="O7" s="20">
        <v>0.28000000000000003</v>
      </c>
      <c r="Q7" s="15" t="s">
        <v>1</v>
      </c>
      <c r="R7" s="20">
        <v>0</v>
      </c>
    </row>
    <row r="8" spans="2:18" x14ac:dyDescent="0.4">
      <c r="B8" s="15" t="s">
        <v>0</v>
      </c>
      <c r="C8" s="12">
        <v>185000</v>
      </c>
      <c r="E8" s="15" t="s">
        <v>0</v>
      </c>
      <c r="F8" s="12">
        <v>166500</v>
      </c>
      <c r="H8" s="15" t="s">
        <v>0</v>
      </c>
      <c r="I8" s="20">
        <v>0.3</v>
      </c>
      <c r="K8" s="15" t="s">
        <v>0</v>
      </c>
      <c r="L8" s="20">
        <v>0.23</v>
      </c>
      <c r="N8" s="15" t="s">
        <v>0</v>
      </c>
      <c r="O8" s="20">
        <v>0.28000000000000003</v>
      </c>
      <c r="Q8" s="15" t="s">
        <v>0</v>
      </c>
      <c r="R8" s="20">
        <v>0.01</v>
      </c>
    </row>
    <row r="9" spans="2:18" x14ac:dyDescent="0.4">
      <c r="B9" s="15" t="s">
        <v>6</v>
      </c>
      <c r="C9" s="12">
        <v>84100</v>
      </c>
      <c r="E9" s="15" t="s">
        <v>6</v>
      </c>
      <c r="F9" s="12">
        <v>71485</v>
      </c>
      <c r="H9" s="15" t="s">
        <v>6</v>
      </c>
      <c r="I9" s="20">
        <v>0.16</v>
      </c>
      <c r="K9" s="15" t="s">
        <v>6</v>
      </c>
      <c r="L9" s="20">
        <v>0.15</v>
      </c>
      <c r="N9" s="15" t="s">
        <v>6</v>
      </c>
      <c r="O9" s="20">
        <v>0.28000000000000003</v>
      </c>
      <c r="Q9" s="15" t="s">
        <v>6</v>
      </c>
      <c r="R9" s="20">
        <v>0.01</v>
      </c>
    </row>
    <row r="10" spans="2:18" x14ac:dyDescent="0.4">
      <c r="B10" s="15" t="s">
        <v>5</v>
      </c>
      <c r="C10" s="12">
        <v>91000</v>
      </c>
      <c r="E10" s="15" t="s">
        <v>5</v>
      </c>
      <c r="F10" s="12">
        <v>81900</v>
      </c>
      <c r="H10" s="15" t="s">
        <v>5</v>
      </c>
      <c r="I10" s="20">
        <v>0.28999999999999998</v>
      </c>
      <c r="K10" s="15" t="s">
        <v>5</v>
      </c>
      <c r="L10" s="20">
        <v>0.17</v>
      </c>
      <c r="N10" s="15" t="s">
        <v>5</v>
      </c>
      <c r="O10" s="20">
        <v>0.28000000000000003</v>
      </c>
      <c r="Q10" s="15" t="s">
        <v>5</v>
      </c>
      <c r="R10" s="20">
        <v>0.01</v>
      </c>
    </row>
    <row r="11" spans="2:18" x14ac:dyDescent="0.4">
      <c r="B11" s="15" t="s">
        <v>8</v>
      </c>
      <c r="C11" s="12">
        <v>75900</v>
      </c>
      <c r="E11" s="15" t="s">
        <v>8</v>
      </c>
      <c r="F11" s="12">
        <v>69828</v>
      </c>
      <c r="H11" s="15" t="s">
        <v>8</v>
      </c>
      <c r="I11" s="20">
        <v>7.0000000000000007E-2</v>
      </c>
      <c r="K11" s="15" t="s">
        <v>8</v>
      </c>
      <c r="L11" s="20">
        <v>0.1</v>
      </c>
      <c r="N11" s="15" t="s">
        <v>8</v>
      </c>
      <c r="O11" s="20">
        <v>0.28000000000000003</v>
      </c>
      <c r="Q11" s="15" t="s">
        <v>8</v>
      </c>
      <c r="R11" s="20">
        <v>0.01</v>
      </c>
    </row>
    <row r="12" spans="2:18" x14ac:dyDescent="0.4">
      <c r="B12" s="15" t="s">
        <v>3</v>
      </c>
      <c r="C12" s="12">
        <v>245700</v>
      </c>
      <c r="E12" s="15" t="s">
        <v>3</v>
      </c>
      <c r="F12" s="12">
        <v>230958</v>
      </c>
      <c r="H12" s="15" t="s">
        <v>3</v>
      </c>
      <c r="I12" s="20">
        <v>0.79</v>
      </c>
      <c r="K12" s="15" t="s">
        <v>3</v>
      </c>
      <c r="L12" s="20">
        <v>0.1</v>
      </c>
      <c r="N12" s="15" t="s">
        <v>3</v>
      </c>
      <c r="O12" s="20">
        <v>0.28000000000000003</v>
      </c>
      <c r="Q12" s="15" t="s">
        <v>3</v>
      </c>
      <c r="R12" s="20">
        <v>0.01</v>
      </c>
    </row>
    <row r="13" spans="2:18" x14ac:dyDescent="0.4">
      <c r="B13" s="15" t="s">
        <v>10</v>
      </c>
      <c r="C13" s="12">
        <v>281400</v>
      </c>
      <c r="E13" s="15" t="s">
        <v>10</v>
      </c>
      <c r="F13" s="12">
        <v>267330</v>
      </c>
      <c r="H13" s="15" t="s">
        <v>10</v>
      </c>
      <c r="I13" s="20">
        <v>0.9</v>
      </c>
      <c r="K13" s="15" t="s">
        <v>10</v>
      </c>
      <c r="L13" s="20">
        <v>0.09</v>
      </c>
      <c r="N13" s="15" t="s">
        <v>10</v>
      </c>
      <c r="O13" s="20">
        <v>0.28000000000000003</v>
      </c>
      <c r="Q13" s="15" t="s">
        <v>10</v>
      </c>
      <c r="R13" s="20">
        <v>0.01</v>
      </c>
    </row>
    <row r="14" spans="2:18" x14ac:dyDescent="0.4">
      <c r="B14" s="15" t="s">
        <v>4</v>
      </c>
      <c r="C14" s="12">
        <v>70100</v>
      </c>
      <c r="E14" s="15" t="s">
        <v>4</v>
      </c>
      <c r="F14" s="12">
        <v>61688</v>
      </c>
      <c r="H14" s="15" t="s">
        <v>4</v>
      </c>
      <c r="I14" s="20">
        <v>0.06</v>
      </c>
      <c r="K14" s="15" t="s">
        <v>4</v>
      </c>
      <c r="L14" s="20">
        <v>0.13</v>
      </c>
      <c r="N14" s="15" t="s">
        <v>4</v>
      </c>
      <c r="O14" s="20">
        <v>0.28000000000000003</v>
      </c>
      <c r="Q14" s="15" t="s">
        <v>4</v>
      </c>
      <c r="R14" s="20">
        <v>0.01</v>
      </c>
    </row>
    <row r="15" spans="2:18" x14ac:dyDescent="0.4">
      <c r="B15" s="15" t="s">
        <v>9</v>
      </c>
      <c r="C15" s="12">
        <v>61400</v>
      </c>
      <c r="E15" s="15" t="s">
        <v>9</v>
      </c>
      <c r="F15" s="12">
        <v>55260</v>
      </c>
      <c r="H15" s="15" t="s">
        <v>9</v>
      </c>
      <c r="I15" s="20">
        <v>0.28000000000000003</v>
      </c>
      <c r="K15" s="15" t="s">
        <v>9</v>
      </c>
      <c r="L15" s="20">
        <v>0.18</v>
      </c>
      <c r="N15" s="15" t="s">
        <v>9</v>
      </c>
      <c r="O15" s="20">
        <v>0.28000000000000003</v>
      </c>
      <c r="Q15" s="15" t="s">
        <v>9</v>
      </c>
      <c r="R15" s="20">
        <v>0.01</v>
      </c>
    </row>
    <row r="16" spans="2:18" x14ac:dyDescent="0.4">
      <c r="B16" s="15" t="s">
        <v>18</v>
      </c>
      <c r="C16" s="12">
        <v>113500</v>
      </c>
      <c r="E16" s="15" t="s">
        <v>18</v>
      </c>
      <c r="F16" s="12">
        <v>104420</v>
      </c>
      <c r="H16" s="15" t="s">
        <v>18</v>
      </c>
      <c r="I16" s="20">
        <v>0.42</v>
      </c>
      <c r="K16" s="15" t="s">
        <v>18</v>
      </c>
      <c r="L16" s="20">
        <v>0.2</v>
      </c>
      <c r="N16" s="15" t="s">
        <v>18</v>
      </c>
      <c r="O16" s="20">
        <v>0.28000000000000003</v>
      </c>
      <c r="Q16" s="15" t="s">
        <v>18</v>
      </c>
      <c r="R16" s="20">
        <v>0.01</v>
      </c>
    </row>
    <row r="17" spans="2:11" x14ac:dyDescent="0.4">
      <c r="B17" s="16" t="s">
        <v>16</v>
      </c>
      <c r="C17" s="14">
        <f t="shared" ref="C17" si="0">SUM(C5:C16)</f>
        <v>1575400</v>
      </c>
      <c r="E17" s="16" t="s">
        <v>16</v>
      </c>
      <c r="F17" s="14">
        <f t="shared" ref="F17" si="1">SUM(F5:F16)</f>
        <v>1399674</v>
      </c>
    </row>
    <row r="23" spans="2:11" ht="27" customHeight="1" x14ac:dyDescent="0.4">
      <c r="B23" s="36" t="s">
        <v>37</v>
      </c>
      <c r="C23" s="37"/>
      <c r="D23" s="37"/>
      <c r="E23" s="37"/>
      <c r="F23" s="37"/>
      <c r="G23" s="37"/>
      <c r="H23" s="37"/>
      <c r="I23" s="37"/>
      <c r="J23" s="37"/>
      <c r="K23" s="37"/>
    </row>
    <row r="24" spans="2:11" x14ac:dyDescent="0.4">
      <c r="B24" s="17" t="s">
        <v>15</v>
      </c>
      <c r="C24" s="10" t="s">
        <v>33</v>
      </c>
      <c r="D24" s="10" t="s">
        <v>34</v>
      </c>
      <c r="E24" s="10" t="s">
        <v>35</v>
      </c>
      <c r="F24" s="10" t="s">
        <v>36</v>
      </c>
      <c r="G24" s="10" t="s">
        <v>38</v>
      </c>
      <c r="H24" s="10" t="s">
        <v>39</v>
      </c>
      <c r="I24" s="10" t="s">
        <v>40</v>
      </c>
      <c r="J24" s="10" t="s">
        <v>41</v>
      </c>
      <c r="K24" s="10" t="s">
        <v>42</v>
      </c>
    </row>
    <row r="25" spans="2:11" x14ac:dyDescent="0.4">
      <c r="B25" s="15" t="s">
        <v>2</v>
      </c>
      <c r="C25" s="20"/>
      <c r="D25" s="20"/>
      <c r="E25" s="20"/>
      <c r="F25" s="20"/>
      <c r="G25" s="20"/>
      <c r="H25" s="12"/>
      <c r="I25" s="12"/>
      <c r="J25" s="12"/>
      <c r="K25" s="12"/>
    </row>
    <row r="26" spans="2:11" x14ac:dyDescent="0.4">
      <c r="B26" s="15" t="s">
        <v>7</v>
      </c>
      <c r="C26" s="20"/>
      <c r="D26" s="20"/>
      <c r="E26" s="20"/>
      <c r="F26" s="20"/>
      <c r="G26" s="20"/>
      <c r="H26" s="12"/>
      <c r="I26" s="12"/>
      <c r="J26" s="12"/>
      <c r="K26" s="12"/>
    </row>
    <row r="27" spans="2:11" x14ac:dyDescent="0.4">
      <c r="B27" s="15" t="s">
        <v>1</v>
      </c>
      <c r="C27" s="20"/>
      <c r="D27" s="20"/>
      <c r="E27" s="20"/>
      <c r="F27" s="20"/>
      <c r="G27" s="20"/>
      <c r="H27" s="12"/>
      <c r="I27" s="12"/>
      <c r="J27" s="12"/>
      <c r="K27" s="12"/>
    </row>
    <row r="28" spans="2:11" x14ac:dyDescent="0.4">
      <c r="B28" s="15" t="s">
        <v>0</v>
      </c>
      <c r="C28" s="20"/>
      <c r="D28" s="20"/>
      <c r="E28" s="20"/>
      <c r="F28" s="20"/>
      <c r="G28" s="20"/>
      <c r="H28" s="12"/>
      <c r="I28" s="12"/>
      <c r="J28" s="12"/>
      <c r="K28" s="12"/>
    </row>
    <row r="29" spans="2:11" x14ac:dyDescent="0.4">
      <c r="B29" s="15" t="s">
        <v>6</v>
      </c>
      <c r="C29" s="20"/>
      <c r="D29" s="20"/>
      <c r="E29" s="20"/>
      <c r="F29" s="20"/>
      <c r="G29" s="20"/>
      <c r="H29" s="12"/>
      <c r="I29" s="12"/>
      <c r="J29" s="12"/>
      <c r="K29" s="12"/>
    </row>
    <row r="30" spans="2:11" x14ac:dyDescent="0.4">
      <c r="B30" s="15" t="s">
        <v>5</v>
      </c>
      <c r="C30" s="20"/>
      <c r="D30" s="20"/>
      <c r="E30" s="20"/>
      <c r="F30" s="20"/>
      <c r="G30" s="20"/>
      <c r="H30" s="12"/>
      <c r="I30" s="12"/>
      <c r="J30" s="12"/>
      <c r="K30" s="12"/>
    </row>
    <row r="31" spans="2:11" x14ac:dyDescent="0.4">
      <c r="B31" s="15" t="s">
        <v>8</v>
      </c>
      <c r="C31" s="20"/>
      <c r="D31" s="20"/>
      <c r="E31" s="20"/>
      <c r="F31" s="20"/>
      <c r="G31" s="20"/>
      <c r="H31" s="12"/>
      <c r="I31" s="12"/>
      <c r="J31" s="12"/>
      <c r="K31" s="12"/>
    </row>
    <row r="32" spans="2:11" x14ac:dyDescent="0.4">
      <c r="B32" s="15" t="s">
        <v>3</v>
      </c>
      <c r="C32" s="20"/>
      <c r="D32" s="20"/>
      <c r="E32" s="20"/>
      <c r="F32" s="20"/>
      <c r="G32" s="20"/>
      <c r="H32" s="12"/>
      <c r="I32" s="12"/>
      <c r="J32" s="12"/>
      <c r="K32" s="12"/>
    </row>
    <row r="33" spans="2:12" x14ac:dyDescent="0.4">
      <c r="B33" s="15" t="s">
        <v>10</v>
      </c>
      <c r="C33" s="20"/>
      <c r="D33" s="20"/>
      <c r="E33" s="20"/>
      <c r="F33" s="20"/>
      <c r="G33" s="20"/>
      <c r="H33" s="12"/>
      <c r="I33" s="12"/>
      <c r="J33" s="12"/>
      <c r="K33" s="12"/>
    </row>
    <row r="34" spans="2:12" x14ac:dyDescent="0.4">
      <c r="B34" s="15" t="s">
        <v>4</v>
      </c>
      <c r="C34" s="20"/>
      <c r="D34" s="20"/>
      <c r="E34" s="20"/>
      <c r="F34" s="20"/>
      <c r="G34" s="20"/>
      <c r="H34" s="12"/>
      <c r="I34" s="12"/>
      <c r="J34" s="12"/>
      <c r="K34" s="12"/>
    </row>
    <row r="35" spans="2:12" x14ac:dyDescent="0.4">
      <c r="B35" s="15" t="s">
        <v>9</v>
      </c>
      <c r="C35" s="20"/>
      <c r="D35" s="20"/>
      <c r="E35" s="20"/>
      <c r="F35" s="20"/>
      <c r="G35" s="20"/>
      <c r="H35" s="12"/>
      <c r="I35" s="12"/>
      <c r="J35" s="12"/>
      <c r="K35" s="12"/>
    </row>
    <row r="36" spans="2:12" x14ac:dyDescent="0.4">
      <c r="B36" s="15" t="s">
        <v>18</v>
      </c>
      <c r="C36" s="20"/>
      <c r="D36" s="20"/>
      <c r="E36" s="20"/>
      <c r="F36" s="20"/>
      <c r="G36" s="20"/>
      <c r="H36" s="12"/>
      <c r="I36" s="12"/>
      <c r="J36" s="12"/>
      <c r="K36" s="12"/>
    </row>
    <row r="37" spans="2:12" x14ac:dyDescent="0.4">
      <c r="B37" s="16" t="s">
        <v>16</v>
      </c>
      <c r="C37" s="22"/>
      <c r="D37" s="22"/>
      <c r="E37" s="22"/>
      <c r="F37" s="22"/>
      <c r="G37" s="22"/>
      <c r="H37" s="22">
        <f t="shared" ref="H37:I37" si="2">SUM(H25:H36)</f>
        <v>0</v>
      </c>
      <c r="I37" s="22">
        <f t="shared" si="2"/>
        <v>0</v>
      </c>
      <c r="J37" s="22">
        <f>SUM(J25:J36)</f>
        <v>0</v>
      </c>
      <c r="K37" s="22">
        <f>SUM(K25:K36)</f>
        <v>0</v>
      </c>
      <c r="L37" s="23"/>
    </row>
  </sheetData>
  <mergeCells count="7">
    <mergeCell ref="Q3:R3"/>
    <mergeCell ref="B23:K23"/>
    <mergeCell ref="B3:C3"/>
    <mergeCell ref="E3:F3"/>
    <mergeCell ref="H3:I3"/>
    <mergeCell ref="K3:L3"/>
    <mergeCell ref="N3:O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EA44-7C9C-481F-8EC1-7ED201C7DE98}">
  <sheetPr>
    <tabColor rgb="FFC00000"/>
  </sheetPr>
  <dimension ref="B2:B23"/>
  <sheetViews>
    <sheetView showGridLines="0" workbookViewId="0">
      <selection activeCell="H18" sqref="H18"/>
    </sheetView>
  </sheetViews>
  <sheetFormatPr defaultRowHeight="15" x14ac:dyDescent="0.4"/>
  <cols>
    <col min="2" max="2" width="21.109375" bestFit="1" customWidth="1"/>
    <col min="3" max="3" width="15.21875" customWidth="1"/>
    <col min="4" max="4" width="14.6640625" customWidth="1"/>
    <col min="5" max="5" width="21.109375" bestFit="1" customWidth="1"/>
    <col min="6" max="6" width="13.77734375" bestFit="1" customWidth="1"/>
    <col min="7" max="7" width="13.44140625" customWidth="1"/>
    <col min="8" max="8" width="19.44140625" customWidth="1"/>
    <col min="10" max="10" width="14.88671875" customWidth="1"/>
    <col min="11" max="11" width="21.109375" bestFit="1" customWidth="1"/>
    <col min="14" max="14" width="21.109375" bestFit="1" customWidth="1"/>
    <col min="17" max="17" width="21.109375" bestFit="1" customWidth="1"/>
  </cols>
  <sheetData>
    <row r="2" spans="2:2" x14ac:dyDescent="0.4">
      <c r="B2" s="21" t="s">
        <v>43</v>
      </c>
    </row>
    <row r="23" ht="27" customHeight="1" x14ac:dyDescent="0.4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4073-C9C7-40AD-9209-6F5EA82DA1FB}">
  <sheetPr>
    <tabColor rgb="FFC00000"/>
  </sheetPr>
  <dimension ref="C2:T36"/>
  <sheetViews>
    <sheetView showGridLines="0" workbookViewId="0">
      <selection activeCell="I28" sqref="I28"/>
    </sheetView>
  </sheetViews>
  <sheetFormatPr defaultRowHeight="15" x14ac:dyDescent="0.4"/>
  <cols>
    <col min="3" max="3" width="20" bestFit="1" customWidth="1"/>
    <col min="9" max="9" width="21.109375" bestFit="1" customWidth="1"/>
    <col min="16" max="16" width="26.5546875" bestFit="1" customWidth="1"/>
  </cols>
  <sheetData>
    <row r="2" spans="3:20" x14ac:dyDescent="0.4">
      <c r="C2" s="35" t="s">
        <v>46</v>
      </c>
      <c r="D2" s="35"/>
      <c r="E2" s="35"/>
      <c r="F2" s="35"/>
      <c r="G2" s="35"/>
      <c r="I2" s="35" t="s">
        <v>52</v>
      </c>
      <c r="J2" s="35"/>
      <c r="K2" s="35"/>
      <c r="L2" s="35"/>
      <c r="M2" s="35"/>
      <c r="P2" s="35" t="s">
        <v>54</v>
      </c>
      <c r="Q2" s="35"/>
      <c r="R2" s="35"/>
      <c r="S2" s="35"/>
      <c r="T2" s="35"/>
    </row>
    <row r="3" spans="3:20" x14ac:dyDescent="0.4">
      <c r="C3" s="17" t="s">
        <v>15</v>
      </c>
      <c r="D3" s="9">
        <v>2021</v>
      </c>
      <c r="E3" s="9">
        <v>2022</v>
      </c>
      <c r="F3" s="9">
        <v>2023</v>
      </c>
      <c r="G3" s="10">
        <v>2024</v>
      </c>
      <c r="I3" s="17" t="s">
        <v>15</v>
      </c>
      <c r="J3" s="9">
        <v>2021</v>
      </c>
      <c r="K3" s="9">
        <v>2022</v>
      </c>
      <c r="L3" s="9">
        <v>2023</v>
      </c>
      <c r="M3" s="10">
        <v>2024</v>
      </c>
      <c r="P3" s="17" t="s">
        <v>15</v>
      </c>
      <c r="Q3" s="9">
        <v>2021</v>
      </c>
      <c r="R3" s="9">
        <v>2022</v>
      </c>
      <c r="S3" s="9">
        <v>2023</v>
      </c>
      <c r="T3" s="10">
        <v>2024</v>
      </c>
    </row>
    <row r="4" spans="3:20" x14ac:dyDescent="0.4">
      <c r="C4" s="15" t="s">
        <v>2</v>
      </c>
      <c r="D4" s="11">
        <v>54200</v>
      </c>
      <c r="E4" s="11">
        <v>60800</v>
      </c>
      <c r="F4" s="11">
        <v>64000</v>
      </c>
      <c r="G4" s="12">
        <v>67900</v>
      </c>
      <c r="I4" s="15" t="s">
        <v>2</v>
      </c>
      <c r="J4" s="11">
        <v>16700</v>
      </c>
      <c r="K4" s="11">
        <v>17900</v>
      </c>
      <c r="L4" s="11">
        <v>19400</v>
      </c>
      <c r="M4" s="12">
        <v>20900</v>
      </c>
      <c r="P4" s="15" t="s">
        <v>2</v>
      </c>
      <c r="Q4" s="11">
        <v>0</v>
      </c>
      <c r="R4" s="11">
        <v>0</v>
      </c>
      <c r="S4" s="11">
        <v>0</v>
      </c>
      <c r="T4" s="11">
        <v>0</v>
      </c>
    </row>
    <row r="5" spans="3:20" x14ac:dyDescent="0.4">
      <c r="C5" s="15" t="s">
        <v>7</v>
      </c>
      <c r="D5" s="11">
        <v>34500</v>
      </c>
      <c r="E5" s="11">
        <v>36700</v>
      </c>
      <c r="F5" s="11">
        <v>38600</v>
      </c>
      <c r="G5" s="12">
        <v>41000</v>
      </c>
      <c r="I5" s="15" t="s">
        <v>7</v>
      </c>
      <c r="J5" s="11">
        <v>13300</v>
      </c>
      <c r="K5" s="11">
        <v>14400</v>
      </c>
      <c r="L5" s="11">
        <v>15500</v>
      </c>
      <c r="M5" s="12">
        <v>16700</v>
      </c>
      <c r="P5" s="15" t="s">
        <v>7</v>
      </c>
      <c r="Q5" s="11">
        <v>0</v>
      </c>
      <c r="R5" s="11">
        <v>0</v>
      </c>
      <c r="S5" s="11">
        <v>0</v>
      </c>
      <c r="T5" s="11">
        <v>0</v>
      </c>
    </row>
    <row r="6" spans="3:20" x14ac:dyDescent="0.4">
      <c r="C6" s="15" t="s">
        <v>1</v>
      </c>
      <c r="D6" s="11">
        <v>16500</v>
      </c>
      <c r="E6" s="11">
        <v>17500</v>
      </c>
      <c r="F6" s="11">
        <v>18800</v>
      </c>
      <c r="G6" s="12">
        <v>19900</v>
      </c>
      <c r="I6" s="15" t="s">
        <v>1</v>
      </c>
      <c r="J6" s="11">
        <v>10700</v>
      </c>
      <c r="K6" s="11">
        <v>11600</v>
      </c>
      <c r="L6" s="11">
        <v>12600</v>
      </c>
      <c r="M6" s="12">
        <v>13600</v>
      </c>
      <c r="P6" s="15" t="s">
        <v>1</v>
      </c>
      <c r="Q6" s="11">
        <v>0</v>
      </c>
      <c r="R6" s="11">
        <v>0</v>
      </c>
      <c r="S6" s="11">
        <v>0</v>
      </c>
      <c r="T6" s="11">
        <v>0</v>
      </c>
    </row>
    <row r="7" spans="3:20" x14ac:dyDescent="0.4">
      <c r="C7" s="15" t="s">
        <v>0</v>
      </c>
      <c r="D7" s="11">
        <v>60200</v>
      </c>
      <c r="E7" s="11">
        <v>65200</v>
      </c>
      <c r="F7" s="11">
        <v>68500</v>
      </c>
      <c r="G7" s="12">
        <v>74000</v>
      </c>
      <c r="I7" s="15" t="s">
        <v>0</v>
      </c>
      <c r="J7" s="11">
        <v>24000</v>
      </c>
      <c r="K7" s="11">
        <v>25600</v>
      </c>
      <c r="L7" s="11">
        <v>27500</v>
      </c>
      <c r="M7" s="12">
        <v>29600</v>
      </c>
      <c r="P7" s="15" t="s">
        <v>0</v>
      </c>
      <c r="Q7" s="11">
        <v>6000</v>
      </c>
      <c r="R7" s="11">
        <v>6800</v>
      </c>
      <c r="S7" s="11">
        <v>7500</v>
      </c>
      <c r="T7" s="12">
        <v>8300</v>
      </c>
    </row>
    <row r="8" spans="3:20" x14ac:dyDescent="0.4">
      <c r="C8" s="15" t="s">
        <v>6</v>
      </c>
      <c r="D8" s="11">
        <v>19700</v>
      </c>
      <c r="E8" s="11">
        <v>21700</v>
      </c>
      <c r="F8" s="11">
        <v>23300</v>
      </c>
      <c r="G8" s="12">
        <v>25200</v>
      </c>
      <c r="I8" s="15" t="s">
        <v>6</v>
      </c>
      <c r="J8" s="11">
        <v>8500</v>
      </c>
      <c r="K8" s="11">
        <v>9300</v>
      </c>
      <c r="L8" s="11">
        <v>10100</v>
      </c>
      <c r="M8" s="12">
        <v>11000</v>
      </c>
      <c r="P8" s="15" t="s">
        <v>6</v>
      </c>
      <c r="Q8" s="11">
        <v>2000</v>
      </c>
      <c r="R8" s="11">
        <v>2300</v>
      </c>
      <c r="S8" s="11">
        <v>2600</v>
      </c>
      <c r="T8" s="12">
        <v>2900</v>
      </c>
    </row>
    <row r="9" spans="3:20" x14ac:dyDescent="0.4">
      <c r="C9" s="15" t="s">
        <v>5</v>
      </c>
      <c r="D9" s="11">
        <v>25900</v>
      </c>
      <c r="E9" s="11">
        <v>27700</v>
      </c>
      <c r="F9" s="11">
        <v>29500</v>
      </c>
      <c r="G9" s="12">
        <v>31900</v>
      </c>
      <c r="I9" s="15" t="s">
        <v>5</v>
      </c>
      <c r="J9" s="11">
        <v>9900</v>
      </c>
      <c r="K9" s="11">
        <v>10700</v>
      </c>
      <c r="L9" s="11">
        <v>11600</v>
      </c>
      <c r="M9" s="12">
        <v>12700</v>
      </c>
      <c r="P9" s="15" t="s">
        <v>5</v>
      </c>
      <c r="Q9" s="11">
        <v>3500</v>
      </c>
      <c r="R9" s="11">
        <v>3900</v>
      </c>
      <c r="S9" s="11">
        <v>4300</v>
      </c>
      <c r="T9" s="12">
        <v>4800</v>
      </c>
    </row>
    <row r="10" spans="3:20" x14ac:dyDescent="0.4">
      <c r="C10" s="15" t="s">
        <v>8</v>
      </c>
      <c r="D10" s="11">
        <v>15100</v>
      </c>
      <c r="E10" s="11">
        <v>16200</v>
      </c>
      <c r="F10" s="11">
        <v>17400</v>
      </c>
      <c r="G10" s="12">
        <v>19000</v>
      </c>
      <c r="I10" s="15" t="s">
        <v>8</v>
      </c>
      <c r="J10" s="11">
        <v>7100</v>
      </c>
      <c r="K10" s="11">
        <v>7700</v>
      </c>
      <c r="L10" s="11">
        <v>8400</v>
      </c>
      <c r="M10" s="12">
        <v>9200</v>
      </c>
      <c r="P10" s="15" t="s">
        <v>8</v>
      </c>
      <c r="Q10" s="11">
        <v>0</v>
      </c>
      <c r="R10" s="11">
        <v>0</v>
      </c>
      <c r="S10" s="11">
        <v>0</v>
      </c>
      <c r="T10" s="11">
        <v>0</v>
      </c>
    </row>
    <row r="11" spans="3:20" x14ac:dyDescent="0.4">
      <c r="C11" s="15" t="s">
        <v>3</v>
      </c>
      <c r="D11" s="11">
        <v>30100</v>
      </c>
      <c r="E11" s="11">
        <v>32300</v>
      </c>
      <c r="F11" s="11">
        <v>34400</v>
      </c>
      <c r="G11" s="12">
        <v>36900</v>
      </c>
      <c r="I11" s="15" t="s">
        <v>3</v>
      </c>
      <c r="J11" s="11">
        <v>26500</v>
      </c>
      <c r="K11" s="11">
        <v>28400</v>
      </c>
      <c r="L11" s="11">
        <v>30300</v>
      </c>
      <c r="M11" s="12">
        <v>32500</v>
      </c>
      <c r="P11" s="15" t="s">
        <v>3</v>
      </c>
      <c r="Q11" s="11">
        <v>4200</v>
      </c>
      <c r="R11" s="11">
        <v>4600</v>
      </c>
      <c r="S11" s="11">
        <v>5000</v>
      </c>
      <c r="T11" s="12">
        <v>5500</v>
      </c>
    </row>
    <row r="12" spans="3:20" x14ac:dyDescent="0.4">
      <c r="C12" s="15" t="s">
        <v>10</v>
      </c>
      <c r="D12" s="11">
        <v>23100</v>
      </c>
      <c r="E12" s="11">
        <v>24800</v>
      </c>
      <c r="F12" s="11">
        <v>26500</v>
      </c>
      <c r="G12" s="12">
        <v>28100</v>
      </c>
      <c r="I12" s="15" t="s">
        <v>10</v>
      </c>
      <c r="J12" s="11">
        <v>29700</v>
      </c>
      <c r="K12" s="11">
        <v>31700</v>
      </c>
      <c r="L12" s="11">
        <v>33900</v>
      </c>
      <c r="M12" s="12">
        <v>36200</v>
      </c>
      <c r="P12" s="15" t="s">
        <v>10</v>
      </c>
      <c r="Q12" s="11">
        <v>0</v>
      </c>
      <c r="R12" s="11">
        <v>0</v>
      </c>
      <c r="S12" s="11">
        <v>0</v>
      </c>
      <c r="T12" s="11">
        <v>0</v>
      </c>
    </row>
    <row r="13" spans="3:20" x14ac:dyDescent="0.4">
      <c r="C13" s="15" t="s">
        <v>4</v>
      </c>
      <c r="D13" s="11">
        <v>11000</v>
      </c>
      <c r="E13" s="11">
        <v>11900</v>
      </c>
      <c r="F13" s="11">
        <v>13000</v>
      </c>
      <c r="G13" s="12">
        <v>14000</v>
      </c>
      <c r="I13" s="15" t="s">
        <v>4</v>
      </c>
      <c r="J13" s="11">
        <v>6000</v>
      </c>
      <c r="K13" s="11">
        <v>6500</v>
      </c>
      <c r="L13" s="11">
        <v>7000</v>
      </c>
      <c r="M13" s="12">
        <v>7600</v>
      </c>
      <c r="P13" s="15" t="s">
        <v>4</v>
      </c>
      <c r="Q13" s="11">
        <v>0</v>
      </c>
      <c r="R13" s="11">
        <v>0</v>
      </c>
      <c r="S13" s="11">
        <v>0</v>
      </c>
      <c r="T13" s="11">
        <v>0</v>
      </c>
    </row>
    <row r="14" spans="3:20" x14ac:dyDescent="0.4">
      <c r="C14" s="15" t="s">
        <v>9</v>
      </c>
      <c r="D14" s="11">
        <v>12200</v>
      </c>
      <c r="E14" s="11">
        <v>13200</v>
      </c>
      <c r="F14" s="11">
        <v>14200</v>
      </c>
      <c r="G14" s="12">
        <v>15400</v>
      </c>
      <c r="I14" s="15" t="s">
        <v>9</v>
      </c>
      <c r="J14" s="11">
        <v>5300</v>
      </c>
      <c r="K14" s="11">
        <v>5700</v>
      </c>
      <c r="L14" s="11">
        <v>6200</v>
      </c>
      <c r="M14" s="12">
        <v>6700</v>
      </c>
      <c r="P14" s="15" t="s">
        <v>9</v>
      </c>
      <c r="Q14" s="11">
        <v>0</v>
      </c>
      <c r="R14" s="11">
        <v>0</v>
      </c>
      <c r="S14" s="11">
        <v>0</v>
      </c>
      <c r="T14" s="11">
        <v>0</v>
      </c>
    </row>
    <row r="15" spans="3:20" x14ac:dyDescent="0.4">
      <c r="C15" s="15" t="s">
        <v>18</v>
      </c>
      <c r="D15" s="11">
        <v>27800</v>
      </c>
      <c r="E15" s="11">
        <v>29900</v>
      </c>
      <c r="F15" s="11">
        <v>31800</v>
      </c>
      <c r="G15" s="12">
        <v>34100</v>
      </c>
      <c r="I15" s="15" t="s">
        <v>18</v>
      </c>
      <c r="J15" s="11">
        <v>12000</v>
      </c>
      <c r="K15" s="11">
        <v>12800</v>
      </c>
      <c r="L15" s="11">
        <v>13900</v>
      </c>
      <c r="M15" s="12">
        <v>15000</v>
      </c>
      <c r="P15" s="15" t="s">
        <v>18</v>
      </c>
      <c r="Q15" s="11">
        <v>3800</v>
      </c>
      <c r="R15" s="11">
        <v>4200</v>
      </c>
      <c r="S15" s="11">
        <v>4600</v>
      </c>
      <c r="T15" s="12">
        <v>5000</v>
      </c>
    </row>
    <row r="16" spans="3:20" x14ac:dyDescent="0.4">
      <c r="C16" s="16" t="s">
        <v>16</v>
      </c>
      <c r="D16" s="13">
        <f>SUM(D4:D15)</f>
        <v>330300</v>
      </c>
      <c r="E16" s="13">
        <f t="shared" ref="E16:G16" si="0">SUM(E4:E15)</f>
        <v>357900</v>
      </c>
      <c r="F16" s="13">
        <f t="shared" si="0"/>
        <v>380000</v>
      </c>
      <c r="G16" s="13">
        <f t="shared" si="0"/>
        <v>407400</v>
      </c>
      <c r="I16" s="16" t="s">
        <v>16</v>
      </c>
      <c r="J16" s="13">
        <f t="shared" ref="J16:M16" si="1">SUM(J4:J15)</f>
        <v>169700</v>
      </c>
      <c r="K16" s="13">
        <f t="shared" si="1"/>
        <v>182300</v>
      </c>
      <c r="L16" s="13">
        <f t="shared" si="1"/>
        <v>196400</v>
      </c>
      <c r="M16" s="14">
        <f t="shared" si="1"/>
        <v>211700</v>
      </c>
      <c r="P16" s="16" t="s">
        <v>53</v>
      </c>
      <c r="Q16" s="13">
        <v>19500</v>
      </c>
      <c r="R16" s="13">
        <v>21800</v>
      </c>
      <c r="S16" s="13">
        <v>24000</v>
      </c>
      <c r="T16" s="14">
        <v>26500</v>
      </c>
    </row>
    <row r="20" spans="3:8" x14ac:dyDescent="0.4">
      <c r="C20" s="31" t="s">
        <v>51</v>
      </c>
    </row>
    <row r="21" spans="3:8" x14ac:dyDescent="0.4">
      <c r="C21" s="38" t="s">
        <v>50</v>
      </c>
      <c r="D21" s="38"/>
      <c r="E21" s="38"/>
      <c r="F21" s="38"/>
      <c r="G21" s="38"/>
      <c r="H21" s="38"/>
    </row>
    <row r="22" spans="3:8" ht="15.6" thickBot="1" x14ac:dyDescent="0.45">
      <c r="C22" s="39" t="s">
        <v>49</v>
      </c>
      <c r="D22" s="39"/>
      <c r="E22" s="39"/>
      <c r="F22" s="39"/>
      <c r="G22" s="39"/>
      <c r="H22" s="39"/>
    </row>
    <row r="23" spans="3:8" ht="15.6" thickBot="1" x14ac:dyDescent="0.45">
      <c r="C23" s="25" t="s">
        <v>47</v>
      </c>
      <c r="D23" s="25">
        <v>2021</v>
      </c>
      <c r="E23" s="25">
        <v>2022</v>
      </c>
      <c r="F23" s="25">
        <v>2023</v>
      </c>
      <c r="G23" s="25">
        <v>2024</v>
      </c>
      <c r="H23" s="25" t="s">
        <v>48</v>
      </c>
    </row>
    <row r="24" spans="3:8" x14ac:dyDescent="0.4">
      <c r="C24" s="26" t="s">
        <v>2</v>
      </c>
      <c r="D24" s="27"/>
      <c r="E24" s="27"/>
      <c r="F24" s="27"/>
      <c r="G24" s="27"/>
      <c r="H24" s="27"/>
    </row>
    <row r="25" spans="3:8" x14ac:dyDescent="0.4">
      <c r="C25" s="26" t="s">
        <v>7</v>
      </c>
      <c r="D25" s="27"/>
      <c r="E25" s="27"/>
      <c r="F25" s="27"/>
      <c r="G25" s="27"/>
      <c r="H25" s="27"/>
    </row>
    <row r="26" spans="3:8" x14ac:dyDescent="0.4">
      <c r="C26" s="26" t="s">
        <v>1</v>
      </c>
      <c r="D26" s="27"/>
      <c r="E26" s="27"/>
      <c r="F26" s="27"/>
      <c r="G26" s="27"/>
      <c r="H26" s="27"/>
    </row>
    <row r="27" spans="3:8" x14ac:dyDescent="0.4">
      <c r="C27" s="26" t="s">
        <v>0</v>
      </c>
      <c r="D27" s="27"/>
      <c r="E27" s="27"/>
      <c r="F27" s="27"/>
      <c r="G27" s="27"/>
      <c r="H27" s="27"/>
    </row>
    <row r="28" spans="3:8" ht="15" customHeight="1" x14ac:dyDescent="0.4">
      <c r="C28" s="26" t="s">
        <v>6</v>
      </c>
      <c r="D28" s="27"/>
      <c r="E28" s="27"/>
      <c r="F28" s="27"/>
      <c r="G28" s="27"/>
      <c r="H28" s="27"/>
    </row>
    <row r="29" spans="3:8" ht="15.6" customHeight="1" x14ac:dyDescent="0.4">
      <c r="C29" s="26" t="s">
        <v>5</v>
      </c>
      <c r="D29" s="27"/>
      <c r="E29" s="27"/>
      <c r="F29" s="27"/>
      <c r="G29" s="27"/>
      <c r="H29" s="27"/>
    </row>
    <row r="30" spans="3:8" x14ac:dyDescent="0.4">
      <c r="C30" s="26" t="s">
        <v>8</v>
      </c>
      <c r="D30" s="28"/>
      <c r="E30" s="28"/>
      <c r="F30" s="28"/>
      <c r="G30" s="28"/>
      <c r="H30" s="28"/>
    </row>
    <row r="31" spans="3:8" x14ac:dyDescent="0.4">
      <c r="C31" s="26" t="s">
        <v>3</v>
      </c>
      <c r="D31" s="27"/>
      <c r="E31" s="27"/>
      <c r="F31" s="27"/>
      <c r="G31" s="27"/>
      <c r="H31" s="27"/>
    </row>
    <row r="32" spans="3:8" x14ac:dyDescent="0.4">
      <c r="C32" s="26" t="s">
        <v>10</v>
      </c>
      <c r="D32" s="27"/>
      <c r="E32" s="27"/>
      <c r="F32" s="27"/>
      <c r="G32" s="27"/>
      <c r="H32" s="27"/>
    </row>
    <row r="33" spans="3:8" x14ac:dyDescent="0.4">
      <c r="C33" s="26" t="s">
        <v>4</v>
      </c>
      <c r="D33" s="27"/>
      <c r="E33" s="27"/>
      <c r="F33" s="27"/>
      <c r="G33" s="27"/>
      <c r="H33" s="27"/>
    </row>
    <row r="34" spans="3:8" x14ac:dyDescent="0.4">
      <c r="C34" s="26" t="s">
        <v>9</v>
      </c>
      <c r="D34" s="27"/>
      <c r="E34" s="27"/>
      <c r="F34" s="27"/>
      <c r="G34" s="27"/>
      <c r="H34" s="27"/>
    </row>
    <row r="35" spans="3:8" ht="15.6" thickBot="1" x14ac:dyDescent="0.45">
      <c r="C35" s="26" t="s">
        <v>18</v>
      </c>
      <c r="D35" s="27"/>
      <c r="E35" s="27"/>
      <c r="F35" s="27"/>
      <c r="G35" s="27"/>
      <c r="H35" s="27"/>
    </row>
    <row r="36" spans="3:8" ht="15.6" thickBot="1" x14ac:dyDescent="0.45">
      <c r="C36" s="29" t="s">
        <v>16</v>
      </c>
      <c r="D36" s="30">
        <f>SUM(D24:D35)</f>
        <v>0</v>
      </c>
      <c r="E36" s="30">
        <f t="shared" ref="E36:H36" si="2">SUM(E24:E35)</f>
        <v>0</v>
      </c>
      <c r="F36" s="30">
        <f t="shared" si="2"/>
        <v>0</v>
      </c>
      <c r="G36" s="30">
        <f t="shared" si="2"/>
        <v>0</v>
      </c>
      <c r="H36" s="30">
        <f t="shared" si="2"/>
        <v>0</v>
      </c>
    </row>
  </sheetData>
  <mergeCells count="5">
    <mergeCell ref="C2:G2"/>
    <mergeCell ref="I2:M2"/>
    <mergeCell ref="P2:T2"/>
    <mergeCell ref="C21:H21"/>
    <mergeCell ref="C22:H2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cd1b912e7575a5780b4268f312c1597f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a31d8e20f961a93ecead141b6b8905aa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FEDA59-E02E-4606-8CC2-DFFEA8FE2F1E}"/>
</file>

<file path=customXml/itemProps2.xml><?xml version="1.0" encoding="utf-8"?>
<ds:datastoreItem xmlns:ds="http://schemas.openxmlformats.org/officeDocument/2006/customXml" ds:itemID="{D73577F3-9124-4975-9678-872EB0499BC9}">
  <ds:schemaRefs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terms/"/>
    <ds:schemaRef ds:uri="http://purl.org/dc/elements/1.1/"/>
    <ds:schemaRef ds:uri="dfa2d9f5-199c-4212-8ee5-c011be210f4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C36948-6001-427F-8403-53432E0729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Audit Trail</vt:lpstr>
      <vt:lpstr>Intro</vt:lpstr>
      <vt:lpstr>GWP</vt:lpstr>
      <vt:lpstr>UPR</vt:lpstr>
      <vt:lpstr>DAC</vt:lpstr>
      <vt:lpstr>Premium Receivables</vt:lpstr>
      <vt:lpstr>Bad Debts</vt:lpstr>
      <vt:lpstr>LRC</vt:lpstr>
      <vt:lpstr>Loss Component</vt:lpstr>
      <vt:lpstr>Closing LRC</vt:lpstr>
      <vt:lpstr>ARC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Kalunde</dc:creator>
  <cp:lastModifiedBy>Susan Musyoka</cp:lastModifiedBy>
  <dcterms:created xsi:type="dcterms:W3CDTF">2025-09-25T18:05:59Z</dcterms:created>
  <dcterms:modified xsi:type="dcterms:W3CDTF">2026-01-10T05:48:24Z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