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enbright.sharepoint.com/sites/KENBRIGHTAI317-Automation/Shared Documents/Automation/New Joiners Training Module/Training Modules/Module 3_LRC/Results/"/>
    </mc:Choice>
  </mc:AlternateContent>
  <xr:revisionPtr revIDLastSave="322" documentId="8_{D623B656-A783-4FF3-989A-60FE249A416B}" xr6:coauthVersionLast="47" xr6:coauthVersionMax="47" xr10:uidLastSave="{02CEE1CD-6AAC-4F93-9016-9E0CC02EDF13}"/>
  <bookViews>
    <workbookView xWindow="-108" yWindow="-108" windowWidth="23256" windowHeight="14856" firstSheet="2" activeTab="9" xr2:uid="{202A78FF-7E34-4829-A16F-853C096B8062}"/>
  </bookViews>
  <sheets>
    <sheet name="Intro" sheetId="5" r:id="rId1"/>
    <sheet name="GWP" sheetId="1" r:id="rId2"/>
    <sheet name="UPR" sheetId="2" r:id="rId3"/>
    <sheet name="DAC" sheetId="3" r:id="rId4"/>
    <sheet name="Premium Receivables" sheetId="8" r:id="rId5"/>
    <sheet name="Bad Debts" sheetId="12" r:id="rId6"/>
    <sheet name="LRC" sheetId="4" r:id="rId7"/>
    <sheet name="Loss Component" sheetId="10" r:id="rId8"/>
    <sheet name="Closing LRC" sheetId="9" r:id="rId9"/>
    <sheet name="ARC" sheetId="11" r:id="rId10"/>
  </sheets>
  <definedNames>
    <definedName name="_xlnm._FilterDatabase" localSheetId="1" hidden="1">GWP!$C$2:$N$20002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7" i="4" l="1"/>
  <c r="G58" i="4"/>
  <c r="G59" i="4"/>
  <c r="G60" i="4"/>
  <c r="G61" i="4"/>
  <c r="G62" i="4"/>
  <c r="G63" i="4"/>
  <c r="G64" i="4"/>
  <c r="G65" i="4"/>
  <c r="G66" i="4"/>
  <c r="G67" i="4"/>
  <c r="G56" i="4"/>
  <c r="G40" i="4"/>
  <c r="G41" i="4"/>
  <c r="G42" i="4"/>
  <c r="G43" i="4"/>
  <c r="G44" i="4"/>
  <c r="G45" i="4"/>
  <c r="G46" i="4"/>
  <c r="G47" i="4"/>
  <c r="G48" i="4"/>
  <c r="G49" i="4"/>
  <c r="G50" i="4"/>
  <c r="G39" i="4"/>
  <c r="G23" i="4"/>
  <c r="G24" i="4"/>
  <c r="G25" i="4"/>
  <c r="G26" i="4"/>
  <c r="G27" i="4"/>
  <c r="G28" i="4"/>
  <c r="G29" i="4"/>
  <c r="G30" i="4"/>
  <c r="G31" i="4"/>
  <c r="G32" i="4"/>
  <c r="G33" i="4"/>
  <c r="G22" i="4"/>
  <c r="F6" i="4"/>
  <c r="F7" i="4"/>
  <c r="F8" i="4"/>
  <c r="F9" i="4"/>
  <c r="F10" i="4"/>
  <c r="F11" i="4"/>
  <c r="F12" i="4"/>
  <c r="F13" i="4"/>
  <c r="F14" i="4"/>
  <c r="F15" i="4"/>
  <c r="F16" i="4"/>
  <c r="F5" i="4"/>
  <c r="D25" i="11"/>
  <c r="E25" i="11"/>
  <c r="F25" i="11"/>
  <c r="G25" i="11"/>
  <c r="D26" i="11"/>
  <c r="E26" i="11"/>
  <c r="F26" i="11"/>
  <c r="F36" i="11" s="1"/>
  <c r="G26" i="11"/>
  <c r="D27" i="11"/>
  <c r="E27" i="11"/>
  <c r="F27" i="11"/>
  <c r="G27" i="11"/>
  <c r="D28" i="11"/>
  <c r="E28" i="11"/>
  <c r="F28" i="11"/>
  <c r="G28" i="11"/>
  <c r="D29" i="11"/>
  <c r="E29" i="11"/>
  <c r="F29" i="11"/>
  <c r="G29" i="11"/>
  <c r="D30" i="11"/>
  <c r="E30" i="11"/>
  <c r="F30" i="11"/>
  <c r="G30" i="11"/>
  <c r="D31" i="11"/>
  <c r="E31" i="11"/>
  <c r="F31" i="11"/>
  <c r="G31" i="11"/>
  <c r="D32" i="11"/>
  <c r="E32" i="11"/>
  <c r="F32" i="11"/>
  <c r="G32" i="11"/>
  <c r="D33" i="11"/>
  <c r="E33" i="11"/>
  <c r="F33" i="11"/>
  <c r="G33" i="11"/>
  <c r="D34" i="11"/>
  <c r="E34" i="11"/>
  <c r="F34" i="11"/>
  <c r="G34" i="11"/>
  <c r="D35" i="11"/>
  <c r="E35" i="11"/>
  <c r="F35" i="11"/>
  <c r="G35" i="11"/>
  <c r="E24" i="11"/>
  <c r="F24" i="11"/>
  <c r="G24" i="11"/>
  <c r="D24" i="11"/>
  <c r="G36" i="11"/>
  <c r="M16" i="11"/>
  <c r="L16" i="11"/>
  <c r="K16" i="11"/>
  <c r="J16" i="11"/>
  <c r="G16" i="11"/>
  <c r="F16" i="11"/>
  <c r="E16" i="11"/>
  <c r="D16" i="11"/>
  <c r="P22" i="9"/>
  <c r="P23" i="9"/>
  <c r="P33" i="9" s="1"/>
  <c r="P24" i="9"/>
  <c r="P25" i="9"/>
  <c r="P26" i="9"/>
  <c r="P27" i="9"/>
  <c r="P28" i="9"/>
  <c r="P29" i="9"/>
  <c r="P30" i="9"/>
  <c r="P31" i="9"/>
  <c r="P32" i="9"/>
  <c r="P21" i="9"/>
  <c r="O33" i="9"/>
  <c r="O22" i="9"/>
  <c r="O23" i="9"/>
  <c r="O24" i="9"/>
  <c r="O25" i="9"/>
  <c r="O26" i="9"/>
  <c r="O27" i="9"/>
  <c r="O28" i="9"/>
  <c r="O29" i="9"/>
  <c r="O30" i="9"/>
  <c r="O31" i="9"/>
  <c r="O32" i="9"/>
  <c r="O21" i="9"/>
  <c r="F33" i="9"/>
  <c r="G33" i="9"/>
  <c r="H33" i="9"/>
  <c r="I33" i="9"/>
  <c r="J33" i="9"/>
  <c r="K33" i="9"/>
  <c r="L33" i="9"/>
  <c r="M33" i="9"/>
  <c r="N33" i="9"/>
  <c r="E33" i="9"/>
  <c r="K26" i="10"/>
  <c r="K27" i="10"/>
  <c r="K28" i="10"/>
  <c r="K29" i="10"/>
  <c r="K30" i="10"/>
  <c r="K31" i="10"/>
  <c r="K32" i="10"/>
  <c r="K33" i="10"/>
  <c r="K34" i="10"/>
  <c r="K35" i="10"/>
  <c r="K36" i="10"/>
  <c r="K25" i="10"/>
  <c r="J26" i="10"/>
  <c r="J37" i="10" s="1"/>
  <c r="J27" i="10"/>
  <c r="J28" i="10"/>
  <c r="J29" i="10"/>
  <c r="J30" i="10"/>
  <c r="J31" i="10"/>
  <c r="J32" i="10"/>
  <c r="J33" i="10"/>
  <c r="J34" i="10"/>
  <c r="J35" i="10"/>
  <c r="J36" i="10"/>
  <c r="J25" i="10"/>
  <c r="I26" i="10"/>
  <c r="I27" i="10"/>
  <c r="I28" i="10"/>
  <c r="I29" i="10"/>
  <c r="I30" i="10"/>
  <c r="I31" i="10"/>
  <c r="I32" i="10"/>
  <c r="I33" i="10"/>
  <c r="I34" i="10"/>
  <c r="I35" i="10"/>
  <c r="I37" i="10" s="1"/>
  <c r="I36" i="10"/>
  <c r="I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25" i="10"/>
  <c r="G26" i="10"/>
  <c r="G27" i="10"/>
  <c r="G28" i="10"/>
  <c r="G29" i="10"/>
  <c r="G30" i="10"/>
  <c r="G31" i="10"/>
  <c r="G32" i="10"/>
  <c r="G33" i="10"/>
  <c r="G34" i="10"/>
  <c r="G35" i="10"/>
  <c r="G36" i="10"/>
  <c r="G25" i="10"/>
  <c r="F26" i="10"/>
  <c r="F27" i="10"/>
  <c r="F28" i="10"/>
  <c r="F29" i="10"/>
  <c r="F30" i="10"/>
  <c r="F31" i="10"/>
  <c r="F32" i="10"/>
  <c r="F33" i="10"/>
  <c r="F34" i="10"/>
  <c r="F35" i="10"/>
  <c r="F36" i="10"/>
  <c r="F25" i="10"/>
  <c r="E26" i="10"/>
  <c r="E27" i="10"/>
  <c r="E28" i="10"/>
  <c r="E29" i="10"/>
  <c r="E30" i="10"/>
  <c r="E31" i="10"/>
  <c r="E32" i="10"/>
  <c r="E33" i="10"/>
  <c r="E34" i="10"/>
  <c r="E35" i="10"/>
  <c r="E36" i="10"/>
  <c r="E25" i="10"/>
  <c r="D26" i="10"/>
  <c r="D27" i="10"/>
  <c r="D28" i="10"/>
  <c r="D29" i="10"/>
  <c r="D30" i="10"/>
  <c r="D31" i="10"/>
  <c r="D32" i="10"/>
  <c r="D33" i="10"/>
  <c r="D34" i="10"/>
  <c r="D35" i="10"/>
  <c r="D36" i="10"/>
  <c r="D25" i="10"/>
  <c r="C26" i="10"/>
  <c r="C27" i="10"/>
  <c r="C28" i="10"/>
  <c r="C29" i="10"/>
  <c r="C30" i="10"/>
  <c r="C31" i="10"/>
  <c r="C32" i="10"/>
  <c r="C33" i="10"/>
  <c r="C34" i="10"/>
  <c r="C35" i="10"/>
  <c r="C36" i="10"/>
  <c r="C25" i="10"/>
  <c r="F17" i="10"/>
  <c r="C17" i="10"/>
  <c r="E36" i="11" l="1"/>
  <c r="D36" i="11"/>
  <c r="K37" i="10"/>
  <c r="K57" i="4" l="1"/>
  <c r="K58" i="4"/>
  <c r="K59" i="4"/>
  <c r="K60" i="4"/>
  <c r="K61" i="4"/>
  <c r="K62" i="4"/>
  <c r="K63" i="4"/>
  <c r="K64" i="4"/>
  <c r="K65" i="4"/>
  <c r="K66" i="4"/>
  <c r="K67" i="4"/>
  <c r="K56" i="4"/>
  <c r="I61" i="4"/>
  <c r="I66" i="4"/>
  <c r="E57" i="4"/>
  <c r="I57" i="4" s="1"/>
  <c r="E58" i="4"/>
  <c r="I58" i="4" s="1"/>
  <c r="E59" i="4"/>
  <c r="I59" i="4" s="1"/>
  <c r="E60" i="4"/>
  <c r="I60" i="4" s="1"/>
  <c r="E61" i="4"/>
  <c r="E62" i="4"/>
  <c r="I62" i="4" s="1"/>
  <c r="E63" i="4"/>
  <c r="I63" i="4" s="1"/>
  <c r="E64" i="4"/>
  <c r="I64" i="4" s="1"/>
  <c r="E65" i="4"/>
  <c r="I65" i="4" s="1"/>
  <c r="E66" i="4"/>
  <c r="E67" i="4"/>
  <c r="I67" i="4" s="1"/>
  <c r="E56" i="4"/>
  <c r="J67" i="4"/>
  <c r="F67" i="4"/>
  <c r="J66" i="4"/>
  <c r="J65" i="4"/>
  <c r="L65" i="4" s="1"/>
  <c r="F65" i="4"/>
  <c r="J64" i="4"/>
  <c r="F64" i="4"/>
  <c r="F60" i="4"/>
  <c r="J57" i="4"/>
  <c r="L57" i="4" s="1"/>
  <c r="F57" i="4"/>
  <c r="H57" i="4" s="1"/>
  <c r="K40" i="4"/>
  <c r="K41" i="4"/>
  <c r="J58" i="4" s="1"/>
  <c r="L58" i="4" s="1"/>
  <c r="K42" i="4"/>
  <c r="J59" i="4" s="1"/>
  <c r="L59" i="4" s="1"/>
  <c r="K43" i="4"/>
  <c r="K44" i="4"/>
  <c r="K45" i="4"/>
  <c r="L45" i="4" s="1"/>
  <c r="K46" i="4"/>
  <c r="J63" i="4" s="1"/>
  <c r="K47" i="4"/>
  <c r="K48" i="4"/>
  <c r="K49" i="4"/>
  <c r="K50" i="4"/>
  <c r="K39" i="4"/>
  <c r="J56" i="4" s="1"/>
  <c r="J41" i="4"/>
  <c r="J42" i="4"/>
  <c r="J43" i="4"/>
  <c r="J44" i="4"/>
  <c r="J45" i="4"/>
  <c r="J46" i="4"/>
  <c r="F58" i="4"/>
  <c r="H58" i="4" s="1"/>
  <c r="F59" i="4"/>
  <c r="F61" i="4"/>
  <c r="F62" i="4"/>
  <c r="F63" i="4"/>
  <c r="F66" i="4"/>
  <c r="F56" i="4"/>
  <c r="F46" i="4"/>
  <c r="F39" i="4"/>
  <c r="E40" i="4"/>
  <c r="I40" i="4" s="1"/>
  <c r="E41" i="4"/>
  <c r="I41" i="4" s="1"/>
  <c r="E42" i="4"/>
  <c r="I42" i="4" s="1"/>
  <c r="E43" i="4"/>
  <c r="I43" i="4" s="1"/>
  <c r="E44" i="4"/>
  <c r="I44" i="4" s="1"/>
  <c r="E45" i="4"/>
  <c r="I45" i="4" s="1"/>
  <c r="E46" i="4"/>
  <c r="I46" i="4" s="1"/>
  <c r="E47" i="4"/>
  <c r="I47" i="4" s="1"/>
  <c r="E48" i="4"/>
  <c r="I48" i="4" s="1"/>
  <c r="E49" i="4"/>
  <c r="I49" i="4" s="1"/>
  <c r="E50" i="4"/>
  <c r="I50" i="4" s="1"/>
  <c r="E39" i="4"/>
  <c r="I39" i="4" s="1"/>
  <c r="L41" i="4"/>
  <c r="K23" i="4"/>
  <c r="K34" i="4" s="1"/>
  <c r="K24" i="4"/>
  <c r="K25" i="4"/>
  <c r="K26" i="4"/>
  <c r="K27" i="4"/>
  <c r="K28" i="4"/>
  <c r="K29" i="4"/>
  <c r="K30" i="4"/>
  <c r="J47" i="4" s="1"/>
  <c r="K31" i="4"/>
  <c r="J48" i="4" s="1"/>
  <c r="K32" i="4"/>
  <c r="J49" i="4" s="1"/>
  <c r="K33" i="4"/>
  <c r="K22" i="4"/>
  <c r="J39" i="4" s="1"/>
  <c r="L39" i="4" s="1"/>
  <c r="G34" i="4"/>
  <c r="F41" i="4"/>
  <c r="H41" i="4" s="1"/>
  <c r="F42" i="4"/>
  <c r="H42" i="4" s="1"/>
  <c r="F43" i="4"/>
  <c r="F44" i="4"/>
  <c r="F45" i="4"/>
  <c r="F47" i="4"/>
  <c r="F48" i="4"/>
  <c r="F49" i="4"/>
  <c r="F50" i="4"/>
  <c r="E23" i="4"/>
  <c r="I23" i="4" s="1"/>
  <c r="E24" i="4"/>
  <c r="I24" i="4" s="1"/>
  <c r="E25" i="4"/>
  <c r="I25" i="4" s="1"/>
  <c r="E26" i="4"/>
  <c r="I26" i="4" s="1"/>
  <c r="E27" i="4"/>
  <c r="I27" i="4" s="1"/>
  <c r="E28" i="4"/>
  <c r="I28" i="4" s="1"/>
  <c r="E29" i="4"/>
  <c r="I29" i="4" s="1"/>
  <c r="E30" i="4"/>
  <c r="I30" i="4" s="1"/>
  <c r="E31" i="4"/>
  <c r="I31" i="4" s="1"/>
  <c r="E32" i="4"/>
  <c r="E33" i="4"/>
  <c r="I33" i="4" s="1"/>
  <c r="E22" i="4"/>
  <c r="I22" i="4" s="1"/>
  <c r="F23" i="4"/>
  <c r="F24" i="4"/>
  <c r="F26" i="4"/>
  <c r="F27" i="4"/>
  <c r="F28" i="4"/>
  <c r="F29" i="4"/>
  <c r="F30" i="4"/>
  <c r="F31" i="4"/>
  <c r="F32" i="4"/>
  <c r="F33" i="4"/>
  <c r="F22" i="4"/>
  <c r="E6" i="4"/>
  <c r="J23" i="4" s="1"/>
  <c r="E7" i="4"/>
  <c r="E8" i="4"/>
  <c r="J25" i="4" s="1"/>
  <c r="E9" i="4"/>
  <c r="J26" i="4" s="1"/>
  <c r="E10" i="4"/>
  <c r="J27" i="4" s="1"/>
  <c r="E11" i="4"/>
  <c r="G11" i="4" s="1"/>
  <c r="D28" i="4" s="1"/>
  <c r="E12" i="4"/>
  <c r="J29" i="4" s="1"/>
  <c r="E13" i="4"/>
  <c r="J30" i="4" s="1"/>
  <c r="E14" i="4"/>
  <c r="J31" i="4" s="1"/>
  <c r="E15" i="4"/>
  <c r="J32" i="4" s="1"/>
  <c r="E16" i="4"/>
  <c r="J33" i="4" s="1"/>
  <c r="E5" i="4"/>
  <c r="J22" i="4" s="1"/>
  <c r="D6" i="4"/>
  <c r="G6" i="4" s="1"/>
  <c r="D23" i="4" s="1"/>
  <c r="D7" i="4"/>
  <c r="G7" i="4" s="1"/>
  <c r="D24" i="4" s="1"/>
  <c r="D8" i="4"/>
  <c r="G8" i="4" s="1"/>
  <c r="D25" i="4" s="1"/>
  <c r="D9" i="4"/>
  <c r="G9" i="4" s="1"/>
  <c r="D26" i="4" s="1"/>
  <c r="D10" i="4"/>
  <c r="G10" i="4" s="1"/>
  <c r="D27" i="4" s="1"/>
  <c r="D11" i="4"/>
  <c r="D12" i="4"/>
  <c r="G12" i="4" s="1"/>
  <c r="D29" i="4" s="1"/>
  <c r="D13" i="4"/>
  <c r="G13" i="4" s="1"/>
  <c r="D30" i="4" s="1"/>
  <c r="D14" i="4"/>
  <c r="G14" i="4" s="1"/>
  <c r="D31" i="4" s="1"/>
  <c r="D15" i="4"/>
  <c r="G15" i="4" s="1"/>
  <c r="D32" i="4" s="1"/>
  <c r="D16" i="4"/>
  <c r="D5" i="4"/>
  <c r="G5" i="4" s="1"/>
  <c r="D22" i="4" s="1"/>
  <c r="D17" i="3"/>
  <c r="E17" i="3"/>
  <c r="F17" i="3"/>
  <c r="G17" i="3"/>
  <c r="E17" i="2"/>
  <c r="F17" i="2"/>
  <c r="G17" i="2"/>
  <c r="D17" i="2"/>
  <c r="E17" i="8"/>
  <c r="F17" i="8"/>
  <c r="G17" i="8"/>
  <c r="D17" i="8"/>
  <c r="E17" i="1"/>
  <c r="F17" i="1"/>
  <c r="G17" i="1"/>
  <c r="D17" i="1"/>
  <c r="L33" i="4" l="1"/>
  <c r="H32" i="4"/>
  <c r="M32" i="4" s="1"/>
  <c r="D49" i="4" s="1"/>
  <c r="F68" i="4"/>
  <c r="L29" i="4"/>
  <c r="L27" i="4"/>
  <c r="L26" i="4"/>
  <c r="M26" i="4" s="1"/>
  <c r="D43" i="4" s="1"/>
  <c r="H56" i="4"/>
  <c r="M25" i="4"/>
  <c r="D42" i="4" s="1"/>
  <c r="M42" i="4" s="1"/>
  <c r="D59" i="4" s="1"/>
  <c r="L25" i="4"/>
  <c r="L56" i="4"/>
  <c r="I56" i="4"/>
  <c r="H26" i="4"/>
  <c r="L44" i="4"/>
  <c r="F17" i="4"/>
  <c r="F25" i="4"/>
  <c r="F34" i="4" s="1"/>
  <c r="H25" i="4"/>
  <c r="L32" i="4"/>
  <c r="L43" i="4"/>
  <c r="J60" i="4"/>
  <c r="L60" i="4" s="1"/>
  <c r="E17" i="4"/>
  <c r="H24" i="4"/>
  <c r="J24" i="4"/>
  <c r="L24" i="4" s="1"/>
  <c r="L31" i="4"/>
  <c r="D17" i="4"/>
  <c r="H23" i="4"/>
  <c r="M23" i="4" s="1"/>
  <c r="D40" i="4" s="1"/>
  <c r="L30" i="4"/>
  <c r="H22" i="4"/>
  <c r="L42" i="4"/>
  <c r="F40" i="4"/>
  <c r="H40" i="4" s="1"/>
  <c r="M40" i="4" s="1"/>
  <c r="D57" i="4" s="1"/>
  <c r="M57" i="4" s="1"/>
  <c r="J40" i="4"/>
  <c r="L40" i="4" s="1"/>
  <c r="G68" i="4"/>
  <c r="L67" i="4"/>
  <c r="L66" i="4"/>
  <c r="L64" i="4"/>
  <c r="H28" i="4"/>
  <c r="M28" i="4" s="1"/>
  <c r="D45" i="4" s="1"/>
  <c r="J28" i="4"/>
  <c r="L28" i="4" s="1"/>
  <c r="E34" i="4"/>
  <c r="L23" i="4"/>
  <c r="H27" i="4"/>
  <c r="M27" i="4" s="1"/>
  <c r="D44" i="4" s="1"/>
  <c r="L22" i="4"/>
  <c r="F51" i="4"/>
  <c r="I32" i="4"/>
  <c r="I34" i="4" s="1"/>
  <c r="J50" i="4"/>
  <c r="L50" i="4" s="1"/>
  <c r="H31" i="4"/>
  <c r="M31" i="4" s="1"/>
  <c r="D48" i="4" s="1"/>
  <c r="H30" i="4"/>
  <c r="M30" i="4" s="1"/>
  <c r="D47" i="4" s="1"/>
  <c r="H59" i="4"/>
  <c r="J62" i="4"/>
  <c r="L62" i="4" s="1"/>
  <c r="L63" i="4"/>
  <c r="G51" i="4"/>
  <c r="G16" i="4"/>
  <c r="D33" i="4" s="1"/>
  <c r="H33" i="4"/>
  <c r="J61" i="4"/>
  <c r="J68" i="4" s="1"/>
  <c r="H29" i="4"/>
  <c r="M29" i="4" s="1"/>
  <c r="D46" i="4" s="1"/>
  <c r="L61" i="4"/>
  <c r="L68" i="4" s="1"/>
  <c r="H65" i="4"/>
  <c r="H64" i="4"/>
  <c r="H63" i="4"/>
  <c r="H62" i="4"/>
  <c r="I68" i="4"/>
  <c r="H61" i="4"/>
  <c r="H67" i="4"/>
  <c r="E68" i="4"/>
  <c r="K68" i="4"/>
  <c r="H60" i="4"/>
  <c r="H66" i="4"/>
  <c r="L46" i="4"/>
  <c r="L47" i="4"/>
  <c r="L49" i="4"/>
  <c r="L48" i="4"/>
  <c r="E51" i="4"/>
  <c r="H47" i="4"/>
  <c r="H48" i="4"/>
  <c r="I51" i="4"/>
  <c r="H45" i="4"/>
  <c r="H50" i="4"/>
  <c r="K51" i="4"/>
  <c r="H46" i="4"/>
  <c r="H39" i="4"/>
  <c r="H44" i="4"/>
  <c r="H43" i="4"/>
  <c r="H49" i="4"/>
  <c r="M48" i="4" l="1"/>
  <c r="D65" i="4" s="1"/>
  <c r="M59" i="4"/>
  <c r="M47" i="4"/>
  <c r="D64" i="4" s="1"/>
  <c r="M64" i="4" s="1"/>
  <c r="M46" i="4"/>
  <c r="D63" i="4" s="1"/>
  <c r="M63" i="4" s="1"/>
  <c r="M24" i="4"/>
  <c r="D41" i="4" s="1"/>
  <c r="M41" i="4" s="1"/>
  <c r="D58" i="4" s="1"/>
  <c r="M58" i="4" s="1"/>
  <c r="L34" i="4"/>
  <c r="M45" i="4"/>
  <c r="D62" i="4" s="1"/>
  <c r="G17" i="4"/>
  <c r="J34" i="4"/>
  <c r="M62" i="4"/>
  <c r="H34" i="4"/>
  <c r="M33" i="4"/>
  <c r="D50" i="4" s="1"/>
  <c r="M50" i="4" s="1"/>
  <c r="D67" i="4" s="1"/>
  <c r="M67" i="4" s="1"/>
  <c r="J51" i="4"/>
  <c r="D34" i="4"/>
  <c r="M49" i="4"/>
  <c r="D66" i="4" s="1"/>
  <c r="M66" i="4" s="1"/>
  <c r="M22" i="4"/>
  <c r="D39" i="4" s="1"/>
  <c r="M43" i="4"/>
  <c r="D60" i="4" s="1"/>
  <c r="M60" i="4" s="1"/>
  <c r="M44" i="4"/>
  <c r="D61" i="4" s="1"/>
  <c r="M61" i="4" s="1"/>
  <c r="M65" i="4"/>
  <c r="H68" i="4"/>
  <c r="L51" i="4"/>
  <c r="H51" i="4"/>
  <c r="D51" i="4" l="1"/>
  <c r="M39" i="4"/>
  <c r="M34" i="4"/>
  <c r="D56" i="4" l="1"/>
  <c r="M51" i="4"/>
  <c r="D68" i="4" l="1"/>
  <c r="M56" i="4"/>
  <c r="M68" i="4" s="1"/>
</calcChain>
</file>

<file path=xl/sharedStrings.xml><?xml version="1.0" encoding="utf-8"?>
<sst xmlns="http://schemas.openxmlformats.org/spreadsheetml/2006/main" count="403" uniqueCount="79">
  <si>
    <t>Fire Industrial</t>
  </si>
  <si>
    <t>Fire Domestic</t>
  </si>
  <si>
    <t>Aviation</t>
  </si>
  <si>
    <t>Motor Commercial</t>
  </si>
  <si>
    <t>Personal Accident</t>
  </si>
  <si>
    <t>Marine</t>
  </si>
  <si>
    <t>Liability</t>
  </si>
  <si>
    <t>Engineering</t>
  </si>
  <si>
    <t>Miscellaneous</t>
  </si>
  <si>
    <t>Theft</t>
  </si>
  <si>
    <t>Motor Private</t>
  </si>
  <si>
    <t>General Insurance Business</t>
  </si>
  <si>
    <t>Start Date</t>
  </si>
  <si>
    <t>Valuation Date</t>
  </si>
  <si>
    <t>ABC COMPANY LIMITED</t>
  </si>
  <si>
    <t>Class of Business</t>
  </si>
  <si>
    <t>Total</t>
  </si>
  <si>
    <t>Workmen’s Compensation</t>
  </si>
  <si>
    <t>Summary of Gross Written Premium</t>
  </si>
  <si>
    <t>Summary of  Premium Receivables</t>
  </si>
  <si>
    <t>Summary of Unearned Premium Reserve</t>
  </si>
  <si>
    <t>Summary of Deferred Acquisition Costs</t>
  </si>
  <si>
    <t>COMPUTE LRC AS AT :</t>
  </si>
  <si>
    <t>1. 31 December 2021</t>
  </si>
  <si>
    <t>2. 31 December 2022</t>
  </si>
  <si>
    <t>3. 31 December 2023</t>
  </si>
  <si>
    <t>4. 31 December 2024</t>
  </si>
  <si>
    <t>Liability for Remaining Coverage as at 31 December 2021</t>
  </si>
  <si>
    <t>UPR 2021</t>
  </si>
  <si>
    <t>DAC 2021</t>
  </si>
  <si>
    <t>Premium Receivables 2021</t>
  </si>
  <si>
    <t>Closing LRC</t>
  </si>
  <si>
    <t>ABC Company Limited
Summary of LRC as at 31 December 2022 (in KES)</t>
  </si>
  <si>
    <t>Business Class</t>
  </si>
  <si>
    <t>Opening LRC</t>
  </si>
  <si>
    <t>GWP 2022</t>
  </si>
  <si>
    <t>Premium Receivable as at 2021</t>
  </si>
  <si>
    <t>Premium Receivable as at 2022</t>
  </si>
  <si>
    <t>Premium Received as at 2022</t>
  </si>
  <si>
    <t>Earned Premium</t>
  </si>
  <si>
    <t>DAC 2022</t>
  </si>
  <si>
    <t>Change in DAC</t>
  </si>
  <si>
    <t>TOTAL</t>
  </si>
  <si>
    <t>ABC Company Limited
Summary of LRC as at 31 December 2023 (in KES)</t>
  </si>
  <si>
    <t>GWP 2023</t>
  </si>
  <si>
    <t>Premium Receivable as at 2023</t>
  </si>
  <si>
    <t>Premium Received as at 2023</t>
  </si>
  <si>
    <t>Earned Premium 2023</t>
  </si>
  <si>
    <t>DAC 2023</t>
  </si>
  <si>
    <t>GWP 2024</t>
  </si>
  <si>
    <t>Premium Receivable as at 2024</t>
  </si>
  <si>
    <t>Premium Received as at 2024</t>
  </si>
  <si>
    <t>Earned Premium 2024</t>
  </si>
  <si>
    <t>DAC 2024</t>
  </si>
  <si>
    <t>ABC Company Limited
Summary of LRC as at 31 December 2024 (in KES)</t>
  </si>
  <si>
    <t>2024 LRC  Results</t>
  </si>
  <si>
    <t>Gross UPR</t>
  </si>
  <si>
    <t>Net UPR</t>
  </si>
  <si>
    <t>Gross Loss Component</t>
  </si>
  <si>
    <t>Net Loss Component</t>
  </si>
  <si>
    <t>Ultimate Loss Ratio</t>
  </si>
  <si>
    <t>Commission Ratio</t>
  </si>
  <si>
    <t>Expense Ratio</t>
  </si>
  <si>
    <t>Risk Adjustment</t>
  </si>
  <si>
    <t>Net Unearned Premium Reserve</t>
  </si>
  <si>
    <t>Gross Unearned Premium Rerserve</t>
  </si>
  <si>
    <t>Combined Ratio</t>
  </si>
  <si>
    <t>ABC Company Limited
Summary of Loss Component as at 31 December 2024 (in KES)</t>
  </si>
  <si>
    <t>LRC</t>
  </si>
  <si>
    <t>Loss Component</t>
  </si>
  <si>
    <t>Reinsurers Share of Unearned Premium Reserve</t>
  </si>
  <si>
    <t>Summary of Reinsurance Deferred Acquisition Costs</t>
  </si>
  <si>
    <t>Summary of Loss Recovery Component</t>
  </si>
  <si>
    <t xml:space="preserve">Total </t>
  </si>
  <si>
    <t>Compute Assets for Remaining Coverage</t>
  </si>
  <si>
    <t>ABC Insurance Company</t>
  </si>
  <si>
    <t xml:space="preserve">Assets for Remaining Coverage </t>
  </si>
  <si>
    <t>*Shared by the Client</t>
  </si>
  <si>
    <t>Summary of Impairment ( Bad Debt)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</si>
</sst>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(* #,##0_);_(* \(#,##0\);_(* &quot;-&quot;??_);_(@_)"/>
  </numFmts>
  <fonts count="45" x14ac:knownFonts="1">
    <font>
      <sz val="9"/>
      <color theme="1"/>
      <name val="Nunito Sans"/>
      <family val="2"/>
    </font>
    <font>
      <sz val="9"/>
      <color theme="1"/>
      <name val="Nunito San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Nunito Sans"/>
      <family val="2"/>
    </font>
    <font>
      <b/>
      <sz val="13"/>
      <color theme="3"/>
      <name val="Nunito Sans"/>
      <family val="2"/>
    </font>
    <font>
      <b/>
      <sz val="11"/>
      <color theme="3"/>
      <name val="Nunito Sans"/>
      <family val="2"/>
    </font>
    <font>
      <sz val="9"/>
      <color rgb="FF006100"/>
      <name val="Nunito Sans"/>
      <family val="2"/>
    </font>
    <font>
      <sz val="9"/>
      <color rgb="FF9C0006"/>
      <name val="Nunito Sans"/>
      <family val="2"/>
    </font>
    <font>
      <sz val="9"/>
      <color rgb="FF9C5700"/>
      <name val="Nunito Sans"/>
      <family val="2"/>
    </font>
    <font>
      <sz val="9"/>
      <color rgb="FF3F3F76"/>
      <name val="Nunito Sans"/>
      <family val="2"/>
    </font>
    <font>
      <b/>
      <sz val="9"/>
      <color rgb="FF3F3F3F"/>
      <name val="Nunito Sans"/>
      <family val="2"/>
    </font>
    <font>
      <b/>
      <sz val="9"/>
      <color rgb="FFFA7D00"/>
      <name val="Nunito Sans"/>
      <family val="2"/>
    </font>
    <font>
      <sz val="9"/>
      <color rgb="FFFA7D00"/>
      <name val="Nunito Sans"/>
      <family val="2"/>
    </font>
    <font>
      <b/>
      <sz val="9"/>
      <color theme="0"/>
      <name val="Nunito Sans"/>
      <family val="2"/>
    </font>
    <font>
      <sz val="9"/>
      <color rgb="FFFF0000"/>
      <name val="Nunito Sans"/>
      <family val="2"/>
    </font>
    <font>
      <i/>
      <sz val="9"/>
      <color rgb="FF7F7F7F"/>
      <name val="Nunito Sans"/>
      <family val="2"/>
    </font>
    <font>
      <b/>
      <sz val="9"/>
      <color theme="1"/>
      <name val="Nunito Sans"/>
      <family val="2"/>
    </font>
    <font>
      <sz val="9"/>
      <color theme="0"/>
      <name val="Nunito Sans"/>
      <family val="2"/>
    </font>
    <font>
      <b/>
      <sz val="9"/>
      <color theme="0"/>
      <name val="Nunito Sans"/>
    </font>
    <font>
      <sz val="9"/>
      <color theme="1"/>
      <name val="Nunito"/>
    </font>
    <font>
      <sz val="8"/>
      <color theme="1"/>
      <name val="Lato"/>
      <family val="2"/>
    </font>
    <font>
      <b/>
      <sz val="16"/>
      <color rgb="FF0137A6"/>
      <name val="Nunito"/>
    </font>
    <font>
      <b/>
      <sz val="14"/>
      <color rgb="FF0137A6"/>
      <name val="Nunito"/>
    </font>
    <font>
      <b/>
      <sz val="11"/>
      <color rgb="FF0137A6"/>
      <name val="Nunito"/>
    </font>
    <font>
      <b/>
      <sz val="9"/>
      <color rgb="FFC00000"/>
      <name val="Nunito"/>
    </font>
    <font>
      <sz val="9"/>
      <color rgb="FFC00000"/>
      <name val="Nunito"/>
    </font>
    <font>
      <sz val="10"/>
      <color indexed="8"/>
      <name val="Arial"/>
      <family val="2"/>
    </font>
    <font>
      <b/>
      <sz val="9"/>
      <color theme="1"/>
      <name val="Nunito Sans"/>
    </font>
    <font>
      <b/>
      <sz val="9"/>
      <color rgb="FF0137A6"/>
      <name val="Nunito Sans"/>
    </font>
    <font>
      <b/>
      <sz val="9"/>
      <color rgb="FFC00000"/>
      <name val="Nunito Sans"/>
    </font>
    <font>
      <sz val="9"/>
      <color theme="1"/>
      <name val="Nunito Sans"/>
    </font>
    <font>
      <sz val="9"/>
      <color rgb="FF0137A6"/>
      <name val="Nunito Sans"/>
      <family val="2"/>
    </font>
    <font>
      <sz val="10"/>
      <name val="Arial"/>
      <family val="2"/>
    </font>
    <font>
      <b/>
      <sz val="9"/>
      <color theme="0"/>
      <name val="Nunito"/>
    </font>
    <font>
      <b/>
      <sz val="9"/>
      <color rgb="FF0137A6"/>
      <name val="Nunito"/>
    </font>
    <font>
      <sz val="9"/>
      <color rgb="FF0137A6"/>
      <name val="Nunito"/>
    </font>
    <font>
      <sz val="9"/>
      <name val="Nunito"/>
    </font>
    <font>
      <b/>
      <sz val="9"/>
      <name val="Nunito"/>
    </font>
    <font>
      <b/>
      <i/>
      <sz val="9"/>
      <color rgb="FFC00000"/>
      <name val="Nunito Sans"/>
    </font>
    <font>
      <b/>
      <sz val="9"/>
      <color rgb="FFFFFFFF"/>
      <name val="Nunito Sans"/>
    </font>
    <font>
      <sz val="9"/>
      <color rgb="FF0137A6"/>
      <name val="Nunito Sans"/>
    </font>
    <font>
      <sz val="11"/>
      <color theme="1"/>
      <name val="Aptos Narrow"/>
      <family val="2"/>
      <scheme val="minor"/>
    </font>
    <font>
      <sz val="9"/>
      <color rgb="FF000000"/>
      <name val="Nunito Sans"/>
    </font>
    <font>
      <b/>
      <sz val="9"/>
      <color rgb="FF000000"/>
      <name val="Nunito Sans"/>
    </font>
    <font>
      <b/>
      <i/>
      <sz val="8"/>
      <color rgb="FFC00000"/>
      <name val="Nunito Sans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137A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E1F7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0137A6"/>
      </right>
      <top style="thin">
        <color rgb="FF0137A6"/>
      </top>
      <bottom style="thin">
        <color rgb="FF0137A6"/>
      </bottom>
      <diagonal/>
    </border>
    <border>
      <left style="thin">
        <color rgb="FF0137A6"/>
      </left>
      <right style="thin">
        <color rgb="FF0137A6"/>
      </right>
      <top style="thin">
        <color rgb="FF0137A6"/>
      </top>
      <bottom style="thin">
        <color rgb="FF0137A6"/>
      </bottom>
      <diagonal/>
    </border>
    <border>
      <left style="thin">
        <color rgb="FF0137A6"/>
      </left>
      <right/>
      <top style="thin">
        <color rgb="FF0137A6"/>
      </top>
      <bottom style="thin">
        <color rgb="FF0137A6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/>
      <right/>
      <top/>
      <bottom style="thin">
        <color rgb="FF0137A6"/>
      </bottom>
      <diagonal/>
    </border>
    <border>
      <left/>
      <right/>
      <top/>
      <bottom style="medium">
        <color rgb="FF0137A6"/>
      </bottom>
      <diagonal/>
    </border>
    <border>
      <left/>
      <right/>
      <top style="medium">
        <color rgb="FF0137A6"/>
      </top>
      <bottom style="medium">
        <color rgb="FF0137A6"/>
      </bottom>
      <diagonal/>
    </border>
  </borders>
  <cellStyleXfs count="48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0" fontId="26" fillId="0" borderId="0"/>
    <xf numFmtId="0" fontId="32" fillId="0" borderId="0"/>
    <xf numFmtId="9" fontId="1" fillId="0" borderId="0" applyFont="0" applyFill="0" applyBorder="0" applyAlignment="0" applyProtection="0"/>
    <xf numFmtId="43" fontId="41" fillId="0" borderId="0" applyFont="0" applyFill="0" applyBorder="0" applyAlignment="0" applyProtection="0"/>
  </cellStyleXfs>
  <cellXfs count="54">
    <xf numFmtId="0" fontId="0" fillId="0" borderId="0" xfId="0"/>
    <xf numFmtId="0" fontId="19" fillId="34" borderId="0" xfId="0" applyFont="1" applyFill="1" applyAlignment="1">
      <alignment vertical="center"/>
    </xf>
    <xf numFmtId="0" fontId="19" fillId="35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24" fillId="36" borderId="13" xfId="0" applyFont="1" applyFill="1" applyBorder="1" applyAlignment="1">
      <alignment horizontal="right" vertical="center"/>
    </xf>
    <xf numFmtId="14" fontId="25" fillId="35" borderId="13" xfId="0" applyNumberFormat="1" applyFont="1" applyFill="1" applyBorder="1" applyAlignment="1">
      <alignment vertical="center"/>
    </xf>
    <xf numFmtId="14" fontId="25" fillId="35" borderId="13" xfId="0" applyNumberFormat="1" applyFont="1" applyFill="1" applyBorder="1" applyAlignment="1">
      <alignment horizontal="right" vertical="center"/>
    </xf>
    <xf numFmtId="0" fontId="28" fillId="0" borderId="0" xfId="0" applyFont="1"/>
    <xf numFmtId="3" fontId="0" fillId="0" borderId="0" xfId="0" applyNumberFormat="1"/>
    <xf numFmtId="0" fontId="30" fillId="0" borderId="0" xfId="0" applyFont="1"/>
    <xf numFmtId="0" fontId="28" fillId="34" borderId="11" xfId="0" applyFont="1" applyFill="1" applyBorder="1"/>
    <xf numFmtId="0" fontId="28" fillId="34" borderId="12" xfId="0" applyFont="1" applyFill="1" applyBorder="1"/>
    <xf numFmtId="3" fontId="0" fillId="0" borderId="11" xfId="0" applyNumberFormat="1" applyBorder="1"/>
    <xf numFmtId="3" fontId="0" fillId="0" borderId="12" xfId="0" applyNumberFormat="1" applyBorder="1"/>
    <xf numFmtId="3" fontId="27" fillId="0" borderId="11" xfId="0" applyNumberFormat="1" applyFont="1" applyBorder="1"/>
    <xf numFmtId="3" fontId="27" fillId="0" borderId="12" xfId="0" applyNumberFormat="1" applyFont="1" applyBorder="1"/>
    <xf numFmtId="0" fontId="31" fillId="0" borderId="10" xfId="0" applyFont="1" applyBorder="1" applyAlignment="1">
      <alignment horizontal="right"/>
    </xf>
    <xf numFmtId="0" fontId="28" fillId="0" borderId="10" xfId="0" applyFont="1" applyBorder="1" applyAlignment="1">
      <alignment horizontal="right"/>
    </xf>
    <xf numFmtId="0" fontId="28" fillId="34" borderId="10" xfId="0" applyFont="1" applyFill="1" applyBorder="1" applyAlignment="1">
      <alignment horizontal="right"/>
    </xf>
    <xf numFmtId="0" fontId="29" fillId="0" borderId="0" xfId="0" applyFont="1" applyAlignment="1">
      <alignment wrapText="1"/>
    </xf>
    <xf numFmtId="0" fontId="28" fillId="34" borderId="10" xfId="0" applyFont="1" applyFill="1" applyBorder="1" applyAlignment="1">
      <alignment horizontal="right" vertical="center"/>
    </xf>
    <xf numFmtId="0" fontId="28" fillId="34" borderId="11" xfId="0" applyFont="1" applyFill="1" applyBorder="1" applyAlignment="1">
      <alignment horizontal="right" vertical="center"/>
    </xf>
    <xf numFmtId="0" fontId="28" fillId="34" borderId="11" xfId="0" applyFont="1" applyFill="1" applyBorder="1" applyAlignment="1">
      <alignment horizontal="right" vertical="center" wrapText="1"/>
    </xf>
    <xf numFmtId="0" fontId="28" fillId="36" borderId="12" xfId="0" applyFont="1" applyFill="1" applyBorder="1" applyAlignment="1">
      <alignment horizontal="right" vertical="center"/>
    </xf>
    <xf numFmtId="3" fontId="0" fillId="36" borderId="12" xfId="0" applyNumberFormat="1" applyFill="1" applyBorder="1"/>
    <xf numFmtId="3" fontId="27" fillId="36" borderId="11" xfId="0" applyNumberFormat="1" applyFont="1" applyFill="1" applyBorder="1"/>
    <xf numFmtId="0" fontId="34" fillId="37" borderId="10" xfId="45" applyFont="1" applyFill="1" applyBorder="1" applyAlignment="1">
      <alignment horizontal="right" vertical="center" wrapText="1"/>
    </xf>
    <xf numFmtId="0" fontId="34" fillId="36" borderId="11" xfId="45" applyFont="1" applyFill="1" applyBorder="1" applyAlignment="1">
      <alignment horizontal="right" vertical="center" wrapText="1"/>
    </xf>
    <xf numFmtId="0" fontId="34" fillId="37" borderId="11" xfId="45" applyFont="1" applyFill="1" applyBorder="1" applyAlignment="1">
      <alignment horizontal="right" vertical="center" wrapText="1"/>
    </xf>
    <xf numFmtId="0" fontId="35" fillId="35" borderId="10" xfId="0" applyFont="1" applyFill="1" applyBorder="1" applyAlignment="1">
      <alignment horizontal="right" vertical="center"/>
    </xf>
    <xf numFmtId="165" fontId="36" fillId="36" borderId="11" xfId="1" applyNumberFormat="1" applyFont="1" applyFill="1" applyBorder="1" applyAlignment="1">
      <alignment vertical="center"/>
    </xf>
    <xf numFmtId="0" fontId="34" fillId="35" borderId="10" xfId="0" applyFont="1" applyFill="1" applyBorder="1" applyAlignment="1">
      <alignment horizontal="right" vertical="center"/>
    </xf>
    <xf numFmtId="164" fontId="37" fillId="36" borderId="11" xfId="1" applyNumberFormat="1" applyFont="1" applyFill="1" applyBorder="1" applyAlignment="1">
      <alignment horizontal="right" vertical="center"/>
    </xf>
    <xf numFmtId="165" fontId="36" fillId="0" borderId="11" xfId="1" applyNumberFormat="1" applyFont="1" applyFill="1" applyBorder="1" applyAlignment="1">
      <alignment vertical="center"/>
    </xf>
    <xf numFmtId="164" fontId="36" fillId="0" borderId="11" xfId="1" applyNumberFormat="1" applyFont="1" applyFill="1" applyBorder="1" applyAlignment="1">
      <alignment vertical="center"/>
    </xf>
    <xf numFmtId="164" fontId="37" fillId="0" borderId="11" xfId="1" applyNumberFormat="1" applyFont="1" applyFill="1" applyBorder="1" applyAlignment="1">
      <alignment horizontal="right" vertical="center"/>
    </xf>
    <xf numFmtId="9" fontId="0" fillId="0" borderId="12" xfId="46" applyFont="1" applyBorder="1"/>
    <xf numFmtId="0" fontId="34" fillId="0" borderId="11" xfId="45" applyFont="1" applyBorder="1" applyAlignment="1">
      <alignment horizontal="right" vertical="center" wrapText="1"/>
    </xf>
    <xf numFmtId="0" fontId="38" fillId="0" borderId="0" xfId="0" applyFont="1"/>
    <xf numFmtId="0" fontId="28" fillId="34" borderId="15" xfId="0" applyFont="1" applyFill="1" applyBorder="1" applyAlignment="1">
      <alignment horizontal="right" vertical="center" wrapText="1"/>
    </xf>
    <xf numFmtId="0" fontId="40" fillId="0" borderId="0" xfId="0" applyFont="1" applyAlignment="1">
      <alignment horizontal="right" vertical="center"/>
    </xf>
    <xf numFmtId="164" fontId="42" fillId="0" borderId="0" xfId="47" applyNumberFormat="1" applyFont="1" applyAlignment="1">
      <alignment horizontal="right" vertical="center"/>
    </xf>
    <xf numFmtId="0" fontId="28" fillId="0" borderId="16" xfId="0" applyFont="1" applyBorder="1" applyAlignment="1">
      <alignment horizontal="right" vertical="center"/>
    </xf>
    <xf numFmtId="164" fontId="43" fillId="0" borderId="16" xfId="47" applyNumberFormat="1" applyFont="1" applyBorder="1" applyAlignment="1">
      <alignment horizontal="right" vertical="center"/>
    </xf>
    <xf numFmtId="0" fontId="44" fillId="0" borderId="0" xfId="0" applyFont="1"/>
    <xf numFmtId="0" fontId="21" fillId="35" borderId="0" xfId="43" applyFont="1" applyFill="1" applyAlignment="1">
      <alignment horizontal="center" vertical="center"/>
    </xf>
    <xf numFmtId="0" fontId="22" fillId="35" borderId="0" xfId="0" applyFont="1" applyFill="1" applyAlignment="1">
      <alignment horizontal="center"/>
    </xf>
    <xf numFmtId="0" fontId="23" fillId="35" borderId="0" xfId="43" applyFont="1" applyFill="1" applyAlignment="1">
      <alignment horizontal="center" vertical="center"/>
    </xf>
    <xf numFmtId="0" fontId="18" fillId="33" borderId="0" xfId="0" applyFont="1" applyFill="1" applyAlignment="1">
      <alignment horizontal="center"/>
    </xf>
    <xf numFmtId="0" fontId="33" fillId="33" borderId="14" xfId="45" applyFont="1" applyFill="1" applyBorder="1" applyAlignment="1">
      <alignment horizontal="center" vertical="center" wrapText="1"/>
    </xf>
    <xf numFmtId="0" fontId="18" fillId="33" borderId="14" xfId="0" applyFont="1" applyFill="1" applyBorder="1" applyAlignment="1">
      <alignment horizontal="center" wrapText="1"/>
    </xf>
    <xf numFmtId="0" fontId="18" fillId="33" borderId="14" xfId="0" applyFont="1" applyFill="1" applyBorder="1" applyAlignment="1">
      <alignment horizontal="center"/>
    </xf>
    <xf numFmtId="0" fontId="39" fillId="33" borderId="0" xfId="0" applyFont="1" applyFill="1" applyAlignment="1">
      <alignment horizontal="center" vertical="center" wrapText="1"/>
    </xf>
    <xf numFmtId="0" fontId="39" fillId="33" borderId="15" xfId="0" applyFont="1" applyFill="1" applyBorder="1" applyAlignment="1">
      <alignment horizontal="center" vertical="center" wrapText="1"/>
    </xf>
  </cellXfs>
  <cellStyles count="48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7" xr:uid="{A0444B20-F46B-4063-B0A1-177F8252337C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15" xfId="45" xr:uid="{AB87F716-73D4-4BDB-8658-1E8AB263C213}"/>
    <cellStyle name="Normal 3" xfId="44" xr:uid="{5B84A07B-B03A-456C-8BCA-5BF046625477}"/>
    <cellStyle name="Normal 3 3" xfId="43" xr:uid="{EC23090A-16D2-4613-BAB4-2CA59BD5B84A}"/>
    <cellStyle name="Note" xfId="16" builtinId="10" customBuiltin="1"/>
    <cellStyle name="Output" xfId="11" builtinId="21" customBuiltin="1"/>
    <cellStyle name="Percent" xfId="46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colors>
    <mruColors>
      <color rgb="FF0137A6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312421</xdr:colOff>
      <xdr:row>7</xdr:row>
      <xdr:rowOff>24724</xdr:rowOff>
    </xdr:from>
    <xdr:to>
      <xdr:col>9</xdr:col>
      <xdr:colOff>1988820</xdr:colOff>
      <xdr:row>13</xdr:row>
      <xdr:rowOff>59456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71B8A30-46F0-E071-4F47-6C3C57CE4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80861" y="1358224"/>
          <a:ext cx="1676399" cy="11777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67F3D-B119-4C36-8114-38EDB5E3678A}">
  <sheetPr>
    <tabColor theme="9" tint="-0.249977111117893"/>
  </sheetPr>
  <dimension ref="D7:K23"/>
  <sheetViews>
    <sheetView showGridLines="0" workbookViewId="0">
      <selection activeCell="H11" sqref="H11"/>
    </sheetView>
  </sheetViews>
  <sheetFormatPr defaultRowHeight="15" x14ac:dyDescent="0.4"/>
  <cols>
    <col min="4" max="4" width="16" customWidth="1"/>
    <col min="7" max="7" width="13.5546875" customWidth="1"/>
    <col min="8" max="8" width="12.88671875" customWidth="1"/>
    <col min="10" max="10" width="30.21875" customWidth="1"/>
    <col min="11" max="11" width="19.21875" customWidth="1"/>
  </cols>
  <sheetData>
    <row r="7" spans="4:11" x14ac:dyDescent="0.4">
      <c r="D7" s="1"/>
      <c r="E7" s="1"/>
      <c r="F7" s="1"/>
      <c r="G7" s="1"/>
      <c r="H7" s="1"/>
      <c r="I7" s="1"/>
      <c r="J7" s="1"/>
      <c r="K7" s="1"/>
    </row>
    <row r="8" spans="4:11" x14ac:dyDescent="0.4">
      <c r="D8" s="1"/>
      <c r="E8" s="2"/>
      <c r="F8" s="2"/>
      <c r="G8" s="2"/>
      <c r="H8" s="2"/>
      <c r="I8" s="2"/>
      <c r="J8" s="2"/>
      <c r="K8" s="1"/>
    </row>
    <row r="9" spans="4:11" x14ac:dyDescent="0.4">
      <c r="D9" s="1"/>
      <c r="E9" s="2"/>
      <c r="F9" s="2"/>
      <c r="G9" s="2"/>
      <c r="H9" s="2"/>
      <c r="I9" s="2"/>
      <c r="J9" s="2"/>
      <c r="K9" s="1"/>
    </row>
    <row r="10" spans="4:11" x14ac:dyDescent="0.4">
      <c r="D10" s="1"/>
      <c r="E10" s="2"/>
      <c r="F10" s="2"/>
      <c r="G10" s="2"/>
      <c r="H10" s="2"/>
      <c r="I10" s="2"/>
      <c r="J10" s="2"/>
      <c r="K10" s="1"/>
    </row>
    <row r="11" spans="4:11" x14ac:dyDescent="0.4">
      <c r="D11" s="1"/>
      <c r="E11" s="2"/>
      <c r="F11" s="2"/>
      <c r="G11" s="2"/>
      <c r="H11" s="2"/>
      <c r="I11" s="2"/>
      <c r="J11" s="2"/>
      <c r="K11" s="1"/>
    </row>
    <row r="12" spans="4:11" x14ac:dyDescent="0.4">
      <c r="D12" s="1"/>
      <c r="E12" s="2"/>
      <c r="F12" s="2"/>
      <c r="G12" s="2"/>
      <c r="H12" s="2"/>
      <c r="I12" s="2"/>
      <c r="J12" s="2"/>
      <c r="K12" s="1"/>
    </row>
    <row r="13" spans="4:11" x14ac:dyDescent="0.4">
      <c r="D13" s="1"/>
      <c r="E13" s="2"/>
      <c r="F13" s="2"/>
      <c r="G13" s="2"/>
      <c r="H13" s="2"/>
      <c r="I13" s="2"/>
      <c r="J13" s="2"/>
      <c r="K13" s="1"/>
    </row>
    <row r="14" spans="4:11" x14ac:dyDescent="0.4">
      <c r="D14" s="1"/>
      <c r="E14" s="2"/>
      <c r="F14" s="2"/>
      <c r="G14" s="2"/>
      <c r="H14" s="2"/>
      <c r="I14" s="2"/>
      <c r="J14" s="2"/>
      <c r="K14" s="1"/>
    </row>
    <row r="15" spans="4:11" ht="24" x14ac:dyDescent="0.4">
      <c r="D15" s="1"/>
      <c r="E15" s="45" t="s">
        <v>14</v>
      </c>
      <c r="F15" s="45"/>
      <c r="G15" s="45"/>
      <c r="H15" s="45"/>
      <c r="I15" s="45"/>
      <c r="J15" s="45"/>
      <c r="K15" s="1"/>
    </row>
    <row r="16" spans="4:11" ht="21" x14ac:dyDescent="0.5">
      <c r="D16" s="1"/>
      <c r="E16" s="46" t="s">
        <v>11</v>
      </c>
      <c r="F16" s="46"/>
      <c r="G16" s="46"/>
      <c r="H16" s="46"/>
      <c r="I16" s="46"/>
      <c r="J16" s="46"/>
      <c r="K16" s="1"/>
    </row>
    <row r="17" spans="4:11" ht="15.6" x14ac:dyDescent="0.4">
      <c r="D17" s="1"/>
      <c r="E17" s="47" t="s">
        <v>55</v>
      </c>
      <c r="F17" s="47"/>
      <c r="G17" s="47"/>
      <c r="H17" s="47"/>
      <c r="I17" s="47"/>
      <c r="J17" s="47"/>
      <c r="K17" s="1"/>
    </row>
    <row r="18" spans="4:11" x14ac:dyDescent="0.4">
      <c r="D18" s="1"/>
      <c r="E18" s="3"/>
      <c r="F18" s="3"/>
      <c r="G18" s="3"/>
      <c r="H18" s="3"/>
      <c r="I18" s="3"/>
      <c r="J18" s="3"/>
      <c r="K18" s="1"/>
    </row>
    <row r="19" spans="4:11" x14ac:dyDescent="0.4">
      <c r="D19" s="1"/>
      <c r="E19" s="3"/>
      <c r="F19" s="3"/>
      <c r="G19" s="3"/>
      <c r="H19" s="3"/>
      <c r="I19" s="3"/>
      <c r="J19" s="3"/>
      <c r="K19" s="1"/>
    </row>
    <row r="20" spans="4:11" x14ac:dyDescent="0.4">
      <c r="D20" s="1"/>
      <c r="E20" s="3"/>
      <c r="F20" s="3"/>
      <c r="G20" s="4" t="s">
        <v>12</v>
      </c>
      <c r="H20" s="5">
        <v>44197</v>
      </c>
      <c r="I20" s="3"/>
      <c r="J20" s="3"/>
      <c r="K20" s="1"/>
    </row>
    <row r="21" spans="4:11" x14ac:dyDescent="0.4">
      <c r="D21" s="1"/>
      <c r="E21" s="3"/>
      <c r="F21" s="3"/>
      <c r="G21" s="4" t="s">
        <v>13</v>
      </c>
      <c r="H21" s="6">
        <v>45657</v>
      </c>
      <c r="I21" s="3"/>
      <c r="J21" s="3"/>
      <c r="K21" s="1"/>
    </row>
    <row r="22" spans="4:11" x14ac:dyDescent="0.4">
      <c r="D22" s="1"/>
      <c r="E22" s="3"/>
      <c r="F22" s="3"/>
      <c r="G22" s="3"/>
      <c r="H22" s="3"/>
      <c r="I22" s="3"/>
      <c r="J22" s="3"/>
      <c r="K22" s="1"/>
    </row>
    <row r="23" spans="4:11" x14ac:dyDescent="0.4">
      <c r="D23" s="1"/>
      <c r="E23" s="1"/>
      <c r="F23" s="1"/>
      <c r="G23" s="1"/>
      <c r="H23" s="1"/>
      <c r="I23" s="1"/>
      <c r="J23" s="1"/>
      <c r="K23" s="1"/>
    </row>
  </sheetData>
  <mergeCells count="3">
    <mergeCell ref="E15:J15"/>
    <mergeCell ref="E16:J16"/>
    <mergeCell ref="E17:J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B7FAC-B9FF-4A3E-B5D8-E0E422D57C79}">
  <sheetPr>
    <tabColor rgb="FF0137A6"/>
  </sheetPr>
  <dimension ref="C2:G17"/>
  <sheetViews>
    <sheetView showGridLines="0" workbookViewId="0">
      <selection activeCell="C31" sqref="C31"/>
    </sheetView>
  </sheetViews>
  <sheetFormatPr defaultRowHeight="15" x14ac:dyDescent="0.4"/>
  <cols>
    <col min="3" max="3" width="24.33203125" customWidth="1"/>
    <col min="4" max="4" width="9.88671875" customWidth="1"/>
    <col min="5" max="5" width="12.5546875" bestFit="1" customWidth="1"/>
    <col min="6" max="6" width="12" bestFit="1" customWidth="1"/>
    <col min="7" max="7" width="14.33203125" bestFit="1" customWidth="1"/>
    <col min="8" max="8" width="17.88671875" bestFit="1" customWidth="1"/>
    <col min="10" max="10" width="16.109375" bestFit="1" customWidth="1"/>
    <col min="11" max="11" width="13.6640625" bestFit="1" customWidth="1"/>
    <col min="12" max="12" width="15.109375" bestFit="1" customWidth="1"/>
    <col min="13" max="13" width="16.21875" bestFit="1" customWidth="1"/>
  </cols>
  <sheetData>
    <row r="2" spans="3:7" x14ac:dyDescent="0.4">
      <c r="D2" s="9"/>
    </row>
    <row r="3" spans="3:7" x14ac:dyDescent="0.4">
      <c r="C3" s="48" t="s">
        <v>18</v>
      </c>
      <c r="D3" s="48"/>
      <c r="E3" s="48"/>
      <c r="F3" s="48"/>
      <c r="G3" s="48"/>
    </row>
    <row r="4" spans="3:7" x14ac:dyDescent="0.4">
      <c r="C4" s="18" t="s">
        <v>15</v>
      </c>
      <c r="D4" s="10">
        <v>2021</v>
      </c>
      <c r="E4" s="10">
        <v>2022</v>
      </c>
      <c r="F4" s="10">
        <v>2023</v>
      </c>
      <c r="G4" s="11">
        <v>2024</v>
      </c>
    </row>
    <row r="5" spans="3:7" x14ac:dyDescent="0.4">
      <c r="C5" s="16" t="s">
        <v>2</v>
      </c>
      <c r="D5" s="12">
        <v>180500</v>
      </c>
      <c r="E5" s="12">
        <v>192300</v>
      </c>
      <c r="F5" s="12">
        <v>205700</v>
      </c>
      <c r="G5" s="13">
        <v>220400</v>
      </c>
    </row>
    <row r="6" spans="3:7" x14ac:dyDescent="0.4">
      <c r="C6" s="16" t="s">
        <v>7</v>
      </c>
      <c r="D6" s="12">
        <v>150700</v>
      </c>
      <c r="E6" s="12">
        <v>162100</v>
      </c>
      <c r="F6" s="12">
        <v>175000</v>
      </c>
      <c r="G6" s="13">
        <v>188600</v>
      </c>
    </row>
    <row r="7" spans="3:7" x14ac:dyDescent="0.4">
      <c r="C7" s="16" t="s">
        <v>1</v>
      </c>
      <c r="D7" s="12">
        <v>120600</v>
      </c>
      <c r="E7" s="12">
        <v>128900</v>
      </c>
      <c r="F7" s="12">
        <v>137800</v>
      </c>
      <c r="G7" s="13">
        <v>147500</v>
      </c>
    </row>
    <row r="8" spans="3:7" x14ac:dyDescent="0.4">
      <c r="C8" s="16" t="s">
        <v>0</v>
      </c>
      <c r="D8" s="12">
        <v>290400</v>
      </c>
      <c r="E8" s="12">
        <v>310500</v>
      </c>
      <c r="F8" s="12">
        <v>333700</v>
      </c>
      <c r="G8" s="13">
        <v>358600</v>
      </c>
    </row>
    <row r="9" spans="3:7" x14ac:dyDescent="0.4">
      <c r="C9" s="16" t="s">
        <v>6</v>
      </c>
      <c r="D9" s="12">
        <v>98300</v>
      </c>
      <c r="E9" s="12">
        <v>105700</v>
      </c>
      <c r="F9" s="12">
        <v>113900</v>
      </c>
      <c r="G9" s="13">
        <v>122600</v>
      </c>
    </row>
    <row r="10" spans="3:7" x14ac:dyDescent="0.4">
      <c r="C10" s="16" t="s">
        <v>5</v>
      </c>
      <c r="D10" s="12">
        <v>110200</v>
      </c>
      <c r="E10" s="12">
        <v>118900</v>
      </c>
      <c r="F10" s="12">
        <v>128100</v>
      </c>
      <c r="G10" s="13">
        <v>138000</v>
      </c>
    </row>
    <row r="11" spans="3:7" x14ac:dyDescent="0.4">
      <c r="C11" s="16" t="s">
        <v>8</v>
      </c>
      <c r="D11" s="12">
        <v>86900</v>
      </c>
      <c r="E11" s="12">
        <v>93700</v>
      </c>
      <c r="F11" s="12">
        <v>101200</v>
      </c>
      <c r="G11" s="13">
        <v>109800</v>
      </c>
    </row>
    <row r="12" spans="3:7" x14ac:dyDescent="0.4">
      <c r="C12" s="16" t="s">
        <v>3</v>
      </c>
      <c r="D12" s="12">
        <v>330500</v>
      </c>
      <c r="E12" s="12">
        <v>352400</v>
      </c>
      <c r="F12" s="12">
        <v>376800</v>
      </c>
      <c r="G12" s="13">
        <v>403500</v>
      </c>
    </row>
    <row r="13" spans="3:7" x14ac:dyDescent="0.4">
      <c r="C13" s="16" t="s">
        <v>10</v>
      </c>
      <c r="D13" s="12">
        <v>370600</v>
      </c>
      <c r="E13" s="12">
        <v>395800</v>
      </c>
      <c r="F13" s="12">
        <v>422900</v>
      </c>
      <c r="G13" s="13">
        <v>452700</v>
      </c>
    </row>
    <row r="14" spans="3:7" x14ac:dyDescent="0.4">
      <c r="C14" s="16" t="s">
        <v>4</v>
      </c>
      <c r="D14" s="12">
        <v>75200</v>
      </c>
      <c r="E14" s="12">
        <v>80400</v>
      </c>
      <c r="F14" s="12">
        <v>86700</v>
      </c>
      <c r="G14" s="13">
        <v>93300</v>
      </c>
    </row>
    <row r="15" spans="3:7" x14ac:dyDescent="0.4">
      <c r="C15" s="16" t="s">
        <v>9</v>
      </c>
      <c r="D15" s="12">
        <v>66800</v>
      </c>
      <c r="E15" s="12">
        <v>71400</v>
      </c>
      <c r="F15" s="12">
        <v>76900</v>
      </c>
      <c r="G15" s="13">
        <v>82900</v>
      </c>
    </row>
    <row r="16" spans="3:7" x14ac:dyDescent="0.4">
      <c r="C16" s="16" t="s">
        <v>17</v>
      </c>
      <c r="D16" s="12">
        <v>140900</v>
      </c>
      <c r="E16" s="12">
        <v>150800</v>
      </c>
      <c r="F16" s="12">
        <v>162100</v>
      </c>
      <c r="G16" s="13">
        <v>174600</v>
      </c>
    </row>
    <row r="17" spans="3:7" x14ac:dyDescent="0.4">
      <c r="C17" s="17" t="s">
        <v>16</v>
      </c>
      <c r="D17" s="14">
        <f>SUM(D5:D16)</f>
        <v>2021600</v>
      </c>
      <c r="E17" s="14">
        <f t="shared" ref="E17:G17" si="0">SUM(E5:E16)</f>
        <v>2162900</v>
      </c>
      <c r="F17" s="14">
        <f t="shared" si="0"/>
        <v>2320800</v>
      </c>
      <c r="G17" s="15">
        <f t="shared" si="0"/>
        <v>2492500</v>
      </c>
    </row>
  </sheetData>
  <mergeCells count="1">
    <mergeCell ref="C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08BE-1147-40F9-85D1-FC336C25876D}">
  <sheetPr>
    <tabColor rgb="FF0137A6"/>
  </sheetPr>
  <dimension ref="C2:G17"/>
  <sheetViews>
    <sheetView showGridLines="0" workbookViewId="0">
      <selection activeCell="K18" sqref="K18"/>
    </sheetView>
  </sheetViews>
  <sheetFormatPr defaultRowHeight="15" x14ac:dyDescent="0.4"/>
  <cols>
    <col min="3" max="3" width="24.33203125" customWidth="1"/>
    <col min="4" max="4" width="8.88671875" customWidth="1"/>
    <col min="5" max="5" width="12.5546875" customWidth="1"/>
    <col min="6" max="6" width="12" customWidth="1"/>
    <col min="7" max="7" width="14.33203125" bestFit="1" customWidth="1"/>
    <col min="8" max="8" width="17.88671875" bestFit="1" customWidth="1"/>
    <col min="10" max="10" width="16.109375" bestFit="1" customWidth="1"/>
    <col min="11" max="11" width="13.6640625" bestFit="1" customWidth="1"/>
    <col min="12" max="12" width="15.109375" bestFit="1" customWidth="1"/>
    <col min="13" max="13" width="16.21875" bestFit="1" customWidth="1"/>
  </cols>
  <sheetData>
    <row r="2" spans="3:7" x14ac:dyDescent="0.4">
      <c r="D2" s="9"/>
    </row>
    <row r="3" spans="3:7" x14ac:dyDescent="0.4">
      <c r="C3" s="48" t="s">
        <v>20</v>
      </c>
      <c r="D3" s="48"/>
      <c r="E3" s="48"/>
      <c r="F3" s="48"/>
      <c r="G3" s="48"/>
    </row>
    <row r="4" spans="3:7" x14ac:dyDescent="0.4">
      <c r="C4" s="18" t="s">
        <v>15</v>
      </c>
      <c r="D4" s="10">
        <v>2021</v>
      </c>
      <c r="E4" s="10">
        <v>2022</v>
      </c>
      <c r="F4" s="10">
        <v>2023</v>
      </c>
      <c r="G4" s="11">
        <v>2024</v>
      </c>
    </row>
    <row r="5" spans="3:7" x14ac:dyDescent="0.4">
      <c r="C5" s="16" t="s">
        <v>2</v>
      </c>
      <c r="D5" s="12">
        <v>120500</v>
      </c>
      <c r="E5" s="12">
        <v>135200</v>
      </c>
      <c r="F5" s="12">
        <v>142300</v>
      </c>
      <c r="G5" s="13">
        <v>150800</v>
      </c>
    </row>
    <row r="6" spans="3:7" x14ac:dyDescent="0.4">
      <c r="C6" s="16" t="s">
        <v>7</v>
      </c>
      <c r="D6" s="12">
        <v>98700</v>
      </c>
      <c r="E6" s="12">
        <v>104900</v>
      </c>
      <c r="F6" s="12">
        <v>110400</v>
      </c>
      <c r="G6" s="13">
        <v>117000</v>
      </c>
    </row>
    <row r="7" spans="3:7" x14ac:dyDescent="0.4">
      <c r="C7" s="16" t="s">
        <v>1</v>
      </c>
      <c r="D7" s="12">
        <v>82300</v>
      </c>
      <c r="E7" s="12">
        <v>87600</v>
      </c>
      <c r="F7" s="12">
        <v>94100</v>
      </c>
      <c r="G7" s="13">
        <v>99500</v>
      </c>
    </row>
    <row r="8" spans="3:7" x14ac:dyDescent="0.4">
      <c r="C8" s="16" t="s">
        <v>0</v>
      </c>
      <c r="D8" s="12">
        <v>150400</v>
      </c>
      <c r="E8" s="12">
        <v>162900</v>
      </c>
      <c r="F8" s="12">
        <v>171200</v>
      </c>
      <c r="G8" s="13">
        <v>185000</v>
      </c>
    </row>
    <row r="9" spans="3:7" x14ac:dyDescent="0.4">
      <c r="C9" s="16" t="s">
        <v>6</v>
      </c>
      <c r="D9" s="12">
        <v>65800</v>
      </c>
      <c r="E9" s="12">
        <v>72300</v>
      </c>
      <c r="F9" s="12">
        <v>77600</v>
      </c>
      <c r="G9" s="13">
        <v>84100</v>
      </c>
    </row>
    <row r="10" spans="3:7" x14ac:dyDescent="0.4">
      <c r="C10" s="16" t="s">
        <v>5</v>
      </c>
      <c r="D10" s="12">
        <v>73900</v>
      </c>
      <c r="E10" s="12">
        <v>79100</v>
      </c>
      <c r="F10" s="12">
        <v>84400</v>
      </c>
      <c r="G10" s="13">
        <v>91000</v>
      </c>
    </row>
    <row r="11" spans="3:7" x14ac:dyDescent="0.4">
      <c r="C11" s="16" t="s">
        <v>8</v>
      </c>
      <c r="D11" s="12">
        <v>60400</v>
      </c>
      <c r="E11" s="12">
        <v>64800</v>
      </c>
      <c r="F11" s="12">
        <v>69700</v>
      </c>
      <c r="G11" s="13">
        <v>75900</v>
      </c>
    </row>
    <row r="12" spans="3:7" x14ac:dyDescent="0.4">
      <c r="C12" s="16" t="s">
        <v>3</v>
      </c>
      <c r="D12" s="12">
        <v>200600</v>
      </c>
      <c r="E12" s="12">
        <v>215400</v>
      </c>
      <c r="F12" s="12">
        <v>229500</v>
      </c>
      <c r="G12" s="13">
        <v>245700</v>
      </c>
    </row>
    <row r="13" spans="3:7" x14ac:dyDescent="0.4">
      <c r="C13" s="16" t="s">
        <v>10</v>
      </c>
      <c r="D13" s="12">
        <v>230500</v>
      </c>
      <c r="E13" s="12">
        <v>248300</v>
      </c>
      <c r="F13" s="12">
        <v>265100</v>
      </c>
      <c r="G13" s="13">
        <v>281400</v>
      </c>
    </row>
    <row r="14" spans="3:7" x14ac:dyDescent="0.4">
      <c r="C14" s="16" t="s">
        <v>4</v>
      </c>
      <c r="D14" s="12">
        <v>55200</v>
      </c>
      <c r="E14" s="12">
        <v>59700</v>
      </c>
      <c r="F14" s="12">
        <v>64900</v>
      </c>
      <c r="G14" s="13">
        <v>70100</v>
      </c>
    </row>
    <row r="15" spans="3:7" x14ac:dyDescent="0.4">
      <c r="C15" s="16" t="s">
        <v>9</v>
      </c>
      <c r="D15" s="12">
        <v>48700</v>
      </c>
      <c r="E15" s="12">
        <v>52900</v>
      </c>
      <c r="F15" s="12">
        <v>56800</v>
      </c>
      <c r="G15" s="13">
        <v>61400</v>
      </c>
    </row>
    <row r="16" spans="3:7" x14ac:dyDescent="0.4">
      <c r="C16" s="16" t="s">
        <v>17</v>
      </c>
      <c r="D16" s="12">
        <v>92600</v>
      </c>
      <c r="E16" s="12">
        <v>99800</v>
      </c>
      <c r="F16" s="12">
        <v>105900</v>
      </c>
      <c r="G16" s="13">
        <v>113500</v>
      </c>
    </row>
    <row r="17" spans="3:7" x14ac:dyDescent="0.4">
      <c r="C17" s="17" t="s">
        <v>16</v>
      </c>
      <c r="D17" s="14">
        <f>SUM(D5:D16)</f>
        <v>1279600</v>
      </c>
      <c r="E17" s="14">
        <f t="shared" ref="E17:G17" si="0">SUM(E5:E16)</f>
        <v>1382900</v>
      </c>
      <c r="F17" s="14">
        <f t="shared" si="0"/>
        <v>1471900</v>
      </c>
      <c r="G17" s="15">
        <f t="shared" si="0"/>
        <v>1575400</v>
      </c>
    </row>
  </sheetData>
  <mergeCells count="1">
    <mergeCell ref="C3:G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E486-4963-40C4-B2BA-5933F0ADA9A2}">
  <sheetPr>
    <tabColor rgb="FF0137A6"/>
  </sheetPr>
  <dimension ref="C2:G17"/>
  <sheetViews>
    <sheetView showGridLines="0" workbookViewId="0">
      <selection activeCell="H25" sqref="H25"/>
    </sheetView>
  </sheetViews>
  <sheetFormatPr defaultRowHeight="15" x14ac:dyDescent="0.4"/>
  <cols>
    <col min="3" max="3" width="24.33203125" customWidth="1"/>
    <col min="4" max="4" width="9.88671875" customWidth="1"/>
    <col min="5" max="5" width="12.5546875" bestFit="1" customWidth="1"/>
    <col min="6" max="6" width="12" bestFit="1" customWidth="1"/>
    <col min="7" max="7" width="14.33203125" bestFit="1" customWidth="1"/>
    <col min="8" max="8" width="17.88671875" bestFit="1" customWidth="1"/>
    <col min="10" max="10" width="16.109375" bestFit="1" customWidth="1"/>
    <col min="11" max="11" width="13.6640625" bestFit="1" customWidth="1"/>
    <col min="12" max="12" width="15.109375" bestFit="1" customWidth="1"/>
    <col min="13" max="13" width="16.21875" bestFit="1" customWidth="1"/>
  </cols>
  <sheetData>
    <row r="2" spans="3:7" x14ac:dyDescent="0.4">
      <c r="D2" s="9"/>
    </row>
    <row r="3" spans="3:7" x14ac:dyDescent="0.4">
      <c r="C3" s="48" t="s">
        <v>21</v>
      </c>
      <c r="D3" s="48"/>
      <c r="E3" s="48"/>
      <c r="F3" s="48"/>
      <c r="G3" s="48"/>
    </row>
    <row r="4" spans="3:7" x14ac:dyDescent="0.4">
      <c r="C4" s="18" t="s">
        <v>15</v>
      </c>
      <c r="D4" s="10">
        <v>2021</v>
      </c>
      <c r="E4" s="10">
        <v>2022</v>
      </c>
      <c r="F4" s="10">
        <v>2023</v>
      </c>
      <c r="G4" s="11">
        <v>2024</v>
      </c>
    </row>
    <row r="5" spans="3:7" x14ac:dyDescent="0.4">
      <c r="C5" s="16" t="s">
        <v>2</v>
      </c>
      <c r="D5" s="12">
        <v>19700</v>
      </c>
      <c r="E5" s="12">
        <v>21100</v>
      </c>
      <c r="F5" s="12">
        <v>22800</v>
      </c>
      <c r="G5" s="13">
        <v>24600</v>
      </c>
    </row>
    <row r="6" spans="3:7" x14ac:dyDescent="0.4">
      <c r="C6" s="16" t="s">
        <v>7</v>
      </c>
      <c r="D6" s="12">
        <v>15600</v>
      </c>
      <c r="E6" s="12">
        <v>16900</v>
      </c>
      <c r="F6" s="12">
        <v>18200</v>
      </c>
      <c r="G6" s="13">
        <v>19700</v>
      </c>
    </row>
    <row r="7" spans="3:7" x14ac:dyDescent="0.4">
      <c r="C7" s="16" t="s">
        <v>1</v>
      </c>
      <c r="D7" s="12">
        <v>12600</v>
      </c>
      <c r="E7" s="12">
        <v>13700</v>
      </c>
      <c r="F7" s="12">
        <v>14800</v>
      </c>
      <c r="G7" s="13">
        <v>16000</v>
      </c>
    </row>
    <row r="8" spans="3:7" x14ac:dyDescent="0.4">
      <c r="C8" s="16" t="s">
        <v>0</v>
      </c>
      <c r="D8" s="12">
        <v>28200</v>
      </c>
      <c r="E8" s="12">
        <v>30100</v>
      </c>
      <c r="F8" s="12">
        <v>32400</v>
      </c>
      <c r="G8" s="13">
        <v>34800</v>
      </c>
    </row>
    <row r="9" spans="3:7" x14ac:dyDescent="0.4">
      <c r="C9" s="16" t="s">
        <v>6</v>
      </c>
      <c r="D9" s="12">
        <v>10000</v>
      </c>
      <c r="E9" s="12">
        <v>10900</v>
      </c>
      <c r="F9" s="12">
        <v>11900</v>
      </c>
      <c r="G9" s="13">
        <v>12900</v>
      </c>
    </row>
    <row r="10" spans="3:7" x14ac:dyDescent="0.4">
      <c r="C10" s="16" t="s">
        <v>5</v>
      </c>
      <c r="D10" s="12">
        <v>11600</v>
      </c>
      <c r="E10" s="12">
        <v>12600</v>
      </c>
      <c r="F10" s="12">
        <v>13700</v>
      </c>
      <c r="G10" s="13">
        <v>14900</v>
      </c>
    </row>
    <row r="11" spans="3:7" x14ac:dyDescent="0.4">
      <c r="C11" s="16" t="s">
        <v>8</v>
      </c>
      <c r="D11" s="12">
        <v>8300</v>
      </c>
      <c r="E11" s="12">
        <v>9100</v>
      </c>
      <c r="F11" s="12">
        <v>9900</v>
      </c>
      <c r="G11" s="13">
        <v>10800</v>
      </c>
    </row>
    <row r="12" spans="3:7" x14ac:dyDescent="0.4">
      <c r="C12" s="16" t="s">
        <v>3</v>
      </c>
      <c r="D12" s="12">
        <v>31200</v>
      </c>
      <c r="E12" s="12">
        <v>33400</v>
      </c>
      <c r="F12" s="12">
        <v>35700</v>
      </c>
      <c r="G12" s="13">
        <v>38200</v>
      </c>
    </row>
    <row r="13" spans="3:7" x14ac:dyDescent="0.4">
      <c r="C13" s="16" t="s">
        <v>10</v>
      </c>
      <c r="D13" s="12">
        <v>34900</v>
      </c>
      <c r="E13" s="12">
        <v>37300</v>
      </c>
      <c r="F13" s="12">
        <v>39900</v>
      </c>
      <c r="G13" s="13">
        <v>42600</v>
      </c>
    </row>
    <row r="14" spans="3:7" x14ac:dyDescent="0.4">
      <c r="C14" s="16" t="s">
        <v>4</v>
      </c>
      <c r="D14" s="12">
        <v>7000</v>
      </c>
      <c r="E14" s="12">
        <v>7600</v>
      </c>
      <c r="F14" s="12">
        <v>8200</v>
      </c>
      <c r="G14" s="13">
        <v>8900</v>
      </c>
    </row>
    <row r="15" spans="3:7" x14ac:dyDescent="0.4">
      <c r="C15" s="16" t="s">
        <v>9</v>
      </c>
      <c r="D15" s="12">
        <v>6200</v>
      </c>
      <c r="E15" s="12">
        <v>6700</v>
      </c>
      <c r="F15" s="12">
        <v>7300</v>
      </c>
      <c r="G15" s="13">
        <v>7900</v>
      </c>
    </row>
    <row r="16" spans="3:7" x14ac:dyDescent="0.4">
      <c r="C16" s="16" t="s">
        <v>17</v>
      </c>
      <c r="D16" s="12">
        <v>14100</v>
      </c>
      <c r="E16" s="12">
        <v>15100</v>
      </c>
      <c r="F16" s="12">
        <v>16300</v>
      </c>
      <c r="G16" s="13">
        <v>17700</v>
      </c>
    </row>
    <row r="17" spans="3:7" x14ac:dyDescent="0.4">
      <c r="C17" s="17" t="s">
        <v>16</v>
      </c>
      <c r="D17" s="14">
        <f t="shared" ref="D17:G17" si="0">SUM(D5:D16)</f>
        <v>199400</v>
      </c>
      <c r="E17" s="14">
        <f t="shared" si="0"/>
        <v>214500</v>
      </c>
      <c r="F17" s="14">
        <f t="shared" si="0"/>
        <v>231100</v>
      </c>
      <c r="G17" s="15">
        <f t="shared" si="0"/>
        <v>249000</v>
      </c>
    </row>
  </sheetData>
  <mergeCells count="1">
    <mergeCell ref="C3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E4E0C-B5E1-406B-B8D4-18E3BCB538CC}">
  <sheetPr>
    <tabColor rgb="FF0137A6"/>
  </sheetPr>
  <dimension ref="C2:G17"/>
  <sheetViews>
    <sheetView showGridLines="0" workbookViewId="0">
      <selection activeCell="D32" sqref="D32"/>
    </sheetView>
  </sheetViews>
  <sheetFormatPr defaultRowHeight="15" x14ac:dyDescent="0.4"/>
  <cols>
    <col min="3" max="3" width="24.33203125" customWidth="1"/>
    <col min="4" max="4" width="10.44140625" customWidth="1"/>
    <col min="5" max="5" width="12.5546875" bestFit="1" customWidth="1"/>
    <col min="6" max="6" width="12" bestFit="1" customWidth="1"/>
    <col min="7" max="7" width="14.33203125" bestFit="1" customWidth="1"/>
    <col min="8" max="8" width="17.88671875" bestFit="1" customWidth="1"/>
    <col min="10" max="10" width="16.109375" bestFit="1" customWidth="1"/>
    <col min="11" max="11" width="13.6640625" bestFit="1" customWidth="1"/>
    <col min="12" max="12" width="15.109375" bestFit="1" customWidth="1"/>
    <col min="13" max="13" width="16.21875" bestFit="1" customWidth="1"/>
  </cols>
  <sheetData>
    <row r="2" spans="3:7" x14ac:dyDescent="0.4">
      <c r="D2" s="9"/>
    </row>
    <row r="3" spans="3:7" x14ac:dyDescent="0.4">
      <c r="C3" s="48" t="s">
        <v>19</v>
      </c>
      <c r="D3" s="48"/>
      <c r="E3" s="48"/>
      <c r="F3" s="48"/>
      <c r="G3" s="48"/>
    </row>
    <row r="4" spans="3:7" x14ac:dyDescent="0.4">
      <c r="C4" s="18" t="s">
        <v>15</v>
      </c>
      <c r="D4" s="10">
        <v>2021</v>
      </c>
      <c r="E4" s="10">
        <v>2022</v>
      </c>
      <c r="F4" s="10">
        <v>2023</v>
      </c>
      <c r="G4" s="11">
        <v>2024</v>
      </c>
    </row>
    <row r="5" spans="3:7" x14ac:dyDescent="0.4">
      <c r="C5" s="16" t="s">
        <v>2</v>
      </c>
      <c r="D5" s="12">
        <v>45800</v>
      </c>
      <c r="E5" s="12">
        <v>51200</v>
      </c>
      <c r="F5" s="12">
        <v>54700</v>
      </c>
      <c r="G5" s="13">
        <v>59000</v>
      </c>
    </row>
    <row r="6" spans="3:7" x14ac:dyDescent="0.4">
      <c r="C6" s="16" t="s">
        <v>7</v>
      </c>
      <c r="D6" s="12">
        <v>36400</v>
      </c>
      <c r="E6" s="12">
        <v>39800</v>
      </c>
      <c r="F6" s="12">
        <v>42900</v>
      </c>
      <c r="G6" s="13">
        <v>46500</v>
      </c>
    </row>
    <row r="7" spans="3:7" x14ac:dyDescent="0.4">
      <c r="C7" s="16" t="s">
        <v>1</v>
      </c>
      <c r="D7" s="12">
        <v>28600</v>
      </c>
      <c r="E7" s="12">
        <v>30900</v>
      </c>
      <c r="F7" s="12">
        <v>34200</v>
      </c>
      <c r="G7" s="13">
        <v>36700</v>
      </c>
    </row>
    <row r="8" spans="3:7" x14ac:dyDescent="0.4">
      <c r="C8" s="16" t="s">
        <v>0</v>
      </c>
      <c r="D8" s="12">
        <v>63900</v>
      </c>
      <c r="E8" s="12">
        <v>68500</v>
      </c>
      <c r="F8" s="12">
        <v>72800</v>
      </c>
      <c r="G8" s="13">
        <v>78200</v>
      </c>
    </row>
    <row r="9" spans="3:7" x14ac:dyDescent="0.4">
      <c r="C9" s="16" t="s">
        <v>6</v>
      </c>
      <c r="D9" s="12">
        <v>22700</v>
      </c>
      <c r="E9" s="12">
        <v>24900</v>
      </c>
      <c r="F9" s="12">
        <v>26800</v>
      </c>
      <c r="G9" s="13">
        <v>29300</v>
      </c>
    </row>
    <row r="10" spans="3:7" x14ac:dyDescent="0.4">
      <c r="C10" s="16" t="s">
        <v>5</v>
      </c>
      <c r="D10" s="12">
        <v>27800</v>
      </c>
      <c r="E10" s="12">
        <v>29900</v>
      </c>
      <c r="F10" s="12">
        <v>32700</v>
      </c>
      <c r="G10" s="13">
        <v>35400</v>
      </c>
    </row>
    <row r="11" spans="3:7" x14ac:dyDescent="0.4">
      <c r="C11" s="16" t="s">
        <v>8</v>
      </c>
      <c r="D11" s="12">
        <v>19500</v>
      </c>
      <c r="E11" s="12">
        <v>21600</v>
      </c>
      <c r="F11" s="12">
        <v>23400</v>
      </c>
      <c r="G11" s="13">
        <v>25800</v>
      </c>
    </row>
    <row r="12" spans="3:7" x14ac:dyDescent="0.4">
      <c r="C12" s="16" t="s">
        <v>3</v>
      </c>
      <c r="D12" s="12">
        <v>74200</v>
      </c>
      <c r="E12" s="12">
        <v>79300</v>
      </c>
      <c r="F12" s="12">
        <v>85100</v>
      </c>
      <c r="G12" s="13">
        <v>91400</v>
      </c>
    </row>
    <row r="13" spans="3:7" x14ac:dyDescent="0.4">
      <c r="C13" s="16" t="s">
        <v>10</v>
      </c>
      <c r="D13" s="12">
        <v>81900</v>
      </c>
      <c r="E13" s="12">
        <v>87600</v>
      </c>
      <c r="F13" s="12">
        <v>93800</v>
      </c>
      <c r="G13" s="13">
        <v>101200</v>
      </c>
    </row>
    <row r="14" spans="3:7" x14ac:dyDescent="0.4">
      <c r="C14" s="16" t="s">
        <v>4</v>
      </c>
      <c r="D14" s="12">
        <v>16200</v>
      </c>
      <c r="E14" s="12">
        <v>17800</v>
      </c>
      <c r="F14" s="12">
        <v>19300</v>
      </c>
      <c r="G14" s="13">
        <v>21000</v>
      </c>
    </row>
    <row r="15" spans="3:7" x14ac:dyDescent="0.4">
      <c r="C15" s="16" t="s">
        <v>9</v>
      </c>
      <c r="D15" s="12">
        <v>14300</v>
      </c>
      <c r="E15" s="12">
        <v>15700</v>
      </c>
      <c r="F15" s="12">
        <v>17100</v>
      </c>
      <c r="G15" s="13">
        <v>18900</v>
      </c>
    </row>
    <row r="16" spans="3:7" x14ac:dyDescent="0.4">
      <c r="C16" s="16" t="s">
        <v>17</v>
      </c>
      <c r="D16" s="12">
        <v>33700</v>
      </c>
      <c r="E16" s="12">
        <v>36900</v>
      </c>
      <c r="F16" s="12">
        <v>39800</v>
      </c>
      <c r="G16" s="13">
        <v>43600</v>
      </c>
    </row>
    <row r="17" spans="3:7" x14ac:dyDescent="0.4">
      <c r="C17" s="17" t="s">
        <v>16</v>
      </c>
      <c r="D17" s="14">
        <f>SUM(D5:D16)</f>
        <v>465000</v>
      </c>
      <c r="E17" s="14">
        <f t="shared" ref="E17:G17" si="0">SUM(E5:E16)</f>
        <v>504100</v>
      </c>
      <c r="F17" s="14">
        <f t="shared" si="0"/>
        <v>542600</v>
      </c>
      <c r="G17" s="15">
        <f t="shared" si="0"/>
        <v>587000</v>
      </c>
    </row>
  </sheetData>
  <mergeCells count="1">
    <mergeCell ref="C3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5172D-8088-4F3F-B058-45A528349DA8}">
  <sheetPr>
    <tabColor rgb="FF0137A6"/>
  </sheetPr>
  <dimension ref="C3:G18"/>
  <sheetViews>
    <sheetView showGridLines="0" workbookViewId="0">
      <selection activeCell="G21" sqref="G21"/>
    </sheetView>
  </sheetViews>
  <sheetFormatPr defaultRowHeight="15" x14ac:dyDescent="0.4"/>
  <cols>
    <col min="3" max="3" width="22.109375" customWidth="1"/>
    <col min="7" max="7" width="9.5546875" customWidth="1"/>
  </cols>
  <sheetData>
    <row r="3" spans="3:7" x14ac:dyDescent="0.4">
      <c r="C3" s="44" t="s">
        <v>77</v>
      </c>
    </row>
    <row r="4" spans="3:7" x14ac:dyDescent="0.4">
      <c r="C4" s="48" t="s">
        <v>78</v>
      </c>
      <c r="D4" s="48"/>
      <c r="E4" s="48"/>
      <c r="F4" s="48"/>
      <c r="G4" s="48"/>
    </row>
    <row r="5" spans="3:7" x14ac:dyDescent="0.4">
      <c r="C5" s="18" t="s">
        <v>15</v>
      </c>
      <c r="D5" s="10">
        <v>2021</v>
      </c>
      <c r="E5" s="10">
        <v>2022</v>
      </c>
      <c r="F5" s="10">
        <v>2023</v>
      </c>
      <c r="G5" s="11">
        <v>2024</v>
      </c>
    </row>
    <row r="6" spans="3:7" x14ac:dyDescent="0.4">
      <c r="C6" s="16" t="s">
        <v>2</v>
      </c>
      <c r="D6" s="12">
        <v>1200</v>
      </c>
      <c r="E6" s="12">
        <v>1350</v>
      </c>
      <c r="F6" s="12">
        <v>1500</v>
      </c>
      <c r="G6" s="13">
        <v>1650</v>
      </c>
    </row>
    <row r="7" spans="3:7" x14ac:dyDescent="0.4">
      <c r="C7" s="16" t="s">
        <v>7</v>
      </c>
      <c r="D7" s="12">
        <v>1000</v>
      </c>
      <c r="E7" s="12">
        <v>1150</v>
      </c>
      <c r="F7" s="12">
        <v>1300</v>
      </c>
      <c r="G7" s="13">
        <v>1450</v>
      </c>
    </row>
    <row r="8" spans="3:7" x14ac:dyDescent="0.4">
      <c r="C8" s="16" t="s">
        <v>1</v>
      </c>
      <c r="D8" s="12">
        <v>2800</v>
      </c>
      <c r="E8" s="12">
        <v>3100</v>
      </c>
      <c r="F8" s="12">
        <v>3400</v>
      </c>
      <c r="G8" s="13">
        <v>3700</v>
      </c>
    </row>
    <row r="9" spans="3:7" x14ac:dyDescent="0.4">
      <c r="C9" s="16" t="s">
        <v>0</v>
      </c>
      <c r="D9" s="12">
        <v>3600</v>
      </c>
      <c r="E9" s="12">
        <v>4000</v>
      </c>
      <c r="F9" s="12">
        <v>4400</v>
      </c>
      <c r="G9" s="13">
        <v>4800</v>
      </c>
    </row>
    <row r="10" spans="3:7" x14ac:dyDescent="0.4">
      <c r="C10" s="16" t="s">
        <v>6</v>
      </c>
      <c r="D10" s="12">
        <v>1100</v>
      </c>
      <c r="E10" s="12">
        <v>1250</v>
      </c>
      <c r="F10" s="12">
        <v>1400</v>
      </c>
      <c r="G10" s="13">
        <v>1550</v>
      </c>
    </row>
    <row r="11" spans="3:7" x14ac:dyDescent="0.4">
      <c r="C11" s="16" t="s">
        <v>5</v>
      </c>
      <c r="D11" s="12">
        <v>2200</v>
      </c>
      <c r="E11" s="12">
        <v>2450</v>
      </c>
      <c r="F11" s="12">
        <v>2700</v>
      </c>
      <c r="G11" s="13">
        <v>2950</v>
      </c>
    </row>
    <row r="12" spans="3:7" x14ac:dyDescent="0.4">
      <c r="C12" s="16" t="s">
        <v>8</v>
      </c>
      <c r="D12" s="12">
        <v>900</v>
      </c>
      <c r="E12" s="12">
        <v>1050</v>
      </c>
      <c r="F12" s="12">
        <v>1200</v>
      </c>
      <c r="G12" s="13">
        <v>1350</v>
      </c>
    </row>
    <row r="13" spans="3:7" x14ac:dyDescent="0.4">
      <c r="C13" s="16" t="s">
        <v>3</v>
      </c>
      <c r="D13" s="12">
        <v>4500</v>
      </c>
      <c r="E13" s="12">
        <v>4950</v>
      </c>
      <c r="F13" s="12">
        <v>5400</v>
      </c>
      <c r="G13" s="13">
        <v>5850</v>
      </c>
    </row>
    <row r="14" spans="3:7" x14ac:dyDescent="0.4">
      <c r="C14" s="16" t="s">
        <v>10</v>
      </c>
      <c r="D14" s="12">
        <v>3800</v>
      </c>
      <c r="E14" s="12">
        <v>4200</v>
      </c>
      <c r="F14" s="12">
        <v>4600</v>
      </c>
      <c r="G14" s="13">
        <v>5000</v>
      </c>
    </row>
    <row r="15" spans="3:7" x14ac:dyDescent="0.4">
      <c r="C15" s="16" t="s">
        <v>4</v>
      </c>
      <c r="D15" s="12">
        <v>700</v>
      </c>
      <c r="E15" s="12">
        <v>800</v>
      </c>
      <c r="F15" s="12">
        <v>900</v>
      </c>
      <c r="G15" s="13">
        <v>1000</v>
      </c>
    </row>
    <row r="16" spans="3:7" x14ac:dyDescent="0.4">
      <c r="C16" s="16" t="s">
        <v>9</v>
      </c>
      <c r="D16" s="12">
        <v>1300</v>
      </c>
      <c r="E16" s="12">
        <v>1450</v>
      </c>
      <c r="F16" s="12">
        <v>1600</v>
      </c>
      <c r="G16" s="13">
        <v>1750</v>
      </c>
    </row>
    <row r="17" spans="3:7" x14ac:dyDescent="0.4">
      <c r="C17" s="16" t="s">
        <v>17</v>
      </c>
      <c r="D17" s="12">
        <v>1400</v>
      </c>
      <c r="E17" s="12">
        <v>1600</v>
      </c>
      <c r="F17" s="12">
        <v>1800</v>
      </c>
      <c r="G17" s="13">
        <v>2000</v>
      </c>
    </row>
    <row r="18" spans="3:7" x14ac:dyDescent="0.4">
      <c r="C18" s="17" t="s">
        <v>16</v>
      </c>
      <c r="D18" s="14">
        <v>26500</v>
      </c>
      <c r="E18" s="14">
        <v>29300</v>
      </c>
      <c r="F18" s="14">
        <v>32200</v>
      </c>
      <c r="G18" s="15">
        <v>35050</v>
      </c>
    </row>
  </sheetData>
  <mergeCells count="1">
    <mergeCell ref="C4:G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CF20C-2213-4055-AB8E-7B28A7734F80}">
  <sheetPr>
    <tabColor rgb="FFC00000"/>
  </sheetPr>
  <dimension ref="A2:N71"/>
  <sheetViews>
    <sheetView showGridLines="0" topLeftCell="A56" workbookViewId="0">
      <selection activeCell="F5" sqref="F5"/>
    </sheetView>
  </sheetViews>
  <sheetFormatPr defaultRowHeight="15" x14ac:dyDescent="0.4"/>
  <cols>
    <col min="1" max="1" width="21.21875" customWidth="1"/>
    <col min="2" max="2" width="19.88671875" bestFit="1" customWidth="1"/>
    <col min="3" max="3" width="18.21875" bestFit="1" customWidth="1"/>
    <col min="4" max="5" width="13.44140625" bestFit="1" customWidth="1"/>
    <col min="6" max="6" width="17.33203125" customWidth="1"/>
    <col min="7" max="7" width="16.88671875" customWidth="1"/>
    <col min="8" max="8" width="16.33203125" customWidth="1"/>
    <col min="9" max="9" width="14" bestFit="1" customWidth="1"/>
    <col min="10" max="15" width="13.44140625" bestFit="1" customWidth="1"/>
  </cols>
  <sheetData>
    <row r="2" spans="1:7" ht="15" customHeight="1" x14ac:dyDescent="0.4">
      <c r="A2" s="19" t="s">
        <v>22</v>
      </c>
      <c r="B2" s="7"/>
      <c r="C2" s="7"/>
      <c r="D2" s="7"/>
      <c r="E2" s="7"/>
      <c r="F2" s="7"/>
    </row>
    <row r="3" spans="1:7" ht="21" customHeight="1" x14ac:dyDescent="0.4">
      <c r="A3" s="7" t="s">
        <v>23</v>
      </c>
      <c r="C3" s="48" t="s">
        <v>27</v>
      </c>
      <c r="D3" s="48"/>
      <c r="E3" s="48"/>
      <c r="F3" s="48"/>
      <c r="G3" s="48"/>
    </row>
    <row r="4" spans="1:7" ht="30" x14ac:dyDescent="0.4">
      <c r="A4" s="7" t="s">
        <v>24</v>
      </c>
      <c r="C4" s="20" t="s">
        <v>15</v>
      </c>
      <c r="D4" s="21" t="s">
        <v>28</v>
      </c>
      <c r="E4" s="21" t="s">
        <v>29</v>
      </c>
      <c r="F4" s="22" t="s">
        <v>30</v>
      </c>
      <c r="G4" s="23" t="s">
        <v>31</v>
      </c>
    </row>
    <row r="5" spans="1:7" x14ac:dyDescent="0.4">
      <c r="A5" s="7" t="s">
        <v>25</v>
      </c>
      <c r="C5" s="16" t="s">
        <v>2</v>
      </c>
      <c r="D5" s="12">
        <f>UPR!D5</f>
        <v>120500</v>
      </c>
      <c r="E5" s="12">
        <f>DAC!D5</f>
        <v>19700</v>
      </c>
      <c r="F5" s="12">
        <f>'Premium Receivables'!D5-'Bad Debts'!D6</f>
        <v>44600</v>
      </c>
      <c r="G5" s="24">
        <f>D5-E5-F5</f>
        <v>56200</v>
      </c>
    </row>
    <row r="6" spans="1:7" x14ac:dyDescent="0.4">
      <c r="A6" s="7" t="s">
        <v>26</v>
      </c>
      <c r="C6" s="16" t="s">
        <v>7</v>
      </c>
      <c r="D6" s="12">
        <f>UPR!D6</f>
        <v>98700</v>
      </c>
      <c r="E6" s="12">
        <f>DAC!D6</f>
        <v>15600</v>
      </c>
      <c r="F6" s="12">
        <f>'Premium Receivables'!D6-'Bad Debts'!D7</f>
        <v>35400</v>
      </c>
      <c r="G6" s="24">
        <f t="shared" ref="G6:G16" si="0">D6-E6-F6</f>
        <v>47700</v>
      </c>
    </row>
    <row r="7" spans="1:7" x14ac:dyDescent="0.4">
      <c r="C7" s="16" t="s">
        <v>1</v>
      </c>
      <c r="D7" s="12">
        <f>UPR!D7</f>
        <v>82300</v>
      </c>
      <c r="E7" s="12">
        <f>DAC!D7</f>
        <v>12600</v>
      </c>
      <c r="F7" s="12">
        <f>'Premium Receivables'!D7-'Bad Debts'!D8</f>
        <v>25800</v>
      </c>
      <c r="G7" s="24">
        <f t="shared" si="0"/>
        <v>43900</v>
      </c>
    </row>
    <row r="8" spans="1:7" x14ac:dyDescent="0.4">
      <c r="C8" s="16" t="s">
        <v>0</v>
      </c>
      <c r="D8" s="12">
        <f>UPR!D8</f>
        <v>150400</v>
      </c>
      <c r="E8" s="12">
        <f>DAC!D8</f>
        <v>28200</v>
      </c>
      <c r="F8" s="12">
        <f>'Premium Receivables'!D8-'Bad Debts'!D9</f>
        <v>60300</v>
      </c>
      <c r="G8" s="24">
        <f t="shared" si="0"/>
        <v>61900</v>
      </c>
    </row>
    <row r="9" spans="1:7" x14ac:dyDescent="0.4">
      <c r="C9" s="16" t="s">
        <v>6</v>
      </c>
      <c r="D9" s="12">
        <f>UPR!D9</f>
        <v>65800</v>
      </c>
      <c r="E9" s="12">
        <f>DAC!D9</f>
        <v>10000</v>
      </c>
      <c r="F9" s="12">
        <f>'Premium Receivables'!D9-'Bad Debts'!D10</f>
        <v>21600</v>
      </c>
      <c r="G9" s="24">
        <f t="shared" si="0"/>
        <v>34200</v>
      </c>
    </row>
    <row r="10" spans="1:7" x14ac:dyDescent="0.4">
      <c r="C10" s="16" t="s">
        <v>5</v>
      </c>
      <c r="D10" s="12">
        <f>UPR!D10</f>
        <v>73900</v>
      </c>
      <c r="E10" s="12">
        <f>DAC!D10</f>
        <v>11600</v>
      </c>
      <c r="F10" s="12">
        <f>'Premium Receivables'!D10-'Bad Debts'!D11</f>
        <v>25600</v>
      </c>
      <c r="G10" s="24">
        <f t="shared" si="0"/>
        <v>36700</v>
      </c>
    </row>
    <row r="11" spans="1:7" x14ac:dyDescent="0.4">
      <c r="C11" s="16" t="s">
        <v>8</v>
      </c>
      <c r="D11" s="12">
        <f>UPR!D11</f>
        <v>60400</v>
      </c>
      <c r="E11" s="12">
        <f>DAC!D11</f>
        <v>8300</v>
      </c>
      <c r="F11" s="12">
        <f>'Premium Receivables'!D11-'Bad Debts'!D12</f>
        <v>18600</v>
      </c>
      <c r="G11" s="24">
        <f t="shared" si="0"/>
        <v>33500</v>
      </c>
    </row>
    <row r="12" spans="1:7" x14ac:dyDescent="0.4">
      <c r="C12" s="16" t="s">
        <v>3</v>
      </c>
      <c r="D12" s="12">
        <f>UPR!D12</f>
        <v>200600</v>
      </c>
      <c r="E12" s="12">
        <f>DAC!D12</f>
        <v>31200</v>
      </c>
      <c r="F12" s="12">
        <f>'Premium Receivables'!D12-'Bad Debts'!D13</f>
        <v>69700</v>
      </c>
      <c r="G12" s="24">
        <f t="shared" si="0"/>
        <v>99700</v>
      </c>
    </row>
    <row r="13" spans="1:7" x14ac:dyDescent="0.4">
      <c r="C13" s="16" t="s">
        <v>10</v>
      </c>
      <c r="D13" s="12">
        <f>UPR!D13</f>
        <v>230500</v>
      </c>
      <c r="E13" s="12">
        <f>DAC!D13</f>
        <v>34900</v>
      </c>
      <c r="F13" s="12">
        <f>'Premium Receivables'!D13-'Bad Debts'!D14</f>
        <v>78100</v>
      </c>
      <c r="G13" s="24">
        <f t="shared" si="0"/>
        <v>117500</v>
      </c>
    </row>
    <row r="14" spans="1:7" x14ac:dyDescent="0.4">
      <c r="C14" s="16" t="s">
        <v>4</v>
      </c>
      <c r="D14" s="12">
        <f>UPR!D14</f>
        <v>55200</v>
      </c>
      <c r="E14" s="12">
        <f>DAC!D14</f>
        <v>7000</v>
      </c>
      <c r="F14" s="12">
        <f>'Premium Receivables'!D14-'Bad Debts'!D15</f>
        <v>15500</v>
      </c>
      <c r="G14" s="24">
        <f t="shared" si="0"/>
        <v>32700</v>
      </c>
    </row>
    <row r="15" spans="1:7" x14ac:dyDescent="0.4">
      <c r="C15" s="16" t="s">
        <v>9</v>
      </c>
      <c r="D15" s="12">
        <f>UPR!D15</f>
        <v>48700</v>
      </c>
      <c r="E15" s="12">
        <f>DAC!D15</f>
        <v>6200</v>
      </c>
      <c r="F15" s="12">
        <f>'Premium Receivables'!D15-'Bad Debts'!D16</f>
        <v>13000</v>
      </c>
      <c r="G15" s="24">
        <f t="shared" si="0"/>
        <v>29500</v>
      </c>
    </row>
    <row r="16" spans="1:7" x14ac:dyDescent="0.4">
      <c r="C16" s="16" t="s">
        <v>17</v>
      </c>
      <c r="D16" s="12">
        <f>UPR!D16</f>
        <v>92600</v>
      </c>
      <c r="E16" s="12">
        <f>DAC!D16</f>
        <v>14100</v>
      </c>
      <c r="F16" s="12">
        <f>'Premium Receivables'!D16-'Bad Debts'!D17</f>
        <v>32300</v>
      </c>
      <c r="G16" s="24">
        <f t="shared" si="0"/>
        <v>46200</v>
      </c>
    </row>
    <row r="17" spans="3:14" x14ac:dyDescent="0.4">
      <c r="C17" s="17" t="s">
        <v>16</v>
      </c>
      <c r="D17" s="14">
        <f>SUM(D5:D16)</f>
        <v>1279600</v>
      </c>
      <c r="E17" s="14">
        <f t="shared" ref="E17:G17" si="1">SUM(E5:E16)</f>
        <v>199400</v>
      </c>
      <c r="F17" s="14">
        <f t="shared" si="1"/>
        <v>440500</v>
      </c>
      <c r="G17" s="25">
        <f t="shared" si="1"/>
        <v>639700</v>
      </c>
    </row>
    <row r="20" spans="3:14" ht="28.2" customHeight="1" x14ac:dyDescent="0.4">
      <c r="C20" s="49" t="s">
        <v>32</v>
      </c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3:14" ht="39.6" x14ac:dyDescent="0.4">
      <c r="C21" s="26" t="s">
        <v>33</v>
      </c>
      <c r="D21" s="27" t="s">
        <v>34</v>
      </c>
      <c r="E21" s="28" t="s">
        <v>35</v>
      </c>
      <c r="F21" s="28" t="s">
        <v>36</v>
      </c>
      <c r="G21" s="28" t="s">
        <v>37</v>
      </c>
      <c r="H21" s="27" t="s">
        <v>38</v>
      </c>
      <c r="I21" s="27" t="s">
        <v>39</v>
      </c>
      <c r="J21" s="28" t="s">
        <v>29</v>
      </c>
      <c r="K21" s="28" t="s">
        <v>40</v>
      </c>
      <c r="L21" s="27" t="s">
        <v>41</v>
      </c>
      <c r="M21" s="27" t="s">
        <v>31</v>
      </c>
      <c r="N21" s="8"/>
    </row>
    <row r="22" spans="3:14" x14ac:dyDescent="0.4">
      <c r="C22" s="29" t="s">
        <v>2</v>
      </c>
      <c r="D22" s="30">
        <f>G5</f>
        <v>56200</v>
      </c>
      <c r="E22" s="33">
        <f>GWP!E5</f>
        <v>192300</v>
      </c>
      <c r="F22" s="34">
        <f>F5</f>
        <v>44600</v>
      </c>
      <c r="G22" s="33">
        <f>'Premium Receivables'!E5-'Bad Debts'!E6</f>
        <v>49850</v>
      </c>
      <c r="H22" s="30">
        <f>E22+F22-G22</f>
        <v>187050</v>
      </c>
      <c r="I22" s="30">
        <f>E22-(UPR!E5-UPR!D5)</f>
        <v>177600</v>
      </c>
      <c r="J22" s="33">
        <f>E5</f>
        <v>19700</v>
      </c>
      <c r="K22" s="33">
        <f>DAC!E5</f>
        <v>21100</v>
      </c>
      <c r="L22" s="30">
        <f>K22-J22</f>
        <v>1400</v>
      </c>
      <c r="M22" s="30">
        <f>D22+H22-I22-L22</f>
        <v>64250</v>
      </c>
      <c r="N22" s="8"/>
    </row>
    <row r="23" spans="3:14" x14ac:dyDescent="0.4">
      <c r="C23" s="29" t="s">
        <v>7</v>
      </c>
      <c r="D23" s="30">
        <f t="shared" ref="D23:D33" si="2">G6</f>
        <v>47700</v>
      </c>
      <c r="E23" s="33">
        <f>GWP!E6</f>
        <v>162100</v>
      </c>
      <c r="F23" s="34">
        <f t="shared" ref="F23:F33" si="3">F6</f>
        <v>35400</v>
      </c>
      <c r="G23" s="33">
        <f>'Premium Receivables'!E6-'Bad Debts'!E7</f>
        <v>38650</v>
      </c>
      <c r="H23" s="30">
        <f t="shared" ref="H23:H33" si="4">E23+F23-G23</f>
        <v>158850</v>
      </c>
      <c r="I23" s="30">
        <f>E23-(UPR!E6-UPR!D6)</f>
        <v>155900</v>
      </c>
      <c r="J23" s="33">
        <f t="shared" ref="J23:J33" si="5">E6</f>
        <v>15600</v>
      </c>
      <c r="K23" s="33">
        <f>DAC!E6</f>
        <v>16900</v>
      </c>
      <c r="L23" s="30">
        <f t="shared" ref="L23:L33" si="6">K23-J23</f>
        <v>1300</v>
      </c>
      <c r="M23" s="30">
        <f t="shared" ref="M23:M33" si="7">D23+H23-I23-L23</f>
        <v>49350</v>
      </c>
      <c r="N23" s="8"/>
    </row>
    <row r="24" spans="3:14" x14ac:dyDescent="0.4">
      <c r="C24" s="29" t="s">
        <v>1</v>
      </c>
      <c r="D24" s="30">
        <f t="shared" si="2"/>
        <v>43900</v>
      </c>
      <c r="E24" s="33">
        <f>GWP!E7</f>
        <v>128900</v>
      </c>
      <c r="F24" s="34">
        <f t="shared" si="3"/>
        <v>25800</v>
      </c>
      <c r="G24" s="33">
        <f>'Premium Receivables'!E7-'Bad Debts'!E8</f>
        <v>27800</v>
      </c>
      <c r="H24" s="30">
        <f t="shared" si="4"/>
        <v>126900</v>
      </c>
      <c r="I24" s="30">
        <f>E24-(UPR!E7-UPR!D7)</f>
        <v>123600</v>
      </c>
      <c r="J24" s="33">
        <f t="shared" si="5"/>
        <v>12600</v>
      </c>
      <c r="K24" s="33">
        <f>DAC!E7</f>
        <v>13700</v>
      </c>
      <c r="L24" s="30">
        <f t="shared" si="6"/>
        <v>1100</v>
      </c>
      <c r="M24" s="30">
        <f t="shared" si="7"/>
        <v>46100</v>
      </c>
      <c r="N24" s="8"/>
    </row>
    <row r="25" spans="3:14" x14ac:dyDescent="0.4">
      <c r="C25" s="29" t="s">
        <v>0</v>
      </c>
      <c r="D25" s="30">
        <f t="shared" si="2"/>
        <v>61900</v>
      </c>
      <c r="E25" s="33">
        <f>GWP!E8</f>
        <v>310500</v>
      </c>
      <c r="F25" s="34">
        <f t="shared" si="3"/>
        <v>60300</v>
      </c>
      <c r="G25" s="33">
        <f>'Premium Receivables'!E8-'Bad Debts'!E9</f>
        <v>64500</v>
      </c>
      <c r="H25" s="30">
        <f t="shared" si="4"/>
        <v>306300</v>
      </c>
      <c r="I25" s="30">
        <f>E25-(UPR!E8-UPR!D8)</f>
        <v>298000</v>
      </c>
      <c r="J25" s="33">
        <f t="shared" si="5"/>
        <v>28200</v>
      </c>
      <c r="K25" s="33">
        <f>DAC!E8</f>
        <v>30100</v>
      </c>
      <c r="L25" s="30">
        <f t="shared" si="6"/>
        <v>1900</v>
      </c>
      <c r="M25" s="30">
        <f t="shared" si="7"/>
        <v>68300</v>
      </c>
      <c r="N25" s="8"/>
    </row>
    <row r="26" spans="3:14" x14ac:dyDescent="0.4">
      <c r="C26" s="29" t="s">
        <v>6</v>
      </c>
      <c r="D26" s="30">
        <f t="shared" si="2"/>
        <v>34200</v>
      </c>
      <c r="E26" s="33">
        <f>GWP!E9</f>
        <v>105700</v>
      </c>
      <c r="F26" s="34">
        <f t="shared" si="3"/>
        <v>21600</v>
      </c>
      <c r="G26" s="33">
        <f>'Premium Receivables'!E9-'Bad Debts'!E10</f>
        <v>23650</v>
      </c>
      <c r="H26" s="30">
        <f t="shared" si="4"/>
        <v>103650</v>
      </c>
      <c r="I26" s="30">
        <f>E26-(UPR!E9-UPR!D9)</f>
        <v>99200</v>
      </c>
      <c r="J26" s="33">
        <f t="shared" si="5"/>
        <v>10000</v>
      </c>
      <c r="K26" s="33">
        <f>DAC!E9</f>
        <v>10900</v>
      </c>
      <c r="L26" s="30">
        <f t="shared" si="6"/>
        <v>900</v>
      </c>
      <c r="M26" s="30">
        <f t="shared" si="7"/>
        <v>37750</v>
      </c>
      <c r="N26" s="8"/>
    </row>
    <row r="27" spans="3:14" x14ac:dyDescent="0.4">
      <c r="C27" s="29" t="s">
        <v>5</v>
      </c>
      <c r="D27" s="30">
        <f t="shared" si="2"/>
        <v>36700</v>
      </c>
      <c r="E27" s="33">
        <f>GWP!E10</f>
        <v>118900</v>
      </c>
      <c r="F27" s="34">
        <f t="shared" si="3"/>
        <v>25600</v>
      </c>
      <c r="G27" s="33">
        <f>'Premium Receivables'!E10-'Bad Debts'!E11</f>
        <v>27450</v>
      </c>
      <c r="H27" s="30">
        <f t="shared" si="4"/>
        <v>117050</v>
      </c>
      <c r="I27" s="30">
        <f>E27-(UPR!E10-UPR!D10)</f>
        <v>113700</v>
      </c>
      <c r="J27" s="33">
        <f t="shared" si="5"/>
        <v>11600</v>
      </c>
      <c r="K27" s="33">
        <f>DAC!E10</f>
        <v>12600</v>
      </c>
      <c r="L27" s="30">
        <f t="shared" si="6"/>
        <v>1000</v>
      </c>
      <c r="M27" s="30">
        <f t="shared" si="7"/>
        <v>39050</v>
      </c>
      <c r="N27" s="8"/>
    </row>
    <row r="28" spans="3:14" x14ac:dyDescent="0.4">
      <c r="C28" s="29" t="s">
        <v>8</v>
      </c>
      <c r="D28" s="30">
        <f t="shared" si="2"/>
        <v>33500</v>
      </c>
      <c r="E28" s="33">
        <f>GWP!E11</f>
        <v>93700</v>
      </c>
      <c r="F28" s="34">
        <f t="shared" si="3"/>
        <v>18600</v>
      </c>
      <c r="G28" s="33">
        <f>'Premium Receivables'!E11-'Bad Debts'!E12</f>
        <v>20550</v>
      </c>
      <c r="H28" s="30">
        <f t="shared" si="4"/>
        <v>91750</v>
      </c>
      <c r="I28" s="30">
        <f>E28-(UPR!E11-UPR!D11)</f>
        <v>89300</v>
      </c>
      <c r="J28" s="33">
        <f t="shared" si="5"/>
        <v>8300</v>
      </c>
      <c r="K28" s="33">
        <f>DAC!E11</f>
        <v>9100</v>
      </c>
      <c r="L28" s="30">
        <f t="shared" si="6"/>
        <v>800</v>
      </c>
      <c r="M28" s="30">
        <f t="shared" si="7"/>
        <v>35150</v>
      </c>
      <c r="N28" s="8"/>
    </row>
    <row r="29" spans="3:14" x14ac:dyDescent="0.4">
      <c r="C29" s="29" t="s">
        <v>3</v>
      </c>
      <c r="D29" s="30">
        <f t="shared" si="2"/>
        <v>99700</v>
      </c>
      <c r="E29" s="33">
        <f>GWP!E12</f>
        <v>352400</v>
      </c>
      <c r="F29" s="34">
        <f t="shared" si="3"/>
        <v>69700</v>
      </c>
      <c r="G29" s="33">
        <f>'Premium Receivables'!E12-'Bad Debts'!E13</f>
        <v>74350</v>
      </c>
      <c r="H29" s="30">
        <f t="shared" si="4"/>
        <v>347750</v>
      </c>
      <c r="I29" s="30">
        <f>E29-(UPR!E12-UPR!D12)</f>
        <v>337600</v>
      </c>
      <c r="J29" s="33">
        <f t="shared" si="5"/>
        <v>31200</v>
      </c>
      <c r="K29" s="33">
        <f>DAC!E12</f>
        <v>33400</v>
      </c>
      <c r="L29" s="30">
        <f t="shared" si="6"/>
        <v>2200</v>
      </c>
      <c r="M29" s="30">
        <f t="shared" si="7"/>
        <v>107650</v>
      </c>
      <c r="N29" s="8"/>
    </row>
    <row r="30" spans="3:14" x14ac:dyDescent="0.4">
      <c r="C30" s="29" t="s">
        <v>10</v>
      </c>
      <c r="D30" s="30">
        <f t="shared" si="2"/>
        <v>117500</v>
      </c>
      <c r="E30" s="33">
        <f>GWP!E13</f>
        <v>395800</v>
      </c>
      <c r="F30" s="34">
        <f t="shared" si="3"/>
        <v>78100</v>
      </c>
      <c r="G30" s="33">
        <f>'Premium Receivables'!E13-'Bad Debts'!E14</f>
        <v>83400</v>
      </c>
      <c r="H30" s="30">
        <f t="shared" si="4"/>
        <v>390500</v>
      </c>
      <c r="I30" s="30">
        <f>E30-(UPR!E13-UPR!D13)</f>
        <v>378000</v>
      </c>
      <c r="J30" s="33">
        <f t="shared" si="5"/>
        <v>34900</v>
      </c>
      <c r="K30" s="33">
        <f>DAC!E13</f>
        <v>37300</v>
      </c>
      <c r="L30" s="30">
        <f t="shared" si="6"/>
        <v>2400</v>
      </c>
      <c r="M30" s="30">
        <f t="shared" si="7"/>
        <v>127600</v>
      </c>
      <c r="N30" s="8"/>
    </row>
    <row r="31" spans="3:14" x14ac:dyDescent="0.4">
      <c r="C31" s="29" t="s">
        <v>4</v>
      </c>
      <c r="D31" s="30">
        <f t="shared" si="2"/>
        <v>32700</v>
      </c>
      <c r="E31" s="33">
        <f>GWP!E14</f>
        <v>80400</v>
      </c>
      <c r="F31" s="34">
        <f t="shared" si="3"/>
        <v>15500</v>
      </c>
      <c r="G31" s="33">
        <f>'Premium Receivables'!E14-'Bad Debts'!E15</f>
        <v>17000</v>
      </c>
      <c r="H31" s="30">
        <f t="shared" si="4"/>
        <v>78900</v>
      </c>
      <c r="I31" s="30">
        <f>E31-(UPR!E14-UPR!D14)</f>
        <v>75900</v>
      </c>
      <c r="J31" s="33">
        <f t="shared" si="5"/>
        <v>7000</v>
      </c>
      <c r="K31" s="33">
        <f>DAC!E14</f>
        <v>7600</v>
      </c>
      <c r="L31" s="30">
        <f t="shared" si="6"/>
        <v>600</v>
      </c>
      <c r="M31" s="30">
        <f t="shared" si="7"/>
        <v>35100</v>
      </c>
      <c r="N31" s="8"/>
    </row>
    <row r="32" spans="3:14" x14ac:dyDescent="0.4">
      <c r="C32" s="29" t="s">
        <v>9</v>
      </c>
      <c r="D32" s="30">
        <f t="shared" si="2"/>
        <v>29500</v>
      </c>
      <c r="E32" s="33">
        <f>GWP!E15</f>
        <v>71400</v>
      </c>
      <c r="F32" s="34">
        <f t="shared" si="3"/>
        <v>13000</v>
      </c>
      <c r="G32" s="33">
        <f>'Premium Receivables'!E15-'Bad Debts'!E16</f>
        <v>14250</v>
      </c>
      <c r="H32" s="30">
        <f t="shared" si="4"/>
        <v>70150</v>
      </c>
      <c r="I32" s="30">
        <f>E32-(UPR!E15-UPR!D15)</f>
        <v>67200</v>
      </c>
      <c r="J32" s="33">
        <f t="shared" si="5"/>
        <v>6200</v>
      </c>
      <c r="K32" s="33">
        <f>DAC!E15</f>
        <v>6700</v>
      </c>
      <c r="L32" s="30">
        <f t="shared" si="6"/>
        <v>500</v>
      </c>
      <c r="M32" s="30">
        <f t="shared" si="7"/>
        <v>31950</v>
      </c>
      <c r="N32" s="8"/>
    </row>
    <row r="33" spans="3:14" x14ac:dyDescent="0.4">
      <c r="C33" s="29" t="s">
        <v>17</v>
      </c>
      <c r="D33" s="30">
        <f t="shared" si="2"/>
        <v>46200</v>
      </c>
      <c r="E33" s="33">
        <f>GWP!E16</f>
        <v>150800</v>
      </c>
      <c r="F33" s="34">
        <f t="shared" si="3"/>
        <v>32300</v>
      </c>
      <c r="G33" s="33">
        <f>'Premium Receivables'!E16-'Bad Debts'!E17</f>
        <v>35300</v>
      </c>
      <c r="H33" s="30">
        <f t="shared" si="4"/>
        <v>147800</v>
      </c>
      <c r="I33" s="30">
        <f>E33-(UPR!E16-UPR!D16)</f>
        <v>143600</v>
      </c>
      <c r="J33" s="33">
        <f t="shared" si="5"/>
        <v>14100</v>
      </c>
      <c r="K33" s="33">
        <f>DAC!E16</f>
        <v>15100</v>
      </c>
      <c r="L33" s="30">
        <f t="shared" si="6"/>
        <v>1000</v>
      </c>
      <c r="M33" s="30">
        <f t="shared" si="7"/>
        <v>49400</v>
      </c>
      <c r="N33" s="8"/>
    </row>
    <row r="34" spans="3:14" x14ac:dyDescent="0.4">
      <c r="C34" s="31" t="s">
        <v>42</v>
      </c>
      <c r="D34" s="32">
        <f>SUM(D22:D33)</f>
        <v>639700</v>
      </c>
      <c r="E34" s="35">
        <f t="shared" ref="E34:M34" si="8">SUM(E22:E33)</f>
        <v>2162900</v>
      </c>
      <c r="F34" s="35">
        <f t="shared" si="8"/>
        <v>440500</v>
      </c>
      <c r="G34" s="35">
        <f t="shared" si="8"/>
        <v>476750</v>
      </c>
      <c r="H34" s="32">
        <f t="shared" si="8"/>
        <v>2126650</v>
      </c>
      <c r="I34" s="32">
        <f t="shared" si="8"/>
        <v>2059600</v>
      </c>
      <c r="J34" s="35">
        <f t="shared" si="8"/>
        <v>199400</v>
      </c>
      <c r="K34" s="35">
        <f t="shared" si="8"/>
        <v>214500</v>
      </c>
      <c r="L34" s="32">
        <f t="shared" si="8"/>
        <v>15100</v>
      </c>
      <c r="M34" s="32">
        <f t="shared" si="8"/>
        <v>691650</v>
      </c>
    </row>
    <row r="37" spans="3:14" ht="37.799999999999997" customHeight="1" x14ac:dyDescent="0.4">
      <c r="C37" s="49" t="s">
        <v>43</v>
      </c>
      <c r="D37" s="49"/>
      <c r="E37" s="49"/>
      <c r="F37" s="49"/>
      <c r="G37" s="49"/>
      <c r="H37" s="49"/>
      <c r="I37" s="49"/>
      <c r="J37" s="49"/>
      <c r="K37" s="49"/>
      <c r="L37" s="49"/>
      <c r="M37" s="49"/>
    </row>
    <row r="38" spans="3:14" ht="26.4" x14ac:dyDescent="0.4">
      <c r="C38" s="26" t="s">
        <v>33</v>
      </c>
      <c r="D38" s="27" t="s">
        <v>34</v>
      </c>
      <c r="E38" s="28" t="s">
        <v>44</v>
      </c>
      <c r="F38" s="28" t="s">
        <v>37</v>
      </c>
      <c r="G38" s="28" t="s">
        <v>45</v>
      </c>
      <c r="H38" s="27" t="s">
        <v>46</v>
      </c>
      <c r="I38" s="27" t="s">
        <v>47</v>
      </c>
      <c r="J38" s="28" t="s">
        <v>40</v>
      </c>
      <c r="K38" s="28" t="s">
        <v>48</v>
      </c>
      <c r="L38" s="27" t="s">
        <v>41</v>
      </c>
      <c r="M38" s="27" t="s">
        <v>31</v>
      </c>
    </row>
    <row r="39" spans="3:14" x14ac:dyDescent="0.4">
      <c r="C39" s="29" t="s">
        <v>2</v>
      </c>
      <c r="D39" s="30">
        <f>M22</f>
        <v>64250</v>
      </c>
      <c r="E39" s="33">
        <f>GWP!F5</f>
        <v>205700</v>
      </c>
      <c r="F39" s="34">
        <f>G22</f>
        <v>49850</v>
      </c>
      <c r="G39" s="33">
        <f>'Premium Receivables'!F5-'Bad Debts'!F6</f>
        <v>53200</v>
      </c>
      <c r="H39" s="30">
        <f>E39+F39-G39</f>
        <v>202350</v>
      </c>
      <c r="I39" s="30">
        <f>E39-(UPR!F5-UPR!E5)</f>
        <v>198600</v>
      </c>
      <c r="J39" s="33">
        <f>K22</f>
        <v>21100</v>
      </c>
      <c r="K39" s="33">
        <f>DAC!F5</f>
        <v>22800</v>
      </c>
      <c r="L39" s="30">
        <f>K39-J39</f>
        <v>1700</v>
      </c>
      <c r="M39" s="30">
        <f>D39+H39-I39-L39</f>
        <v>66300</v>
      </c>
    </row>
    <row r="40" spans="3:14" x14ac:dyDescent="0.4">
      <c r="C40" s="29" t="s">
        <v>7</v>
      </c>
      <c r="D40" s="30">
        <f t="shared" ref="D40:D50" si="9">M23</f>
        <v>49350</v>
      </c>
      <c r="E40" s="33">
        <f>GWP!F6</f>
        <v>175000</v>
      </c>
      <c r="F40" s="34">
        <f t="shared" ref="F40:F50" si="10">G23</f>
        <v>38650</v>
      </c>
      <c r="G40" s="33">
        <f>'Premium Receivables'!F6-'Bad Debts'!F7</f>
        <v>41600</v>
      </c>
      <c r="H40" s="30">
        <f t="shared" ref="H40:H50" si="11">E40+F40-G40</f>
        <v>172050</v>
      </c>
      <c r="I40" s="30">
        <f>E40-(UPR!F6-UPR!E6)</f>
        <v>169500</v>
      </c>
      <c r="J40" s="33">
        <f t="shared" ref="J40:J50" si="12">K23</f>
        <v>16900</v>
      </c>
      <c r="K40" s="33">
        <f>DAC!F6</f>
        <v>18200</v>
      </c>
      <c r="L40" s="30">
        <f t="shared" ref="L40:L50" si="13">K40-J40</f>
        <v>1300</v>
      </c>
      <c r="M40" s="30">
        <f t="shared" ref="M40:M50" si="14">D40+H40-I40-L40</f>
        <v>50600</v>
      </c>
    </row>
    <row r="41" spans="3:14" x14ac:dyDescent="0.4">
      <c r="C41" s="29" t="s">
        <v>1</v>
      </c>
      <c r="D41" s="30">
        <f t="shared" si="9"/>
        <v>46100</v>
      </c>
      <c r="E41" s="33">
        <f>GWP!F7</f>
        <v>137800</v>
      </c>
      <c r="F41" s="34">
        <f t="shared" si="10"/>
        <v>27800</v>
      </c>
      <c r="G41" s="33">
        <f>'Premium Receivables'!F7-'Bad Debts'!F8</f>
        <v>30800</v>
      </c>
      <c r="H41" s="30">
        <f t="shared" si="11"/>
        <v>134800</v>
      </c>
      <c r="I41" s="30">
        <f>E41-(UPR!F7-UPR!E7)</f>
        <v>131300</v>
      </c>
      <c r="J41" s="33">
        <f t="shared" si="12"/>
        <v>13700</v>
      </c>
      <c r="K41" s="33">
        <f>DAC!F7</f>
        <v>14800</v>
      </c>
      <c r="L41" s="30">
        <f t="shared" si="13"/>
        <v>1100</v>
      </c>
      <c r="M41" s="30">
        <f t="shared" si="14"/>
        <v>48500</v>
      </c>
    </row>
    <row r="42" spans="3:14" x14ac:dyDescent="0.4">
      <c r="C42" s="29" t="s">
        <v>0</v>
      </c>
      <c r="D42" s="30">
        <f t="shared" si="9"/>
        <v>68300</v>
      </c>
      <c r="E42" s="33">
        <f>GWP!F8</f>
        <v>333700</v>
      </c>
      <c r="F42" s="34">
        <f t="shared" si="10"/>
        <v>64500</v>
      </c>
      <c r="G42" s="33">
        <f>'Premium Receivables'!F8-'Bad Debts'!F9</f>
        <v>68400</v>
      </c>
      <c r="H42" s="30">
        <f t="shared" si="11"/>
        <v>329800</v>
      </c>
      <c r="I42" s="30">
        <f>E42-(UPR!F8-UPR!E8)</f>
        <v>325400</v>
      </c>
      <c r="J42" s="33">
        <f t="shared" si="12"/>
        <v>30100</v>
      </c>
      <c r="K42" s="33">
        <f>DAC!F8</f>
        <v>32400</v>
      </c>
      <c r="L42" s="30">
        <f t="shared" si="13"/>
        <v>2300</v>
      </c>
      <c r="M42" s="30">
        <f t="shared" si="14"/>
        <v>70400</v>
      </c>
    </row>
    <row r="43" spans="3:14" x14ac:dyDescent="0.4">
      <c r="C43" s="29" t="s">
        <v>6</v>
      </c>
      <c r="D43" s="30">
        <f t="shared" si="9"/>
        <v>37750</v>
      </c>
      <c r="E43" s="33">
        <f>GWP!F9</f>
        <v>113900</v>
      </c>
      <c r="F43" s="34">
        <f t="shared" si="10"/>
        <v>23650</v>
      </c>
      <c r="G43" s="33">
        <f>'Premium Receivables'!F9-'Bad Debts'!F10</f>
        <v>25400</v>
      </c>
      <c r="H43" s="30">
        <f t="shared" si="11"/>
        <v>112150</v>
      </c>
      <c r="I43" s="30">
        <f>E43-(UPR!F9-UPR!E9)</f>
        <v>108600</v>
      </c>
      <c r="J43" s="33">
        <f t="shared" si="12"/>
        <v>10900</v>
      </c>
      <c r="K43" s="33">
        <f>DAC!F9</f>
        <v>11900</v>
      </c>
      <c r="L43" s="30">
        <f t="shared" si="13"/>
        <v>1000</v>
      </c>
      <c r="M43" s="30">
        <f t="shared" si="14"/>
        <v>40300</v>
      </c>
    </row>
    <row r="44" spans="3:14" x14ac:dyDescent="0.4">
      <c r="C44" s="29" t="s">
        <v>5</v>
      </c>
      <c r="D44" s="30">
        <f t="shared" si="9"/>
        <v>39050</v>
      </c>
      <c r="E44" s="33">
        <f>GWP!F10</f>
        <v>128100</v>
      </c>
      <c r="F44" s="34">
        <f t="shared" si="10"/>
        <v>27450</v>
      </c>
      <c r="G44" s="33">
        <f>'Premium Receivables'!F10-'Bad Debts'!F11</f>
        <v>30000</v>
      </c>
      <c r="H44" s="30">
        <f t="shared" si="11"/>
        <v>125550</v>
      </c>
      <c r="I44" s="30">
        <f>E44-(UPR!F10-UPR!E10)</f>
        <v>122800</v>
      </c>
      <c r="J44" s="33">
        <f t="shared" si="12"/>
        <v>12600</v>
      </c>
      <c r="K44" s="33">
        <f>DAC!F10</f>
        <v>13700</v>
      </c>
      <c r="L44" s="30">
        <f t="shared" si="13"/>
        <v>1100</v>
      </c>
      <c r="M44" s="30">
        <f t="shared" si="14"/>
        <v>40700</v>
      </c>
    </row>
    <row r="45" spans="3:14" x14ac:dyDescent="0.4">
      <c r="C45" s="29" t="s">
        <v>8</v>
      </c>
      <c r="D45" s="30">
        <f t="shared" si="9"/>
        <v>35150</v>
      </c>
      <c r="E45" s="33">
        <f>GWP!F11</f>
        <v>101200</v>
      </c>
      <c r="F45" s="34">
        <f t="shared" si="10"/>
        <v>20550</v>
      </c>
      <c r="G45" s="33">
        <f>'Premium Receivables'!F11-'Bad Debts'!F12</f>
        <v>22200</v>
      </c>
      <c r="H45" s="30">
        <f t="shared" si="11"/>
        <v>99550</v>
      </c>
      <c r="I45" s="30">
        <f>E45-(UPR!F11-UPR!E11)</f>
        <v>96300</v>
      </c>
      <c r="J45" s="33">
        <f t="shared" si="12"/>
        <v>9100</v>
      </c>
      <c r="K45" s="33">
        <f>DAC!F11</f>
        <v>9900</v>
      </c>
      <c r="L45" s="30">
        <f t="shared" si="13"/>
        <v>800</v>
      </c>
      <c r="M45" s="30">
        <f t="shared" si="14"/>
        <v>37600</v>
      </c>
    </row>
    <row r="46" spans="3:14" x14ac:dyDescent="0.4">
      <c r="C46" s="29" t="s">
        <v>3</v>
      </c>
      <c r="D46" s="30">
        <f t="shared" si="9"/>
        <v>107650</v>
      </c>
      <c r="E46" s="33">
        <f>GWP!F12</f>
        <v>376800</v>
      </c>
      <c r="F46" s="34">
        <f t="shared" si="10"/>
        <v>74350</v>
      </c>
      <c r="G46" s="33">
        <f>'Premium Receivables'!F12-'Bad Debts'!F13</f>
        <v>79700</v>
      </c>
      <c r="H46" s="30">
        <f t="shared" si="11"/>
        <v>371450</v>
      </c>
      <c r="I46" s="30">
        <f>E46-(UPR!F12-UPR!E12)</f>
        <v>362700</v>
      </c>
      <c r="J46" s="33">
        <f t="shared" si="12"/>
        <v>33400</v>
      </c>
      <c r="K46" s="33">
        <f>DAC!F12</f>
        <v>35700</v>
      </c>
      <c r="L46" s="30">
        <f t="shared" si="13"/>
        <v>2300</v>
      </c>
      <c r="M46" s="30">
        <f t="shared" si="14"/>
        <v>114100</v>
      </c>
    </row>
    <row r="47" spans="3:14" x14ac:dyDescent="0.4">
      <c r="C47" s="29" t="s">
        <v>10</v>
      </c>
      <c r="D47" s="30">
        <f t="shared" si="9"/>
        <v>127600</v>
      </c>
      <c r="E47" s="33">
        <f>GWP!F13</f>
        <v>422900</v>
      </c>
      <c r="F47" s="34">
        <f t="shared" si="10"/>
        <v>83400</v>
      </c>
      <c r="G47" s="33">
        <f>'Premium Receivables'!F13-'Bad Debts'!F14</f>
        <v>89200</v>
      </c>
      <c r="H47" s="30">
        <f t="shared" si="11"/>
        <v>417100</v>
      </c>
      <c r="I47" s="30">
        <f>E47-(UPR!F13-UPR!E13)</f>
        <v>406100</v>
      </c>
      <c r="J47" s="33">
        <f t="shared" si="12"/>
        <v>37300</v>
      </c>
      <c r="K47" s="33">
        <f>DAC!F13</f>
        <v>39900</v>
      </c>
      <c r="L47" s="30">
        <f t="shared" si="13"/>
        <v>2600</v>
      </c>
      <c r="M47" s="30">
        <f t="shared" si="14"/>
        <v>136000</v>
      </c>
    </row>
    <row r="48" spans="3:14" x14ac:dyDescent="0.4">
      <c r="C48" s="29" t="s">
        <v>4</v>
      </c>
      <c r="D48" s="30">
        <f t="shared" si="9"/>
        <v>35100</v>
      </c>
      <c r="E48" s="33">
        <f>GWP!F14</f>
        <v>86700</v>
      </c>
      <c r="F48" s="34">
        <f t="shared" si="10"/>
        <v>17000</v>
      </c>
      <c r="G48" s="33">
        <f>'Premium Receivables'!F14-'Bad Debts'!F15</f>
        <v>18400</v>
      </c>
      <c r="H48" s="30">
        <f t="shared" si="11"/>
        <v>85300</v>
      </c>
      <c r="I48" s="30">
        <f>E48-(UPR!F14-UPR!E14)</f>
        <v>81500</v>
      </c>
      <c r="J48" s="33">
        <f t="shared" si="12"/>
        <v>7600</v>
      </c>
      <c r="K48" s="33">
        <f>DAC!F14</f>
        <v>8200</v>
      </c>
      <c r="L48" s="30">
        <f t="shared" si="13"/>
        <v>600</v>
      </c>
      <c r="M48" s="30">
        <f t="shared" si="14"/>
        <v>38300</v>
      </c>
    </row>
    <row r="49" spans="3:13" x14ac:dyDescent="0.4">
      <c r="C49" s="29" t="s">
        <v>9</v>
      </c>
      <c r="D49" s="30">
        <f t="shared" si="9"/>
        <v>31950</v>
      </c>
      <c r="E49" s="33">
        <f>GWP!F15</f>
        <v>76900</v>
      </c>
      <c r="F49" s="34">
        <f t="shared" si="10"/>
        <v>14250</v>
      </c>
      <c r="G49" s="33">
        <f>'Premium Receivables'!F15-'Bad Debts'!F16</f>
        <v>15500</v>
      </c>
      <c r="H49" s="30">
        <f t="shared" si="11"/>
        <v>75650</v>
      </c>
      <c r="I49" s="30">
        <f>E49-(UPR!F15-UPR!E15)</f>
        <v>73000</v>
      </c>
      <c r="J49" s="33">
        <f t="shared" si="12"/>
        <v>6700</v>
      </c>
      <c r="K49" s="33">
        <f>DAC!F15</f>
        <v>7300</v>
      </c>
      <c r="L49" s="30">
        <f t="shared" si="13"/>
        <v>600</v>
      </c>
      <c r="M49" s="30">
        <f t="shared" si="14"/>
        <v>34000</v>
      </c>
    </row>
    <row r="50" spans="3:13" x14ac:dyDescent="0.4">
      <c r="C50" s="29" t="s">
        <v>17</v>
      </c>
      <c r="D50" s="30">
        <f t="shared" si="9"/>
        <v>49400</v>
      </c>
      <c r="E50" s="33">
        <f>GWP!F16</f>
        <v>162100</v>
      </c>
      <c r="F50" s="34">
        <f t="shared" si="10"/>
        <v>35300</v>
      </c>
      <c r="G50" s="33">
        <f>'Premium Receivables'!F16-'Bad Debts'!F17</f>
        <v>38000</v>
      </c>
      <c r="H50" s="30">
        <f t="shared" si="11"/>
        <v>159400</v>
      </c>
      <c r="I50" s="30">
        <f>E50-(UPR!F16-UPR!E16)</f>
        <v>156000</v>
      </c>
      <c r="J50" s="33">
        <f t="shared" si="12"/>
        <v>15100</v>
      </c>
      <c r="K50" s="33">
        <f>DAC!F16</f>
        <v>16300</v>
      </c>
      <c r="L50" s="30">
        <f t="shared" si="13"/>
        <v>1200</v>
      </c>
      <c r="M50" s="30">
        <f t="shared" si="14"/>
        <v>51600</v>
      </c>
    </row>
    <row r="51" spans="3:13" x14ac:dyDescent="0.4">
      <c r="C51" s="31" t="s">
        <v>42</v>
      </c>
      <c r="D51" s="32">
        <f>SUM(D39:D50)</f>
        <v>691650</v>
      </c>
      <c r="E51" s="35">
        <f t="shared" ref="E51" si="15">SUM(E39:E50)</f>
        <v>2320800</v>
      </c>
      <c r="F51" s="35">
        <f t="shared" ref="F51" si="16">SUM(F39:F50)</f>
        <v>476750</v>
      </c>
      <c r="G51" s="35">
        <f t="shared" ref="G51" si="17">SUM(G39:G50)</f>
        <v>512400</v>
      </c>
      <c r="H51" s="32">
        <f t="shared" ref="H51" si="18">SUM(H39:H50)</f>
        <v>2285150</v>
      </c>
      <c r="I51" s="32">
        <f t="shared" ref="I51" si="19">SUM(I39:I50)</f>
        <v>2231800</v>
      </c>
      <c r="J51" s="35">
        <f t="shared" ref="J51" si="20">SUM(J39:J50)</f>
        <v>214500</v>
      </c>
      <c r="K51" s="35">
        <f t="shared" ref="K51" si="21">SUM(K39:K50)</f>
        <v>231100</v>
      </c>
      <c r="L51" s="32">
        <f t="shared" ref="L51" si="22">SUM(L39:L50)</f>
        <v>16600</v>
      </c>
      <c r="M51" s="32">
        <f t="shared" ref="M51" si="23">SUM(M39:M50)</f>
        <v>728400</v>
      </c>
    </row>
    <row r="54" spans="3:13" ht="25.2" customHeight="1" x14ac:dyDescent="0.4">
      <c r="C54" s="49" t="s">
        <v>54</v>
      </c>
      <c r="D54" s="49"/>
      <c r="E54" s="49"/>
      <c r="F54" s="49"/>
      <c r="G54" s="49"/>
      <c r="H54" s="49"/>
      <c r="I54" s="49"/>
      <c r="J54" s="49"/>
      <c r="K54" s="49"/>
      <c r="L54" s="49"/>
      <c r="M54" s="49"/>
    </row>
    <row r="55" spans="3:13" ht="26.4" x14ac:dyDescent="0.4">
      <c r="C55" s="26" t="s">
        <v>33</v>
      </c>
      <c r="D55" s="27" t="s">
        <v>34</v>
      </c>
      <c r="E55" s="28" t="s">
        <v>49</v>
      </c>
      <c r="F55" s="28" t="s">
        <v>45</v>
      </c>
      <c r="G55" s="28" t="s">
        <v>50</v>
      </c>
      <c r="H55" s="27" t="s">
        <v>51</v>
      </c>
      <c r="I55" s="27" t="s">
        <v>52</v>
      </c>
      <c r="J55" s="28" t="s">
        <v>48</v>
      </c>
      <c r="K55" s="28" t="s">
        <v>53</v>
      </c>
      <c r="L55" s="27" t="s">
        <v>41</v>
      </c>
      <c r="M55" s="27" t="s">
        <v>31</v>
      </c>
    </row>
    <row r="56" spans="3:13" x14ac:dyDescent="0.4">
      <c r="C56" s="29" t="s">
        <v>2</v>
      </c>
      <c r="D56" s="30">
        <f>M39</f>
        <v>66300</v>
      </c>
      <c r="E56" s="33">
        <f>GWP!G5</f>
        <v>220400</v>
      </c>
      <c r="F56" s="34">
        <f>G39</f>
        <v>53200</v>
      </c>
      <c r="G56" s="33">
        <f>'Premium Receivables'!G5-'Bad Debts'!G6</f>
        <v>57350</v>
      </c>
      <c r="H56" s="30">
        <f>E56+F56-G56</f>
        <v>216250</v>
      </c>
      <c r="I56" s="30">
        <f>E56-(UPR!G5-UPR!F5)</f>
        <v>211900</v>
      </c>
      <c r="J56" s="33">
        <f>K39</f>
        <v>22800</v>
      </c>
      <c r="K56" s="33">
        <f>DAC!G5</f>
        <v>24600</v>
      </c>
      <c r="L56" s="30">
        <f>K56-J56</f>
        <v>1800</v>
      </c>
      <c r="M56" s="30">
        <f>D56+H56-I56-L56</f>
        <v>68850</v>
      </c>
    </row>
    <row r="57" spans="3:13" x14ac:dyDescent="0.4">
      <c r="C57" s="29" t="s">
        <v>7</v>
      </c>
      <c r="D57" s="30">
        <f t="shared" ref="D57:D67" si="24">M40</f>
        <v>50600</v>
      </c>
      <c r="E57" s="33">
        <f>GWP!G6</f>
        <v>188600</v>
      </c>
      <c r="F57" s="34">
        <f t="shared" ref="F57:F67" si="25">G40</f>
        <v>41600</v>
      </c>
      <c r="G57" s="33">
        <f>'Premium Receivables'!G6-'Bad Debts'!G7</f>
        <v>45050</v>
      </c>
      <c r="H57" s="30">
        <f t="shared" ref="H57:H67" si="26">E57+F57-G57</f>
        <v>185150</v>
      </c>
      <c r="I57" s="30">
        <f>E57-(UPR!G6-UPR!F6)</f>
        <v>182000</v>
      </c>
      <c r="J57" s="33">
        <f t="shared" ref="J57:J67" si="27">K40</f>
        <v>18200</v>
      </c>
      <c r="K57" s="33">
        <f>DAC!G6</f>
        <v>19700</v>
      </c>
      <c r="L57" s="30">
        <f t="shared" ref="L57:L67" si="28">K57-J57</f>
        <v>1500</v>
      </c>
      <c r="M57" s="30">
        <f t="shared" ref="M57:M67" si="29">D57+H57-I57-L57</f>
        <v>52250</v>
      </c>
    </row>
    <row r="58" spans="3:13" x14ac:dyDescent="0.4">
      <c r="C58" s="29" t="s">
        <v>1</v>
      </c>
      <c r="D58" s="30">
        <f t="shared" si="24"/>
        <v>48500</v>
      </c>
      <c r="E58" s="33">
        <f>GWP!G7</f>
        <v>147500</v>
      </c>
      <c r="F58" s="34">
        <f t="shared" si="25"/>
        <v>30800</v>
      </c>
      <c r="G58" s="33">
        <f>'Premium Receivables'!G7-'Bad Debts'!G8</f>
        <v>33000</v>
      </c>
      <c r="H58" s="30">
        <f t="shared" si="26"/>
        <v>145300</v>
      </c>
      <c r="I58" s="30">
        <f>E58-(UPR!G7-UPR!F7)</f>
        <v>142100</v>
      </c>
      <c r="J58" s="33">
        <f t="shared" si="27"/>
        <v>14800</v>
      </c>
      <c r="K58" s="33">
        <f>DAC!G7</f>
        <v>16000</v>
      </c>
      <c r="L58" s="30">
        <f t="shared" si="28"/>
        <v>1200</v>
      </c>
      <c r="M58" s="30">
        <f t="shared" si="29"/>
        <v>50500</v>
      </c>
    </row>
    <row r="59" spans="3:13" x14ac:dyDescent="0.4">
      <c r="C59" s="29" t="s">
        <v>0</v>
      </c>
      <c r="D59" s="30">
        <f t="shared" si="24"/>
        <v>70400</v>
      </c>
      <c r="E59" s="33">
        <f>GWP!G8</f>
        <v>358600</v>
      </c>
      <c r="F59" s="34">
        <f t="shared" si="25"/>
        <v>68400</v>
      </c>
      <c r="G59" s="33">
        <f>'Premium Receivables'!G8-'Bad Debts'!G9</f>
        <v>73400</v>
      </c>
      <c r="H59" s="30">
        <f t="shared" si="26"/>
        <v>353600</v>
      </c>
      <c r="I59" s="30">
        <f>E59-(UPR!G8-UPR!F8)</f>
        <v>344800</v>
      </c>
      <c r="J59" s="33">
        <f t="shared" si="27"/>
        <v>32400</v>
      </c>
      <c r="K59" s="33">
        <f>DAC!G8</f>
        <v>34800</v>
      </c>
      <c r="L59" s="30">
        <f t="shared" si="28"/>
        <v>2400</v>
      </c>
      <c r="M59" s="30">
        <f t="shared" si="29"/>
        <v>76800</v>
      </c>
    </row>
    <row r="60" spans="3:13" x14ac:dyDescent="0.4">
      <c r="C60" s="29" t="s">
        <v>6</v>
      </c>
      <c r="D60" s="30">
        <f t="shared" si="24"/>
        <v>40300</v>
      </c>
      <c r="E60" s="33">
        <f>GWP!G9</f>
        <v>122600</v>
      </c>
      <c r="F60" s="34">
        <f t="shared" si="25"/>
        <v>25400</v>
      </c>
      <c r="G60" s="33">
        <f>'Premium Receivables'!G9-'Bad Debts'!G10</f>
        <v>27750</v>
      </c>
      <c r="H60" s="30">
        <f t="shared" si="26"/>
        <v>120250</v>
      </c>
      <c r="I60" s="30">
        <f>E60-(UPR!G9-UPR!F9)</f>
        <v>116100</v>
      </c>
      <c r="J60" s="33">
        <f t="shared" si="27"/>
        <v>11900</v>
      </c>
      <c r="K60" s="33">
        <f>DAC!G9</f>
        <v>12900</v>
      </c>
      <c r="L60" s="30">
        <f t="shared" si="28"/>
        <v>1000</v>
      </c>
      <c r="M60" s="30">
        <f t="shared" si="29"/>
        <v>43450</v>
      </c>
    </row>
    <row r="61" spans="3:13" x14ac:dyDescent="0.4">
      <c r="C61" s="29" t="s">
        <v>5</v>
      </c>
      <c r="D61" s="30">
        <f t="shared" si="24"/>
        <v>40700</v>
      </c>
      <c r="E61" s="33">
        <f>GWP!G10</f>
        <v>138000</v>
      </c>
      <c r="F61" s="34">
        <f t="shared" si="25"/>
        <v>30000</v>
      </c>
      <c r="G61" s="33">
        <f>'Premium Receivables'!G10-'Bad Debts'!G11</f>
        <v>32450</v>
      </c>
      <c r="H61" s="30">
        <f t="shared" si="26"/>
        <v>135550</v>
      </c>
      <c r="I61" s="30">
        <f>E61-(UPR!G10-UPR!F10)</f>
        <v>131400</v>
      </c>
      <c r="J61" s="33">
        <f t="shared" si="27"/>
        <v>13700</v>
      </c>
      <c r="K61" s="33">
        <f>DAC!G10</f>
        <v>14900</v>
      </c>
      <c r="L61" s="30">
        <f t="shared" si="28"/>
        <v>1200</v>
      </c>
      <c r="M61" s="30">
        <f t="shared" si="29"/>
        <v>43650</v>
      </c>
    </row>
    <row r="62" spans="3:13" x14ac:dyDescent="0.4">
      <c r="C62" s="29" t="s">
        <v>8</v>
      </c>
      <c r="D62" s="30">
        <f t="shared" si="24"/>
        <v>37600</v>
      </c>
      <c r="E62" s="33">
        <f>GWP!G11</f>
        <v>109800</v>
      </c>
      <c r="F62" s="34">
        <f t="shared" si="25"/>
        <v>22200</v>
      </c>
      <c r="G62" s="33">
        <f>'Premium Receivables'!G11-'Bad Debts'!G12</f>
        <v>24450</v>
      </c>
      <c r="H62" s="30">
        <f t="shared" si="26"/>
        <v>107550</v>
      </c>
      <c r="I62" s="30">
        <f>E62-(UPR!G11-UPR!F11)</f>
        <v>103600</v>
      </c>
      <c r="J62" s="33">
        <f t="shared" si="27"/>
        <v>9900</v>
      </c>
      <c r="K62" s="33">
        <f>DAC!G11</f>
        <v>10800</v>
      </c>
      <c r="L62" s="30">
        <f t="shared" si="28"/>
        <v>900</v>
      </c>
      <c r="M62" s="30">
        <f t="shared" si="29"/>
        <v>40650</v>
      </c>
    </row>
    <row r="63" spans="3:13" x14ac:dyDescent="0.4">
      <c r="C63" s="29" t="s">
        <v>3</v>
      </c>
      <c r="D63" s="30">
        <f t="shared" si="24"/>
        <v>114100</v>
      </c>
      <c r="E63" s="33">
        <f>GWP!G12</f>
        <v>403500</v>
      </c>
      <c r="F63" s="34">
        <f t="shared" si="25"/>
        <v>79700</v>
      </c>
      <c r="G63" s="33">
        <f>'Premium Receivables'!G12-'Bad Debts'!G13</f>
        <v>85550</v>
      </c>
      <c r="H63" s="30">
        <f t="shared" si="26"/>
        <v>397650</v>
      </c>
      <c r="I63" s="30">
        <f>E63-(UPR!G12-UPR!F12)</f>
        <v>387300</v>
      </c>
      <c r="J63" s="33">
        <f t="shared" si="27"/>
        <v>35700</v>
      </c>
      <c r="K63" s="33">
        <f>DAC!G12</f>
        <v>38200</v>
      </c>
      <c r="L63" s="30">
        <f t="shared" si="28"/>
        <v>2500</v>
      </c>
      <c r="M63" s="30">
        <f t="shared" si="29"/>
        <v>121950</v>
      </c>
    </row>
    <row r="64" spans="3:13" x14ac:dyDescent="0.4">
      <c r="C64" s="29" t="s">
        <v>10</v>
      </c>
      <c r="D64" s="30">
        <f t="shared" si="24"/>
        <v>136000</v>
      </c>
      <c r="E64" s="33">
        <f>GWP!G13</f>
        <v>452700</v>
      </c>
      <c r="F64" s="34">
        <f t="shared" si="25"/>
        <v>89200</v>
      </c>
      <c r="G64" s="33">
        <f>'Premium Receivables'!G13-'Bad Debts'!G14</f>
        <v>96200</v>
      </c>
      <c r="H64" s="30">
        <f t="shared" si="26"/>
        <v>445700</v>
      </c>
      <c r="I64" s="30">
        <f>E64-(UPR!G13-UPR!F13)</f>
        <v>436400</v>
      </c>
      <c r="J64" s="33">
        <f t="shared" si="27"/>
        <v>39900</v>
      </c>
      <c r="K64" s="33">
        <f>DAC!G13</f>
        <v>42600</v>
      </c>
      <c r="L64" s="30">
        <f t="shared" si="28"/>
        <v>2700</v>
      </c>
      <c r="M64" s="30">
        <f t="shared" si="29"/>
        <v>142600</v>
      </c>
    </row>
    <row r="65" spans="3:13" x14ac:dyDescent="0.4">
      <c r="C65" s="29" t="s">
        <v>4</v>
      </c>
      <c r="D65" s="30">
        <f t="shared" si="24"/>
        <v>38300</v>
      </c>
      <c r="E65" s="33">
        <f>GWP!G14</f>
        <v>93300</v>
      </c>
      <c r="F65" s="34">
        <f t="shared" si="25"/>
        <v>18400</v>
      </c>
      <c r="G65" s="33">
        <f>'Premium Receivables'!G14-'Bad Debts'!G15</f>
        <v>20000</v>
      </c>
      <c r="H65" s="30">
        <f t="shared" si="26"/>
        <v>91700</v>
      </c>
      <c r="I65" s="30">
        <f>E65-(UPR!G14-UPR!F14)</f>
        <v>88100</v>
      </c>
      <c r="J65" s="33">
        <f t="shared" si="27"/>
        <v>8200</v>
      </c>
      <c r="K65" s="33">
        <f>DAC!G14</f>
        <v>8900</v>
      </c>
      <c r="L65" s="30">
        <f t="shared" si="28"/>
        <v>700</v>
      </c>
      <c r="M65" s="30">
        <f t="shared" si="29"/>
        <v>41200</v>
      </c>
    </row>
    <row r="66" spans="3:13" x14ac:dyDescent="0.4">
      <c r="C66" s="29" t="s">
        <v>9</v>
      </c>
      <c r="D66" s="30">
        <f t="shared" si="24"/>
        <v>34000</v>
      </c>
      <c r="E66" s="33">
        <f>GWP!G15</f>
        <v>82900</v>
      </c>
      <c r="F66" s="34">
        <f t="shared" si="25"/>
        <v>15500</v>
      </c>
      <c r="G66" s="33">
        <f>'Premium Receivables'!G15-'Bad Debts'!G16</f>
        <v>17150</v>
      </c>
      <c r="H66" s="30">
        <f t="shared" si="26"/>
        <v>81250</v>
      </c>
      <c r="I66" s="30">
        <f>E66-(UPR!G15-UPR!F15)</f>
        <v>78300</v>
      </c>
      <c r="J66" s="33">
        <f t="shared" si="27"/>
        <v>7300</v>
      </c>
      <c r="K66" s="33">
        <f>DAC!G15</f>
        <v>7900</v>
      </c>
      <c r="L66" s="30">
        <f t="shared" si="28"/>
        <v>600</v>
      </c>
      <c r="M66" s="30">
        <f t="shared" si="29"/>
        <v>36350</v>
      </c>
    </row>
    <row r="67" spans="3:13" x14ac:dyDescent="0.4">
      <c r="C67" s="29" t="s">
        <v>17</v>
      </c>
      <c r="D67" s="30">
        <f t="shared" si="24"/>
        <v>51600</v>
      </c>
      <c r="E67" s="33">
        <f>GWP!G16</f>
        <v>174600</v>
      </c>
      <c r="F67" s="34">
        <f t="shared" si="25"/>
        <v>38000</v>
      </c>
      <c r="G67" s="33">
        <f>'Premium Receivables'!G16-'Bad Debts'!G17</f>
        <v>41600</v>
      </c>
      <c r="H67" s="30">
        <f t="shared" si="26"/>
        <v>171000</v>
      </c>
      <c r="I67" s="30">
        <f>E67-(UPR!G16-UPR!F16)</f>
        <v>167000</v>
      </c>
      <c r="J67" s="33">
        <f t="shared" si="27"/>
        <v>16300</v>
      </c>
      <c r="K67" s="33">
        <f>DAC!G16</f>
        <v>17700</v>
      </c>
      <c r="L67" s="30">
        <f t="shared" si="28"/>
        <v>1400</v>
      </c>
      <c r="M67" s="30">
        <f t="shared" si="29"/>
        <v>54200</v>
      </c>
    </row>
    <row r="68" spans="3:13" x14ac:dyDescent="0.4">
      <c r="C68" s="31" t="s">
        <v>42</v>
      </c>
      <c r="D68" s="32">
        <f>SUM(D56:D67)</f>
        <v>728400</v>
      </c>
      <c r="E68" s="35">
        <f t="shared" ref="E68" si="30">SUM(E56:E67)</f>
        <v>2492500</v>
      </c>
      <c r="F68" s="35">
        <f t="shared" ref="F68" si="31">SUM(F56:F67)</f>
        <v>512400</v>
      </c>
      <c r="G68" s="35">
        <f t="shared" ref="G68" si="32">SUM(G56:G67)</f>
        <v>553950</v>
      </c>
      <c r="H68" s="32">
        <f t="shared" ref="H68" si="33">SUM(H56:H67)</f>
        <v>2450950</v>
      </c>
      <c r="I68" s="32">
        <f t="shared" ref="I68" si="34">SUM(I56:I67)</f>
        <v>2389000</v>
      </c>
      <c r="J68" s="35">
        <f t="shared" ref="J68" si="35">SUM(J56:J67)</f>
        <v>231100</v>
      </c>
      <c r="K68" s="35">
        <f t="shared" ref="K68" si="36">SUM(K56:K67)</f>
        <v>249000</v>
      </c>
      <c r="L68" s="32">
        <f t="shared" ref="L68" si="37">SUM(L56:L67)</f>
        <v>17900</v>
      </c>
      <c r="M68" s="32">
        <f t="shared" ref="M68" si="38">SUM(M56:M67)</f>
        <v>772450</v>
      </c>
    </row>
    <row r="71" spans="3:13" x14ac:dyDescent="0.4">
      <c r="F71" s="8"/>
    </row>
  </sheetData>
  <mergeCells count="4">
    <mergeCell ref="C3:G3"/>
    <mergeCell ref="C20:M20"/>
    <mergeCell ref="C37:M37"/>
    <mergeCell ref="C54:M5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E8C47-3BE6-41C5-91D2-FC296CADA7F0}">
  <sheetPr>
    <tabColor rgb="FFC00000"/>
  </sheetPr>
  <dimension ref="B3:R37"/>
  <sheetViews>
    <sheetView showGridLines="0" workbookViewId="0">
      <selection activeCell="E17" sqref="E17"/>
    </sheetView>
  </sheetViews>
  <sheetFormatPr defaultRowHeight="15" x14ac:dyDescent="0.4"/>
  <cols>
    <col min="2" max="2" width="21.109375" bestFit="1" customWidth="1"/>
    <col min="3" max="3" width="15.21875" customWidth="1"/>
    <col min="4" max="4" width="14.6640625" customWidth="1"/>
    <col min="5" max="5" width="21.109375" bestFit="1" customWidth="1"/>
    <col min="6" max="6" width="13.77734375" bestFit="1" customWidth="1"/>
    <col min="7" max="7" width="13.44140625" customWidth="1"/>
    <col min="8" max="8" width="19.44140625" customWidth="1"/>
    <col min="10" max="10" width="14.88671875" customWidth="1"/>
    <col min="11" max="11" width="21.109375" bestFit="1" customWidth="1"/>
    <col min="14" max="14" width="21.109375" bestFit="1" customWidth="1"/>
    <col min="17" max="17" width="21.109375" bestFit="1" customWidth="1"/>
  </cols>
  <sheetData>
    <row r="3" spans="2:18" x14ac:dyDescent="0.4">
      <c r="B3" s="48" t="s">
        <v>65</v>
      </c>
      <c r="C3" s="48"/>
      <c r="E3" s="48" t="s">
        <v>64</v>
      </c>
      <c r="F3" s="48"/>
      <c r="H3" s="48" t="s">
        <v>60</v>
      </c>
      <c r="I3" s="48"/>
      <c r="K3" s="48" t="s">
        <v>61</v>
      </c>
      <c r="L3" s="48"/>
      <c r="N3" s="48" t="s">
        <v>62</v>
      </c>
      <c r="O3" s="48"/>
      <c r="Q3" s="48" t="s">
        <v>63</v>
      </c>
      <c r="R3" s="48"/>
    </row>
    <row r="4" spans="2:18" x14ac:dyDescent="0.4">
      <c r="B4" s="18" t="s">
        <v>15</v>
      </c>
      <c r="C4" s="11">
        <v>2024</v>
      </c>
      <c r="E4" s="18" t="s">
        <v>15</v>
      </c>
      <c r="F4" s="11">
        <v>2024</v>
      </c>
      <c r="H4" s="18" t="s">
        <v>15</v>
      </c>
      <c r="I4" s="11">
        <v>2024</v>
      </c>
      <c r="K4" s="18" t="s">
        <v>15</v>
      </c>
      <c r="L4" s="11">
        <v>2024</v>
      </c>
      <c r="N4" s="18" t="s">
        <v>15</v>
      </c>
      <c r="O4" s="11">
        <v>2024</v>
      </c>
      <c r="Q4" s="18" t="s">
        <v>15</v>
      </c>
      <c r="R4" s="11">
        <v>2024</v>
      </c>
    </row>
    <row r="5" spans="2:18" x14ac:dyDescent="0.4">
      <c r="B5" s="16" t="s">
        <v>2</v>
      </c>
      <c r="C5" s="13">
        <v>150800</v>
      </c>
      <c r="E5" s="16" t="s">
        <v>2</v>
      </c>
      <c r="F5" s="13">
        <v>90480</v>
      </c>
      <c r="H5" s="16" t="s">
        <v>2</v>
      </c>
      <c r="I5" s="36">
        <v>0.7</v>
      </c>
      <c r="K5" s="16" t="s">
        <v>2</v>
      </c>
      <c r="L5" s="36">
        <v>0.12</v>
      </c>
      <c r="N5" s="16" t="s">
        <v>2</v>
      </c>
      <c r="O5" s="36">
        <v>0.28000000000000003</v>
      </c>
      <c r="Q5" s="16" t="s">
        <v>2</v>
      </c>
      <c r="R5" s="36">
        <v>0.02</v>
      </c>
    </row>
    <row r="6" spans="2:18" x14ac:dyDescent="0.4">
      <c r="B6" s="16" t="s">
        <v>7</v>
      </c>
      <c r="C6" s="13">
        <v>117000</v>
      </c>
      <c r="E6" s="16" t="s">
        <v>7</v>
      </c>
      <c r="F6" s="13">
        <v>105300</v>
      </c>
      <c r="H6" s="16" t="s">
        <v>7</v>
      </c>
      <c r="I6" s="36">
        <v>0.34</v>
      </c>
      <c r="K6" s="16" t="s">
        <v>7</v>
      </c>
      <c r="L6" s="36">
        <v>0.16</v>
      </c>
      <c r="N6" s="16" t="s">
        <v>7</v>
      </c>
      <c r="O6" s="36">
        <v>0.28000000000000003</v>
      </c>
      <c r="Q6" s="16" t="s">
        <v>7</v>
      </c>
      <c r="R6" s="36">
        <v>0.01</v>
      </c>
    </row>
    <row r="7" spans="2:18" x14ac:dyDescent="0.4">
      <c r="B7" s="16" t="s">
        <v>1</v>
      </c>
      <c r="C7" s="13">
        <v>99500</v>
      </c>
      <c r="E7" s="16" t="s">
        <v>1</v>
      </c>
      <c r="F7" s="13">
        <v>94525</v>
      </c>
      <c r="H7" s="16" t="s">
        <v>1</v>
      </c>
      <c r="I7" s="36">
        <v>0.02</v>
      </c>
      <c r="K7" s="16" t="s">
        <v>1</v>
      </c>
      <c r="L7" s="36">
        <v>0.16</v>
      </c>
      <c r="N7" s="16" t="s">
        <v>1</v>
      </c>
      <c r="O7" s="36">
        <v>0.28000000000000003</v>
      </c>
      <c r="Q7" s="16" t="s">
        <v>1</v>
      </c>
      <c r="R7" s="36">
        <v>0</v>
      </c>
    </row>
    <row r="8" spans="2:18" x14ac:dyDescent="0.4">
      <c r="B8" s="16" t="s">
        <v>0</v>
      </c>
      <c r="C8" s="13">
        <v>185000</v>
      </c>
      <c r="E8" s="16" t="s">
        <v>0</v>
      </c>
      <c r="F8" s="13">
        <v>166500</v>
      </c>
      <c r="H8" s="16" t="s">
        <v>0</v>
      </c>
      <c r="I8" s="36">
        <v>0.3</v>
      </c>
      <c r="K8" s="16" t="s">
        <v>0</v>
      </c>
      <c r="L8" s="36">
        <v>0.23</v>
      </c>
      <c r="N8" s="16" t="s">
        <v>0</v>
      </c>
      <c r="O8" s="36">
        <v>0.28000000000000003</v>
      </c>
      <c r="Q8" s="16" t="s">
        <v>0</v>
      </c>
      <c r="R8" s="36">
        <v>0.01</v>
      </c>
    </row>
    <row r="9" spans="2:18" x14ac:dyDescent="0.4">
      <c r="B9" s="16" t="s">
        <v>6</v>
      </c>
      <c r="C9" s="13">
        <v>84100</v>
      </c>
      <c r="E9" s="16" t="s">
        <v>6</v>
      </c>
      <c r="F9" s="13">
        <v>71485</v>
      </c>
      <c r="H9" s="16" t="s">
        <v>6</v>
      </c>
      <c r="I9" s="36">
        <v>0.16</v>
      </c>
      <c r="K9" s="16" t="s">
        <v>6</v>
      </c>
      <c r="L9" s="36">
        <v>0.15</v>
      </c>
      <c r="N9" s="16" t="s">
        <v>6</v>
      </c>
      <c r="O9" s="36">
        <v>0.28000000000000003</v>
      </c>
      <c r="Q9" s="16" t="s">
        <v>6</v>
      </c>
      <c r="R9" s="36">
        <v>0.01</v>
      </c>
    </row>
    <row r="10" spans="2:18" x14ac:dyDescent="0.4">
      <c r="B10" s="16" t="s">
        <v>5</v>
      </c>
      <c r="C10" s="13">
        <v>91000</v>
      </c>
      <c r="E10" s="16" t="s">
        <v>5</v>
      </c>
      <c r="F10" s="13">
        <v>81900</v>
      </c>
      <c r="H10" s="16" t="s">
        <v>5</v>
      </c>
      <c r="I10" s="36">
        <v>0.28999999999999998</v>
      </c>
      <c r="K10" s="16" t="s">
        <v>5</v>
      </c>
      <c r="L10" s="36">
        <v>0.17</v>
      </c>
      <c r="N10" s="16" t="s">
        <v>5</v>
      </c>
      <c r="O10" s="36">
        <v>0.28000000000000003</v>
      </c>
      <c r="Q10" s="16" t="s">
        <v>5</v>
      </c>
      <c r="R10" s="36">
        <v>0.01</v>
      </c>
    </row>
    <row r="11" spans="2:18" x14ac:dyDescent="0.4">
      <c r="B11" s="16" t="s">
        <v>8</v>
      </c>
      <c r="C11" s="13">
        <v>75900</v>
      </c>
      <c r="E11" s="16" t="s">
        <v>8</v>
      </c>
      <c r="F11" s="13">
        <v>69828</v>
      </c>
      <c r="H11" s="16" t="s">
        <v>8</v>
      </c>
      <c r="I11" s="36">
        <v>7.0000000000000007E-2</v>
      </c>
      <c r="K11" s="16" t="s">
        <v>8</v>
      </c>
      <c r="L11" s="36">
        <v>0.1</v>
      </c>
      <c r="N11" s="16" t="s">
        <v>8</v>
      </c>
      <c r="O11" s="36">
        <v>0.28000000000000003</v>
      </c>
      <c r="Q11" s="16" t="s">
        <v>8</v>
      </c>
      <c r="R11" s="36">
        <v>0.01</v>
      </c>
    </row>
    <row r="12" spans="2:18" x14ac:dyDescent="0.4">
      <c r="B12" s="16" t="s">
        <v>3</v>
      </c>
      <c r="C12" s="13">
        <v>245700</v>
      </c>
      <c r="E12" s="16" t="s">
        <v>3</v>
      </c>
      <c r="F12" s="13">
        <v>230958</v>
      </c>
      <c r="H12" s="16" t="s">
        <v>3</v>
      </c>
      <c r="I12" s="36">
        <v>0.79</v>
      </c>
      <c r="K12" s="16" t="s">
        <v>3</v>
      </c>
      <c r="L12" s="36">
        <v>0.1</v>
      </c>
      <c r="N12" s="16" t="s">
        <v>3</v>
      </c>
      <c r="O12" s="36">
        <v>0.28000000000000003</v>
      </c>
      <c r="Q12" s="16" t="s">
        <v>3</v>
      </c>
      <c r="R12" s="36">
        <v>0.01</v>
      </c>
    </row>
    <row r="13" spans="2:18" x14ac:dyDescent="0.4">
      <c r="B13" s="16" t="s">
        <v>10</v>
      </c>
      <c r="C13" s="13">
        <v>281400</v>
      </c>
      <c r="E13" s="16" t="s">
        <v>10</v>
      </c>
      <c r="F13" s="13">
        <v>267330</v>
      </c>
      <c r="H13" s="16" t="s">
        <v>10</v>
      </c>
      <c r="I13" s="36">
        <v>0.9</v>
      </c>
      <c r="K13" s="16" t="s">
        <v>10</v>
      </c>
      <c r="L13" s="36">
        <v>0.09</v>
      </c>
      <c r="N13" s="16" t="s">
        <v>10</v>
      </c>
      <c r="O13" s="36">
        <v>0.28000000000000003</v>
      </c>
      <c r="Q13" s="16" t="s">
        <v>10</v>
      </c>
      <c r="R13" s="36">
        <v>0.01</v>
      </c>
    </row>
    <row r="14" spans="2:18" x14ac:dyDescent="0.4">
      <c r="B14" s="16" t="s">
        <v>4</v>
      </c>
      <c r="C14" s="13">
        <v>70100</v>
      </c>
      <c r="E14" s="16" t="s">
        <v>4</v>
      </c>
      <c r="F14" s="13">
        <v>61688</v>
      </c>
      <c r="H14" s="16" t="s">
        <v>4</v>
      </c>
      <c r="I14" s="36">
        <v>0.06</v>
      </c>
      <c r="K14" s="16" t="s">
        <v>4</v>
      </c>
      <c r="L14" s="36">
        <v>0.13</v>
      </c>
      <c r="N14" s="16" t="s">
        <v>4</v>
      </c>
      <c r="O14" s="36">
        <v>0.28000000000000003</v>
      </c>
      <c r="Q14" s="16" t="s">
        <v>4</v>
      </c>
      <c r="R14" s="36">
        <v>0.01</v>
      </c>
    </row>
    <row r="15" spans="2:18" x14ac:dyDescent="0.4">
      <c r="B15" s="16" t="s">
        <v>9</v>
      </c>
      <c r="C15" s="13">
        <v>61400</v>
      </c>
      <c r="E15" s="16" t="s">
        <v>9</v>
      </c>
      <c r="F15" s="13">
        <v>55260</v>
      </c>
      <c r="H15" s="16" t="s">
        <v>9</v>
      </c>
      <c r="I15" s="36">
        <v>0.28000000000000003</v>
      </c>
      <c r="K15" s="16" t="s">
        <v>9</v>
      </c>
      <c r="L15" s="36">
        <v>0.18</v>
      </c>
      <c r="N15" s="16" t="s">
        <v>9</v>
      </c>
      <c r="O15" s="36">
        <v>0.28000000000000003</v>
      </c>
      <c r="Q15" s="16" t="s">
        <v>9</v>
      </c>
      <c r="R15" s="36">
        <v>0.01</v>
      </c>
    </row>
    <row r="16" spans="2:18" x14ac:dyDescent="0.4">
      <c r="B16" s="16" t="s">
        <v>17</v>
      </c>
      <c r="C16" s="13">
        <v>113500</v>
      </c>
      <c r="E16" s="16" t="s">
        <v>17</v>
      </c>
      <c r="F16" s="13">
        <v>104420</v>
      </c>
      <c r="H16" s="16" t="s">
        <v>17</v>
      </c>
      <c r="I16" s="36">
        <v>0.42</v>
      </c>
      <c r="K16" s="16" t="s">
        <v>17</v>
      </c>
      <c r="L16" s="36">
        <v>0.2</v>
      </c>
      <c r="N16" s="16" t="s">
        <v>17</v>
      </c>
      <c r="O16" s="36">
        <v>0.28000000000000003</v>
      </c>
      <c r="Q16" s="16" t="s">
        <v>17</v>
      </c>
      <c r="R16" s="36">
        <v>0.01</v>
      </c>
    </row>
    <row r="17" spans="2:11" x14ac:dyDescent="0.4">
      <c r="B17" s="17" t="s">
        <v>16</v>
      </c>
      <c r="C17" s="15">
        <f t="shared" ref="C17" si="0">SUM(C5:C16)</f>
        <v>1575400</v>
      </c>
      <c r="E17" s="17" t="s">
        <v>16</v>
      </c>
      <c r="F17" s="15">
        <f t="shared" ref="F17" si="1">SUM(F5:F16)</f>
        <v>1399674</v>
      </c>
    </row>
    <row r="23" spans="2:11" ht="27" customHeight="1" x14ac:dyDescent="0.4">
      <c r="B23" s="50" t="s">
        <v>67</v>
      </c>
      <c r="C23" s="51"/>
      <c r="D23" s="51"/>
      <c r="E23" s="51"/>
      <c r="F23" s="51"/>
      <c r="G23" s="51"/>
      <c r="H23" s="51"/>
      <c r="I23" s="51"/>
      <c r="J23" s="51"/>
      <c r="K23" s="51"/>
    </row>
    <row r="24" spans="2:11" x14ac:dyDescent="0.4">
      <c r="B24" s="18" t="s">
        <v>15</v>
      </c>
      <c r="C24" s="11" t="s">
        <v>60</v>
      </c>
      <c r="D24" s="11" t="s">
        <v>61</v>
      </c>
      <c r="E24" s="11" t="s">
        <v>62</v>
      </c>
      <c r="F24" s="11" t="s">
        <v>63</v>
      </c>
      <c r="G24" s="11" t="s">
        <v>66</v>
      </c>
      <c r="H24" s="11" t="s">
        <v>56</v>
      </c>
      <c r="I24" s="11" t="s">
        <v>57</v>
      </c>
      <c r="J24" s="11" t="s">
        <v>58</v>
      </c>
      <c r="K24" s="11" t="s">
        <v>59</v>
      </c>
    </row>
    <row r="25" spans="2:11" x14ac:dyDescent="0.4">
      <c r="B25" s="16" t="s">
        <v>2</v>
      </c>
      <c r="C25" s="36">
        <f>_xlfn.XLOOKUP(B25,$H$5:$H$16,$I$5:$I$16)</f>
        <v>0.7</v>
      </c>
      <c r="D25" s="36">
        <f>_xlfn.XLOOKUP(B25,$K$5:$K$16,$L$5:$L$16)</f>
        <v>0.12</v>
      </c>
      <c r="E25" s="36">
        <f>_xlfn.XLOOKUP(B25,$N$5:$N$16,$O$5:$O$16)</f>
        <v>0.28000000000000003</v>
      </c>
      <c r="F25" s="36">
        <f>_xlfn.XLOOKUP(B25,$Q$5:$Q$16,$R$5:$R$16)</f>
        <v>0.02</v>
      </c>
      <c r="G25" s="36">
        <f>SUM(C25:F25)</f>
        <v>1.1200000000000001</v>
      </c>
      <c r="H25" s="13">
        <f>_xlfn.XLOOKUP(B25,$B$5:$B$16,$C$5:$C$16)</f>
        <v>150800</v>
      </c>
      <c r="I25" s="13">
        <f>_xlfn.XLOOKUP(B25,$E$5:$E$16,$F$5:$F$16)</f>
        <v>90480</v>
      </c>
      <c r="J25" s="13">
        <f>IF(G25&gt;1,(G25-1)*H25,0)</f>
        <v>18096.000000000015</v>
      </c>
      <c r="K25" s="13">
        <f>IF(G25&gt;1,(G25-1)*I25,0)</f>
        <v>10857.600000000009</v>
      </c>
    </row>
    <row r="26" spans="2:11" x14ac:dyDescent="0.4">
      <c r="B26" s="16" t="s">
        <v>7</v>
      </c>
      <c r="C26" s="36">
        <f t="shared" ref="C26:C36" si="2">_xlfn.XLOOKUP(B26,$H$5:$H$16,$I$5:$I$16)</f>
        <v>0.34</v>
      </c>
      <c r="D26" s="36">
        <f t="shared" ref="D26:D36" si="3">_xlfn.XLOOKUP(B26,$K$5:$K$16,$L$5:$L$16)</f>
        <v>0.16</v>
      </c>
      <c r="E26" s="36">
        <f t="shared" ref="E26:E36" si="4">_xlfn.XLOOKUP(B26,$N$5:$N$16,$O$5:$O$16)</f>
        <v>0.28000000000000003</v>
      </c>
      <c r="F26" s="36">
        <f t="shared" ref="F26:F36" si="5">_xlfn.XLOOKUP(B26,$Q$5:$Q$16,$R$5:$R$16)</f>
        <v>0.01</v>
      </c>
      <c r="G26" s="36">
        <f t="shared" ref="G26:G36" si="6">SUM(C26:F26)</f>
        <v>0.79</v>
      </c>
      <c r="H26" s="13">
        <f t="shared" ref="H26:H36" si="7">_xlfn.XLOOKUP(B26,$B$5:$B$16,$C$5:$C$16)</f>
        <v>117000</v>
      </c>
      <c r="I26" s="13">
        <f t="shared" ref="I26:I36" si="8">_xlfn.XLOOKUP(B26,$E$5:$E$16,$F$5:$F$16)</f>
        <v>105300</v>
      </c>
      <c r="J26" s="13">
        <f t="shared" ref="J26:J36" si="9">IF(G26&gt;1,(G26-1)*H26,0)</f>
        <v>0</v>
      </c>
      <c r="K26" s="13">
        <f t="shared" ref="K26:K36" si="10">IF(G26&gt;1,(G26-1)*I26,0)</f>
        <v>0</v>
      </c>
    </row>
    <row r="27" spans="2:11" x14ac:dyDescent="0.4">
      <c r="B27" s="16" t="s">
        <v>1</v>
      </c>
      <c r="C27" s="36">
        <f t="shared" si="2"/>
        <v>0.02</v>
      </c>
      <c r="D27" s="36">
        <f t="shared" si="3"/>
        <v>0.16</v>
      </c>
      <c r="E27" s="36">
        <f t="shared" si="4"/>
        <v>0.28000000000000003</v>
      </c>
      <c r="F27" s="36">
        <f t="shared" si="5"/>
        <v>0</v>
      </c>
      <c r="G27" s="36">
        <f t="shared" si="6"/>
        <v>0.46</v>
      </c>
      <c r="H27" s="13">
        <f t="shared" si="7"/>
        <v>99500</v>
      </c>
      <c r="I27" s="13">
        <f t="shared" si="8"/>
        <v>94525</v>
      </c>
      <c r="J27" s="13">
        <f t="shared" si="9"/>
        <v>0</v>
      </c>
      <c r="K27" s="13">
        <f t="shared" si="10"/>
        <v>0</v>
      </c>
    </row>
    <row r="28" spans="2:11" x14ac:dyDescent="0.4">
      <c r="B28" s="16" t="s">
        <v>0</v>
      </c>
      <c r="C28" s="36">
        <f t="shared" si="2"/>
        <v>0.3</v>
      </c>
      <c r="D28" s="36">
        <f t="shared" si="3"/>
        <v>0.23</v>
      </c>
      <c r="E28" s="36">
        <f t="shared" si="4"/>
        <v>0.28000000000000003</v>
      </c>
      <c r="F28" s="36">
        <f t="shared" si="5"/>
        <v>0.01</v>
      </c>
      <c r="G28" s="36">
        <f t="shared" si="6"/>
        <v>0.82000000000000006</v>
      </c>
      <c r="H28" s="13">
        <f t="shared" si="7"/>
        <v>185000</v>
      </c>
      <c r="I28" s="13">
        <f t="shared" si="8"/>
        <v>166500</v>
      </c>
      <c r="J28" s="13">
        <f t="shared" si="9"/>
        <v>0</v>
      </c>
      <c r="K28" s="13">
        <f t="shared" si="10"/>
        <v>0</v>
      </c>
    </row>
    <row r="29" spans="2:11" x14ac:dyDescent="0.4">
      <c r="B29" s="16" t="s">
        <v>6</v>
      </c>
      <c r="C29" s="36">
        <f t="shared" si="2"/>
        <v>0.16</v>
      </c>
      <c r="D29" s="36">
        <f t="shared" si="3"/>
        <v>0.15</v>
      </c>
      <c r="E29" s="36">
        <f t="shared" si="4"/>
        <v>0.28000000000000003</v>
      </c>
      <c r="F29" s="36">
        <f t="shared" si="5"/>
        <v>0.01</v>
      </c>
      <c r="G29" s="36">
        <f t="shared" si="6"/>
        <v>0.60000000000000009</v>
      </c>
      <c r="H29" s="13">
        <f t="shared" si="7"/>
        <v>84100</v>
      </c>
      <c r="I29" s="13">
        <f t="shared" si="8"/>
        <v>71485</v>
      </c>
      <c r="J29" s="13">
        <f t="shared" si="9"/>
        <v>0</v>
      </c>
      <c r="K29" s="13">
        <f t="shared" si="10"/>
        <v>0</v>
      </c>
    </row>
    <row r="30" spans="2:11" x14ac:dyDescent="0.4">
      <c r="B30" s="16" t="s">
        <v>5</v>
      </c>
      <c r="C30" s="36">
        <f t="shared" si="2"/>
        <v>0.28999999999999998</v>
      </c>
      <c r="D30" s="36">
        <f t="shared" si="3"/>
        <v>0.17</v>
      </c>
      <c r="E30" s="36">
        <f t="shared" si="4"/>
        <v>0.28000000000000003</v>
      </c>
      <c r="F30" s="36">
        <f t="shared" si="5"/>
        <v>0.01</v>
      </c>
      <c r="G30" s="36">
        <f t="shared" si="6"/>
        <v>0.75</v>
      </c>
      <c r="H30" s="13">
        <f t="shared" si="7"/>
        <v>91000</v>
      </c>
      <c r="I30" s="13">
        <f t="shared" si="8"/>
        <v>81900</v>
      </c>
      <c r="J30" s="13">
        <f t="shared" si="9"/>
        <v>0</v>
      </c>
      <c r="K30" s="13">
        <f t="shared" si="10"/>
        <v>0</v>
      </c>
    </row>
    <row r="31" spans="2:11" x14ac:dyDescent="0.4">
      <c r="B31" s="16" t="s">
        <v>8</v>
      </c>
      <c r="C31" s="36">
        <f t="shared" si="2"/>
        <v>7.0000000000000007E-2</v>
      </c>
      <c r="D31" s="36">
        <f t="shared" si="3"/>
        <v>0.1</v>
      </c>
      <c r="E31" s="36">
        <f t="shared" si="4"/>
        <v>0.28000000000000003</v>
      </c>
      <c r="F31" s="36">
        <f t="shared" si="5"/>
        <v>0.01</v>
      </c>
      <c r="G31" s="36">
        <f t="shared" si="6"/>
        <v>0.46000000000000008</v>
      </c>
      <c r="H31" s="13">
        <f t="shared" si="7"/>
        <v>75900</v>
      </c>
      <c r="I31" s="13">
        <f t="shared" si="8"/>
        <v>69828</v>
      </c>
      <c r="J31" s="13">
        <f t="shared" si="9"/>
        <v>0</v>
      </c>
      <c r="K31" s="13">
        <f t="shared" si="10"/>
        <v>0</v>
      </c>
    </row>
    <row r="32" spans="2:11" x14ac:dyDescent="0.4">
      <c r="B32" s="16" t="s">
        <v>3</v>
      </c>
      <c r="C32" s="36">
        <f t="shared" si="2"/>
        <v>0.79</v>
      </c>
      <c r="D32" s="36">
        <f t="shared" si="3"/>
        <v>0.1</v>
      </c>
      <c r="E32" s="36">
        <f t="shared" si="4"/>
        <v>0.28000000000000003</v>
      </c>
      <c r="F32" s="36">
        <f t="shared" si="5"/>
        <v>0.01</v>
      </c>
      <c r="G32" s="36">
        <f t="shared" si="6"/>
        <v>1.18</v>
      </c>
      <c r="H32" s="13">
        <f t="shared" si="7"/>
        <v>245700</v>
      </c>
      <c r="I32" s="13">
        <f t="shared" si="8"/>
        <v>230958</v>
      </c>
      <c r="J32" s="13">
        <f t="shared" si="9"/>
        <v>44225.999999999985</v>
      </c>
      <c r="K32" s="13">
        <f t="shared" si="10"/>
        <v>41572.439999999988</v>
      </c>
    </row>
    <row r="33" spans="2:11" x14ac:dyDescent="0.4">
      <c r="B33" s="16" t="s">
        <v>10</v>
      </c>
      <c r="C33" s="36">
        <f t="shared" si="2"/>
        <v>0.9</v>
      </c>
      <c r="D33" s="36">
        <f t="shared" si="3"/>
        <v>0.09</v>
      </c>
      <c r="E33" s="36">
        <f t="shared" si="4"/>
        <v>0.28000000000000003</v>
      </c>
      <c r="F33" s="36">
        <f t="shared" si="5"/>
        <v>0.01</v>
      </c>
      <c r="G33" s="36">
        <f t="shared" si="6"/>
        <v>1.28</v>
      </c>
      <c r="H33" s="13">
        <f t="shared" si="7"/>
        <v>281400</v>
      </c>
      <c r="I33" s="13">
        <f t="shared" si="8"/>
        <v>267330</v>
      </c>
      <c r="J33" s="13">
        <f t="shared" si="9"/>
        <v>78792.000000000015</v>
      </c>
      <c r="K33" s="13">
        <f t="shared" si="10"/>
        <v>74852.400000000009</v>
      </c>
    </row>
    <row r="34" spans="2:11" x14ac:dyDescent="0.4">
      <c r="B34" s="16" t="s">
        <v>4</v>
      </c>
      <c r="C34" s="36">
        <f t="shared" si="2"/>
        <v>0.06</v>
      </c>
      <c r="D34" s="36">
        <f t="shared" si="3"/>
        <v>0.13</v>
      </c>
      <c r="E34" s="36">
        <f t="shared" si="4"/>
        <v>0.28000000000000003</v>
      </c>
      <c r="F34" s="36">
        <f t="shared" si="5"/>
        <v>0.01</v>
      </c>
      <c r="G34" s="36">
        <f t="shared" si="6"/>
        <v>0.48000000000000004</v>
      </c>
      <c r="H34" s="13">
        <f t="shared" si="7"/>
        <v>70100</v>
      </c>
      <c r="I34" s="13">
        <f t="shared" si="8"/>
        <v>61688</v>
      </c>
      <c r="J34" s="13">
        <f t="shared" si="9"/>
        <v>0</v>
      </c>
      <c r="K34" s="13">
        <f t="shared" si="10"/>
        <v>0</v>
      </c>
    </row>
    <row r="35" spans="2:11" x14ac:dyDescent="0.4">
      <c r="B35" s="16" t="s">
        <v>9</v>
      </c>
      <c r="C35" s="36">
        <f t="shared" si="2"/>
        <v>0.28000000000000003</v>
      </c>
      <c r="D35" s="36">
        <f t="shared" si="3"/>
        <v>0.18</v>
      </c>
      <c r="E35" s="36">
        <f t="shared" si="4"/>
        <v>0.28000000000000003</v>
      </c>
      <c r="F35" s="36">
        <f t="shared" si="5"/>
        <v>0.01</v>
      </c>
      <c r="G35" s="36">
        <f t="shared" si="6"/>
        <v>0.75</v>
      </c>
      <c r="H35" s="13">
        <f t="shared" si="7"/>
        <v>61400</v>
      </c>
      <c r="I35" s="13">
        <f t="shared" si="8"/>
        <v>55260</v>
      </c>
      <c r="J35" s="13">
        <f t="shared" si="9"/>
        <v>0</v>
      </c>
      <c r="K35" s="13">
        <f t="shared" si="10"/>
        <v>0</v>
      </c>
    </row>
    <row r="36" spans="2:11" x14ac:dyDescent="0.4">
      <c r="B36" s="16" t="s">
        <v>17</v>
      </c>
      <c r="C36" s="36">
        <f t="shared" si="2"/>
        <v>0.42</v>
      </c>
      <c r="D36" s="36">
        <f t="shared" si="3"/>
        <v>0.2</v>
      </c>
      <c r="E36" s="36">
        <f t="shared" si="4"/>
        <v>0.28000000000000003</v>
      </c>
      <c r="F36" s="36">
        <f t="shared" si="5"/>
        <v>0.01</v>
      </c>
      <c r="G36" s="36">
        <f t="shared" si="6"/>
        <v>0.91</v>
      </c>
      <c r="H36" s="13">
        <f t="shared" si="7"/>
        <v>113500</v>
      </c>
      <c r="I36" s="13">
        <f t="shared" si="8"/>
        <v>104420</v>
      </c>
      <c r="J36" s="13">
        <f t="shared" si="9"/>
        <v>0</v>
      </c>
      <c r="K36" s="13">
        <f t="shared" si="10"/>
        <v>0</v>
      </c>
    </row>
    <row r="37" spans="2:11" x14ac:dyDescent="0.4">
      <c r="B37" s="17" t="s">
        <v>16</v>
      </c>
      <c r="C37" s="15"/>
      <c r="D37" s="15"/>
      <c r="E37" s="15"/>
      <c r="F37" s="15"/>
      <c r="G37" s="15"/>
      <c r="H37" s="15">
        <f t="shared" ref="H37:I37" si="11">SUM(H25:H36)</f>
        <v>1575400</v>
      </c>
      <c r="I37" s="15">
        <f t="shared" si="11"/>
        <v>1399674</v>
      </c>
      <c r="J37" s="15">
        <f>SUM(J25:J36)</f>
        <v>141114</v>
      </c>
      <c r="K37" s="15">
        <f>SUM(K25:K36)</f>
        <v>127282.44</v>
      </c>
    </row>
  </sheetData>
  <mergeCells count="7">
    <mergeCell ref="N3:O3"/>
    <mergeCell ref="Q3:R3"/>
    <mergeCell ref="B23:K23"/>
    <mergeCell ref="B3:C3"/>
    <mergeCell ref="E3:F3"/>
    <mergeCell ref="H3:I3"/>
    <mergeCell ref="K3:L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03B2F-0923-41C8-AF0C-EC8E495699A2}">
  <sheetPr>
    <tabColor rgb="FFC00000"/>
  </sheetPr>
  <dimension ref="D2:P33"/>
  <sheetViews>
    <sheetView showGridLines="0" topLeftCell="C6" workbookViewId="0">
      <selection activeCell="E21" sqref="E21:N32"/>
    </sheetView>
  </sheetViews>
  <sheetFormatPr defaultRowHeight="15" x14ac:dyDescent="0.4"/>
  <cols>
    <col min="4" max="4" width="21.109375" bestFit="1" customWidth="1"/>
    <col min="5" max="5" width="16.33203125" bestFit="1" customWidth="1"/>
    <col min="6" max="6" width="15.109375" bestFit="1" customWidth="1"/>
    <col min="7" max="7" width="17.5546875" customWidth="1"/>
    <col min="8" max="8" width="17.6640625" customWidth="1"/>
    <col min="9" max="9" width="15.44140625" customWidth="1"/>
    <col min="10" max="10" width="13.33203125" customWidth="1"/>
    <col min="11" max="11" width="9" bestFit="1" customWidth="1"/>
    <col min="12" max="12" width="19.109375" bestFit="1" customWidth="1"/>
    <col min="13" max="13" width="17.44140625" bestFit="1" customWidth="1"/>
    <col min="14" max="16" width="12" customWidth="1"/>
  </cols>
  <sheetData>
    <row r="2" spans="4:13" ht="27" customHeight="1" x14ac:dyDescent="0.4">
      <c r="D2" s="50" t="s">
        <v>67</v>
      </c>
      <c r="E2" s="51"/>
      <c r="F2" s="51"/>
      <c r="G2" s="51"/>
      <c r="H2" s="51"/>
      <c r="I2" s="51"/>
      <c r="J2" s="51"/>
      <c r="K2" s="51"/>
      <c r="L2" s="51"/>
      <c r="M2" s="51"/>
    </row>
    <row r="3" spans="4:13" x14ac:dyDescent="0.4">
      <c r="D3" s="18" t="s">
        <v>15</v>
      </c>
      <c r="E3" s="11" t="s">
        <v>60</v>
      </c>
      <c r="F3" s="11" t="s">
        <v>61</v>
      </c>
      <c r="G3" s="11" t="s">
        <v>62</v>
      </c>
      <c r="H3" s="11" t="s">
        <v>63</v>
      </c>
      <c r="I3" s="11" t="s">
        <v>66</v>
      </c>
      <c r="J3" s="11" t="s">
        <v>56</v>
      </c>
      <c r="K3" s="11" t="s">
        <v>57</v>
      </c>
      <c r="L3" s="11" t="s">
        <v>58</v>
      </c>
      <c r="M3" s="11" t="s">
        <v>59</v>
      </c>
    </row>
    <row r="4" spans="4:13" x14ac:dyDescent="0.4">
      <c r="D4" s="16" t="s">
        <v>2</v>
      </c>
      <c r="E4" s="36">
        <v>0.7</v>
      </c>
      <c r="F4" s="36">
        <v>0.12</v>
      </c>
      <c r="G4" s="36">
        <v>0.28000000000000003</v>
      </c>
      <c r="H4" s="36">
        <v>0.02</v>
      </c>
      <c r="I4" s="36">
        <v>1.1200000000000001</v>
      </c>
      <c r="J4" s="13">
        <v>150800</v>
      </c>
      <c r="K4" s="13">
        <v>90480</v>
      </c>
      <c r="L4" s="13">
        <v>18096.000000000015</v>
      </c>
      <c r="M4" s="13">
        <v>10857.600000000009</v>
      </c>
    </row>
    <row r="5" spans="4:13" x14ac:dyDescent="0.4">
      <c r="D5" s="16" t="s">
        <v>7</v>
      </c>
      <c r="E5" s="36">
        <v>0.34</v>
      </c>
      <c r="F5" s="36">
        <v>0.16</v>
      </c>
      <c r="G5" s="36">
        <v>0.28000000000000003</v>
      </c>
      <c r="H5" s="36">
        <v>0.01</v>
      </c>
      <c r="I5" s="36">
        <v>0.79</v>
      </c>
      <c r="J5" s="13">
        <v>117000</v>
      </c>
      <c r="K5" s="13">
        <v>105300</v>
      </c>
      <c r="L5" s="13">
        <v>0</v>
      </c>
      <c r="M5" s="13">
        <v>0</v>
      </c>
    </row>
    <row r="6" spans="4:13" x14ac:dyDescent="0.4">
      <c r="D6" s="16" t="s">
        <v>1</v>
      </c>
      <c r="E6" s="36">
        <v>0.02</v>
      </c>
      <c r="F6" s="36">
        <v>0.16</v>
      </c>
      <c r="G6" s="36">
        <v>0.28000000000000003</v>
      </c>
      <c r="H6" s="36">
        <v>0</v>
      </c>
      <c r="I6" s="36">
        <v>0.46</v>
      </c>
      <c r="J6" s="13">
        <v>99500</v>
      </c>
      <c r="K6" s="13">
        <v>94525</v>
      </c>
      <c r="L6" s="13">
        <v>0</v>
      </c>
      <c r="M6" s="13">
        <v>0</v>
      </c>
    </row>
    <row r="7" spans="4:13" x14ac:dyDescent="0.4">
      <c r="D7" s="16" t="s">
        <v>0</v>
      </c>
      <c r="E7" s="36">
        <v>0.3</v>
      </c>
      <c r="F7" s="36">
        <v>0.23</v>
      </c>
      <c r="G7" s="36">
        <v>0.28000000000000003</v>
      </c>
      <c r="H7" s="36">
        <v>0.01</v>
      </c>
      <c r="I7" s="36">
        <v>0.82000000000000006</v>
      </c>
      <c r="J7" s="13">
        <v>185000</v>
      </c>
      <c r="K7" s="13">
        <v>166500</v>
      </c>
      <c r="L7" s="13">
        <v>0</v>
      </c>
      <c r="M7" s="13">
        <v>0</v>
      </c>
    </row>
    <row r="8" spans="4:13" x14ac:dyDescent="0.4">
      <c r="D8" s="16" t="s">
        <v>6</v>
      </c>
      <c r="E8" s="36">
        <v>0.16</v>
      </c>
      <c r="F8" s="36">
        <v>0.15</v>
      </c>
      <c r="G8" s="36">
        <v>0.28000000000000003</v>
      </c>
      <c r="H8" s="36">
        <v>0.01</v>
      </c>
      <c r="I8" s="36">
        <v>0.60000000000000009</v>
      </c>
      <c r="J8" s="13">
        <v>84100</v>
      </c>
      <c r="K8" s="13">
        <v>71485</v>
      </c>
      <c r="L8" s="13">
        <v>0</v>
      </c>
      <c r="M8" s="13">
        <v>0</v>
      </c>
    </row>
    <row r="9" spans="4:13" x14ac:dyDescent="0.4">
      <c r="D9" s="16" t="s">
        <v>5</v>
      </c>
      <c r="E9" s="36">
        <v>0.28999999999999998</v>
      </c>
      <c r="F9" s="36">
        <v>0.17</v>
      </c>
      <c r="G9" s="36">
        <v>0.28000000000000003</v>
      </c>
      <c r="H9" s="36">
        <v>0.01</v>
      </c>
      <c r="I9" s="36">
        <v>0.75</v>
      </c>
      <c r="J9" s="13">
        <v>91000</v>
      </c>
      <c r="K9" s="13">
        <v>81900</v>
      </c>
      <c r="L9" s="13">
        <v>0</v>
      </c>
      <c r="M9" s="13">
        <v>0</v>
      </c>
    </row>
    <row r="10" spans="4:13" x14ac:dyDescent="0.4">
      <c r="D10" s="16" t="s">
        <v>8</v>
      </c>
      <c r="E10" s="36">
        <v>7.0000000000000007E-2</v>
      </c>
      <c r="F10" s="36">
        <v>0.1</v>
      </c>
      <c r="G10" s="36">
        <v>0.28000000000000003</v>
      </c>
      <c r="H10" s="36">
        <v>0.01</v>
      </c>
      <c r="I10" s="36">
        <v>0.46000000000000008</v>
      </c>
      <c r="J10" s="13">
        <v>75900</v>
      </c>
      <c r="K10" s="13">
        <v>69828</v>
      </c>
      <c r="L10" s="13">
        <v>0</v>
      </c>
      <c r="M10" s="13">
        <v>0</v>
      </c>
    </row>
    <row r="11" spans="4:13" x14ac:dyDescent="0.4">
      <c r="D11" s="16" t="s">
        <v>3</v>
      </c>
      <c r="E11" s="36">
        <v>0.79</v>
      </c>
      <c r="F11" s="36">
        <v>0.1</v>
      </c>
      <c r="G11" s="36">
        <v>0.28000000000000003</v>
      </c>
      <c r="H11" s="36">
        <v>0.01</v>
      </c>
      <c r="I11" s="36">
        <v>1.18</v>
      </c>
      <c r="J11" s="13">
        <v>245700</v>
      </c>
      <c r="K11" s="13">
        <v>230958</v>
      </c>
      <c r="L11" s="13">
        <v>44225.999999999985</v>
      </c>
      <c r="M11" s="13">
        <v>41572.439999999988</v>
      </c>
    </row>
    <row r="12" spans="4:13" x14ac:dyDescent="0.4">
      <c r="D12" s="16" t="s">
        <v>10</v>
      </c>
      <c r="E12" s="36">
        <v>0.9</v>
      </c>
      <c r="F12" s="36">
        <v>0.09</v>
      </c>
      <c r="G12" s="36">
        <v>0.28000000000000003</v>
      </c>
      <c r="H12" s="36">
        <v>0.01</v>
      </c>
      <c r="I12" s="36">
        <v>1.28</v>
      </c>
      <c r="J12" s="13">
        <v>281400</v>
      </c>
      <c r="K12" s="13">
        <v>267330</v>
      </c>
      <c r="L12" s="13">
        <v>78792.000000000015</v>
      </c>
      <c r="M12" s="13">
        <v>74852.400000000009</v>
      </c>
    </row>
    <row r="13" spans="4:13" x14ac:dyDescent="0.4">
      <c r="D13" s="16" t="s">
        <v>4</v>
      </c>
      <c r="E13" s="36">
        <v>0.06</v>
      </c>
      <c r="F13" s="36">
        <v>0.13</v>
      </c>
      <c r="G13" s="36">
        <v>0.28000000000000003</v>
      </c>
      <c r="H13" s="36">
        <v>0.01</v>
      </c>
      <c r="I13" s="36">
        <v>0.48000000000000004</v>
      </c>
      <c r="J13" s="13">
        <v>70100</v>
      </c>
      <c r="K13" s="13">
        <v>61688</v>
      </c>
      <c r="L13" s="13">
        <v>0</v>
      </c>
      <c r="M13" s="13">
        <v>0</v>
      </c>
    </row>
    <row r="14" spans="4:13" x14ac:dyDescent="0.4">
      <c r="D14" s="16" t="s">
        <v>9</v>
      </c>
      <c r="E14" s="36">
        <v>0.28000000000000003</v>
      </c>
      <c r="F14" s="36">
        <v>0.18</v>
      </c>
      <c r="G14" s="36">
        <v>0.28000000000000003</v>
      </c>
      <c r="H14" s="36">
        <v>0.01</v>
      </c>
      <c r="I14" s="36">
        <v>0.75</v>
      </c>
      <c r="J14" s="13">
        <v>61400</v>
      </c>
      <c r="K14" s="13">
        <v>55260</v>
      </c>
      <c r="L14" s="13">
        <v>0</v>
      </c>
      <c r="M14" s="13">
        <v>0</v>
      </c>
    </row>
    <row r="15" spans="4:13" x14ac:dyDescent="0.4">
      <c r="D15" s="16" t="s">
        <v>17</v>
      </c>
      <c r="E15" s="36">
        <v>0.42</v>
      </c>
      <c r="F15" s="36">
        <v>0.2</v>
      </c>
      <c r="G15" s="36">
        <v>0.28000000000000003</v>
      </c>
      <c r="H15" s="36">
        <v>0.01</v>
      </c>
      <c r="I15" s="36">
        <v>0.91</v>
      </c>
      <c r="J15" s="13">
        <v>113500</v>
      </c>
      <c r="K15" s="13">
        <v>104420</v>
      </c>
      <c r="L15" s="13">
        <v>0</v>
      </c>
      <c r="M15" s="13">
        <v>0</v>
      </c>
    </row>
    <row r="16" spans="4:13" x14ac:dyDescent="0.4">
      <c r="D16" s="17" t="s">
        <v>16</v>
      </c>
      <c r="E16" s="15"/>
      <c r="F16" s="15"/>
      <c r="G16" s="15"/>
      <c r="H16" s="15"/>
      <c r="I16" s="15"/>
      <c r="J16" s="15">
        <v>1575400</v>
      </c>
      <c r="K16" s="15">
        <v>1399674</v>
      </c>
      <c r="L16" s="15">
        <v>141114</v>
      </c>
      <c r="M16" s="15">
        <v>127282.44</v>
      </c>
    </row>
    <row r="19" spans="4:16" ht="27.6" customHeight="1" x14ac:dyDescent="0.4">
      <c r="D19" s="49" t="s">
        <v>54</v>
      </c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</row>
    <row r="20" spans="4:16" ht="26.4" x14ac:dyDescent="0.4">
      <c r="D20" s="26" t="s">
        <v>33</v>
      </c>
      <c r="E20" s="27" t="s">
        <v>34</v>
      </c>
      <c r="F20" s="28" t="s">
        <v>49</v>
      </c>
      <c r="G20" s="28" t="s">
        <v>45</v>
      </c>
      <c r="H20" s="28" t="s">
        <v>50</v>
      </c>
      <c r="I20" s="27" t="s">
        <v>51</v>
      </c>
      <c r="J20" s="27" t="s">
        <v>52</v>
      </c>
      <c r="K20" s="28" t="s">
        <v>48</v>
      </c>
      <c r="L20" s="28" t="s">
        <v>53</v>
      </c>
      <c r="M20" s="27" t="s">
        <v>41</v>
      </c>
      <c r="N20" s="27" t="s">
        <v>68</v>
      </c>
      <c r="O20" s="37" t="s">
        <v>69</v>
      </c>
      <c r="P20" s="27" t="s">
        <v>31</v>
      </c>
    </row>
    <row r="21" spans="4:16" x14ac:dyDescent="0.4">
      <c r="D21" s="29" t="s">
        <v>2</v>
      </c>
      <c r="E21" s="30">
        <v>66300</v>
      </c>
      <c r="F21" s="33">
        <v>220400</v>
      </c>
      <c r="G21" s="34">
        <v>53200</v>
      </c>
      <c r="H21" s="33">
        <v>57350</v>
      </c>
      <c r="I21" s="30">
        <v>216250</v>
      </c>
      <c r="J21" s="30">
        <v>211900</v>
      </c>
      <c r="K21" s="33">
        <v>22800</v>
      </c>
      <c r="L21" s="33">
        <v>24600</v>
      </c>
      <c r="M21" s="30">
        <v>1800</v>
      </c>
      <c r="N21" s="30">
        <v>68850</v>
      </c>
      <c r="O21" s="33">
        <f>_xlfn.XLOOKUP(D21,$D$4:$D$15,$L$4:$L$15)</f>
        <v>18096.000000000015</v>
      </c>
      <c r="P21" s="30">
        <f>N21+O21</f>
        <v>86946.000000000015</v>
      </c>
    </row>
    <row r="22" spans="4:16" x14ac:dyDescent="0.4">
      <c r="D22" s="29" t="s">
        <v>7</v>
      </c>
      <c r="E22" s="30">
        <v>50600</v>
      </c>
      <c r="F22" s="33">
        <v>188600</v>
      </c>
      <c r="G22" s="34">
        <v>41600</v>
      </c>
      <c r="H22" s="33">
        <v>45050</v>
      </c>
      <c r="I22" s="30">
        <v>185150</v>
      </c>
      <c r="J22" s="30">
        <v>182000</v>
      </c>
      <c r="K22" s="33">
        <v>18200</v>
      </c>
      <c r="L22" s="33">
        <v>19700</v>
      </c>
      <c r="M22" s="30">
        <v>1500</v>
      </c>
      <c r="N22" s="30">
        <v>52250</v>
      </c>
      <c r="O22" s="33">
        <f t="shared" ref="O22:O32" si="0">_xlfn.XLOOKUP(D22,$D$4:$D$15,$L$4:$L$15)</f>
        <v>0</v>
      </c>
      <c r="P22" s="30">
        <f t="shared" ref="P22:P32" si="1">N22+O22</f>
        <v>52250</v>
      </c>
    </row>
    <row r="23" spans="4:16" x14ac:dyDescent="0.4">
      <c r="D23" s="29" t="s">
        <v>1</v>
      </c>
      <c r="E23" s="30">
        <v>48500</v>
      </c>
      <c r="F23" s="33">
        <v>147500</v>
      </c>
      <c r="G23" s="34">
        <v>30800</v>
      </c>
      <c r="H23" s="33">
        <v>33000</v>
      </c>
      <c r="I23" s="30">
        <v>145300</v>
      </c>
      <c r="J23" s="30">
        <v>142100</v>
      </c>
      <c r="K23" s="33">
        <v>14800</v>
      </c>
      <c r="L23" s="33">
        <v>16000</v>
      </c>
      <c r="M23" s="30">
        <v>1200</v>
      </c>
      <c r="N23" s="30">
        <v>50500</v>
      </c>
      <c r="O23" s="33">
        <f t="shared" si="0"/>
        <v>0</v>
      </c>
      <c r="P23" s="30">
        <f t="shared" si="1"/>
        <v>50500</v>
      </c>
    </row>
    <row r="24" spans="4:16" x14ac:dyDescent="0.4">
      <c r="D24" s="29" t="s">
        <v>0</v>
      </c>
      <c r="E24" s="30">
        <v>70400</v>
      </c>
      <c r="F24" s="33">
        <v>358600</v>
      </c>
      <c r="G24" s="34">
        <v>68400</v>
      </c>
      <c r="H24" s="33">
        <v>73400</v>
      </c>
      <c r="I24" s="30">
        <v>353600</v>
      </c>
      <c r="J24" s="30">
        <v>344800</v>
      </c>
      <c r="K24" s="33">
        <v>32400</v>
      </c>
      <c r="L24" s="33">
        <v>34800</v>
      </c>
      <c r="M24" s="30">
        <v>2400</v>
      </c>
      <c r="N24" s="30">
        <v>76800</v>
      </c>
      <c r="O24" s="33">
        <f t="shared" si="0"/>
        <v>0</v>
      </c>
      <c r="P24" s="30">
        <f t="shared" si="1"/>
        <v>76800</v>
      </c>
    </row>
    <row r="25" spans="4:16" x14ac:dyDescent="0.4">
      <c r="D25" s="29" t="s">
        <v>6</v>
      </c>
      <c r="E25" s="30">
        <v>40300</v>
      </c>
      <c r="F25" s="33">
        <v>122600</v>
      </c>
      <c r="G25" s="34">
        <v>25400</v>
      </c>
      <c r="H25" s="33">
        <v>27750</v>
      </c>
      <c r="I25" s="30">
        <v>120250</v>
      </c>
      <c r="J25" s="30">
        <v>116100</v>
      </c>
      <c r="K25" s="33">
        <v>11900</v>
      </c>
      <c r="L25" s="33">
        <v>12900</v>
      </c>
      <c r="M25" s="30">
        <v>1000</v>
      </c>
      <c r="N25" s="30">
        <v>43450</v>
      </c>
      <c r="O25" s="33">
        <f t="shared" si="0"/>
        <v>0</v>
      </c>
      <c r="P25" s="30">
        <f t="shared" si="1"/>
        <v>43450</v>
      </c>
    </row>
    <row r="26" spans="4:16" x14ac:dyDescent="0.4">
      <c r="D26" s="29" t="s">
        <v>5</v>
      </c>
      <c r="E26" s="30">
        <v>40700</v>
      </c>
      <c r="F26" s="33">
        <v>138000</v>
      </c>
      <c r="G26" s="34">
        <v>30000</v>
      </c>
      <c r="H26" s="33">
        <v>32450</v>
      </c>
      <c r="I26" s="30">
        <v>135550</v>
      </c>
      <c r="J26" s="30">
        <v>131400</v>
      </c>
      <c r="K26" s="33">
        <v>13700</v>
      </c>
      <c r="L26" s="33">
        <v>14900</v>
      </c>
      <c r="M26" s="30">
        <v>1200</v>
      </c>
      <c r="N26" s="30">
        <v>43650</v>
      </c>
      <c r="O26" s="33">
        <f t="shared" si="0"/>
        <v>0</v>
      </c>
      <c r="P26" s="30">
        <f t="shared" si="1"/>
        <v>43650</v>
      </c>
    </row>
    <row r="27" spans="4:16" x14ac:dyDescent="0.4">
      <c r="D27" s="29" t="s">
        <v>8</v>
      </c>
      <c r="E27" s="30">
        <v>37600</v>
      </c>
      <c r="F27" s="33">
        <v>109800</v>
      </c>
      <c r="G27" s="34">
        <v>22200</v>
      </c>
      <c r="H27" s="33">
        <v>24450</v>
      </c>
      <c r="I27" s="30">
        <v>107550</v>
      </c>
      <c r="J27" s="30">
        <v>103600</v>
      </c>
      <c r="K27" s="33">
        <v>9900</v>
      </c>
      <c r="L27" s="33">
        <v>10800</v>
      </c>
      <c r="M27" s="30">
        <v>900</v>
      </c>
      <c r="N27" s="30">
        <v>40650</v>
      </c>
      <c r="O27" s="33">
        <f t="shared" si="0"/>
        <v>0</v>
      </c>
      <c r="P27" s="30">
        <f t="shared" si="1"/>
        <v>40650</v>
      </c>
    </row>
    <row r="28" spans="4:16" x14ac:dyDescent="0.4">
      <c r="D28" s="29" t="s">
        <v>3</v>
      </c>
      <c r="E28" s="30">
        <v>114100</v>
      </c>
      <c r="F28" s="33">
        <v>403500</v>
      </c>
      <c r="G28" s="34">
        <v>79700</v>
      </c>
      <c r="H28" s="33">
        <v>85550</v>
      </c>
      <c r="I28" s="30">
        <v>397650</v>
      </c>
      <c r="J28" s="30">
        <v>387300</v>
      </c>
      <c r="K28" s="33">
        <v>35700</v>
      </c>
      <c r="L28" s="33">
        <v>38200</v>
      </c>
      <c r="M28" s="30">
        <v>2500</v>
      </c>
      <c r="N28" s="30">
        <v>121950</v>
      </c>
      <c r="O28" s="33">
        <f t="shared" si="0"/>
        <v>44225.999999999985</v>
      </c>
      <c r="P28" s="30">
        <f t="shared" si="1"/>
        <v>166176</v>
      </c>
    </row>
    <row r="29" spans="4:16" x14ac:dyDescent="0.4">
      <c r="D29" s="29" t="s">
        <v>10</v>
      </c>
      <c r="E29" s="30">
        <v>136000</v>
      </c>
      <c r="F29" s="33">
        <v>452700</v>
      </c>
      <c r="G29" s="34">
        <v>89200</v>
      </c>
      <c r="H29" s="33">
        <v>96200</v>
      </c>
      <c r="I29" s="30">
        <v>445700</v>
      </c>
      <c r="J29" s="30">
        <v>436400</v>
      </c>
      <c r="K29" s="33">
        <v>39900</v>
      </c>
      <c r="L29" s="33">
        <v>42600</v>
      </c>
      <c r="M29" s="30">
        <v>2700</v>
      </c>
      <c r="N29" s="30">
        <v>142600</v>
      </c>
      <c r="O29" s="33">
        <f t="shared" si="0"/>
        <v>78792.000000000015</v>
      </c>
      <c r="P29" s="30">
        <f t="shared" si="1"/>
        <v>221392</v>
      </c>
    </row>
    <row r="30" spans="4:16" x14ac:dyDescent="0.4">
      <c r="D30" s="29" t="s">
        <v>4</v>
      </c>
      <c r="E30" s="30">
        <v>38300</v>
      </c>
      <c r="F30" s="33">
        <v>93300</v>
      </c>
      <c r="G30" s="34">
        <v>18400</v>
      </c>
      <c r="H30" s="33">
        <v>20000</v>
      </c>
      <c r="I30" s="30">
        <v>91700</v>
      </c>
      <c r="J30" s="30">
        <v>88100</v>
      </c>
      <c r="K30" s="33">
        <v>8200</v>
      </c>
      <c r="L30" s="33">
        <v>8900</v>
      </c>
      <c r="M30" s="30">
        <v>700</v>
      </c>
      <c r="N30" s="30">
        <v>41200</v>
      </c>
      <c r="O30" s="33">
        <f t="shared" si="0"/>
        <v>0</v>
      </c>
      <c r="P30" s="30">
        <f t="shared" si="1"/>
        <v>41200</v>
      </c>
    </row>
    <row r="31" spans="4:16" x14ac:dyDescent="0.4">
      <c r="D31" s="29" t="s">
        <v>9</v>
      </c>
      <c r="E31" s="30">
        <v>34000</v>
      </c>
      <c r="F31" s="33">
        <v>82900</v>
      </c>
      <c r="G31" s="34">
        <v>15500</v>
      </c>
      <c r="H31" s="33">
        <v>17150</v>
      </c>
      <c r="I31" s="30">
        <v>81250</v>
      </c>
      <c r="J31" s="30">
        <v>78300</v>
      </c>
      <c r="K31" s="33">
        <v>7300</v>
      </c>
      <c r="L31" s="33">
        <v>7900</v>
      </c>
      <c r="M31" s="30">
        <v>600</v>
      </c>
      <c r="N31" s="30">
        <v>36350</v>
      </c>
      <c r="O31" s="33">
        <f t="shared" si="0"/>
        <v>0</v>
      </c>
      <c r="P31" s="30">
        <f t="shared" si="1"/>
        <v>36350</v>
      </c>
    </row>
    <row r="32" spans="4:16" x14ac:dyDescent="0.4">
      <c r="D32" s="29" t="s">
        <v>17</v>
      </c>
      <c r="E32" s="30">
        <v>51600</v>
      </c>
      <c r="F32" s="33">
        <v>174600</v>
      </c>
      <c r="G32" s="34">
        <v>38000</v>
      </c>
      <c r="H32" s="33">
        <v>41600</v>
      </c>
      <c r="I32" s="30">
        <v>171000</v>
      </c>
      <c r="J32" s="30">
        <v>167000</v>
      </c>
      <c r="K32" s="33">
        <v>16300</v>
      </c>
      <c r="L32" s="33">
        <v>17700</v>
      </c>
      <c r="M32" s="30">
        <v>1400</v>
      </c>
      <c r="N32" s="30">
        <v>54200</v>
      </c>
      <c r="O32" s="33">
        <f t="shared" si="0"/>
        <v>0</v>
      </c>
      <c r="P32" s="30">
        <f t="shared" si="1"/>
        <v>54200</v>
      </c>
    </row>
    <row r="33" spans="4:16" x14ac:dyDescent="0.4">
      <c r="D33" s="31" t="s">
        <v>42</v>
      </c>
      <c r="E33" s="32">
        <f>SUM(E21:E32)</f>
        <v>728400</v>
      </c>
      <c r="F33" s="35">
        <f t="shared" ref="F33:N33" si="2">SUM(F21:F32)</f>
        <v>2492500</v>
      </c>
      <c r="G33" s="35">
        <f t="shared" si="2"/>
        <v>512400</v>
      </c>
      <c r="H33" s="35">
        <f t="shared" si="2"/>
        <v>553950</v>
      </c>
      <c r="I33" s="32">
        <f t="shared" si="2"/>
        <v>2450950</v>
      </c>
      <c r="J33" s="32">
        <f t="shared" si="2"/>
        <v>2389000</v>
      </c>
      <c r="K33" s="35">
        <f t="shared" si="2"/>
        <v>231100</v>
      </c>
      <c r="L33" s="35">
        <f t="shared" si="2"/>
        <v>249000</v>
      </c>
      <c r="M33" s="32">
        <f t="shared" si="2"/>
        <v>17900</v>
      </c>
      <c r="N33" s="32">
        <f t="shared" si="2"/>
        <v>772450</v>
      </c>
      <c r="O33" s="35">
        <f t="shared" ref="O33" si="3">SUM(O21:O32)</f>
        <v>141114</v>
      </c>
      <c r="P33" s="32">
        <f t="shared" ref="P33" si="4">SUM(P21:P32)</f>
        <v>913564</v>
      </c>
    </row>
  </sheetData>
  <mergeCells count="2">
    <mergeCell ref="D2:M2"/>
    <mergeCell ref="D19:P1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422A-26AF-4FAF-8433-A4DE18B9D356}">
  <sheetPr>
    <tabColor rgb="FFC00000"/>
  </sheetPr>
  <dimension ref="C2:T36"/>
  <sheetViews>
    <sheetView showGridLines="0" tabSelected="1" topLeftCell="C1" workbookViewId="0">
      <selection activeCell="O22" sqref="O22"/>
    </sheetView>
  </sheetViews>
  <sheetFormatPr defaultRowHeight="15" x14ac:dyDescent="0.4"/>
  <cols>
    <col min="3" max="3" width="20" bestFit="1" customWidth="1"/>
    <col min="9" max="9" width="21.109375" bestFit="1" customWidth="1"/>
    <col min="16" max="16" width="26.5546875" bestFit="1" customWidth="1"/>
  </cols>
  <sheetData>
    <row r="2" spans="3:20" x14ac:dyDescent="0.4">
      <c r="C2" s="48" t="s">
        <v>70</v>
      </c>
      <c r="D2" s="48"/>
      <c r="E2" s="48"/>
      <c r="F2" s="48"/>
      <c r="G2" s="48"/>
      <c r="I2" s="48" t="s">
        <v>71</v>
      </c>
      <c r="J2" s="48"/>
      <c r="K2" s="48"/>
      <c r="L2" s="48"/>
      <c r="M2" s="48"/>
      <c r="P2" s="48" t="s">
        <v>72</v>
      </c>
      <c r="Q2" s="48"/>
      <c r="R2" s="48"/>
      <c r="S2" s="48"/>
      <c r="T2" s="48"/>
    </row>
    <row r="3" spans="3:20" x14ac:dyDescent="0.4">
      <c r="C3" s="18" t="s">
        <v>15</v>
      </c>
      <c r="D3" s="10">
        <v>2021</v>
      </c>
      <c r="E3" s="10">
        <v>2022</v>
      </c>
      <c r="F3" s="10">
        <v>2023</v>
      </c>
      <c r="G3" s="11">
        <v>2024</v>
      </c>
      <c r="I3" s="18" t="s">
        <v>15</v>
      </c>
      <c r="J3" s="10">
        <v>2021</v>
      </c>
      <c r="K3" s="10">
        <v>2022</v>
      </c>
      <c r="L3" s="10">
        <v>2023</v>
      </c>
      <c r="M3" s="11">
        <v>2024</v>
      </c>
      <c r="P3" s="18" t="s">
        <v>15</v>
      </c>
      <c r="Q3" s="10">
        <v>2021</v>
      </c>
      <c r="R3" s="10">
        <v>2022</v>
      </c>
      <c r="S3" s="10">
        <v>2023</v>
      </c>
      <c r="T3" s="11">
        <v>2024</v>
      </c>
    </row>
    <row r="4" spans="3:20" x14ac:dyDescent="0.4">
      <c r="C4" s="16" t="s">
        <v>2</v>
      </c>
      <c r="D4" s="12">
        <v>54200</v>
      </c>
      <c r="E4" s="12">
        <v>60800</v>
      </c>
      <c r="F4" s="12">
        <v>64000</v>
      </c>
      <c r="G4" s="13">
        <v>67900</v>
      </c>
      <c r="I4" s="16" t="s">
        <v>2</v>
      </c>
      <c r="J4" s="12">
        <v>16700</v>
      </c>
      <c r="K4" s="12">
        <v>17900</v>
      </c>
      <c r="L4" s="12">
        <v>19400</v>
      </c>
      <c r="M4" s="13">
        <v>20900</v>
      </c>
      <c r="P4" s="16" t="s">
        <v>2</v>
      </c>
      <c r="Q4" s="12">
        <v>0</v>
      </c>
      <c r="R4" s="12">
        <v>0</v>
      </c>
      <c r="S4" s="12">
        <v>0</v>
      </c>
      <c r="T4" s="12">
        <v>0</v>
      </c>
    </row>
    <row r="5" spans="3:20" x14ac:dyDescent="0.4">
      <c r="C5" s="16" t="s">
        <v>7</v>
      </c>
      <c r="D5" s="12">
        <v>34500</v>
      </c>
      <c r="E5" s="12">
        <v>36700</v>
      </c>
      <c r="F5" s="12">
        <v>38600</v>
      </c>
      <c r="G5" s="13">
        <v>41000</v>
      </c>
      <c r="I5" s="16" t="s">
        <v>7</v>
      </c>
      <c r="J5" s="12">
        <v>13300</v>
      </c>
      <c r="K5" s="12">
        <v>14400</v>
      </c>
      <c r="L5" s="12">
        <v>15500</v>
      </c>
      <c r="M5" s="13">
        <v>16700</v>
      </c>
      <c r="P5" s="16" t="s">
        <v>7</v>
      </c>
      <c r="Q5" s="12">
        <v>0</v>
      </c>
      <c r="R5" s="12">
        <v>0</v>
      </c>
      <c r="S5" s="12">
        <v>0</v>
      </c>
      <c r="T5" s="12">
        <v>0</v>
      </c>
    </row>
    <row r="6" spans="3:20" x14ac:dyDescent="0.4">
      <c r="C6" s="16" t="s">
        <v>1</v>
      </c>
      <c r="D6" s="12">
        <v>16500</v>
      </c>
      <c r="E6" s="12">
        <v>17500</v>
      </c>
      <c r="F6" s="12">
        <v>18800</v>
      </c>
      <c r="G6" s="13">
        <v>19900</v>
      </c>
      <c r="I6" s="16" t="s">
        <v>1</v>
      </c>
      <c r="J6" s="12">
        <v>10700</v>
      </c>
      <c r="K6" s="12">
        <v>11600</v>
      </c>
      <c r="L6" s="12">
        <v>12600</v>
      </c>
      <c r="M6" s="13">
        <v>13600</v>
      </c>
      <c r="P6" s="16" t="s">
        <v>1</v>
      </c>
      <c r="Q6" s="12">
        <v>0</v>
      </c>
      <c r="R6" s="12">
        <v>0</v>
      </c>
      <c r="S6" s="12">
        <v>0</v>
      </c>
      <c r="T6" s="12">
        <v>0</v>
      </c>
    </row>
    <row r="7" spans="3:20" x14ac:dyDescent="0.4">
      <c r="C7" s="16" t="s">
        <v>0</v>
      </c>
      <c r="D7" s="12">
        <v>60200</v>
      </c>
      <c r="E7" s="12">
        <v>65200</v>
      </c>
      <c r="F7" s="12">
        <v>68500</v>
      </c>
      <c r="G7" s="13">
        <v>74000</v>
      </c>
      <c r="I7" s="16" t="s">
        <v>0</v>
      </c>
      <c r="J7" s="12">
        <v>24000</v>
      </c>
      <c r="K7" s="12">
        <v>25600</v>
      </c>
      <c r="L7" s="12">
        <v>27500</v>
      </c>
      <c r="M7" s="13">
        <v>29600</v>
      </c>
      <c r="P7" s="16" t="s">
        <v>0</v>
      </c>
      <c r="Q7" s="12">
        <v>6000</v>
      </c>
      <c r="R7" s="12">
        <v>6800</v>
      </c>
      <c r="S7" s="12">
        <v>7500</v>
      </c>
      <c r="T7" s="13">
        <v>8300</v>
      </c>
    </row>
    <row r="8" spans="3:20" x14ac:dyDescent="0.4">
      <c r="C8" s="16" t="s">
        <v>6</v>
      </c>
      <c r="D8" s="12">
        <v>19700</v>
      </c>
      <c r="E8" s="12">
        <v>21700</v>
      </c>
      <c r="F8" s="12">
        <v>23300</v>
      </c>
      <c r="G8" s="13">
        <v>25200</v>
      </c>
      <c r="I8" s="16" t="s">
        <v>6</v>
      </c>
      <c r="J8" s="12">
        <v>8500</v>
      </c>
      <c r="K8" s="12">
        <v>9300</v>
      </c>
      <c r="L8" s="12">
        <v>10100</v>
      </c>
      <c r="M8" s="13">
        <v>11000</v>
      </c>
      <c r="P8" s="16" t="s">
        <v>6</v>
      </c>
      <c r="Q8" s="12">
        <v>2000</v>
      </c>
      <c r="R8" s="12">
        <v>2300</v>
      </c>
      <c r="S8" s="12">
        <v>2600</v>
      </c>
      <c r="T8" s="13">
        <v>2900</v>
      </c>
    </row>
    <row r="9" spans="3:20" x14ac:dyDescent="0.4">
      <c r="C9" s="16" t="s">
        <v>5</v>
      </c>
      <c r="D9" s="12">
        <v>25900</v>
      </c>
      <c r="E9" s="12">
        <v>27700</v>
      </c>
      <c r="F9" s="12">
        <v>29500</v>
      </c>
      <c r="G9" s="13">
        <v>31900</v>
      </c>
      <c r="I9" s="16" t="s">
        <v>5</v>
      </c>
      <c r="J9" s="12">
        <v>9900</v>
      </c>
      <c r="K9" s="12">
        <v>10700</v>
      </c>
      <c r="L9" s="12">
        <v>11600</v>
      </c>
      <c r="M9" s="13">
        <v>12700</v>
      </c>
      <c r="P9" s="16" t="s">
        <v>5</v>
      </c>
      <c r="Q9" s="12">
        <v>3500</v>
      </c>
      <c r="R9" s="12">
        <v>3900</v>
      </c>
      <c r="S9" s="12">
        <v>4300</v>
      </c>
      <c r="T9" s="13">
        <v>4800</v>
      </c>
    </row>
    <row r="10" spans="3:20" x14ac:dyDescent="0.4">
      <c r="C10" s="16" t="s">
        <v>8</v>
      </c>
      <c r="D10" s="12">
        <v>15100</v>
      </c>
      <c r="E10" s="12">
        <v>16200</v>
      </c>
      <c r="F10" s="12">
        <v>17400</v>
      </c>
      <c r="G10" s="13">
        <v>19000</v>
      </c>
      <c r="I10" s="16" t="s">
        <v>8</v>
      </c>
      <c r="J10" s="12">
        <v>7100</v>
      </c>
      <c r="K10" s="12">
        <v>7700</v>
      </c>
      <c r="L10" s="12">
        <v>8400</v>
      </c>
      <c r="M10" s="13">
        <v>9200</v>
      </c>
      <c r="P10" s="16" t="s">
        <v>8</v>
      </c>
      <c r="Q10" s="12">
        <v>0</v>
      </c>
      <c r="R10" s="12">
        <v>0</v>
      </c>
      <c r="S10" s="12">
        <v>0</v>
      </c>
      <c r="T10" s="12">
        <v>0</v>
      </c>
    </row>
    <row r="11" spans="3:20" x14ac:dyDescent="0.4">
      <c r="C11" s="16" t="s">
        <v>3</v>
      </c>
      <c r="D11" s="12">
        <v>30100</v>
      </c>
      <c r="E11" s="12">
        <v>32300</v>
      </c>
      <c r="F11" s="12">
        <v>34400</v>
      </c>
      <c r="G11" s="13">
        <v>36900</v>
      </c>
      <c r="I11" s="16" t="s">
        <v>3</v>
      </c>
      <c r="J11" s="12">
        <v>26500</v>
      </c>
      <c r="K11" s="12">
        <v>28400</v>
      </c>
      <c r="L11" s="12">
        <v>30300</v>
      </c>
      <c r="M11" s="13">
        <v>32500</v>
      </c>
      <c r="P11" s="16" t="s">
        <v>3</v>
      </c>
      <c r="Q11" s="12">
        <v>4200</v>
      </c>
      <c r="R11" s="12">
        <v>4600</v>
      </c>
      <c r="S11" s="12">
        <v>5000</v>
      </c>
      <c r="T11" s="13">
        <v>5500</v>
      </c>
    </row>
    <row r="12" spans="3:20" x14ac:dyDescent="0.4">
      <c r="C12" s="16" t="s">
        <v>10</v>
      </c>
      <c r="D12" s="12">
        <v>23100</v>
      </c>
      <c r="E12" s="12">
        <v>24800</v>
      </c>
      <c r="F12" s="12">
        <v>26500</v>
      </c>
      <c r="G12" s="13">
        <v>28100</v>
      </c>
      <c r="I12" s="16" t="s">
        <v>10</v>
      </c>
      <c r="J12" s="12">
        <v>29700</v>
      </c>
      <c r="K12" s="12">
        <v>31700</v>
      </c>
      <c r="L12" s="12">
        <v>33900</v>
      </c>
      <c r="M12" s="13">
        <v>36200</v>
      </c>
      <c r="P12" s="16" t="s">
        <v>10</v>
      </c>
      <c r="Q12" s="12">
        <v>0</v>
      </c>
      <c r="R12" s="12">
        <v>0</v>
      </c>
      <c r="S12" s="12">
        <v>0</v>
      </c>
      <c r="T12" s="12">
        <v>0</v>
      </c>
    </row>
    <row r="13" spans="3:20" x14ac:dyDescent="0.4">
      <c r="C13" s="16" t="s">
        <v>4</v>
      </c>
      <c r="D13" s="12">
        <v>11000</v>
      </c>
      <c r="E13" s="12">
        <v>11900</v>
      </c>
      <c r="F13" s="12">
        <v>13000</v>
      </c>
      <c r="G13" s="13">
        <v>14000</v>
      </c>
      <c r="I13" s="16" t="s">
        <v>4</v>
      </c>
      <c r="J13" s="12">
        <v>6000</v>
      </c>
      <c r="K13" s="12">
        <v>6500</v>
      </c>
      <c r="L13" s="12">
        <v>7000</v>
      </c>
      <c r="M13" s="13">
        <v>7600</v>
      </c>
      <c r="P13" s="16" t="s">
        <v>4</v>
      </c>
      <c r="Q13" s="12">
        <v>0</v>
      </c>
      <c r="R13" s="12">
        <v>0</v>
      </c>
      <c r="S13" s="12">
        <v>0</v>
      </c>
      <c r="T13" s="12">
        <v>0</v>
      </c>
    </row>
    <row r="14" spans="3:20" x14ac:dyDescent="0.4">
      <c r="C14" s="16" t="s">
        <v>9</v>
      </c>
      <c r="D14" s="12">
        <v>12200</v>
      </c>
      <c r="E14" s="12">
        <v>13200</v>
      </c>
      <c r="F14" s="12">
        <v>14200</v>
      </c>
      <c r="G14" s="13">
        <v>15400</v>
      </c>
      <c r="I14" s="16" t="s">
        <v>9</v>
      </c>
      <c r="J14" s="12">
        <v>5300</v>
      </c>
      <c r="K14" s="12">
        <v>5700</v>
      </c>
      <c r="L14" s="12">
        <v>6200</v>
      </c>
      <c r="M14" s="13">
        <v>6700</v>
      </c>
      <c r="P14" s="16" t="s">
        <v>9</v>
      </c>
      <c r="Q14" s="12">
        <v>0</v>
      </c>
      <c r="R14" s="12">
        <v>0</v>
      </c>
      <c r="S14" s="12">
        <v>0</v>
      </c>
      <c r="T14" s="12">
        <v>0</v>
      </c>
    </row>
    <row r="15" spans="3:20" x14ac:dyDescent="0.4">
      <c r="C15" s="16" t="s">
        <v>17</v>
      </c>
      <c r="D15" s="12">
        <v>27800</v>
      </c>
      <c r="E15" s="12">
        <v>29900</v>
      </c>
      <c r="F15" s="12">
        <v>31800</v>
      </c>
      <c r="G15" s="13">
        <v>34100</v>
      </c>
      <c r="I15" s="16" t="s">
        <v>17</v>
      </c>
      <c r="J15" s="12">
        <v>12000</v>
      </c>
      <c r="K15" s="12">
        <v>12800</v>
      </c>
      <c r="L15" s="12">
        <v>13900</v>
      </c>
      <c r="M15" s="13">
        <v>15000</v>
      </c>
      <c r="P15" s="16" t="s">
        <v>17</v>
      </c>
      <c r="Q15" s="12">
        <v>3800</v>
      </c>
      <c r="R15" s="12">
        <v>4200</v>
      </c>
      <c r="S15" s="12">
        <v>4600</v>
      </c>
      <c r="T15" s="13">
        <v>5000</v>
      </c>
    </row>
    <row r="16" spans="3:20" x14ac:dyDescent="0.4">
      <c r="C16" s="17" t="s">
        <v>16</v>
      </c>
      <c r="D16" s="14">
        <f>SUM(D4:D15)</f>
        <v>330300</v>
      </c>
      <c r="E16" s="14">
        <f t="shared" ref="E16:G16" si="0">SUM(E4:E15)</f>
        <v>357900</v>
      </c>
      <c r="F16" s="14">
        <f t="shared" si="0"/>
        <v>380000</v>
      </c>
      <c r="G16" s="14">
        <f t="shared" si="0"/>
        <v>407400</v>
      </c>
      <c r="I16" s="17" t="s">
        <v>16</v>
      </c>
      <c r="J16" s="14">
        <f t="shared" ref="J16:M16" si="1">SUM(J4:J15)</f>
        <v>169700</v>
      </c>
      <c r="K16" s="14">
        <f t="shared" si="1"/>
        <v>182300</v>
      </c>
      <c r="L16" s="14">
        <f t="shared" si="1"/>
        <v>196400</v>
      </c>
      <c r="M16" s="15">
        <f t="shared" si="1"/>
        <v>211700</v>
      </c>
      <c r="P16" s="17" t="s">
        <v>73</v>
      </c>
      <c r="Q16" s="14">
        <v>19500</v>
      </c>
      <c r="R16" s="14">
        <v>21800</v>
      </c>
      <c r="S16" s="14">
        <v>24000</v>
      </c>
      <c r="T16" s="15">
        <v>26500</v>
      </c>
    </row>
    <row r="20" spans="3:7" x14ac:dyDescent="0.4">
      <c r="C20" s="38" t="s">
        <v>74</v>
      </c>
    </row>
    <row r="21" spans="3:7" ht="15" customHeight="1" x14ac:dyDescent="0.4">
      <c r="C21" s="52" t="s">
        <v>75</v>
      </c>
      <c r="D21" s="52"/>
      <c r="E21" s="52"/>
      <c r="F21" s="52"/>
      <c r="G21" s="52"/>
    </row>
    <row r="22" spans="3:7" ht="15.6" customHeight="1" thickBot="1" x14ac:dyDescent="0.45">
      <c r="C22" s="53" t="s">
        <v>76</v>
      </c>
      <c r="D22" s="53"/>
      <c r="E22" s="53"/>
      <c r="F22" s="53"/>
      <c r="G22" s="53"/>
    </row>
    <row r="23" spans="3:7" ht="15.6" thickBot="1" x14ac:dyDescent="0.45">
      <c r="C23" s="39" t="s">
        <v>33</v>
      </c>
      <c r="D23" s="39">
        <v>2021</v>
      </c>
      <c r="E23" s="39">
        <v>2022</v>
      </c>
      <c r="F23" s="39">
        <v>2023</v>
      </c>
      <c r="G23" s="39">
        <v>2024</v>
      </c>
    </row>
    <row r="24" spans="3:7" x14ac:dyDescent="0.4">
      <c r="C24" s="40" t="s">
        <v>2</v>
      </c>
      <c r="D24" s="41">
        <f>D4-J4+Q4</f>
        <v>37500</v>
      </c>
      <c r="E24" s="41">
        <f>E4-K4+R4</f>
        <v>42900</v>
      </c>
      <c r="F24" s="41">
        <f>F4-L4+S4</f>
        <v>44600</v>
      </c>
      <c r="G24" s="41">
        <f>G4-M4+T4</f>
        <v>47000</v>
      </c>
    </row>
    <row r="25" spans="3:7" x14ac:dyDescent="0.4">
      <c r="C25" s="40" t="s">
        <v>7</v>
      </c>
      <c r="D25" s="41">
        <f t="shared" ref="D25:G25" si="2">D5-J5+Q5</f>
        <v>21200</v>
      </c>
      <c r="E25" s="41">
        <f t="shared" si="2"/>
        <v>22300</v>
      </c>
      <c r="F25" s="41">
        <f t="shared" si="2"/>
        <v>23100</v>
      </c>
      <c r="G25" s="41">
        <f t="shared" si="2"/>
        <v>24300</v>
      </c>
    </row>
    <row r="26" spans="3:7" x14ac:dyDescent="0.4">
      <c r="C26" s="40" t="s">
        <v>1</v>
      </c>
      <c r="D26" s="41">
        <f t="shared" ref="D26:G26" si="3">D6-J6+Q6</f>
        <v>5800</v>
      </c>
      <c r="E26" s="41">
        <f t="shared" si="3"/>
        <v>5900</v>
      </c>
      <c r="F26" s="41">
        <f t="shared" si="3"/>
        <v>6200</v>
      </c>
      <c r="G26" s="41">
        <f t="shared" si="3"/>
        <v>6300</v>
      </c>
    </row>
    <row r="27" spans="3:7" x14ac:dyDescent="0.4">
      <c r="C27" s="40" t="s">
        <v>0</v>
      </c>
      <c r="D27" s="41">
        <f t="shared" ref="D27:G27" si="4">D7-J7+Q7</f>
        <v>42200</v>
      </c>
      <c r="E27" s="41">
        <f t="shared" si="4"/>
        <v>46400</v>
      </c>
      <c r="F27" s="41">
        <f t="shared" si="4"/>
        <v>48500</v>
      </c>
      <c r="G27" s="41">
        <f t="shared" si="4"/>
        <v>52700</v>
      </c>
    </row>
    <row r="28" spans="3:7" ht="15" customHeight="1" x14ac:dyDescent="0.4">
      <c r="C28" s="40" t="s">
        <v>6</v>
      </c>
      <c r="D28" s="41">
        <f t="shared" ref="D28:G28" si="5">D8-J8+Q8</f>
        <v>13200</v>
      </c>
      <c r="E28" s="41">
        <f t="shared" si="5"/>
        <v>14700</v>
      </c>
      <c r="F28" s="41">
        <f t="shared" si="5"/>
        <v>15800</v>
      </c>
      <c r="G28" s="41">
        <f t="shared" si="5"/>
        <v>17100</v>
      </c>
    </row>
    <row r="29" spans="3:7" ht="15.6" customHeight="1" x14ac:dyDescent="0.4">
      <c r="C29" s="40" t="s">
        <v>5</v>
      </c>
      <c r="D29" s="41">
        <f t="shared" ref="D29:G29" si="6">D9-J9+Q9</f>
        <v>19500</v>
      </c>
      <c r="E29" s="41">
        <f t="shared" si="6"/>
        <v>20900</v>
      </c>
      <c r="F29" s="41">
        <f t="shared" si="6"/>
        <v>22200</v>
      </c>
      <c r="G29" s="41">
        <f t="shared" si="6"/>
        <v>24000</v>
      </c>
    </row>
    <row r="30" spans="3:7" x14ac:dyDescent="0.4">
      <c r="C30" s="40" t="s">
        <v>8</v>
      </c>
      <c r="D30" s="41">
        <f t="shared" ref="D30:G30" si="7">D10-J10+Q10</f>
        <v>8000</v>
      </c>
      <c r="E30" s="41">
        <f t="shared" si="7"/>
        <v>8500</v>
      </c>
      <c r="F30" s="41">
        <f t="shared" si="7"/>
        <v>9000</v>
      </c>
      <c r="G30" s="41">
        <f t="shared" si="7"/>
        <v>9800</v>
      </c>
    </row>
    <row r="31" spans="3:7" x14ac:dyDescent="0.4">
      <c r="C31" s="40" t="s">
        <v>3</v>
      </c>
      <c r="D31" s="41">
        <f t="shared" ref="D31:G31" si="8">D11-J11+Q11</f>
        <v>7800</v>
      </c>
      <c r="E31" s="41">
        <f t="shared" si="8"/>
        <v>8500</v>
      </c>
      <c r="F31" s="41">
        <f t="shared" si="8"/>
        <v>9100</v>
      </c>
      <c r="G31" s="41">
        <f t="shared" si="8"/>
        <v>9900</v>
      </c>
    </row>
    <row r="32" spans="3:7" x14ac:dyDescent="0.4">
      <c r="C32" s="40" t="s">
        <v>10</v>
      </c>
      <c r="D32" s="41">
        <f t="shared" ref="D32:G32" si="9">D12-J12+Q12</f>
        <v>-6600</v>
      </c>
      <c r="E32" s="41">
        <f t="shared" si="9"/>
        <v>-6900</v>
      </c>
      <c r="F32" s="41">
        <f t="shared" si="9"/>
        <v>-7400</v>
      </c>
      <c r="G32" s="41">
        <f t="shared" si="9"/>
        <v>-8100</v>
      </c>
    </row>
    <row r="33" spans="3:7" x14ac:dyDescent="0.4">
      <c r="C33" s="40" t="s">
        <v>4</v>
      </c>
      <c r="D33" s="41">
        <f t="shared" ref="D33:G33" si="10">D13-J13+Q13</f>
        <v>5000</v>
      </c>
      <c r="E33" s="41">
        <f t="shared" si="10"/>
        <v>5400</v>
      </c>
      <c r="F33" s="41">
        <f t="shared" si="10"/>
        <v>6000</v>
      </c>
      <c r="G33" s="41">
        <f t="shared" si="10"/>
        <v>6400</v>
      </c>
    </row>
    <row r="34" spans="3:7" x14ac:dyDescent="0.4">
      <c r="C34" s="40" t="s">
        <v>9</v>
      </c>
      <c r="D34" s="41">
        <f t="shared" ref="D34:G34" si="11">D14-J14+Q14</f>
        <v>6900</v>
      </c>
      <c r="E34" s="41">
        <f t="shared" si="11"/>
        <v>7500</v>
      </c>
      <c r="F34" s="41">
        <f t="shared" si="11"/>
        <v>8000</v>
      </c>
      <c r="G34" s="41">
        <f t="shared" si="11"/>
        <v>8700</v>
      </c>
    </row>
    <row r="35" spans="3:7" ht="15.6" thickBot="1" x14ac:dyDescent="0.45">
      <c r="C35" s="40" t="s">
        <v>17</v>
      </c>
      <c r="D35" s="41">
        <f t="shared" ref="D35:G35" si="12">D15-J15+Q15</f>
        <v>19600</v>
      </c>
      <c r="E35" s="41">
        <f t="shared" si="12"/>
        <v>21300</v>
      </c>
      <c r="F35" s="41">
        <f t="shared" si="12"/>
        <v>22500</v>
      </c>
      <c r="G35" s="41">
        <f t="shared" si="12"/>
        <v>24100</v>
      </c>
    </row>
    <row r="36" spans="3:7" ht="15.6" thickBot="1" x14ac:dyDescent="0.45">
      <c r="C36" s="42" t="s">
        <v>16</v>
      </c>
      <c r="D36" s="43">
        <f>SUM(D24:D35)</f>
        <v>180100</v>
      </c>
      <c r="E36" s="43">
        <f t="shared" ref="E36:G36" si="13">SUM(E24:E35)</f>
        <v>197400</v>
      </c>
      <c r="F36" s="43">
        <f t="shared" si="13"/>
        <v>207600</v>
      </c>
      <c r="G36" s="43">
        <f t="shared" si="13"/>
        <v>222200</v>
      </c>
    </row>
  </sheetData>
  <mergeCells count="5">
    <mergeCell ref="C2:G2"/>
    <mergeCell ref="I2:M2"/>
    <mergeCell ref="P2:T2"/>
    <mergeCell ref="C21:G21"/>
    <mergeCell ref="C22:G2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cd1b912e7575a5780b4268f312c1597f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a31d8e20f961a93ecead141b6b8905aa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0A16B27-F9A6-433C-A69B-A3A543C32019}"/>
</file>

<file path=customXml/itemProps2.xml><?xml version="1.0" encoding="utf-8"?>
<ds:datastoreItem xmlns:ds="http://schemas.openxmlformats.org/officeDocument/2006/customXml" ds:itemID="{838F6614-EA5F-4ED7-8615-2EB8E12E7D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C8D56B-C527-48C6-B0E5-4D8B400CBA1C}">
  <ds:schemaRefs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  <ds:schemaRef ds:uri="dfa2d9f5-199c-4212-8ee5-c011be210f4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Intro</vt:lpstr>
      <vt:lpstr>GWP</vt:lpstr>
      <vt:lpstr>UPR</vt:lpstr>
      <vt:lpstr>DAC</vt:lpstr>
      <vt:lpstr>Premium Receivables</vt:lpstr>
      <vt:lpstr>Bad Debts</vt:lpstr>
      <vt:lpstr>LRC</vt:lpstr>
      <vt:lpstr>Loss Component</vt:lpstr>
      <vt:lpstr>Closing LRC</vt:lpstr>
      <vt:lpstr>ARC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Kalunde</dc:creator>
  <cp:lastModifiedBy>Susan Musyoka</cp:lastModifiedBy>
  <dcterms:created xsi:type="dcterms:W3CDTF">2025-09-25T18:05:59Z</dcterms:created>
  <dcterms:modified xsi:type="dcterms:W3CDTF">2026-01-09T08:34:40Z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  <property fmtid="{D5CDD505-2E9C-101B-9397-08002B2CF9AE}" pid="3" name="MediaServiceImageTags">
    <vt:lpwstr/>
  </property>
</Properties>
</file>