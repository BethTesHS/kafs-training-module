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nicah Nyamwange\Desktop\Work\Training 25\"/>
    </mc:Choice>
  </mc:AlternateContent>
  <xr:revisionPtr revIDLastSave="0" documentId="8_{132A06D0-BFF1-436D-B581-DDFCFBA0C62B}" xr6:coauthVersionLast="47" xr6:coauthVersionMax="47" xr10:uidLastSave="{00000000-0000-0000-0000-000000000000}"/>
  <bookViews>
    <workbookView xWindow="-110" yWindow="-110" windowWidth="19420" windowHeight="10300" xr2:uid="{5AFFA8C6-D72C-4D9C-82CE-D6170BE71B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90" i="1" l="1"/>
  <c r="J5790" i="1"/>
  <c r="K5789" i="1"/>
  <c r="J5789" i="1"/>
  <c r="K5788" i="1"/>
  <c r="J5788" i="1"/>
  <c r="K5787" i="1"/>
  <c r="J5787" i="1"/>
  <c r="K5786" i="1"/>
  <c r="J5786" i="1"/>
  <c r="K5785" i="1"/>
  <c r="J5785" i="1"/>
  <c r="K5784" i="1"/>
  <c r="J5784" i="1"/>
  <c r="K5783" i="1"/>
  <c r="J5783" i="1"/>
  <c r="K5782" i="1"/>
  <c r="J5782" i="1"/>
  <c r="K5781" i="1"/>
  <c r="J5781" i="1"/>
  <c r="K5780" i="1"/>
  <c r="J5780" i="1"/>
  <c r="K5779" i="1"/>
  <c r="J5779" i="1"/>
  <c r="K5778" i="1"/>
  <c r="J5778" i="1"/>
  <c r="K5777" i="1"/>
  <c r="J5777" i="1"/>
  <c r="K5776" i="1"/>
  <c r="J5776" i="1"/>
  <c r="K5775" i="1"/>
  <c r="J5775" i="1"/>
  <c r="K5774" i="1"/>
  <c r="J5774" i="1"/>
  <c r="K5773" i="1"/>
  <c r="J5773" i="1"/>
  <c r="K5772" i="1"/>
  <c r="J5772" i="1"/>
  <c r="K5771" i="1"/>
  <c r="J5771" i="1"/>
  <c r="K5770" i="1"/>
  <c r="J5770" i="1"/>
  <c r="K5769" i="1"/>
  <c r="J5769" i="1"/>
  <c r="K5768" i="1"/>
  <c r="J5768" i="1"/>
  <c r="K5767" i="1"/>
  <c r="J5767" i="1"/>
  <c r="K5766" i="1"/>
  <c r="J5766" i="1"/>
  <c r="K5765" i="1"/>
  <c r="J5765" i="1"/>
  <c r="K5764" i="1"/>
  <c r="J5764" i="1"/>
  <c r="K5763" i="1"/>
  <c r="J5763" i="1"/>
  <c r="K5762" i="1"/>
  <c r="J5762" i="1"/>
  <c r="K5761" i="1"/>
  <c r="J5761" i="1"/>
  <c r="K5760" i="1"/>
  <c r="J5760" i="1"/>
  <c r="K5759" i="1"/>
  <c r="J5759" i="1"/>
  <c r="K5758" i="1"/>
  <c r="J5758" i="1"/>
  <c r="K5757" i="1"/>
  <c r="J5757" i="1"/>
  <c r="K5756" i="1"/>
  <c r="J5756" i="1"/>
  <c r="K5755" i="1"/>
  <c r="J5755" i="1"/>
  <c r="K5754" i="1"/>
  <c r="J5754" i="1"/>
  <c r="K5753" i="1"/>
  <c r="J5753" i="1"/>
  <c r="K5752" i="1"/>
  <c r="J5752" i="1"/>
  <c r="K5751" i="1"/>
  <c r="J5751" i="1"/>
  <c r="K5750" i="1"/>
  <c r="J5750" i="1"/>
  <c r="K5749" i="1"/>
  <c r="J5749" i="1"/>
  <c r="K5748" i="1"/>
  <c r="J5748" i="1"/>
  <c r="K5747" i="1"/>
  <c r="J5747" i="1"/>
  <c r="K5746" i="1"/>
  <c r="J5746" i="1"/>
  <c r="K5745" i="1"/>
  <c r="J5745" i="1"/>
  <c r="K5744" i="1"/>
  <c r="J5744" i="1"/>
  <c r="K5743" i="1"/>
  <c r="J5743" i="1"/>
  <c r="K5742" i="1"/>
  <c r="J5742" i="1"/>
  <c r="K5741" i="1"/>
  <c r="J5741" i="1"/>
  <c r="K5740" i="1"/>
  <c r="J5740" i="1"/>
  <c r="K5739" i="1"/>
  <c r="J5739" i="1"/>
  <c r="K5738" i="1"/>
  <c r="J5738" i="1"/>
  <c r="K5737" i="1"/>
  <c r="J5737" i="1"/>
  <c r="K5736" i="1"/>
  <c r="J5736" i="1"/>
  <c r="K5735" i="1"/>
  <c r="J5735" i="1"/>
  <c r="K5734" i="1"/>
  <c r="J5734" i="1"/>
  <c r="K5733" i="1"/>
  <c r="J5733" i="1"/>
  <c r="K5732" i="1"/>
  <c r="J5732" i="1"/>
  <c r="K5731" i="1"/>
  <c r="J5731" i="1"/>
  <c r="K5730" i="1"/>
  <c r="J5730" i="1"/>
  <c r="K5729" i="1"/>
  <c r="J5729" i="1"/>
  <c r="K5728" i="1"/>
  <c r="J5728" i="1"/>
  <c r="K5727" i="1"/>
  <c r="J5727" i="1"/>
  <c r="K5726" i="1"/>
  <c r="J5726" i="1"/>
  <c r="K5725" i="1"/>
  <c r="J5725" i="1"/>
  <c r="K5724" i="1"/>
  <c r="J5724" i="1"/>
  <c r="K5723" i="1"/>
  <c r="J5723" i="1"/>
  <c r="K5722" i="1"/>
  <c r="J5722" i="1"/>
  <c r="K5721" i="1"/>
  <c r="J5721" i="1"/>
  <c r="K5720" i="1"/>
  <c r="J5720" i="1"/>
  <c r="K5719" i="1"/>
  <c r="J5719" i="1"/>
  <c r="K5718" i="1"/>
  <c r="J5718" i="1"/>
  <c r="K5717" i="1"/>
  <c r="J5717" i="1"/>
  <c r="K5716" i="1"/>
  <c r="J5716" i="1"/>
  <c r="K5715" i="1"/>
  <c r="J5715" i="1"/>
  <c r="K5714" i="1"/>
  <c r="J5714" i="1"/>
  <c r="K5713" i="1"/>
  <c r="J5713" i="1"/>
  <c r="K5712" i="1"/>
  <c r="J5712" i="1"/>
  <c r="K5711" i="1"/>
  <c r="J5711" i="1"/>
  <c r="K5710" i="1"/>
  <c r="J5710" i="1"/>
  <c r="K5709" i="1"/>
  <c r="J5709" i="1"/>
  <c r="K5708" i="1"/>
  <c r="J5708" i="1"/>
  <c r="K5707" i="1"/>
  <c r="J5707" i="1"/>
  <c r="K5706" i="1"/>
  <c r="J5706" i="1"/>
  <c r="K5705" i="1"/>
  <c r="J5705" i="1"/>
  <c r="K5704" i="1"/>
  <c r="J5704" i="1"/>
  <c r="K5703" i="1"/>
  <c r="J5703" i="1"/>
  <c r="K5702" i="1"/>
  <c r="J5702" i="1"/>
  <c r="K5701" i="1"/>
  <c r="J5701" i="1"/>
  <c r="K5700" i="1"/>
  <c r="J5700" i="1"/>
  <c r="K5699" i="1"/>
  <c r="J5699" i="1"/>
  <c r="K5698" i="1"/>
  <c r="J5698" i="1"/>
  <c r="K5697" i="1"/>
  <c r="J5697" i="1"/>
  <c r="K5696" i="1"/>
  <c r="J5696" i="1"/>
  <c r="K5695" i="1"/>
  <c r="J5695" i="1"/>
  <c r="K5694" i="1"/>
  <c r="J5694" i="1"/>
  <c r="K5693" i="1"/>
  <c r="J5693" i="1"/>
  <c r="K5692" i="1"/>
  <c r="J5692" i="1"/>
  <c r="K5691" i="1"/>
  <c r="J5691" i="1"/>
  <c r="K5690" i="1"/>
  <c r="J5690" i="1"/>
  <c r="K5689" i="1"/>
  <c r="J5689" i="1"/>
  <c r="K5688" i="1"/>
  <c r="J5688" i="1"/>
  <c r="K5687" i="1"/>
  <c r="J5687" i="1"/>
  <c r="K5686" i="1"/>
  <c r="J5686" i="1"/>
  <c r="K5685" i="1"/>
  <c r="J5685" i="1"/>
  <c r="K5684" i="1"/>
  <c r="J5684" i="1"/>
  <c r="K5683" i="1"/>
  <c r="J5683" i="1"/>
  <c r="K5682" i="1"/>
  <c r="J5682" i="1"/>
  <c r="K5681" i="1"/>
  <c r="J5681" i="1"/>
  <c r="K5680" i="1"/>
  <c r="J5680" i="1"/>
  <c r="K5679" i="1"/>
  <c r="J5679" i="1"/>
  <c r="K5678" i="1"/>
  <c r="J5678" i="1"/>
  <c r="K5677" i="1"/>
  <c r="J5677" i="1"/>
  <c r="K5676" i="1"/>
  <c r="J5676" i="1"/>
  <c r="K5675" i="1"/>
  <c r="J5675" i="1"/>
  <c r="K5674" i="1"/>
  <c r="J5674" i="1"/>
  <c r="K5673" i="1"/>
  <c r="J5673" i="1"/>
  <c r="K5672" i="1"/>
  <c r="J5672" i="1"/>
  <c r="K5671" i="1"/>
  <c r="J5671" i="1"/>
  <c r="K5670" i="1"/>
  <c r="J5670" i="1"/>
  <c r="K5669" i="1"/>
  <c r="J5669" i="1"/>
  <c r="K5668" i="1"/>
  <c r="J5668" i="1"/>
  <c r="K5667" i="1"/>
  <c r="J5667" i="1"/>
  <c r="K5666" i="1"/>
  <c r="J5666" i="1"/>
  <c r="K5665" i="1"/>
  <c r="J5665" i="1"/>
  <c r="K5664" i="1"/>
  <c r="J5664" i="1"/>
  <c r="K5663" i="1"/>
  <c r="J5663" i="1"/>
  <c r="K5662" i="1"/>
  <c r="J5662" i="1"/>
  <c r="K5661" i="1"/>
  <c r="J5661" i="1"/>
  <c r="K5660" i="1"/>
  <c r="J5660" i="1"/>
  <c r="K5659" i="1"/>
  <c r="J5659" i="1"/>
  <c r="K5658" i="1"/>
  <c r="J5658" i="1"/>
  <c r="K5657" i="1"/>
  <c r="J5657" i="1"/>
  <c r="K5656" i="1"/>
  <c r="J5656" i="1"/>
  <c r="K5655" i="1"/>
  <c r="J5655" i="1"/>
  <c r="K5654" i="1"/>
  <c r="J5654" i="1"/>
  <c r="K5653" i="1"/>
  <c r="J5653" i="1"/>
  <c r="K5652" i="1"/>
  <c r="J5652" i="1"/>
  <c r="K5651" i="1"/>
  <c r="J5651" i="1"/>
  <c r="K5650" i="1"/>
  <c r="J5650" i="1"/>
  <c r="K5649" i="1"/>
  <c r="J5649" i="1"/>
  <c r="K5648" i="1"/>
  <c r="J5648" i="1"/>
  <c r="K5647" i="1"/>
  <c r="J5647" i="1"/>
  <c r="K5646" i="1"/>
  <c r="J5646" i="1"/>
  <c r="K5645" i="1"/>
  <c r="J5645" i="1"/>
  <c r="K5644" i="1"/>
  <c r="J5644" i="1"/>
  <c r="K5643" i="1"/>
  <c r="J5643" i="1"/>
  <c r="K5642" i="1"/>
  <c r="J5642" i="1"/>
  <c r="K5641" i="1"/>
  <c r="J5641" i="1"/>
  <c r="K5640" i="1"/>
  <c r="J5640" i="1"/>
  <c r="K5639" i="1"/>
  <c r="J5639" i="1"/>
  <c r="K5638" i="1"/>
  <c r="J5638" i="1"/>
  <c r="K5637" i="1"/>
  <c r="J5637" i="1"/>
  <c r="K5636" i="1"/>
  <c r="J5636" i="1"/>
  <c r="K5635" i="1"/>
  <c r="J5635" i="1"/>
  <c r="K5634" i="1"/>
  <c r="J5634" i="1"/>
  <c r="K5633" i="1"/>
  <c r="J5633" i="1"/>
  <c r="K5632" i="1"/>
  <c r="J5632" i="1"/>
  <c r="K5631" i="1"/>
  <c r="J5631" i="1"/>
  <c r="K5630" i="1"/>
  <c r="J5630" i="1"/>
  <c r="K5629" i="1"/>
  <c r="J5629" i="1"/>
  <c r="K5628" i="1"/>
  <c r="J5628" i="1"/>
  <c r="K5627" i="1"/>
  <c r="J5627" i="1"/>
  <c r="K5626" i="1"/>
  <c r="J5626" i="1"/>
  <c r="K5625" i="1"/>
  <c r="J5625" i="1"/>
  <c r="K5624" i="1"/>
  <c r="J5624" i="1"/>
  <c r="K5623" i="1"/>
  <c r="J5623" i="1"/>
  <c r="K5622" i="1"/>
  <c r="J5622" i="1"/>
  <c r="K5621" i="1"/>
  <c r="J5621" i="1"/>
  <c r="K5620" i="1"/>
  <c r="J5620" i="1"/>
  <c r="K5619" i="1"/>
  <c r="J5619" i="1"/>
  <c r="K5618" i="1"/>
  <c r="J5618" i="1"/>
  <c r="K5617" i="1"/>
  <c r="J5617" i="1"/>
  <c r="K5616" i="1"/>
  <c r="J5616" i="1"/>
  <c r="K5615" i="1"/>
  <c r="J5615" i="1"/>
  <c r="K5614" i="1"/>
  <c r="J5614" i="1"/>
  <c r="K5613" i="1"/>
  <c r="J5613" i="1"/>
  <c r="K5612" i="1"/>
  <c r="J5612" i="1"/>
  <c r="K5611" i="1"/>
  <c r="J5611" i="1"/>
  <c r="K5610" i="1"/>
  <c r="J5610" i="1"/>
  <c r="K5609" i="1"/>
  <c r="J5609" i="1"/>
  <c r="K5608" i="1"/>
  <c r="J5608" i="1"/>
  <c r="K5607" i="1"/>
  <c r="J5607" i="1"/>
  <c r="K5606" i="1"/>
  <c r="J5606" i="1"/>
  <c r="K5605" i="1"/>
  <c r="J5605" i="1"/>
  <c r="K5604" i="1"/>
  <c r="J5604" i="1"/>
  <c r="K5603" i="1"/>
  <c r="J5603" i="1"/>
  <c r="K5602" i="1"/>
  <c r="J5602" i="1"/>
  <c r="K5601" i="1"/>
  <c r="J5601" i="1"/>
  <c r="K5600" i="1"/>
  <c r="J5600" i="1"/>
  <c r="K5599" i="1"/>
  <c r="J5599" i="1"/>
  <c r="K5598" i="1"/>
  <c r="J5598" i="1"/>
  <c r="K5597" i="1"/>
  <c r="J5597" i="1"/>
  <c r="K5596" i="1"/>
  <c r="J5596" i="1"/>
  <c r="K5595" i="1"/>
  <c r="J5595" i="1"/>
  <c r="K5594" i="1"/>
  <c r="J5594" i="1"/>
  <c r="K5593" i="1"/>
  <c r="J5593" i="1"/>
  <c r="K5592" i="1"/>
  <c r="J5592" i="1"/>
  <c r="K5591" i="1"/>
  <c r="J5591" i="1"/>
  <c r="K5590" i="1"/>
  <c r="J5590" i="1"/>
  <c r="K5589" i="1"/>
  <c r="J5589" i="1"/>
  <c r="K5588" i="1"/>
  <c r="J5588" i="1"/>
  <c r="K5587" i="1"/>
  <c r="J5587" i="1"/>
  <c r="K5586" i="1"/>
  <c r="J5586" i="1"/>
  <c r="K5585" i="1"/>
  <c r="J5585" i="1"/>
  <c r="K5584" i="1"/>
  <c r="J5584" i="1"/>
  <c r="K5583" i="1"/>
  <c r="J5583" i="1"/>
  <c r="K5582" i="1"/>
  <c r="J5582" i="1"/>
  <c r="K5581" i="1"/>
  <c r="J5581" i="1"/>
  <c r="K5580" i="1"/>
  <c r="J5580" i="1"/>
  <c r="K5579" i="1"/>
  <c r="J5579" i="1"/>
  <c r="K5578" i="1"/>
  <c r="J5578" i="1"/>
  <c r="K5577" i="1"/>
  <c r="J5577" i="1"/>
  <c r="K5576" i="1"/>
  <c r="J5576" i="1"/>
  <c r="K5575" i="1"/>
  <c r="J5575" i="1"/>
  <c r="K5574" i="1"/>
  <c r="J5574" i="1"/>
  <c r="K5573" i="1"/>
  <c r="J5573" i="1"/>
  <c r="K5572" i="1"/>
  <c r="J5572" i="1"/>
  <c r="K5571" i="1"/>
  <c r="J5571" i="1"/>
  <c r="K5570" i="1"/>
  <c r="J5570" i="1"/>
  <c r="K5569" i="1"/>
  <c r="J5569" i="1"/>
  <c r="K5568" i="1"/>
  <c r="J5568" i="1"/>
  <c r="K5567" i="1"/>
  <c r="J5567" i="1"/>
  <c r="K5566" i="1"/>
  <c r="J5566" i="1"/>
  <c r="K5565" i="1"/>
  <c r="J5565" i="1"/>
  <c r="K5564" i="1"/>
  <c r="J5564" i="1"/>
  <c r="K5563" i="1"/>
  <c r="J5563" i="1"/>
  <c r="K5562" i="1"/>
  <c r="J5562" i="1"/>
  <c r="K5561" i="1"/>
  <c r="J5561" i="1"/>
  <c r="K5560" i="1"/>
  <c r="J5560" i="1"/>
  <c r="K5559" i="1"/>
  <c r="J5559" i="1"/>
  <c r="K5558" i="1"/>
  <c r="J5558" i="1"/>
  <c r="K5557" i="1"/>
  <c r="J5557" i="1"/>
  <c r="K5556" i="1"/>
  <c r="J5556" i="1"/>
  <c r="K5555" i="1"/>
  <c r="J5555" i="1"/>
  <c r="K5554" i="1"/>
  <c r="J5554" i="1"/>
  <c r="K5553" i="1"/>
  <c r="J5553" i="1"/>
  <c r="K5552" i="1"/>
  <c r="J5552" i="1"/>
  <c r="K5551" i="1"/>
  <c r="J5551" i="1"/>
  <c r="K5550" i="1"/>
  <c r="J5550" i="1"/>
  <c r="K5549" i="1"/>
  <c r="J5549" i="1"/>
  <c r="K5548" i="1"/>
  <c r="J5548" i="1"/>
  <c r="K5547" i="1"/>
  <c r="J5547" i="1"/>
  <c r="K5546" i="1"/>
  <c r="J5546" i="1"/>
  <c r="K5545" i="1"/>
  <c r="J5545" i="1"/>
  <c r="K5544" i="1"/>
  <c r="J5544" i="1"/>
  <c r="K5543" i="1"/>
  <c r="J5543" i="1"/>
  <c r="K5542" i="1"/>
  <c r="J5542" i="1"/>
  <c r="K5541" i="1"/>
  <c r="J5541" i="1"/>
  <c r="K5540" i="1"/>
  <c r="J5540" i="1"/>
  <c r="K5539" i="1"/>
  <c r="J5539" i="1"/>
  <c r="K5538" i="1"/>
  <c r="J5538" i="1"/>
  <c r="K5537" i="1"/>
  <c r="J5537" i="1"/>
  <c r="K5536" i="1"/>
  <c r="J5536" i="1"/>
  <c r="K5535" i="1"/>
  <c r="J5535" i="1"/>
  <c r="K5534" i="1"/>
  <c r="J5534" i="1"/>
  <c r="K5533" i="1"/>
  <c r="J5533" i="1"/>
  <c r="K5532" i="1"/>
  <c r="J5532" i="1"/>
  <c r="K5531" i="1"/>
  <c r="J5531" i="1"/>
  <c r="K5530" i="1"/>
  <c r="J5530" i="1"/>
  <c r="K5529" i="1"/>
  <c r="J5529" i="1"/>
  <c r="K5528" i="1"/>
  <c r="J5528" i="1"/>
  <c r="K5527" i="1"/>
  <c r="J5527" i="1"/>
  <c r="K5526" i="1"/>
  <c r="J5526" i="1"/>
  <c r="K5525" i="1"/>
  <c r="J5525" i="1"/>
  <c r="K5524" i="1"/>
  <c r="J5524" i="1"/>
  <c r="K5523" i="1"/>
  <c r="J5523" i="1"/>
  <c r="K5522" i="1"/>
  <c r="J5522" i="1"/>
  <c r="K5521" i="1"/>
  <c r="J5521" i="1"/>
  <c r="K5520" i="1"/>
  <c r="J5520" i="1"/>
  <c r="K5519" i="1"/>
  <c r="J5519" i="1"/>
  <c r="K5518" i="1"/>
  <c r="J5518" i="1"/>
  <c r="K5517" i="1"/>
  <c r="J5517" i="1"/>
  <c r="K5516" i="1"/>
  <c r="J5516" i="1"/>
  <c r="K5515" i="1"/>
  <c r="J5515" i="1"/>
  <c r="K5514" i="1"/>
  <c r="J5514" i="1"/>
  <c r="K5513" i="1"/>
  <c r="J5513" i="1"/>
  <c r="K5512" i="1"/>
  <c r="J5512" i="1"/>
  <c r="K5511" i="1"/>
  <c r="J5511" i="1"/>
  <c r="K5510" i="1"/>
  <c r="J5510" i="1"/>
  <c r="K5509" i="1"/>
  <c r="J5509" i="1"/>
  <c r="K5508" i="1"/>
  <c r="J5508" i="1"/>
  <c r="K5507" i="1"/>
  <c r="J5507" i="1"/>
  <c r="K5506" i="1"/>
  <c r="J5506" i="1"/>
  <c r="K5505" i="1"/>
  <c r="J5505" i="1"/>
  <c r="K5504" i="1"/>
  <c r="J5504" i="1"/>
  <c r="K5503" i="1"/>
  <c r="J5503" i="1"/>
  <c r="K5502" i="1"/>
  <c r="J5502" i="1"/>
  <c r="K5501" i="1"/>
  <c r="J5501" i="1"/>
  <c r="K5500" i="1"/>
  <c r="J5500" i="1"/>
  <c r="K5499" i="1"/>
  <c r="J5499" i="1"/>
  <c r="K5498" i="1"/>
  <c r="J5498" i="1"/>
  <c r="K5497" i="1"/>
  <c r="J5497" i="1"/>
  <c r="K5496" i="1"/>
  <c r="J5496" i="1"/>
  <c r="K5495" i="1"/>
  <c r="J5495" i="1"/>
  <c r="K5494" i="1"/>
  <c r="J5494" i="1"/>
  <c r="K5493" i="1"/>
  <c r="J5493" i="1"/>
  <c r="K5492" i="1"/>
  <c r="J5492" i="1"/>
  <c r="K5491" i="1"/>
  <c r="J5491" i="1"/>
  <c r="K5490" i="1"/>
  <c r="J5490" i="1"/>
  <c r="K5489" i="1"/>
  <c r="J5489" i="1"/>
  <c r="K5488" i="1"/>
  <c r="J5488" i="1"/>
  <c r="K5487" i="1"/>
  <c r="J5487" i="1"/>
  <c r="K5486" i="1"/>
  <c r="J5486" i="1"/>
  <c r="K5485" i="1"/>
  <c r="J5485" i="1"/>
  <c r="K5484" i="1"/>
  <c r="J5484" i="1"/>
  <c r="K5483" i="1"/>
  <c r="J5483" i="1"/>
  <c r="K5482" i="1"/>
  <c r="J5482" i="1"/>
  <c r="K5481" i="1"/>
  <c r="J5481" i="1"/>
  <c r="K5480" i="1"/>
  <c r="J5480" i="1"/>
  <c r="K5479" i="1"/>
  <c r="J5479" i="1"/>
  <c r="K5478" i="1"/>
  <c r="J5478" i="1"/>
  <c r="K5477" i="1"/>
  <c r="J5477" i="1"/>
  <c r="K5476" i="1"/>
  <c r="J5476" i="1"/>
  <c r="K5475" i="1"/>
  <c r="J5475" i="1"/>
  <c r="K5474" i="1"/>
  <c r="J5474" i="1"/>
  <c r="K5473" i="1"/>
  <c r="J5473" i="1"/>
  <c r="K5472" i="1"/>
  <c r="J5472" i="1"/>
  <c r="K5471" i="1"/>
  <c r="J5471" i="1"/>
  <c r="K5470" i="1"/>
  <c r="J5470" i="1"/>
  <c r="K5469" i="1"/>
  <c r="J5469" i="1"/>
  <c r="K5468" i="1"/>
  <c r="J5468" i="1"/>
  <c r="K5467" i="1"/>
  <c r="J5467" i="1"/>
  <c r="K5466" i="1"/>
  <c r="J5466" i="1"/>
  <c r="K5465" i="1"/>
  <c r="J5465" i="1"/>
  <c r="K5464" i="1"/>
  <c r="J5464" i="1"/>
  <c r="K5463" i="1"/>
  <c r="J5463" i="1"/>
  <c r="K5462" i="1"/>
  <c r="J5462" i="1"/>
  <c r="K5461" i="1"/>
  <c r="J5461" i="1"/>
  <c r="K5460" i="1"/>
  <c r="J5460" i="1"/>
  <c r="K5459" i="1"/>
  <c r="J5459" i="1"/>
  <c r="K5458" i="1"/>
  <c r="J5458" i="1"/>
  <c r="K5457" i="1"/>
  <c r="J5457" i="1"/>
  <c r="K5456" i="1"/>
  <c r="J5456" i="1"/>
  <c r="K5455" i="1"/>
  <c r="J5455" i="1"/>
  <c r="K5454" i="1"/>
  <c r="J5454" i="1"/>
  <c r="K5453" i="1"/>
  <c r="J5453" i="1"/>
  <c r="K5452" i="1"/>
  <c r="J5452" i="1"/>
  <c r="K5451" i="1"/>
  <c r="J5451" i="1"/>
  <c r="K5450" i="1"/>
  <c r="J5450" i="1"/>
  <c r="K5449" i="1"/>
  <c r="J5449" i="1"/>
  <c r="K5448" i="1"/>
  <c r="J5448" i="1"/>
  <c r="K5447" i="1"/>
  <c r="J5447" i="1"/>
  <c r="K5446" i="1"/>
  <c r="J5446" i="1"/>
  <c r="K5445" i="1"/>
  <c r="J5445" i="1"/>
  <c r="K5444" i="1"/>
  <c r="J5444" i="1"/>
  <c r="K5443" i="1"/>
  <c r="J5443" i="1"/>
  <c r="K5442" i="1"/>
  <c r="J5442" i="1"/>
  <c r="K5441" i="1"/>
  <c r="J5441" i="1"/>
  <c r="K5440" i="1"/>
  <c r="J5440" i="1"/>
  <c r="K5439" i="1"/>
  <c r="J5439" i="1"/>
  <c r="K5438" i="1"/>
  <c r="J5438" i="1"/>
  <c r="K5437" i="1"/>
  <c r="J5437" i="1"/>
  <c r="K5436" i="1"/>
  <c r="J5436" i="1"/>
  <c r="K5435" i="1"/>
  <c r="J5435" i="1"/>
  <c r="K5434" i="1"/>
  <c r="J5434" i="1"/>
  <c r="K5433" i="1"/>
  <c r="J5433" i="1"/>
  <c r="K5432" i="1"/>
  <c r="J5432" i="1"/>
  <c r="K5431" i="1"/>
  <c r="J5431" i="1"/>
  <c r="K5430" i="1"/>
  <c r="J5430" i="1"/>
  <c r="K5429" i="1"/>
  <c r="J5429" i="1"/>
  <c r="K5428" i="1"/>
  <c r="J5428" i="1"/>
  <c r="K5427" i="1"/>
  <c r="J5427" i="1"/>
  <c r="K5426" i="1"/>
  <c r="J5426" i="1"/>
  <c r="K5425" i="1"/>
  <c r="J5425" i="1"/>
  <c r="K5424" i="1"/>
  <c r="J5424" i="1"/>
  <c r="K5423" i="1"/>
  <c r="J5423" i="1"/>
  <c r="K5422" i="1"/>
  <c r="J5422" i="1"/>
  <c r="K5421" i="1"/>
  <c r="J5421" i="1"/>
  <c r="K5420" i="1"/>
  <c r="J5420" i="1"/>
  <c r="K5419" i="1"/>
  <c r="J5419" i="1"/>
  <c r="K5418" i="1"/>
  <c r="J5418" i="1"/>
  <c r="K5417" i="1"/>
  <c r="J5417" i="1"/>
  <c r="K5416" i="1"/>
  <c r="J5416" i="1"/>
  <c r="K5415" i="1"/>
  <c r="J5415" i="1"/>
  <c r="K5414" i="1"/>
  <c r="J5414" i="1"/>
  <c r="K5413" i="1"/>
  <c r="J5413" i="1"/>
  <c r="K5412" i="1"/>
  <c r="J5412" i="1"/>
  <c r="K5411" i="1"/>
  <c r="J5411" i="1"/>
  <c r="K5410" i="1"/>
  <c r="J5410" i="1"/>
  <c r="K5409" i="1"/>
  <c r="J5409" i="1"/>
  <c r="K5408" i="1"/>
  <c r="J5408" i="1"/>
  <c r="K5407" i="1"/>
  <c r="J5407" i="1"/>
  <c r="K5406" i="1"/>
  <c r="J5406" i="1"/>
  <c r="K5405" i="1"/>
  <c r="J5405" i="1"/>
  <c r="K5404" i="1"/>
  <c r="J5404" i="1"/>
  <c r="K5403" i="1"/>
  <c r="J5403" i="1"/>
  <c r="K5402" i="1"/>
  <c r="J5402" i="1"/>
  <c r="K5401" i="1"/>
  <c r="J5401" i="1"/>
  <c r="K5400" i="1"/>
  <c r="J5400" i="1"/>
  <c r="K5399" i="1"/>
  <c r="J5399" i="1"/>
  <c r="K5398" i="1"/>
  <c r="J5398" i="1"/>
  <c r="K5397" i="1"/>
  <c r="J5397" i="1"/>
  <c r="K5396" i="1"/>
  <c r="J5396" i="1"/>
  <c r="K5395" i="1"/>
  <c r="J5395" i="1"/>
  <c r="K5394" i="1"/>
  <c r="J5394" i="1"/>
  <c r="K5393" i="1"/>
  <c r="J5393" i="1"/>
  <c r="K5392" i="1"/>
  <c r="J5392" i="1"/>
  <c r="K5391" i="1"/>
  <c r="J5391" i="1"/>
  <c r="K5390" i="1"/>
  <c r="J5390" i="1"/>
  <c r="K5389" i="1"/>
  <c r="J5389" i="1"/>
  <c r="K5388" i="1"/>
  <c r="J5388" i="1"/>
  <c r="K5387" i="1"/>
  <c r="J5387" i="1"/>
  <c r="K5386" i="1"/>
  <c r="J5386" i="1"/>
  <c r="K5385" i="1"/>
  <c r="J5385" i="1"/>
  <c r="K5384" i="1"/>
  <c r="J5384" i="1"/>
  <c r="K5383" i="1"/>
  <c r="J5383" i="1"/>
  <c r="K5382" i="1"/>
  <c r="J5382" i="1"/>
  <c r="K5381" i="1"/>
  <c r="J5381" i="1"/>
  <c r="K5380" i="1"/>
  <c r="J5380" i="1"/>
  <c r="K5379" i="1"/>
  <c r="J5379" i="1"/>
  <c r="K5378" i="1"/>
  <c r="J5378" i="1"/>
  <c r="K5377" i="1"/>
  <c r="J5377" i="1"/>
  <c r="K5376" i="1"/>
  <c r="J5376" i="1"/>
  <c r="K5375" i="1"/>
  <c r="J5375" i="1"/>
  <c r="K5374" i="1"/>
  <c r="J5374" i="1"/>
  <c r="K5373" i="1"/>
  <c r="J5373" i="1"/>
  <c r="K5372" i="1"/>
  <c r="J5372" i="1"/>
  <c r="K5371" i="1"/>
  <c r="J5371" i="1"/>
  <c r="K5370" i="1"/>
  <c r="J5370" i="1"/>
  <c r="K5369" i="1"/>
  <c r="J5369" i="1"/>
  <c r="K5368" i="1"/>
  <c r="J5368" i="1"/>
  <c r="K5367" i="1"/>
  <c r="J5367" i="1"/>
  <c r="K5366" i="1"/>
  <c r="J5366" i="1"/>
  <c r="K5365" i="1"/>
  <c r="J5365" i="1"/>
  <c r="K5364" i="1"/>
  <c r="J5364" i="1"/>
  <c r="K5363" i="1"/>
  <c r="J5363" i="1"/>
  <c r="K5362" i="1"/>
  <c r="J5362" i="1"/>
  <c r="K5361" i="1"/>
  <c r="J5361" i="1"/>
  <c r="K5360" i="1"/>
  <c r="J5360" i="1"/>
  <c r="K5359" i="1"/>
  <c r="J5359" i="1"/>
  <c r="K5358" i="1"/>
  <c r="J5358" i="1"/>
  <c r="K5357" i="1"/>
  <c r="J5357" i="1"/>
  <c r="K5356" i="1"/>
  <c r="J5356" i="1"/>
  <c r="K5355" i="1"/>
  <c r="J5355" i="1"/>
  <c r="K5354" i="1"/>
  <c r="J5354" i="1"/>
  <c r="K5353" i="1"/>
  <c r="J5353" i="1"/>
  <c r="K5352" i="1"/>
  <c r="J5352" i="1"/>
  <c r="K5351" i="1"/>
  <c r="J5351" i="1"/>
  <c r="K5350" i="1"/>
  <c r="J5350" i="1"/>
  <c r="K5349" i="1"/>
  <c r="J5349" i="1"/>
  <c r="K5348" i="1"/>
  <c r="J5348" i="1"/>
  <c r="K5347" i="1"/>
  <c r="J5347" i="1"/>
  <c r="K5346" i="1"/>
  <c r="J5346" i="1"/>
  <c r="K5345" i="1"/>
  <c r="J5345" i="1"/>
  <c r="K5344" i="1"/>
  <c r="J5344" i="1"/>
  <c r="K5343" i="1"/>
  <c r="J5343" i="1"/>
  <c r="K5342" i="1"/>
  <c r="J5342" i="1"/>
  <c r="K5341" i="1"/>
  <c r="J5341" i="1"/>
  <c r="K5340" i="1"/>
  <c r="J5340" i="1"/>
  <c r="K5339" i="1"/>
  <c r="J5339" i="1"/>
  <c r="K5338" i="1"/>
  <c r="J5338" i="1"/>
  <c r="K5337" i="1"/>
  <c r="J5337" i="1"/>
  <c r="K5336" i="1"/>
  <c r="J5336" i="1"/>
  <c r="K5335" i="1"/>
  <c r="J5335" i="1"/>
  <c r="K5334" i="1"/>
  <c r="J5334" i="1"/>
  <c r="K5333" i="1"/>
  <c r="J5333" i="1"/>
  <c r="K5332" i="1"/>
  <c r="J5332" i="1"/>
  <c r="K5331" i="1"/>
  <c r="J5331" i="1"/>
  <c r="K5330" i="1"/>
  <c r="J5330" i="1"/>
  <c r="K5329" i="1"/>
  <c r="J5329" i="1"/>
  <c r="K5328" i="1"/>
  <c r="J5328" i="1"/>
  <c r="K5327" i="1"/>
  <c r="J5327" i="1"/>
  <c r="K5326" i="1"/>
  <c r="J5326" i="1"/>
  <c r="K5325" i="1"/>
  <c r="J5325" i="1"/>
  <c r="K5324" i="1"/>
  <c r="J5324" i="1"/>
  <c r="K5323" i="1"/>
  <c r="J5323" i="1"/>
  <c r="K5322" i="1"/>
  <c r="J5322" i="1"/>
  <c r="K5321" i="1"/>
  <c r="J5321" i="1"/>
  <c r="K5320" i="1"/>
  <c r="J5320" i="1"/>
  <c r="K5319" i="1"/>
  <c r="J5319" i="1"/>
  <c r="K5318" i="1"/>
  <c r="J5318" i="1"/>
  <c r="K5317" i="1"/>
  <c r="J5317" i="1"/>
  <c r="K5316" i="1"/>
  <c r="J5316" i="1"/>
  <c r="K5315" i="1"/>
  <c r="J5315" i="1"/>
  <c r="K5314" i="1"/>
  <c r="J5314" i="1"/>
  <c r="K5313" i="1"/>
  <c r="J5313" i="1"/>
  <c r="K5312" i="1"/>
  <c r="J5312" i="1"/>
  <c r="K5311" i="1"/>
  <c r="J5311" i="1"/>
  <c r="K5310" i="1"/>
  <c r="J5310" i="1"/>
  <c r="K5309" i="1"/>
  <c r="J5309" i="1"/>
  <c r="K5308" i="1"/>
  <c r="J5308" i="1"/>
  <c r="K5307" i="1"/>
  <c r="J5307" i="1"/>
  <c r="K5306" i="1"/>
  <c r="J5306" i="1"/>
  <c r="K5305" i="1"/>
  <c r="J5305" i="1"/>
  <c r="K5304" i="1"/>
  <c r="J5304" i="1"/>
  <c r="K5303" i="1"/>
  <c r="J5303" i="1"/>
  <c r="K5302" i="1"/>
  <c r="J5302" i="1"/>
  <c r="K5301" i="1"/>
  <c r="J5301" i="1"/>
  <c r="K5300" i="1"/>
  <c r="J5300" i="1"/>
  <c r="K5299" i="1"/>
  <c r="J5299" i="1"/>
  <c r="K5298" i="1"/>
  <c r="J5298" i="1"/>
  <c r="K5297" i="1"/>
  <c r="J5297" i="1"/>
  <c r="K5296" i="1"/>
  <c r="J5296" i="1"/>
  <c r="K5295" i="1"/>
  <c r="J5295" i="1"/>
  <c r="K5294" i="1"/>
  <c r="J5294" i="1"/>
  <c r="K5293" i="1"/>
  <c r="J5293" i="1"/>
  <c r="K5292" i="1"/>
  <c r="J5292" i="1"/>
  <c r="K5291" i="1"/>
  <c r="J5291" i="1"/>
  <c r="K5290" i="1"/>
  <c r="J5290" i="1"/>
  <c r="K5289" i="1"/>
  <c r="J5289" i="1"/>
  <c r="K5288" i="1"/>
  <c r="J5288" i="1"/>
  <c r="K5287" i="1"/>
  <c r="J5287" i="1"/>
  <c r="K5286" i="1"/>
  <c r="J5286" i="1"/>
  <c r="K5285" i="1"/>
  <c r="J5285" i="1"/>
  <c r="K5284" i="1"/>
  <c r="J5284" i="1"/>
  <c r="K5283" i="1"/>
  <c r="J5283" i="1"/>
  <c r="K5282" i="1"/>
  <c r="J5282" i="1"/>
  <c r="K5281" i="1"/>
  <c r="J5281" i="1"/>
  <c r="K5280" i="1"/>
  <c r="J5280" i="1"/>
  <c r="K5279" i="1"/>
  <c r="J5279" i="1"/>
  <c r="K5278" i="1"/>
  <c r="J5278" i="1"/>
  <c r="K5277" i="1"/>
  <c r="J5277" i="1"/>
  <c r="K5276" i="1"/>
  <c r="J5276" i="1"/>
  <c r="K5275" i="1"/>
  <c r="J5275" i="1"/>
  <c r="K5274" i="1"/>
  <c r="J5274" i="1"/>
  <c r="K5273" i="1"/>
  <c r="J5273" i="1"/>
  <c r="K5272" i="1"/>
  <c r="J5272" i="1"/>
  <c r="K5271" i="1"/>
  <c r="J5271" i="1"/>
  <c r="K5270" i="1"/>
  <c r="J5270" i="1"/>
  <c r="K5269" i="1"/>
  <c r="J5269" i="1"/>
  <c r="K5268" i="1"/>
  <c r="J5268" i="1"/>
  <c r="K5267" i="1"/>
  <c r="J5267" i="1"/>
  <c r="K5266" i="1"/>
  <c r="J5266" i="1"/>
  <c r="K5265" i="1"/>
  <c r="J5265" i="1"/>
  <c r="K5264" i="1"/>
  <c r="J5264" i="1"/>
  <c r="K5263" i="1"/>
  <c r="J5263" i="1"/>
  <c r="K5262" i="1"/>
  <c r="J5262" i="1"/>
  <c r="K5261" i="1"/>
  <c r="J5261" i="1"/>
  <c r="K5260" i="1"/>
  <c r="J5260" i="1"/>
  <c r="K5259" i="1"/>
  <c r="J5259" i="1"/>
  <c r="K5258" i="1"/>
  <c r="J5258" i="1"/>
  <c r="K5257" i="1"/>
  <c r="J5257" i="1"/>
  <c r="K5256" i="1"/>
  <c r="J5256" i="1"/>
  <c r="K5255" i="1"/>
  <c r="J5255" i="1"/>
  <c r="K5254" i="1"/>
  <c r="J5254" i="1"/>
  <c r="K5253" i="1"/>
  <c r="J5253" i="1"/>
  <c r="K5252" i="1"/>
  <c r="J5252" i="1"/>
  <c r="K5251" i="1"/>
  <c r="J5251" i="1"/>
  <c r="K5250" i="1"/>
  <c r="J5250" i="1"/>
  <c r="K5249" i="1"/>
  <c r="J5249" i="1"/>
  <c r="K5248" i="1"/>
  <c r="J5248" i="1"/>
  <c r="K5247" i="1"/>
  <c r="J5247" i="1"/>
  <c r="K5246" i="1"/>
  <c r="J5246" i="1"/>
  <c r="K5245" i="1"/>
  <c r="J5245" i="1"/>
  <c r="K5244" i="1"/>
  <c r="J5244" i="1"/>
  <c r="K5243" i="1"/>
  <c r="J5243" i="1"/>
  <c r="K5242" i="1"/>
  <c r="J5242" i="1"/>
  <c r="K5241" i="1"/>
  <c r="J5241" i="1"/>
  <c r="K5240" i="1"/>
  <c r="J5240" i="1"/>
  <c r="K5239" i="1"/>
  <c r="J5239" i="1"/>
  <c r="K5238" i="1"/>
  <c r="J5238" i="1"/>
  <c r="K5237" i="1"/>
  <c r="J5237" i="1"/>
  <c r="K5236" i="1"/>
  <c r="J5236" i="1"/>
  <c r="K5235" i="1"/>
  <c r="J5235" i="1"/>
  <c r="K5234" i="1"/>
  <c r="J5234" i="1"/>
  <c r="K5233" i="1"/>
  <c r="J5233" i="1"/>
  <c r="K5232" i="1"/>
  <c r="J5232" i="1"/>
  <c r="K5231" i="1"/>
  <c r="J5231" i="1"/>
  <c r="K5230" i="1"/>
  <c r="J5230" i="1"/>
  <c r="K5229" i="1"/>
  <c r="J5229" i="1"/>
  <c r="K5228" i="1"/>
  <c r="J5228" i="1"/>
  <c r="K5227" i="1"/>
  <c r="J5227" i="1"/>
  <c r="K5226" i="1"/>
  <c r="J5226" i="1"/>
  <c r="K5225" i="1"/>
  <c r="J5225" i="1"/>
  <c r="K5224" i="1"/>
  <c r="J5224" i="1"/>
  <c r="K5223" i="1"/>
  <c r="J5223" i="1"/>
  <c r="K5222" i="1"/>
  <c r="J5222" i="1"/>
  <c r="K5221" i="1"/>
  <c r="J5221" i="1"/>
  <c r="K5220" i="1"/>
  <c r="J5220" i="1"/>
  <c r="K5219" i="1"/>
  <c r="J5219" i="1"/>
  <c r="K5218" i="1"/>
  <c r="J5218" i="1"/>
  <c r="K5217" i="1"/>
  <c r="J5217" i="1"/>
  <c r="K5216" i="1"/>
  <c r="J5216" i="1"/>
  <c r="K5215" i="1"/>
  <c r="J5215" i="1"/>
  <c r="K5214" i="1"/>
  <c r="J5214" i="1"/>
  <c r="K5213" i="1"/>
  <c r="J5213" i="1"/>
  <c r="K5212" i="1"/>
  <c r="J5212" i="1"/>
  <c r="K5211" i="1"/>
  <c r="J5211" i="1"/>
  <c r="K5210" i="1"/>
  <c r="J5210" i="1"/>
  <c r="K5209" i="1"/>
  <c r="J5209" i="1"/>
  <c r="K5208" i="1"/>
  <c r="J5208" i="1"/>
  <c r="K5207" i="1"/>
  <c r="J5207" i="1"/>
  <c r="K5206" i="1"/>
  <c r="J5206" i="1"/>
  <c r="K5205" i="1"/>
  <c r="J5205" i="1"/>
  <c r="K5204" i="1"/>
  <c r="J5204" i="1"/>
  <c r="K5203" i="1"/>
  <c r="J5203" i="1"/>
  <c r="K5202" i="1"/>
  <c r="J5202" i="1"/>
  <c r="K5201" i="1"/>
  <c r="J5201" i="1"/>
  <c r="K5200" i="1"/>
  <c r="J5200" i="1"/>
  <c r="K5199" i="1"/>
  <c r="J5199" i="1"/>
  <c r="K5198" i="1"/>
  <c r="J5198" i="1"/>
  <c r="K5197" i="1"/>
  <c r="J5197" i="1"/>
  <c r="K5196" i="1"/>
  <c r="J5196" i="1"/>
  <c r="K5195" i="1"/>
  <c r="J5195" i="1"/>
  <c r="K5194" i="1"/>
  <c r="J5194" i="1"/>
  <c r="K5193" i="1"/>
  <c r="J5193" i="1"/>
  <c r="K5192" i="1"/>
  <c r="J5192" i="1"/>
  <c r="K5191" i="1"/>
  <c r="J5191" i="1"/>
  <c r="K5190" i="1"/>
  <c r="J5190" i="1"/>
  <c r="K5189" i="1"/>
  <c r="J5189" i="1"/>
  <c r="K5188" i="1"/>
  <c r="J5188" i="1"/>
  <c r="K5187" i="1"/>
  <c r="J5187" i="1"/>
  <c r="K5186" i="1"/>
  <c r="J5186" i="1"/>
  <c r="K5185" i="1"/>
  <c r="J5185" i="1"/>
  <c r="K5184" i="1"/>
  <c r="J5184" i="1"/>
  <c r="K5183" i="1"/>
  <c r="J5183" i="1"/>
  <c r="K5182" i="1"/>
  <c r="J5182" i="1"/>
  <c r="K5181" i="1"/>
  <c r="J5181" i="1"/>
  <c r="K5180" i="1"/>
  <c r="J5180" i="1"/>
  <c r="K5179" i="1"/>
  <c r="J5179" i="1"/>
  <c r="K5178" i="1"/>
  <c r="J5178" i="1"/>
  <c r="K5177" i="1"/>
  <c r="J5177" i="1"/>
  <c r="K5176" i="1"/>
  <c r="J5176" i="1"/>
  <c r="K5175" i="1"/>
  <c r="J5175" i="1"/>
  <c r="K5174" i="1"/>
  <c r="J5174" i="1"/>
  <c r="K5173" i="1"/>
  <c r="J5173" i="1"/>
  <c r="K5172" i="1"/>
  <c r="J5172" i="1"/>
  <c r="K5171" i="1"/>
  <c r="J5171" i="1"/>
  <c r="K5170" i="1"/>
  <c r="J5170" i="1"/>
  <c r="K5169" i="1"/>
  <c r="J5169" i="1"/>
  <c r="K5168" i="1"/>
  <c r="J5168" i="1"/>
  <c r="K5167" i="1"/>
  <c r="J5167" i="1"/>
  <c r="K5166" i="1"/>
  <c r="J5166" i="1"/>
  <c r="K5165" i="1"/>
  <c r="J5165" i="1"/>
  <c r="K5164" i="1"/>
  <c r="J5164" i="1"/>
  <c r="K5163" i="1"/>
  <c r="J5163" i="1"/>
  <c r="K5162" i="1"/>
  <c r="J5162" i="1"/>
  <c r="K5161" i="1"/>
  <c r="J5161" i="1"/>
  <c r="K5160" i="1"/>
  <c r="J5160" i="1"/>
  <c r="K5159" i="1"/>
  <c r="J5159" i="1"/>
  <c r="K5158" i="1"/>
  <c r="J5158" i="1"/>
  <c r="K5157" i="1"/>
  <c r="J5157" i="1"/>
  <c r="K5156" i="1"/>
  <c r="J5156" i="1"/>
  <c r="K5155" i="1"/>
  <c r="J5155" i="1"/>
  <c r="K5154" i="1"/>
  <c r="J5154" i="1"/>
  <c r="K5153" i="1"/>
  <c r="J5153" i="1"/>
  <c r="K5152" i="1"/>
  <c r="J5152" i="1"/>
  <c r="K5151" i="1"/>
  <c r="J5151" i="1"/>
  <c r="K5150" i="1"/>
  <c r="J5150" i="1"/>
  <c r="K5149" i="1"/>
  <c r="J5149" i="1"/>
  <c r="K5148" i="1"/>
  <c r="J5148" i="1"/>
  <c r="K5147" i="1"/>
  <c r="J5147" i="1"/>
  <c r="K5146" i="1"/>
  <c r="J5146" i="1"/>
  <c r="K5145" i="1"/>
  <c r="J5145" i="1"/>
  <c r="K5144" i="1"/>
  <c r="J5144" i="1"/>
  <c r="K5143" i="1"/>
  <c r="J5143" i="1"/>
  <c r="K5142" i="1"/>
  <c r="J5142" i="1"/>
  <c r="K5141" i="1"/>
  <c r="J5141" i="1"/>
  <c r="K5140" i="1"/>
  <c r="J5140" i="1"/>
  <c r="K5139" i="1"/>
  <c r="J5139" i="1"/>
  <c r="K5138" i="1"/>
  <c r="J5138" i="1"/>
  <c r="K5137" i="1"/>
  <c r="J5137" i="1"/>
  <c r="K5136" i="1"/>
  <c r="J5136" i="1"/>
  <c r="K5135" i="1"/>
  <c r="J5135" i="1"/>
  <c r="K5134" i="1"/>
  <c r="J5134" i="1"/>
  <c r="K5133" i="1"/>
  <c r="J5133" i="1"/>
  <c r="K5132" i="1"/>
  <c r="J5132" i="1"/>
  <c r="K5131" i="1"/>
  <c r="J5131" i="1"/>
  <c r="K5130" i="1"/>
  <c r="J5130" i="1"/>
  <c r="K5129" i="1"/>
  <c r="J5129" i="1"/>
  <c r="K5128" i="1"/>
  <c r="J5128" i="1"/>
  <c r="K5127" i="1"/>
  <c r="J5127" i="1"/>
  <c r="K5126" i="1"/>
  <c r="J5126" i="1"/>
  <c r="K5125" i="1"/>
  <c r="J5125" i="1"/>
  <c r="K5124" i="1"/>
  <c r="J5124" i="1"/>
  <c r="K5123" i="1"/>
  <c r="J5123" i="1"/>
  <c r="K5122" i="1"/>
  <c r="J5122" i="1"/>
  <c r="K5121" i="1"/>
  <c r="J5121" i="1"/>
  <c r="K5120" i="1"/>
  <c r="J5120" i="1"/>
  <c r="K5119" i="1"/>
  <c r="J5119" i="1"/>
  <c r="K5118" i="1"/>
  <c r="J5118" i="1"/>
  <c r="K5117" i="1"/>
  <c r="J5117" i="1"/>
  <c r="K5116" i="1"/>
  <c r="J5116" i="1"/>
  <c r="K5115" i="1"/>
  <c r="J5115" i="1"/>
  <c r="K5114" i="1"/>
  <c r="J5114" i="1"/>
  <c r="K5113" i="1"/>
  <c r="J5113" i="1"/>
  <c r="K5112" i="1"/>
  <c r="J5112" i="1"/>
  <c r="K5111" i="1"/>
  <c r="J5111" i="1"/>
  <c r="K5110" i="1"/>
  <c r="J5110" i="1"/>
  <c r="K5109" i="1"/>
  <c r="J5109" i="1"/>
  <c r="K5108" i="1"/>
  <c r="J5108" i="1"/>
  <c r="K5107" i="1"/>
  <c r="J5107" i="1"/>
  <c r="K5106" i="1"/>
  <c r="J5106" i="1"/>
  <c r="K5105" i="1"/>
  <c r="J5105" i="1"/>
  <c r="K5104" i="1"/>
  <c r="J5104" i="1"/>
  <c r="K5103" i="1"/>
  <c r="J5103" i="1"/>
  <c r="K5102" i="1"/>
  <c r="J5102" i="1"/>
  <c r="K5101" i="1"/>
  <c r="J5101" i="1"/>
  <c r="K5100" i="1"/>
  <c r="J5100" i="1"/>
  <c r="K5099" i="1"/>
  <c r="J5099" i="1"/>
  <c r="K5098" i="1"/>
  <c r="J5098" i="1"/>
  <c r="K5097" i="1"/>
  <c r="J5097" i="1"/>
  <c r="K5096" i="1"/>
  <c r="J5096" i="1"/>
  <c r="K5095" i="1"/>
  <c r="J5095" i="1"/>
  <c r="K5094" i="1"/>
  <c r="J5094" i="1"/>
  <c r="K5093" i="1"/>
  <c r="J5093" i="1"/>
  <c r="K5092" i="1"/>
  <c r="J5092" i="1"/>
  <c r="K5091" i="1"/>
  <c r="J5091" i="1"/>
  <c r="K5090" i="1"/>
  <c r="J5090" i="1"/>
  <c r="K5089" i="1"/>
  <c r="J5089" i="1"/>
  <c r="K5088" i="1"/>
  <c r="J5088" i="1"/>
  <c r="K5087" i="1"/>
  <c r="J5087" i="1"/>
  <c r="K5086" i="1"/>
  <c r="J5086" i="1"/>
  <c r="K5085" i="1"/>
  <c r="J5085" i="1"/>
  <c r="K5084" i="1"/>
  <c r="J5084" i="1"/>
  <c r="K5083" i="1"/>
  <c r="J5083" i="1"/>
  <c r="K5082" i="1"/>
  <c r="J5082" i="1"/>
  <c r="K5081" i="1"/>
  <c r="J5081" i="1"/>
  <c r="K5080" i="1"/>
  <c r="J5080" i="1"/>
  <c r="K5079" i="1"/>
  <c r="J5079" i="1"/>
  <c r="K5078" i="1"/>
  <c r="J5078" i="1"/>
  <c r="K5077" i="1"/>
  <c r="J5077" i="1"/>
  <c r="K5076" i="1"/>
  <c r="J5076" i="1"/>
  <c r="K5075" i="1"/>
  <c r="J5075" i="1"/>
  <c r="K5074" i="1"/>
  <c r="J5074" i="1"/>
  <c r="K5073" i="1"/>
  <c r="J5073" i="1"/>
  <c r="K5072" i="1"/>
  <c r="J5072" i="1"/>
  <c r="K5071" i="1"/>
  <c r="J5071" i="1"/>
  <c r="K5070" i="1"/>
  <c r="J5070" i="1"/>
  <c r="K5069" i="1"/>
  <c r="J5069" i="1"/>
  <c r="K5068" i="1"/>
  <c r="J5068" i="1"/>
  <c r="K5067" i="1"/>
  <c r="J5067" i="1"/>
  <c r="K5066" i="1"/>
  <c r="J5066" i="1"/>
  <c r="K5065" i="1"/>
  <c r="J5065" i="1"/>
  <c r="K5064" i="1"/>
  <c r="J5064" i="1"/>
  <c r="K5063" i="1"/>
  <c r="J5063" i="1"/>
  <c r="K5062" i="1"/>
  <c r="J5062" i="1"/>
  <c r="K5061" i="1"/>
  <c r="J5061" i="1"/>
  <c r="K5060" i="1"/>
  <c r="J5060" i="1"/>
  <c r="K5059" i="1"/>
  <c r="J5059" i="1"/>
  <c r="K5058" i="1"/>
  <c r="J5058" i="1"/>
  <c r="K5057" i="1"/>
  <c r="J5057" i="1"/>
  <c r="K5056" i="1"/>
  <c r="J5056" i="1"/>
  <c r="K5055" i="1"/>
  <c r="J5055" i="1"/>
  <c r="K5054" i="1"/>
  <c r="J5054" i="1"/>
  <c r="K5053" i="1"/>
  <c r="J5053" i="1"/>
  <c r="K5052" i="1"/>
  <c r="J5052" i="1"/>
  <c r="K5051" i="1"/>
  <c r="J5051" i="1"/>
  <c r="K5050" i="1"/>
  <c r="J5050" i="1"/>
  <c r="K5049" i="1"/>
  <c r="J5049" i="1"/>
  <c r="K5048" i="1"/>
  <c r="J5048" i="1"/>
  <c r="K5047" i="1"/>
  <c r="J5047" i="1"/>
  <c r="K5046" i="1"/>
  <c r="J5046" i="1"/>
  <c r="K5045" i="1"/>
  <c r="J5045" i="1"/>
  <c r="K5044" i="1"/>
  <c r="J5044" i="1"/>
  <c r="K5043" i="1"/>
  <c r="J5043" i="1"/>
  <c r="K5042" i="1"/>
  <c r="J5042" i="1"/>
  <c r="K5041" i="1"/>
  <c r="J5041" i="1"/>
  <c r="K5040" i="1"/>
  <c r="J5040" i="1"/>
  <c r="K5039" i="1"/>
  <c r="J5039" i="1"/>
  <c r="K5038" i="1"/>
  <c r="J5038" i="1"/>
  <c r="K5037" i="1"/>
  <c r="J5037" i="1"/>
  <c r="K5036" i="1"/>
  <c r="J5036" i="1"/>
  <c r="K5035" i="1"/>
  <c r="J5035" i="1"/>
  <c r="K5034" i="1"/>
  <c r="J5034" i="1"/>
  <c r="K5033" i="1"/>
  <c r="J5033" i="1"/>
  <c r="K5032" i="1"/>
  <c r="J5032" i="1"/>
  <c r="K5031" i="1"/>
  <c r="J5031" i="1"/>
  <c r="K5030" i="1"/>
  <c r="J5030" i="1"/>
  <c r="K5029" i="1"/>
  <c r="J5029" i="1"/>
  <c r="K5028" i="1"/>
  <c r="J5028" i="1"/>
  <c r="K5027" i="1"/>
  <c r="J5027" i="1"/>
  <c r="K5026" i="1"/>
  <c r="J5026" i="1"/>
  <c r="K5025" i="1"/>
  <c r="J5025" i="1"/>
  <c r="K5024" i="1"/>
  <c r="J5024" i="1"/>
  <c r="K5023" i="1"/>
  <c r="J5023" i="1"/>
  <c r="K5022" i="1"/>
  <c r="J5022" i="1"/>
  <c r="K5021" i="1"/>
  <c r="J5021" i="1"/>
  <c r="K5020" i="1"/>
  <c r="J5020" i="1"/>
  <c r="K5019" i="1"/>
  <c r="J5019" i="1"/>
  <c r="K5018" i="1"/>
  <c r="J5018" i="1"/>
  <c r="K5017" i="1"/>
  <c r="J5017" i="1"/>
  <c r="K5016" i="1"/>
  <c r="J5016" i="1"/>
  <c r="K5015" i="1"/>
  <c r="J5015" i="1"/>
  <c r="K5014" i="1"/>
  <c r="J5014" i="1"/>
  <c r="K5013" i="1"/>
  <c r="J5013" i="1"/>
  <c r="K5012" i="1"/>
  <c r="J5012" i="1"/>
  <c r="K5011" i="1"/>
  <c r="J5011" i="1"/>
  <c r="K5010" i="1"/>
  <c r="J5010" i="1"/>
  <c r="K5009" i="1"/>
  <c r="J5009" i="1"/>
  <c r="K5008" i="1"/>
  <c r="J5008" i="1"/>
  <c r="K5007" i="1"/>
  <c r="J5007" i="1"/>
  <c r="K5006" i="1"/>
  <c r="J5006" i="1"/>
  <c r="K5005" i="1"/>
  <c r="J5005" i="1"/>
  <c r="K5004" i="1"/>
  <c r="J5004" i="1"/>
  <c r="K5003" i="1"/>
  <c r="J5003" i="1"/>
  <c r="K5002" i="1"/>
  <c r="J5002" i="1"/>
  <c r="K5001" i="1"/>
  <c r="J5001" i="1"/>
  <c r="K5000" i="1"/>
  <c r="J5000" i="1"/>
  <c r="K4999" i="1"/>
  <c r="J4999" i="1"/>
  <c r="K4998" i="1"/>
  <c r="J4998" i="1"/>
  <c r="K4997" i="1"/>
  <c r="J4997" i="1"/>
  <c r="K4996" i="1"/>
  <c r="J4996" i="1"/>
  <c r="K4995" i="1"/>
  <c r="J4995" i="1"/>
  <c r="K4994" i="1"/>
  <c r="J4994" i="1"/>
  <c r="K4993" i="1"/>
  <c r="J4993" i="1"/>
  <c r="K4992" i="1"/>
  <c r="J4992" i="1"/>
  <c r="K4991" i="1"/>
  <c r="J4991" i="1"/>
  <c r="K4990" i="1"/>
  <c r="J4990" i="1"/>
  <c r="K4989" i="1"/>
  <c r="J4989" i="1"/>
  <c r="K4988" i="1"/>
  <c r="J4988" i="1"/>
  <c r="K4987" i="1"/>
  <c r="J4987" i="1"/>
  <c r="K4986" i="1"/>
  <c r="J4986" i="1"/>
  <c r="K4985" i="1"/>
  <c r="J4985" i="1"/>
  <c r="K4984" i="1"/>
  <c r="J4984" i="1"/>
  <c r="K4983" i="1"/>
  <c r="J4983" i="1"/>
  <c r="K4982" i="1"/>
  <c r="J4982" i="1"/>
  <c r="K4981" i="1"/>
  <c r="J4981" i="1"/>
  <c r="K4980" i="1"/>
  <c r="J4980" i="1"/>
  <c r="K4979" i="1"/>
  <c r="J4979" i="1"/>
  <c r="K4978" i="1"/>
  <c r="J4978" i="1"/>
  <c r="K4977" i="1"/>
  <c r="J4977" i="1"/>
  <c r="K4976" i="1"/>
  <c r="J4976" i="1"/>
  <c r="K4975" i="1"/>
  <c r="J4975" i="1"/>
  <c r="K4974" i="1"/>
  <c r="J4974" i="1"/>
  <c r="K4973" i="1"/>
  <c r="J4973" i="1"/>
  <c r="K4972" i="1"/>
  <c r="J4972" i="1"/>
  <c r="K4971" i="1"/>
  <c r="J4971" i="1"/>
  <c r="K4970" i="1"/>
  <c r="J4970" i="1"/>
  <c r="K4969" i="1"/>
  <c r="J4969" i="1"/>
  <c r="K4968" i="1"/>
  <c r="J4968" i="1"/>
  <c r="K4967" i="1"/>
  <c r="J4967" i="1"/>
  <c r="K4966" i="1"/>
  <c r="J4966" i="1"/>
  <c r="K4965" i="1"/>
  <c r="J4965" i="1"/>
  <c r="K4964" i="1"/>
  <c r="J4964" i="1"/>
  <c r="K4963" i="1"/>
  <c r="J4963" i="1"/>
  <c r="K4962" i="1"/>
  <c r="J4962" i="1"/>
  <c r="K4961" i="1"/>
  <c r="J4961" i="1"/>
  <c r="K4960" i="1"/>
  <c r="J4960" i="1"/>
  <c r="K4959" i="1"/>
  <c r="J4959" i="1"/>
  <c r="K4958" i="1"/>
  <c r="J4958" i="1"/>
  <c r="K4957" i="1"/>
  <c r="J4957" i="1"/>
  <c r="K4956" i="1"/>
  <c r="J4956" i="1"/>
  <c r="K4955" i="1"/>
  <c r="J4955" i="1"/>
  <c r="K4954" i="1"/>
  <c r="J4954" i="1"/>
  <c r="K4953" i="1"/>
  <c r="J4953" i="1"/>
  <c r="K4952" i="1"/>
  <c r="J4952" i="1"/>
  <c r="K4951" i="1"/>
  <c r="J4951" i="1"/>
  <c r="K4950" i="1"/>
  <c r="J4950" i="1"/>
  <c r="K4949" i="1"/>
  <c r="J4949" i="1"/>
  <c r="K4948" i="1"/>
  <c r="J4948" i="1"/>
  <c r="K4947" i="1"/>
  <c r="J4947" i="1"/>
  <c r="K4946" i="1"/>
  <c r="J4946" i="1"/>
  <c r="K4945" i="1"/>
  <c r="J4945" i="1"/>
  <c r="K4944" i="1"/>
  <c r="J4944" i="1"/>
  <c r="K4943" i="1"/>
  <c r="J4943" i="1"/>
  <c r="K4942" i="1"/>
  <c r="J4942" i="1"/>
  <c r="K4941" i="1"/>
  <c r="J4941" i="1"/>
  <c r="K4940" i="1"/>
  <c r="J4940" i="1"/>
  <c r="K4939" i="1"/>
  <c r="J4939" i="1"/>
  <c r="K4938" i="1"/>
  <c r="J4938" i="1"/>
  <c r="K4937" i="1"/>
  <c r="J4937" i="1"/>
  <c r="K4936" i="1"/>
  <c r="J4936" i="1"/>
  <c r="K4935" i="1"/>
  <c r="J4935" i="1"/>
  <c r="K4934" i="1"/>
  <c r="J4934" i="1"/>
  <c r="K4933" i="1"/>
  <c r="J4933" i="1"/>
  <c r="K4932" i="1"/>
  <c r="J4932" i="1"/>
  <c r="K4931" i="1"/>
  <c r="J4931" i="1"/>
  <c r="K4930" i="1"/>
  <c r="J4930" i="1"/>
  <c r="K4929" i="1"/>
  <c r="J4929" i="1"/>
  <c r="K4928" i="1"/>
  <c r="J4928" i="1"/>
  <c r="K4927" i="1"/>
  <c r="J4927" i="1"/>
  <c r="K4926" i="1"/>
  <c r="J4926" i="1"/>
  <c r="K4925" i="1"/>
  <c r="J4925" i="1"/>
  <c r="K4924" i="1"/>
  <c r="J4924" i="1"/>
  <c r="K4923" i="1"/>
  <c r="J4923" i="1"/>
  <c r="K4922" i="1"/>
  <c r="J4922" i="1"/>
  <c r="K4921" i="1"/>
  <c r="J4921" i="1"/>
  <c r="K4920" i="1"/>
  <c r="J4920" i="1"/>
  <c r="K4919" i="1"/>
  <c r="J4919" i="1"/>
  <c r="K4918" i="1"/>
  <c r="J4918" i="1"/>
  <c r="K4917" i="1"/>
  <c r="J4917" i="1"/>
  <c r="K4916" i="1"/>
  <c r="J4916" i="1"/>
  <c r="K4915" i="1"/>
  <c r="J4915" i="1"/>
  <c r="K4914" i="1"/>
  <c r="J4914" i="1"/>
  <c r="K4913" i="1"/>
  <c r="J4913" i="1"/>
  <c r="K4912" i="1"/>
  <c r="J4912" i="1"/>
  <c r="K4911" i="1"/>
  <c r="J4911" i="1"/>
  <c r="K4910" i="1"/>
  <c r="J4910" i="1"/>
  <c r="K4909" i="1"/>
  <c r="J4909" i="1"/>
  <c r="K4908" i="1"/>
  <c r="J4908" i="1"/>
  <c r="K4907" i="1"/>
  <c r="J4907" i="1"/>
  <c r="K4906" i="1"/>
  <c r="J4906" i="1"/>
  <c r="K4905" i="1"/>
  <c r="J4905" i="1"/>
  <c r="K4904" i="1"/>
  <c r="J4904" i="1"/>
  <c r="K4903" i="1"/>
  <c r="J4903" i="1"/>
  <c r="K4902" i="1"/>
  <c r="J4902" i="1"/>
  <c r="K4901" i="1"/>
  <c r="J4901" i="1"/>
  <c r="K4900" i="1"/>
  <c r="J4900" i="1"/>
  <c r="K4899" i="1"/>
  <c r="J4899" i="1"/>
  <c r="K4898" i="1"/>
  <c r="J4898" i="1"/>
  <c r="K4897" i="1"/>
  <c r="J4897" i="1"/>
  <c r="K4896" i="1"/>
  <c r="J4896" i="1"/>
  <c r="K4895" i="1"/>
  <c r="J4895" i="1"/>
  <c r="K4894" i="1"/>
  <c r="J4894" i="1"/>
  <c r="K4893" i="1"/>
  <c r="J4893" i="1"/>
  <c r="K4892" i="1"/>
  <c r="J4892" i="1"/>
  <c r="K4891" i="1"/>
  <c r="J4891" i="1"/>
  <c r="K4890" i="1"/>
  <c r="J4890" i="1"/>
  <c r="K4889" i="1"/>
  <c r="J4889" i="1"/>
  <c r="K4888" i="1"/>
  <c r="J4888" i="1"/>
  <c r="K4887" i="1"/>
  <c r="J4887" i="1"/>
  <c r="K4886" i="1"/>
  <c r="J4886" i="1"/>
  <c r="K4885" i="1"/>
  <c r="J4885" i="1"/>
  <c r="K4884" i="1"/>
  <c r="J4884" i="1"/>
  <c r="K4883" i="1"/>
  <c r="J4883" i="1"/>
  <c r="K4882" i="1"/>
  <c r="J4882" i="1"/>
  <c r="K4881" i="1"/>
  <c r="J4881" i="1"/>
  <c r="K4880" i="1"/>
  <c r="J4880" i="1"/>
  <c r="K4879" i="1"/>
  <c r="J4879" i="1"/>
  <c r="K4878" i="1"/>
  <c r="J4878" i="1"/>
  <c r="K4877" i="1"/>
  <c r="J4877" i="1"/>
  <c r="K4876" i="1"/>
  <c r="J4876" i="1"/>
  <c r="K4875" i="1"/>
  <c r="J4875" i="1"/>
  <c r="K4874" i="1"/>
  <c r="J4874" i="1"/>
  <c r="K4873" i="1"/>
  <c r="J4873" i="1"/>
  <c r="K4872" i="1"/>
  <c r="J4872" i="1"/>
  <c r="K4871" i="1"/>
  <c r="J4871" i="1"/>
  <c r="K4870" i="1"/>
  <c r="J4870" i="1"/>
  <c r="K4869" i="1"/>
  <c r="J4869" i="1"/>
  <c r="K4868" i="1"/>
  <c r="J4868" i="1"/>
  <c r="K4867" i="1"/>
  <c r="J4867" i="1"/>
  <c r="K4866" i="1"/>
  <c r="J4866" i="1"/>
  <c r="K4865" i="1"/>
  <c r="J4865" i="1"/>
  <c r="K4864" i="1"/>
  <c r="J4864" i="1"/>
  <c r="K4863" i="1"/>
  <c r="J4863" i="1"/>
  <c r="K4862" i="1"/>
  <c r="J4862" i="1"/>
  <c r="K4861" i="1"/>
  <c r="J4861" i="1"/>
  <c r="K4860" i="1"/>
  <c r="J4860" i="1"/>
  <c r="K4859" i="1"/>
  <c r="J4859" i="1"/>
  <c r="K4858" i="1"/>
  <c r="J4858" i="1"/>
  <c r="K4857" i="1"/>
  <c r="J4857" i="1"/>
  <c r="K4856" i="1"/>
  <c r="J4856" i="1"/>
  <c r="K4855" i="1"/>
  <c r="J4855" i="1"/>
  <c r="K4854" i="1"/>
  <c r="J4854" i="1"/>
  <c r="K4853" i="1"/>
  <c r="J4853" i="1"/>
  <c r="K4852" i="1"/>
  <c r="J4852" i="1"/>
  <c r="K4851" i="1"/>
  <c r="J4851" i="1"/>
  <c r="K4850" i="1"/>
  <c r="J4850" i="1"/>
  <c r="K4849" i="1"/>
  <c r="J4849" i="1"/>
  <c r="K4848" i="1"/>
  <c r="J4848" i="1"/>
  <c r="K4847" i="1"/>
  <c r="J4847" i="1"/>
  <c r="K4846" i="1"/>
  <c r="J4846" i="1"/>
  <c r="K4845" i="1"/>
  <c r="J4845" i="1"/>
  <c r="K4844" i="1"/>
  <c r="J4844" i="1"/>
  <c r="K4843" i="1"/>
  <c r="J4843" i="1"/>
  <c r="K4842" i="1"/>
  <c r="J4842" i="1"/>
  <c r="K4841" i="1"/>
  <c r="J4841" i="1"/>
  <c r="K4840" i="1"/>
  <c r="J4840" i="1"/>
  <c r="K4839" i="1"/>
  <c r="J4839" i="1"/>
  <c r="K4838" i="1"/>
  <c r="J4838" i="1"/>
  <c r="K4837" i="1"/>
  <c r="J4837" i="1"/>
  <c r="K4836" i="1"/>
  <c r="J4836" i="1"/>
  <c r="K4835" i="1"/>
  <c r="J4835" i="1"/>
  <c r="K4834" i="1"/>
  <c r="J4834" i="1"/>
  <c r="K4833" i="1"/>
  <c r="J4833" i="1"/>
  <c r="K4832" i="1"/>
  <c r="J4832" i="1"/>
  <c r="K4831" i="1"/>
  <c r="J4831" i="1"/>
  <c r="K4830" i="1"/>
  <c r="J4830" i="1"/>
  <c r="K4829" i="1"/>
  <c r="J4829" i="1"/>
  <c r="K4828" i="1"/>
  <c r="J4828" i="1"/>
  <c r="K4827" i="1"/>
  <c r="J4827" i="1"/>
  <c r="K4826" i="1"/>
  <c r="J4826" i="1"/>
  <c r="K4825" i="1"/>
  <c r="J4825" i="1"/>
  <c r="K4824" i="1"/>
  <c r="J4824" i="1"/>
  <c r="K4823" i="1"/>
  <c r="J4823" i="1"/>
  <c r="K4822" i="1"/>
  <c r="J4822" i="1"/>
  <c r="K4821" i="1"/>
  <c r="J4821" i="1"/>
  <c r="K4820" i="1"/>
  <c r="J4820" i="1"/>
  <c r="K4819" i="1"/>
  <c r="J4819" i="1"/>
  <c r="K4818" i="1"/>
  <c r="J4818" i="1"/>
  <c r="K4817" i="1"/>
  <c r="J4817" i="1"/>
  <c r="K4816" i="1"/>
  <c r="J4816" i="1"/>
  <c r="K4815" i="1"/>
  <c r="J4815" i="1"/>
  <c r="K4814" i="1"/>
  <c r="J4814" i="1"/>
  <c r="K4813" i="1"/>
  <c r="J4813" i="1"/>
  <c r="K4812" i="1"/>
  <c r="J4812" i="1"/>
  <c r="K4811" i="1"/>
  <c r="J4811" i="1"/>
  <c r="K4810" i="1"/>
  <c r="J4810" i="1"/>
  <c r="K4809" i="1"/>
  <c r="J4809" i="1"/>
  <c r="K4808" i="1"/>
  <c r="J4808" i="1"/>
  <c r="K4807" i="1"/>
  <c r="J4807" i="1"/>
  <c r="K4806" i="1"/>
  <c r="J4806" i="1"/>
  <c r="K4805" i="1"/>
  <c r="J4805" i="1"/>
  <c r="K4804" i="1"/>
  <c r="J4804" i="1"/>
  <c r="K4803" i="1"/>
  <c r="J4803" i="1"/>
  <c r="K4802" i="1"/>
  <c r="J4802" i="1"/>
  <c r="K4801" i="1"/>
  <c r="J4801" i="1"/>
  <c r="K4800" i="1"/>
  <c r="J4800" i="1"/>
  <c r="K4799" i="1"/>
  <c r="J4799" i="1"/>
  <c r="K4798" i="1"/>
  <c r="J4798" i="1"/>
  <c r="K4797" i="1"/>
  <c r="J4797" i="1"/>
  <c r="K4796" i="1"/>
  <c r="J4796" i="1"/>
  <c r="K4795" i="1"/>
  <c r="J4795" i="1"/>
  <c r="K4794" i="1"/>
  <c r="J4794" i="1"/>
  <c r="K4793" i="1"/>
  <c r="J4793" i="1"/>
  <c r="K4792" i="1"/>
  <c r="J4792" i="1"/>
  <c r="K4791" i="1"/>
  <c r="J4791" i="1"/>
  <c r="K4790" i="1"/>
  <c r="J4790" i="1"/>
  <c r="K4789" i="1"/>
  <c r="J4789" i="1"/>
  <c r="K4788" i="1"/>
  <c r="J4788" i="1"/>
  <c r="K4787" i="1"/>
  <c r="J4787" i="1"/>
  <c r="K4786" i="1"/>
  <c r="J4786" i="1"/>
  <c r="K4785" i="1"/>
  <c r="J4785" i="1"/>
  <c r="K4784" i="1"/>
  <c r="J4784" i="1"/>
  <c r="K4783" i="1"/>
  <c r="J4783" i="1"/>
  <c r="K4782" i="1"/>
  <c r="J4782" i="1"/>
  <c r="K4781" i="1"/>
  <c r="J4781" i="1"/>
  <c r="K4780" i="1"/>
  <c r="J4780" i="1"/>
  <c r="K4779" i="1"/>
  <c r="J4779" i="1"/>
  <c r="K4778" i="1"/>
  <c r="J4778" i="1"/>
  <c r="K4777" i="1"/>
  <c r="J4777" i="1"/>
  <c r="K4776" i="1"/>
  <c r="J4776" i="1"/>
  <c r="K4775" i="1"/>
  <c r="J4775" i="1"/>
  <c r="K4774" i="1"/>
  <c r="J4774" i="1"/>
  <c r="K4773" i="1"/>
  <c r="J4773" i="1"/>
  <c r="K4772" i="1"/>
  <c r="J4772" i="1"/>
  <c r="K4771" i="1"/>
  <c r="J4771" i="1"/>
  <c r="K4770" i="1"/>
  <c r="J4770" i="1"/>
  <c r="K4769" i="1"/>
  <c r="J4769" i="1"/>
  <c r="K4768" i="1"/>
  <c r="J4768" i="1"/>
  <c r="K4767" i="1"/>
  <c r="J4767" i="1"/>
  <c r="K4766" i="1"/>
  <c r="J4766" i="1"/>
  <c r="K4765" i="1"/>
  <c r="J4765" i="1"/>
  <c r="K4764" i="1"/>
  <c r="J4764" i="1"/>
  <c r="K4763" i="1"/>
  <c r="J4763" i="1"/>
  <c r="K4762" i="1"/>
  <c r="J4762" i="1"/>
  <c r="K4761" i="1"/>
  <c r="J4761" i="1"/>
  <c r="K4760" i="1"/>
  <c r="J4760" i="1"/>
  <c r="K4759" i="1"/>
  <c r="J4759" i="1"/>
  <c r="K4758" i="1"/>
  <c r="J4758" i="1"/>
  <c r="K4757" i="1"/>
  <c r="J4757" i="1"/>
  <c r="K4756" i="1"/>
  <c r="J4756" i="1"/>
  <c r="K4755" i="1"/>
  <c r="J4755" i="1"/>
  <c r="K4754" i="1"/>
  <c r="J4754" i="1"/>
  <c r="K4753" i="1"/>
  <c r="J4753" i="1"/>
  <c r="K4752" i="1"/>
  <c r="J4752" i="1"/>
  <c r="K4751" i="1"/>
  <c r="J4751" i="1"/>
  <c r="K4750" i="1"/>
  <c r="J4750" i="1"/>
  <c r="K4749" i="1"/>
  <c r="J4749" i="1"/>
  <c r="K4748" i="1"/>
  <c r="J4748" i="1"/>
  <c r="K4747" i="1"/>
  <c r="J4747" i="1"/>
  <c r="K4746" i="1"/>
  <c r="J4746" i="1"/>
  <c r="K4745" i="1"/>
  <c r="J4745" i="1"/>
  <c r="K4744" i="1"/>
  <c r="J4744" i="1"/>
  <c r="K4743" i="1"/>
  <c r="J4743" i="1"/>
  <c r="K4742" i="1"/>
  <c r="J4742" i="1"/>
  <c r="K4741" i="1"/>
  <c r="J4741" i="1"/>
  <c r="K4740" i="1"/>
  <c r="J4740" i="1"/>
  <c r="K4739" i="1"/>
  <c r="J4739" i="1"/>
  <c r="K4738" i="1"/>
  <c r="J4738" i="1"/>
  <c r="K4737" i="1"/>
  <c r="J4737" i="1"/>
  <c r="K4736" i="1"/>
  <c r="J4736" i="1"/>
  <c r="K4735" i="1"/>
  <c r="J4735" i="1"/>
  <c r="K4734" i="1"/>
  <c r="J4734" i="1"/>
  <c r="K4733" i="1"/>
  <c r="J4733" i="1"/>
  <c r="K4732" i="1"/>
  <c r="J4732" i="1"/>
  <c r="K4731" i="1"/>
  <c r="J4731" i="1"/>
  <c r="K4730" i="1"/>
  <c r="J4730" i="1"/>
  <c r="K4729" i="1"/>
  <c r="J4729" i="1"/>
  <c r="K4728" i="1"/>
  <c r="J4728" i="1"/>
  <c r="K4727" i="1"/>
  <c r="J4727" i="1"/>
  <c r="K4726" i="1"/>
  <c r="J4726" i="1"/>
  <c r="K4725" i="1"/>
  <c r="J4725" i="1"/>
  <c r="K4724" i="1"/>
  <c r="J4724" i="1"/>
  <c r="K4723" i="1"/>
  <c r="J4723" i="1"/>
  <c r="K4722" i="1"/>
  <c r="J4722" i="1"/>
  <c r="K4721" i="1"/>
  <c r="J4721" i="1"/>
  <c r="K4720" i="1"/>
  <c r="J4720" i="1"/>
  <c r="K4719" i="1"/>
  <c r="J4719" i="1"/>
  <c r="K4718" i="1"/>
  <c r="J4718" i="1"/>
  <c r="K4717" i="1"/>
  <c r="J4717" i="1"/>
  <c r="K4716" i="1"/>
  <c r="J4716" i="1"/>
  <c r="K4715" i="1"/>
  <c r="J4715" i="1"/>
  <c r="K4714" i="1"/>
  <c r="J4714" i="1"/>
  <c r="K4713" i="1"/>
  <c r="J4713" i="1"/>
  <c r="K4712" i="1"/>
  <c r="J4712" i="1"/>
  <c r="K4711" i="1"/>
  <c r="J4711" i="1"/>
  <c r="K4710" i="1"/>
  <c r="J4710" i="1"/>
  <c r="K4709" i="1"/>
  <c r="J4709" i="1"/>
  <c r="K4708" i="1"/>
  <c r="J4708" i="1"/>
  <c r="K4707" i="1"/>
  <c r="J4707" i="1"/>
  <c r="K4706" i="1"/>
  <c r="J4706" i="1"/>
  <c r="K4705" i="1"/>
  <c r="J4705" i="1"/>
  <c r="K4704" i="1"/>
  <c r="J4704" i="1"/>
  <c r="K4703" i="1"/>
  <c r="J4703" i="1"/>
  <c r="K4702" i="1"/>
  <c r="J4702" i="1"/>
  <c r="K4701" i="1"/>
  <c r="J4701" i="1"/>
  <c r="K4700" i="1"/>
  <c r="J4700" i="1"/>
  <c r="K4699" i="1"/>
  <c r="J4699" i="1"/>
  <c r="K4698" i="1"/>
  <c r="J4698" i="1"/>
  <c r="K4697" i="1"/>
  <c r="J4697" i="1"/>
  <c r="K4696" i="1"/>
  <c r="J4696" i="1"/>
  <c r="K4695" i="1"/>
  <c r="J4695" i="1"/>
  <c r="K4694" i="1"/>
  <c r="J4694" i="1"/>
  <c r="K4693" i="1"/>
  <c r="J4693" i="1"/>
  <c r="K4692" i="1"/>
  <c r="J4692" i="1"/>
  <c r="K4691" i="1"/>
  <c r="J4691" i="1"/>
  <c r="K4690" i="1"/>
  <c r="J4690" i="1"/>
  <c r="K4689" i="1"/>
  <c r="J4689" i="1"/>
  <c r="K4688" i="1"/>
  <c r="J4688" i="1"/>
  <c r="K4687" i="1"/>
  <c r="J4687" i="1"/>
  <c r="K4686" i="1"/>
  <c r="J4686" i="1"/>
  <c r="K4685" i="1"/>
  <c r="J4685" i="1"/>
  <c r="K4684" i="1"/>
  <c r="J4684" i="1"/>
  <c r="K4683" i="1"/>
  <c r="J4683" i="1"/>
  <c r="K4682" i="1"/>
  <c r="J4682" i="1"/>
  <c r="K4681" i="1"/>
  <c r="J4681" i="1"/>
  <c r="K4680" i="1"/>
  <c r="J4680" i="1"/>
  <c r="K4679" i="1"/>
  <c r="J4679" i="1"/>
  <c r="K4678" i="1"/>
  <c r="J4678" i="1"/>
  <c r="K4677" i="1"/>
  <c r="J4677" i="1"/>
  <c r="K4676" i="1"/>
  <c r="J4676" i="1"/>
  <c r="K4675" i="1"/>
  <c r="J4675" i="1"/>
  <c r="K4674" i="1"/>
  <c r="J4674" i="1"/>
  <c r="K4673" i="1"/>
  <c r="J4673" i="1"/>
  <c r="K4672" i="1"/>
  <c r="J4672" i="1"/>
  <c r="K4671" i="1"/>
  <c r="J4671" i="1"/>
  <c r="K4670" i="1"/>
  <c r="J4670" i="1"/>
  <c r="K4669" i="1"/>
  <c r="J4669" i="1"/>
  <c r="K4668" i="1"/>
  <c r="J4668" i="1"/>
  <c r="K4667" i="1"/>
  <c r="J4667" i="1"/>
  <c r="K4666" i="1"/>
  <c r="J4666" i="1"/>
  <c r="K4665" i="1"/>
  <c r="J4665" i="1"/>
  <c r="K4664" i="1"/>
  <c r="J4664" i="1"/>
  <c r="K4663" i="1"/>
  <c r="J4663" i="1"/>
  <c r="K4662" i="1"/>
  <c r="J4662" i="1"/>
  <c r="K4661" i="1"/>
  <c r="J4661" i="1"/>
  <c r="K4660" i="1"/>
  <c r="J4660" i="1"/>
  <c r="K4659" i="1"/>
  <c r="J4659" i="1"/>
  <c r="K4658" i="1"/>
  <c r="J4658" i="1"/>
  <c r="K4657" i="1"/>
  <c r="J4657" i="1"/>
  <c r="K4656" i="1"/>
  <c r="J4656" i="1"/>
  <c r="K4655" i="1"/>
  <c r="J4655" i="1"/>
  <c r="K4654" i="1"/>
  <c r="J4654" i="1"/>
  <c r="K4653" i="1"/>
  <c r="J4653" i="1"/>
  <c r="K4652" i="1"/>
  <c r="J4652" i="1"/>
  <c r="K4651" i="1"/>
  <c r="J4651" i="1"/>
  <c r="K4650" i="1"/>
  <c r="J4650" i="1"/>
  <c r="K4649" i="1"/>
  <c r="J4649" i="1"/>
  <c r="K4648" i="1"/>
  <c r="J4648" i="1"/>
  <c r="K4647" i="1"/>
  <c r="J4647" i="1"/>
  <c r="K4646" i="1"/>
  <c r="J4646" i="1"/>
  <c r="K4645" i="1"/>
  <c r="J4645" i="1"/>
  <c r="K4644" i="1"/>
  <c r="J4644" i="1"/>
  <c r="K4643" i="1"/>
  <c r="J4643" i="1"/>
  <c r="K4642" i="1"/>
  <c r="J4642" i="1"/>
  <c r="K4641" i="1"/>
  <c r="J4641" i="1"/>
  <c r="K4640" i="1"/>
  <c r="J4640" i="1"/>
  <c r="K4639" i="1"/>
  <c r="J4639" i="1"/>
  <c r="K4638" i="1"/>
  <c r="J4638" i="1"/>
  <c r="K4637" i="1"/>
  <c r="J4637" i="1"/>
  <c r="K4636" i="1"/>
  <c r="J4636" i="1"/>
  <c r="K4635" i="1"/>
  <c r="J4635" i="1"/>
  <c r="K4634" i="1"/>
  <c r="J4634" i="1"/>
  <c r="K4633" i="1"/>
  <c r="J4633" i="1"/>
  <c r="K4632" i="1"/>
  <c r="J4632" i="1"/>
  <c r="K4631" i="1"/>
  <c r="J4631" i="1"/>
  <c r="K4630" i="1"/>
  <c r="J4630" i="1"/>
  <c r="K4629" i="1"/>
  <c r="J4629" i="1"/>
  <c r="K4628" i="1"/>
  <c r="J4628" i="1"/>
  <c r="K4627" i="1"/>
  <c r="J4627" i="1"/>
  <c r="K4626" i="1"/>
  <c r="J4626" i="1"/>
  <c r="K4625" i="1"/>
  <c r="J4625" i="1"/>
  <c r="K4624" i="1"/>
  <c r="J4624" i="1"/>
  <c r="K4623" i="1"/>
  <c r="J4623" i="1"/>
  <c r="K4622" i="1"/>
  <c r="J4622" i="1"/>
  <c r="K4621" i="1"/>
  <c r="J4621" i="1"/>
  <c r="K4620" i="1"/>
  <c r="J4620" i="1"/>
  <c r="K4619" i="1"/>
  <c r="J4619" i="1"/>
  <c r="K4618" i="1"/>
  <c r="J4618" i="1"/>
  <c r="K4617" i="1"/>
  <c r="J4617" i="1"/>
  <c r="K4616" i="1"/>
  <c r="J4616" i="1"/>
  <c r="K4615" i="1"/>
  <c r="J4615" i="1"/>
  <c r="K4614" i="1"/>
  <c r="J4614" i="1"/>
  <c r="K4613" i="1"/>
  <c r="J4613" i="1"/>
  <c r="K4612" i="1"/>
  <c r="J4612" i="1"/>
  <c r="K4611" i="1"/>
  <c r="J4611" i="1"/>
  <c r="K4610" i="1"/>
  <c r="J4610" i="1"/>
  <c r="K4609" i="1"/>
  <c r="J4609" i="1"/>
  <c r="K4608" i="1"/>
  <c r="J4608" i="1"/>
  <c r="K4607" i="1"/>
  <c r="J4607" i="1"/>
  <c r="K4606" i="1"/>
  <c r="J4606" i="1"/>
  <c r="K4605" i="1"/>
  <c r="J4605" i="1"/>
  <c r="K4604" i="1"/>
  <c r="J4604" i="1"/>
  <c r="K4603" i="1"/>
  <c r="J4603" i="1"/>
  <c r="K4602" i="1"/>
  <c r="J4602" i="1"/>
  <c r="K4601" i="1"/>
  <c r="J4601" i="1"/>
  <c r="K4600" i="1"/>
  <c r="J4600" i="1"/>
  <c r="K4599" i="1"/>
  <c r="J4599" i="1"/>
  <c r="K4598" i="1"/>
  <c r="J4598" i="1"/>
  <c r="K4597" i="1"/>
  <c r="J4597" i="1"/>
  <c r="K4596" i="1"/>
  <c r="J4596" i="1"/>
  <c r="K4595" i="1"/>
  <c r="J4595" i="1"/>
  <c r="K4594" i="1"/>
  <c r="J4594" i="1"/>
  <c r="K4593" i="1"/>
  <c r="J4593" i="1"/>
  <c r="K4592" i="1"/>
  <c r="J4592" i="1"/>
  <c r="K4591" i="1"/>
  <c r="J4591" i="1"/>
  <c r="K4590" i="1"/>
  <c r="J4590" i="1"/>
  <c r="K4589" i="1"/>
  <c r="J4589" i="1"/>
  <c r="K4588" i="1"/>
  <c r="J4588" i="1"/>
  <c r="K4587" i="1"/>
  <c r="J4587" i="1"/>
  <c r="K4586" i="1"/>
  <c r="J4586" i="1"/>
  <c r="K4585" i="1"/>
  <c r="J4585" i="1"/>
  <c r="K4584" i="1"/>
  <c r="J4584" i="1"/>
  <c r="K4583" i="1"/>
  <c r="J4583" i="1"/>
  <c r="K4582" i="1"/>
  <c r="J4582" i="1"/>
  <c r="K4581" i="1"/>
  <c r="J4581" i="1"/>
  <c r="K4580" i="1"/>
  <c r="J4580" i="1"/>
  <c r="K4579" i="1"/>
  <c r="J4579" i="1"/>
  <c r="K4578" i="1"/>
  <c r="J4578" i="1"/>
  <c r="K4577" i="1"/>
  <c r="J4577" i="1"/>
  <c r="K4576" i="1"/>
  <c r="J4576" i="1"/>
  <c r="K4575" i="1"/>
  <c r="J4575" i="1"/>
  <c r="K4574" i="1"/>
  <c r="J4574" i="1"/>
  <c r="K4573" i="1"/>
  <c r="J4573" i="1"/>
  <c r="K4572" i="1"/>
  <c r="J4572" i="1"/>
  <c r="K4571" i="1"/>
  <c r="J4571" i="1"/>
  <c r="K4570" i="1"/>
  <c r="J4570" i="1"/>
  <c r="K4569" i="1"/>
  <c r="J4569" i="1"/>
  <c r="K4568" i="1"/>
  <c r="J4568" i="1"/>
  <c r="K4567" i="1"/>
  <c r="J4567" i="1"/>
  <c r="K4566" i="1"/>
  <c r="J4566" i="1"/>
  <c r="K4565" i="1"/>
  <c r="J4565" i="1"/>
  <c r="K4564" i="1"/>
  <c r="J4564" i="1"/>
  <c r="K4563" i="1"/>
  <c r="J4563" i="1"/>
  <c r="K4562" i="1"/>
  <c r="J4562" i="1"/>
  <c r="K4561" i="1"/>
  <c r="J4561" i="1"/>
  <c r="K4560" i="1"/>
  <c r="J4560" i="1"/>
  <c r="K4559" i="1"/>
  <c r="J4559" i="1"/>
  <c r="K4558" i="1"/>
  <c r="J4558" i="1"/>
  <c r="K4557" i="1"/>
  <c r="J4557" i="1"/>
  <c r="K4556" i="1"/>
  <c r="J4556" i="1"/>
  <c r="K4555" i="1"/>
  <c r="J4555" i="1"/>
  <c r="K4554" i="1"/>
  <c r="J4554" i="1"/>
  <c r="K4553" i="1"/>
  <c r="J4553" i="1"/>
  <c r="K4552" i="1"/>
  <c r="J4552" i="1"/>
  <c r="K4551" i="1"/>
  <c r="J4551" i="1"/>
  <c r="K4550" i="1"/>
  <c r="J4550" i="1"/>
  <c r="K4549" i="1"/>
  <c r="J4549" i="1"/>
  <c r="K4548" i="1"/>
  <c r="J4548" i="1"/>
  <c r="K4547" i="1"/>
  <c r="J4547" i="1"/>
  <c r="K4546" i="1"/>
  <c r="J4546" i="1"/>
  <c r="K4545" i="1"/>
  <c r="J4545" i="1"/>
  <c r="K4544" i="1"/>
  <c r="J4544" i="1"/>
  <c r="K4543" i="1"/>
  <c r="J4543" i="1"/>
  <c r="K4542" i="1"/>
  <c r="J4542" i="1"/>
  <c r="K4541" i="1"/>
  <c r="J4541" i="1"/>
  <c r="K4540" i="1"/>
  <c r="J4540" i="1"/>
  <c r="K4539" i="1"/>
  <c r="J4539" i="1"/>
  <c r="K4538" i="1"/>
  <c r="J4538" i="1"/>
  <c r="K4537" i="1"/>
  <c r="J4537" i="1"/>
  <c r="K4536" i="1"/>
  <c r="J4536" i="1"/>
  <c r="K4535" i="1"/>
  <c r="J4535" i="1"/>
  <c r="K4534" i="1"/>
  <c r="J4534" i="1"/>
  <c r="K4533" i="1"/>
  <c r="J4533" i="1"/>
  <c r="K4532" i="1"/>
  <c r="J4532" i="1"/>
  <c r="K4531" i="1"/>
  <c r="J4531" i="1"/>
  <c r="K4530" i="1"/>
  <c r="J4530" i="1"/>
  <c r="K4529" i="1"/>
  <c r="J4529" i="1"/>
  <c r="K4528" i="1"/>
  <c r="J4528" i="1"/>
  <c r="K4527" i="1"/>
  <c r="J4527" i="1"/>
  <c r="K4526" i="1"/>
  <c r="J4526" i="1"/>
  <c r="K4525" i="1"/>
  <c r="J4525" i="1"/>
  <c r="K4524" i="1"/>
  <c r="J4524" i="1"/>
  <c r="K4523" i="1"/>
  <c r="J4523" i="1"/>
  <c r="K4522" i="1"/>
  <c r="J4522" i="1"/>
  <c r="K4521" i="1"/>
  <c r="J4521" i="1"/>
  <c r="K4520" i="1"/>
  <c r="J4520" i="1"/>
  <c r="K4519" i="1"/>
  <c r="J4519" i="1"/>
  <c r="K4518" i="1"/>
  <c r="J4518" i="1"/>
  <c r="K4517" i="1"/>
  <c r="J4517" i="1"/>
  <c r="K4516" i="1"/>
  <c r="J4516" i="1"/>
  <c r="K4515" i="1"/>
  <c r="J4515" i="1"/>
  <c r="K4514" i="1"/>
  <c r="J4514" i="1"/>
  <c r="K4513" i="1"/>
  <c r="J4513" i="1"/>
  <c r="K4512" i="1"/>
  <c r="J4512" i="1"/>
  <c r="K4511" i="1"/>
  <c r="J4511" i="1"/>
  <c r="K4510" i="1"/>
  <c r="J4510" i="1"/>
  <c r="K4509" i="1"/>
  <c r="J4509" i="1"/>
  <c r="K4508" i="1"/>
  <c r="J4508" i="1"/>
  <c r="K4507" i="1"/>
  <c r="J4507" i="1"/>
  <c r="K4506" i="1"/>
  <c r="J4506" i="1"/>
  <c r="K4505" i="1"/>
  <c r="J4505" i="1"/>
  <c r="K4504" i="1"/>
  <c r="J4504" i="1"/>
  <c r="K4503" i="1"/>
  <c r="J4503" i="1"/>
  <c r="K4502" i="1"/>
  <c r="J4502" i="1"/>
  <c r="K4501" i="1"/>
  <c r="J4501" i="1"/>
  <c r="K4500" i="1"/>
  <c r="J4500" i="1"/>
  <c r="K4499" i="1"/>
  <c r="J4499" i="1"/>
  <c r="K4498" i="1"/>
  <c r="J4498" i="1"/>
  <c r="K4497" i="1"/>
  <c r="J4497" i="1"/>
  <c r="K4496" i="1"/>
  <c r="J4496" i="1"/>
  <c r="K4495" i="1"/>
  <c r="J4495" i="1"/>
  <c r="K4494" i="1"/>
  <c r="J4494" i="1"/>
  <c r="K4493" i="1"/>
  <c r="J4493" i="1"/>
  <c r="K4492" i="1"/>
  <c r="J4492" i="1"/>
  <c r="K4491" i="1"/>
  <c r="J4491" i="1"/>
  <c r="K4490" i="1"/>
  <c r="J4490" i="1"/>
  <c r="K4489" i="1"/>
  <c r="J4489" i="1"/>
  <c r="K4488" i="1"/>
  <c r="J4488" i="1"/>
  <c r="K4487" i="1"/>
  <c r="J4487" i="1"/>
  <c r="K4486" i="1"/>
  <c r="J4486" i="1"/>
  <c r="K4485" i="1"/>
  <c r="J4485" i="1"/>
  <c r="K4484" i="1"/>
  <c r="J4484" i="1"/>
  <c r="K4483" i="1"/>
  <c r="J4483" i="1"/>
  <c r="K4482" i="1"/>
  <c r="J4482" i="1"/>
  <c r="K4481" i="1"/>
  <c r="J4481" i="1"/>
  <c r="K4480" i="1"/>
  <c r="J4480" i="1"/>
  <c r="K4479" i="1"/>
  <c r="J4479" i="1"/>
  <c r="K4478" i="1"/>
  <c r="J4478" i="1"/>
  <c r="K4477" i="1"/>
  <c r="J4477" i="1"/>
  <c r="K4476" i="1"/>
  <c r="J4476" i="1"/>
  <c r="K4475" i="1"/>
  <c r="J4475" i="1"/>
  <c r="K4474" i="1"/>
  <c r="J4474" i="1"/>
  <c r="K4473" i="1"/>
  <c r="J4473" i="1"/>
  <c r="K4472" i="1"/>
  <c r="J4472" i="1"/>
  <c r="K4471" i="1"/>
  <c r="J4471" i="1"/>
  <c r="K4470" i="1"/>
  <c r="J4470" i="1"/>
  <c r="K4469" i="1"/>
  <c r="J4469" i="1"/>
  <c r="K4468" i="1"/>
  <c r="J4468" i="1"/>
  <c r="K4467" i="1"/>
  <c r="J4467" i="1"/>
  <c r="K4466" i="1"/>
  <c r="J4466" i="1"/>
  <c r="K4465" i="1"/>
  <c r="J4465" i="1"/>
  <c r="K4464" i="1"/>
  <c r="J4464" i="1"/>
  <c r="K4463" i="1"/>
  <c r="J4463" i="1"/>
  <c r="K4462" i="1"/>
  <c r="J4462" i="1"/>
  <c r="K4461" i="1"/>
  <c r="J4461" i="1"/>
  <c r="K4460" i="1"/>
  <c r="J4460" i="1"/>
  <c r="K4459" i="1"/>
  <c r="J4459" i="1"/>
  <c r="K4458" i="1"/>
  <c r="J4458" i="1"/>
  <c r="K4457" i="1"/>
  <c r="J4457" i="1"/>
  <c r="K4456" i="1"/>
  <c r="J4456" i="1"/>
  <c r="K4455" i="1"/>
  <c r="J4455" i="1"/>
  <c r="K4454" i="1"/>
  <c r="J4454" i="1"/>
  <c r="K4453" i="1"/>
  <c r="J4453" i="1"/>
  <c r="K4452" i="1"/>
  <c r="J4452" i="1"/>
  <c r="K4451" i="1"/>
  <c r="J4451" i="1"/>
  <c r="K4450" i="1"/>
  <c r="J4450" i="1"/>
  <c r="K4449" i="1"/>
  <c r="J4449" i="1"/>
  <c r="K4448" i="1"/>
  <c r="J4448" i="1"/>
  <c r="K4447" i="1"/>
  <c r="J4447" i="1"/>
  <c r="K4446" i="1"/>
  <c r="J4446" i="1"/>
  <c r="K4445" i="1"/>
  <c r="J4445" i="1"/>
  <c r="K4444" i="1"/>
  <c r="J4444" i="1"/>
  <c r="K4443" i="1"/>
  <c r="J4443" i="1"/>
  <c r="K4442" i="1"/>
  <c r="J4442" i="1"/>
  <c r="K4441" i="1"/>
  <c r="J4441" i="1"/>
  <c r="K4440" i="1"/>
  <c r="J4440" i="1"/>
  <c r="K4439" i="1"/>
  <c r="J4439" i="1"/>
  <c r="K4438" i="1"/>
  <c r="J4438" i="1"/>
  <c r="K4437" i="1"/>
  <c r="J4437" i="1"/>
  <c r="K4436" i="1"/>
  <c r="J4436" i="1"/>
  <c r="K4435" i="1"/>
  <c r="J4435" i="1"/>
  <c r="K4434" i="1"/>
  <c r="J4434" i="1"/>
  <c r="K4433" i="1"/>
  <c r="J4433" i="1"/>
  <c r="K4432" i="1"/>
  <c r="J4432" i="1"/>
  <c r="K4431" i="1"/>
  <c r="J4431" i="1"/>
  <c r="K4430" i="1"/>
  <c r="J4430" i="1"/>
  <c r="K4429" i="1"/>
  <c r="J4429" i="1"/>
  <c r="K4428" i="1"/>
  <c r="J4428" i="1"/>
  <c r="K4427" i="1"/>
  <c r="J4427" i="1"/>
  <c r="K4426" i="1"/>
  <c r="J4426" i="1"/>
  <c r="K4425" i="1"/>
  <c r="J4425" i="1"/>
  <c r="K4424" i="1"/>
  <c r="J4424" i="1"/>
  <c r="K4423" i="1"/>
  <c r="J4423" i="1"/>
  <c r="K4422" i="1"/>
  <c r="J4422" i="1"/>
  <c r="K4421" i="1"/>
  <c r="J4421" i="1"/>
  <c r="K4420" i="1"/>
  <c r="J4420" i="1"/>
  <c r="K4419" i="1"/>
  <c r="J4419" i="1"/>
  <c r="K4418" i="1"/>
  <c r="J4418" i="1"/>
  <c r="K4417" i="1"/>
  <c r="J4417" i="1"/>
  <c r="K4416" i="1"/>
  <c r="J4416" i="1"/>
  <c r="K4415" i="1"/>
  <c r="J4415" i="1"/>
  <c r="K4414" i="1"/>
  <c r="J4414" i="1"/>
  <c r="K4413" i="1"/>
  <c r="J4413" i="1"/>
  <c r="K4412" i="1"/>
  <c r="J4412" i="1"/>
  <c r="K4411" i="1"/>
  <c r="J4411" i="1"/>
  <c r="K4410" i="1"/>
  <c r="J4410" i="1"/>
  <c r="K4409" i="1"/>
  <c r="J4409" i="1"/>
  <c r="K4408" i="1"/>
  <c r="J4408" i="1"/>
  <c r="K4407" i="1"/>
  <c r="J4407" i="1"/>
  <c r="K4406" i="1"/>
  <c r="J4406" i="1"/>
  <c r="K4405" i="1"/>
  <c r="J4405" i="1"/>
  <c r="K4404" i="1"/>
  <c r="J4404" i="1"/>
  <c r="K4403" i="1"/>
  <c r="J4403" i="1"/>
  <c r="K4402" i="1"/>
  <c r="J4402" i="1"/>
  <c r="K4401" i="1"/>
  <c r="J4401" i="1"/>
  <c r="K4400" i="1"/>
  <c r="J4400" i="1"/>
  <c r="K4399" i="1"/>
  <c r="J4399" i="1"/>
  <c r="K4398" i="1"/>
  <c r="J4398" i="1"/>
  <c r="K4397" i="1"/>
  <c r="J4397" i="1"/>
  <c r="K4396" i="1"/>
  <c r="J4396" i="1"/>
  <c r="K4395" i="1"/>
  <c r="J4395" i="1"/>
  <c r="K4394" i="1"/>
  <c r="J4394" i="1"/>
  <c r="K4393" i="1"/>
  <c r="J4393" i="1"/>
  <c r="K4392" i="1"/>
  <c r="J4392" i="1"/>
  <c r="K4391" i="1"/>
  <c r="J4391" i="1"/>
  <c r="K4390" i="1"/>
  <c r="J4390" i="1"/>
  <c r="K4389" i="1"/>
  <c r="J4389" i="1"/>
  <c r="K4388" i="1"/>
  <c r="J4388" i="1"/>
  <c r="K4387" i="1"/>
  <c r="J4387" i="1"/>
  <c r="K4386" i="1"/>
  <c r="J4386" i="1"/>
  <c r="K4385" i="1"/>
  <c r="J4385" i="1"/>
  <c r="K4384" i="1"/>
  <c r="J4384" i="1"/>
  <c r="K4383" i="1"/>
  <c r="J4383" i="1"/>
  <c r="K4382" i="1"/>
  <c r="J4382" i="1"/>
  <c r="K4381" i="1"/>
  <c r="J4381" i="1"/>
  <c r="K4380" i="1"/>
  <c r="J4380" i="1"/>
  <c r="K4379" i="1"/>
  <c r="J4379" i="1"/>
  <c r="K4378" i="1"/>
  <c r="J4378" i="1"/>
  <c r="K4377" i="1"/>
  <c r="J4377" i="1"/>
  <c r="K4376" i="1"/>
  <c r="J4376" i="1"/>
  <c r="K4375" i="1"/>
  <c r="J4375" i="1"/>
  <c r="K4374" i="1"/>
  <c r="J4374" i="1"/>
  <c r="K4373" i="1"/>
  <c r="J4373" i="1"/>
  <c r="K4372" i="1"/>
  <c r="J4372" i="1"/>
  <c r="K4371" i="1"/>
  <c r="J4371" i="1"/>
  <c r="K4370" i="1"/>
  <c r="J4370" i="1"/>
  <c r="K4369" i="1"/>
  <c r="J4369" i="1"/>
  <c r="K4368" i="1"/>
  <c r="J4368" i="1"/>
  <c r="K4367" i="1"/>
  <c r="J4367" i="1"/>
  <c r="K4366" i="1"/>
  <c r="J4366" i="1"/>
  <c r="K4365" i="1"/>
  <c r="J4365" i="1"/>
  <c r="K4364" i="1"/>
  <c r="J4364" i="1"/>
  <c r="K4363" i="1"/>
  <c r="J4363" i="1"/>
  <c r="K4362" i="1"/>
  <c r="J4362" i="1"/>
  <c r="K4361" i="1"/>
  <c r="J4361" i="1"/>
  <c r="K4360" i="1"/>
  <c r="J4360" i="1"/>
  <c r="K4359" i="1"/>
  <c r="J4359" i="1"/>
  <c r="K4358" i="1"/>
  <c r="J4358" i="1"/>
  <c r="K4357" i="1"/>
  <c r="J4357" i="1"/>
  <c r="K4356" i="1"/>
  <c r="J4356" i="1"/>
  <c r="K4355" i="1"/>
  <c r="J4355" i="1"/>
  <c r="K4354" i="1"/>
  <c r="J4354" i="1"/>
  <c r="K4353" i="1"/>
  <c r="J4353" i="1"/>
  <c r="K4352" i="1"/>
  <c r="J4352" i="1"/>
  <c r="K4351" i="1"/>
  <c r="J4351" i="1"/>
  <c r="K4350" i="1"/>
  <c r="J4350" i="1"/>
  <c r="K4349" i="1"/>
  <c r="J4349" i="1"/>
  <c r="K4348" i="1"/>
  <c r="J4348" i="1"/>
  <c r="K4347" i="1"/>
  <c r="J4347" i="1"/>
  <c r="K4346" i="1"/>
  <c r="J4346" i="1"/>
  <c r="K4345" i="1"/>
  <c r="J4345" i="1"/>
  <c r="K4344" i="1"/>
  <c r="J4344" i="1"/>
  <c r="K4343" i="1"/>
  <c r="J4343" i="1"/>
  <c r="K4342" i="1"/>
  <c r="J4342" i="1"/>
  <c r="K4341" i="1"/>
  <c r="J4341" i="1"/>
  <c r="K4340" i="1"/>
  <c r="J4340" i="1"/>
  <c r="K4339" i="1"/>
  <c r="J4339" i="1"/>
  <c r="K4338" i="1"/>
  <c r="J4338" i="1"/>
  <c r="K4337" i="1"/>
  <c r="J4337" i="1"/>
  <c r="K4336" i="1"/>
  <c r="J4336" i="1"/>
  <c r="K4335" i="1"/>
  <c r="J4335" i="1"/>
  <c r="K4334" i="1"/>
  <c r="J4334" i="1"/>
  <c r="K4333" i="1"/>
  <c r="J4333" i="1"/>
  <c r="K4332" i="1"/>
  <c r="J4332" i="1"/>
  <c r="K4331" i="1"/>
  <c r="J4331" i="1"/>
  <c r="K4330" i="1"/>
  <c r="J4330" i="1"/>
  <c r="K4329" i="1"/>
  <c r="J4329" i="1"/>
  <c r="K4328" i="1"/>
  <c r="J4328" i="1"/>
  <c r="K4327" i="1"/>
  <c r="J4327" i="1"/>
  <c r="K4326" i="1"/>
  <c r="J4326" i="1"/>
  <c r="K4325" i="1"/>
  <c r="J4325" i="1"/>
  <c r="K4324" i="1"/>
  <c r="J4324" i="1"/>
  <c r="K4323" i="1"/>
  <c r="J4323" i="1"/>
  <c r="K4322" i="1"/>
  <c r="J4322" i="1"/>
  <c r="K4321" i="1"/>
  <c r="J4321" i="1"/>
  <c r="K4320" i="1"/>
  <c r="J4320" i="1"/>
  <c r="K4319" i="1"/>
  <c r="J4319" i="1"/>
  <c r="K4318" i="1"/>
  <c r="J4318" i="1"/>
  <c r="K4317" i="1"/>
  <c r="J4317" i="1"/>
  <c r="K4316" i="1"/>
  <c r="J4316" i="1"/>
  <c r="K4315" i="1"/>
  <c r="J4315" i="1"/>
  <c r="K4314" i="1"/>
  <c r="J4314" i="1"/>
  <c r="K4313" i="1"/>
  <c r="J4313" i="1"/>
  <c r="K4312" i="1"/>
  <c r="J4312" i="1"/>
  <c r="K4311" i="1"/>
  <c r="J4311" i="1"/>
  <c r="K4310" i="1"/>
  <c r="J4310" i="1"/>
  <c r="K4309" i="1"/>
  <c r="J4309" i="1"/>
  <c r="K4308" i="1"/>
  <c r="J4308" i="1"/>
  <c r="K4307" i="1"/>
  <c r="J4307" i="1"/>
  <c r="K4306" i="1"/>
  <c r="J4306" i="1"/>
  <c r="K4305" i="1"/>
  <c r="J4305" i="1"/>
  <c r="K4304" i="1"/>
  <c r="J4304" i="1"/>
  <c r="K4303" i="1"/>
  <c r="J4303" i="1"/>
  <c r="K4302" i="1"/>
  <c r="J4302" i="1"/>
  <c r="K4301" i="1"/>
  <c r="J4301" i="1"/>
  <c r="K4300" i="1"/>
  <c r="J4300" i="1"/>
  <c r="K4299" i="1"/>
  <c r="J4299" i="1"/>
  <c r="K4298" i="1"/>
  <c r="J4298" i="1"/>
  <c r="K4297" i="1"/>
  <c r="J4297" i="1"/>
  <c r="K4296" i="1"/>
  <c r="J4296" i="1"/>
  <c r="K4295" i="1"/>
  <c r="J4295" i="1"/>
  <c r="K4294" i="1"/>
  <c r="J4294" i="1"/>
  <c r="K4293" i="1"/>
  <c r="J4293" i="1"/>
  <c r="K4292" i="1"/>
  <c r="J4292" i="1"/>
  <c r="K4291" i="1"/>
  <c r="J4291" i="1"/>
  <c r="K4290" i="1"/>
  <c r="J4290" i="1"/>
  <c r="K4289" i="1"/>
  <c r="J4289" i="1"/>
  <c r="K4288" i="1"/>
  <c r="J4288" i="1"/>
  <c r="K4287" i="1"/>
  <c r="J4287" i="1"/>
  <c r="K4286" i="1"/>
  <c r="J4286" i="1"/>
  <c r="K4285" i="1"/>
  <c r="J4285" i="1"/>
  <c r="K4284" i="1"/>
  <c r="J4284" i="1"/>
  <c r="K4283" i="1"/>
  <c r="J4283" i="1"/>
  <c r="K4282" i="1"/>
  <c r="J4282" i="1"/>
  <c r="K4281" i="1"/>
  <c r="J4281" i="1"/>
  <c r="K4280" i="1"/>
  <c r="J4280" i="1"/>
  <c r="K4279" i="1"/>
  <c r="J4279" i="1"/>
  <c r="K4278" i="1"/>
  <c r="J4278" i="1"/>
  <c r="K4277" i="1"/>
  <c r="J4277" i="1"/>
  <c r="K4276" i="1"/>
  <c r="J4276" i="1"/>
  <c r="K4275" i="1"/>
  <c r="J4275" i="1"/>
  <c r="K4274" i="1"/>
  <c r="J4274" i="1"/>
  <c r="K4273" i="1"/>
  <c r="J4273" i="1"/>
  <c r="K4272" i="1"/>
  <c r="J4272" i="1"/>
  <c r="K4271" i="1"/>
  <c r="J4271" i="1"/>
  <c r="K4270" i="1"/>
  <c r="J4270" i="1"/>
  <c r="K4269" i="1"/>
  <c r="J4269" i="1"/>
  <c r="K4268" i="1"/>
  <c r="J4268" i="1"/>
  <c r="K4267" i="1"/>
  <c r="J4267" i="1"/>
  <c r="K4266" i="1"/>
  <c r="J4266" i="1"/>
  <c r="K4265" i="1"/>
  <c r="J4265" i="1"/>
  <c r="K4264" i="1"/>
  <c r="J4264" i="1"/>
  <c r="K4263" i="1"/>
  <c r="J4263" i="1"/>
  <c r="K4262" i="1"/>
  <c r="J4262" i="1"/>
  <c r="K4261" i="1"/>
  <c r="J4261" i="1"/>
  <c r="K4260" i="1"/>
  <c r="J4260" i="1"/>
  <c r="K4259" i="1"/>
  <c r="J4259" i="1"/>
  <c r="K4258" i="1"/>
  <c r="J4258" i="1"/>
  <c r="K4257" i="1"/>
  <c r="J4257" i="1"/>
  <c r="K4256" i="1"/>
  <c r="J4256" i="1"/>
  <c r="K4255" i="1"/>
  <c r="J4255" i="1"/>
  <c r="K4254" i="1"/>
  <c r="J4254" i="1"/>
  <c r="K4253" i="1"/>
  <c r="J4253" i="1"/>
  <c r="K4252" i="1"/>
  <c r="J4252" i="1"/>
  <c r="K4251" i="1"/>
  <c r="J4251" i="1"/>
  <c r="K4250" i="1"/>
  <c r="J4250" i="1"/>
  <c r="K4249" i="1"/>
  <c r="J4249" i="1"/>
  <c r="K4248" i="1"/>
  <c r="J4248" i="1"/>
  <c r="K4247" i="1"/>
  <c r="J4247" i="1"/>
  <c r="K4246" i="1"/>
  <c r="J4246" i="1"/>
  <c r="K4245" i="1"/>
  <c r="J4245" i="1"/>
  <c r="K4244" i="1"/>
  <c r="J4244" i="1"/>
  <c r="K4243" i="1"/>
  <c r="J4243" i="1"/>
  <c r="K4242" i="1"/>
  <c r="J4242" i="1"/>
  <c r="K4241" i="1"/>
  <c r="J4241" i="1"/>
  <c r="K4240" i="1"/>
  <c r="J4240" i="1"/>
  <c r="K4239" i="1"/>
  <c r="J4239" i="1"/>
  <c r="K4238" i="1"/>
  <c r="J4238" i="1"/>
  <c r="K4237" i="1"/>
  <c r="J4237" i="1"/>
  <c r="K4236" i="1"/>
  <c r="J4236" i="1"/>
  <c r="K4235" i="1"/>
  <c r="J4235" i="1"/>
  <c r="K4234" i="1"/>
  <c r="J4234" i="1"/>
  <c r="K4233" i="1"/>
  <c r="J4233" i="1"/>
  <c r="K4232" i="1"/>
  <c r="J4232" i="1"/>
  <c r="K4231" i="1"/>
  <c r="J4231" i="1"/>
  <c r="K4230" i="1"/>
  <c r="J4230" i="1"/>
  <c r="K4229" i="1"/>
  <c r="J4229" i="1"/>
  <c r="K4228" i="1"/>
  <c r="J4228" i="1"/>
  <c r="K4227" i="1"/>
  <c r="J4227" i="1"/>
  <c r="K4226" i="1"/>
  <c r="J4226" i="1"/>
  <c r="K4225" i="1"/>
  <c r="J4225" i="1"/>
  <c r="K4224" i="1"/>
  <c r="J4224" i="1"/>
  <c r="K4223" i="1"/>
  <c r="J4223" i="1"/>
  <c r="K4222" i="1"/>
  <c r="J4222" i="1"/>
  <c r="K4221" i="1"/>
  <c r="J4221" i="1"/>
  <c r="K4220" i="1"/>
  <c r="J4220" i="1"/>
  <c r="K4219" i="1"/>
  <c r="J4219" i="1"/>
  <c r="K4218" i="1"/>
  <c r="J4218" i="1"/>
  <c r="K4217" i="1"/>
  <c r="J4217" i="1"/>
  <c r="K4216" i="1"/>
  <c r="J4216" i="1"/>
  <c r="K4215" i="1"/>
  <c r="J4215" i="1"/>
  <c r="K4214" i="1"/>
  <c r="J4214" i="1"/>
  <c r="K4213" i="1"/>
  <c r="J4213" i="1"/>
  <c r="K4212" i="1"/>
  <c r="J4212" i="1"/>
  <c r="K4211" i="1"/>
  <c r="J4211" i="1"/>
  <c r="K4210" i="1"/>
  <c r="J4210" i="1"/>
  <c r="K4209" i="1"/>
  <c r="J4209" i="1"/>
  <c r="K4208" i="1"/>
  <c r="J4208" i="1"/>
  <c r="K4207" i="1"/>
  <c r="J4207" i="1"/>
  <c r="K4206" i="1"/>
  <c r="J4206" i="1"/>
  <c r="K4205" i="1"/>
  <c r="J4205" i="1"/>
  <c r="K4204" i="1"/>
  <c r="J4204" i="1"/>
  <c r="K4203" i="1"/>
  <c r="J4203" i="1"/>
  <c r="K4202" i="1"/>
  <c r="J4202" i="1"/>
  <c r="K4201" i="1"/>
  <c r="J4201" i="1"/>
  <c r="K4200" i="1"/>
  <c r="J4200" i="1"/>
  <c r="K4199" i="1"/>
  <c r="J4199" i="1"/>
  <c r="K4198" i="1"/>
  <c r="J4198" i="1"/>
  <c r="K4197" i="1"/>
  <c r="J4197" i="1"/>
  <c r="K4196" i="1"/>
  <c r="J4196" i="1"/>
  <c r="K4195" i="1"/>
  <c r="J4195" i="1"/>
  <c r="K4194" i="1"/>
  <c r="J4194" i="1"/>
  <c r="K4193" i="1"/>
  <c r="J4193" i="1"/>
  <c r="K4192" i="1"/>
  <c r="J4192" i="1"/>
  <c r="K4191" i="1"/>
  <c r="J4191" i="1"/>
  <c r="K4190" i="1"/>
  <c r="J4190" i="1"/>
  <c r="K4189" i="1"/>
  <c r="J4189" i="1"/>
  <c r="K4188" i="1"/>
  <c r="J4188" i="1"/>
  <c r="K4187" i="1"/>
  <c r="J4187" i="1"/>
  <c r="K4186" i="1"/>
  <c r="J4186" i="1"/>
  <c r="K4185" i="1"/>
  <c r="J4185" i="1"/>
  <c r="K4184" i="1"/>
  <c r="J4184" i="1"/>
  <c r="K4183" i="1"/>
  <c r="J4183" i="1"/>
  <c r="K4182" i="1"/>
  <c r="J4182" i="1"/>
  <c r="K4181" i="1"/>
  <c r="J4181" i="1"/>
  <c r="K4180" i="1"/>
  <c r="J4180" i="1"/>
  <c r="K4179" i="1"/>
  <c r="J4179" i="1"/>
  <c r="K4178" i="1"/>
  <c r="J4178" i="1"/>
  <c r="K4177" i="1"/>
  <c r="J4177" i="1"/>
  <c r="K4176" i="1"/>
  <c r="J4176" i="1"/>
  <c r="K4175" i="1"/>
  <c r="J4175" i="1"/>
  <c r="K4174" i="1"/>
  <c r="J4174" i="1"/>
  <c r="K4173" i="1"/>
  <c r="J4173" i="1"/>
  <c r="K4172" i="1"/>
  <c r="J4172" i="1"/>
  <c r="K4171" i="1"/>
  <c r="J4171" i="1"/>
  <c r="K4170" i="1"/>
  <c r="J4170" i="1"/>
  <c r="K4169" i="1"/>
  <c r="J4169" i="1"/>
  <c r="K4168" i="1"/>
  <c r="J4168" i="1"/>
  <c r="K4167" i="1"/>
  <c r="J4167" i="1"/>
  <c r="K4166" i="1"/>
  <c r="J4166" i="1"/>
  <c r="K4165" i="1"/>
  <c r="J4165" i="1"/>
  <c r="K4164" i="1"/>
  <c r="J4164" i="1"/>
  <c r="K4163" i="1"/>
  <c r="J4163" i="1"/>
  <c r="K4162" i="1"/>
  <c r="J4162" i="1"/>
  <c r="K4161" i="1"/>
  <c r="J4161" i="1"/>
  <c r="K4160" i="1"/>
  <c r="J4160" i="1"/>
  <c r="K4159" i="1"/>
  <c r="J4159" i="1"/>
  <c r="K4158" i="1"/>
  <c r="J4158" i="1"/>
  <c r="K4157" i="1"/>
  <c r="J4157" i="1"/>
  <c r="K4156" i="1"/>
  <c r="J4156" i="1"/>
  <c r="K4155" i="1"/>
  <c r="J4155" i="1"/>
  <c r="K4154" i="1"/>
  <c r="J4154" i="1"/>
  <c r="K4153" i="1"/>
  <c r="J4153" i="1"/>
  <c r="K4152" i="1"/>
  <c r="J4152" i="1"/>
  <c r="K4151" i="1"/>
  <c r="J4151" i="1"/>
  <c r="K4150" i="1"/>
  <c r="J4150" i="1"/>
  <c r="K4149" i="1"/>
  <c r="J4149" i="1"/>
  <c r="K4148" i="1"/>
  <c r="J4148" i="1"/>
  <c r="K4147" i="1"/>
  <c r="J4147" i="1"/>
  <c r="K4146" i="1"/>
  <c r="J4146" i="1"/>
  <c r="K4145" i="1"/>
  <c r="J4145" i="1"/>
  <c r="K4144" i="1"/>
  <c r="J4144" i="1"/>
  <c r="K4143" i="1"/>
  <c r="J4143" i="1"/>
  <c r="K4142" i="1"/>
  <c r="J4142" i="1"/>
  <c r="K4141" i="1"/>
  <c r="J4141" i="1"/>
  <c r="K4140" i="1"/>
  <c r="J4140" i="1"/>
  <c r="K4139" i="1"/>
  <c r="J4139" i="1"/>
  <c r="K4138" i="1"/>
  <c r="J4138" i="1"/>
  <c r="K4137" i="1"/>
  <c r="J4137" i="1"/>
  <c r="K4136" i="1"/>
  <c r="J4136" i="1"/>
  <c r="K4135" i="1"/>
  <c r="J4135" i="1"/>
  <c r="K4134" i="1"/>
  <c r="J4134" i="1"/>
  <c r="K4133" i="1"/>
  <c r="J4133" i="1"/>
  <c r="K4132" i="1"/>
  <c r="J4132" i="1"/>
  <c r="K4131" i="1"/>
  <c r="J4131" i="1"/>
  <c r="K4130" i="1"/>
  <c r="J4130" i="1"/>
  <c r="K4129" i="1"/>
  <c r="J4129" i="1"/>
  <c r="K4128" i="1"/>
  <c r="J4128" i="1"/>
  <c r="K4127" i="1"/>
  <c r="J4127" i="1"/>
  <c r="K4126" i="1"/>
  <c r="J4126" i="1"/>
  <c r="K4125" i="1"/>
  <c r="J4125" i="1"/>
  <c r="K4124" i="1"/>
  <c r="J4124" i="1"/>
  <c r="K4123" i="1"/>
  <c r="J4123" i="1"/>
  <c r="K4122" i="1"/>
  <c r="J4122" i="1"/>
  <c r="K4121" i="1"/>
  <c r="J4121" i="1"/>
  <c r="K4120" i="1"/>
  <c r="J4120" i="1"/>
  <c r="K4119" i="1"/>
  <c r="J4119" i="1"/>
  <c r="K4118" i="1"/>
  <c r="J4118" i="1"/>
  <c r="K4117" i="1"/>
  <c r="J4117" i="1"/>
  <c r="K4116" i="1"/>
  <c r="J4116" i="1"/>
  <c r="K4115" i="1"/>
  <c r="J4115" i="1"/>
  <c r="K4114" i="1"/>
  <c r="J4114" i="1"/>
  <c r="K4113" i="1"/>
  <c r="J4113" i="1"/>
  <c r="K4112" i="1"/>
  <c r="J4112" i="1"/>
  <c r="K4111" i="1"/>
  <c r="J4111" i="1"/>
  <c r="K4110" i="1"/>
  <c r="J4110" i="1"/>
  <c r="K4109" i="1"/>
  <c r="J4109" i="1"/>
  <c r="K4108" i="1"/>
  <c r="J4108" i="1"/>
  <c r="K4107" i="1"/>
  <c r="J4107" i="1"/>
  <c r="K4106" i="1"/>
  <c r="J4106" i="1"/>
  <c r="K4105" i="1"/>
  <c r="J4105" i="1"/>
  <c r="K4104" i="1"/>
  <c r="J4104" i="1"/>
  <c r="K4103" i="1"/>
  <c r="J4103" i="1"/>
  <c r="K4102" i="1"/>
  <c r="J4102" i="1"/>
  <c r="K4101" i="1"/>
  <c r="J4101" i="1"/>
  <c r="K4100" i="1"/>
  <c r="J4100" i="1"/>
  <c r="K4099" i="1"/>
  <c r="J4099" i="1"/>
  <c r="K4098" i="1"/>
  <c r="J4098" i="1"/>
  <c r="K4097" i="1"/>
  <c r="J4097" i="1"/>
  <c r="K4096" i="1"/>
  <c r="J4096" i="1"/>
  <c r="K4095" i="1"/>
  <c r="J4095" i="1"/>
  <c r="K4094" i="1"/>
  <c r="J4094" i="1"/>
  <c r="K4093" i="1"/>
  <c r="J4093" i="1"/>
  <c r="K4092" i="1"/>
  <c r="J4092" i="1"/>
  <c r="K4091" i="1"/>
  <c r="J4091" i="1"/>
  <c r="K4090" i="1"/>
  <c r="J4090" i="1"/>
  <c r="K4089" i="1"/>
  <c r="J4089" i="1"/>
  <c r="K4088" i="1"/>
  <c r="J4088" i="1"/>
  <c r="K4087" i="1"/>
  <c r="J4087" i="1"/>
  <c r="K4086" i="1"/>
  <c r="J4086" i="1"/>
  <c r="K4085" i="1"/>
  <c r="J4085" i="1"/>
  <c r="K4084" i="1"/>
  <c r="J4084" i="1"/>
  <c r="K4083" i="1"/>
  <c r="J4083" i="1"/>
  <c r="K4082" i="1"/>
  <c r="J4082" i="1"/>
  <c r="K4081" i="1"/>
  <c r="J4081" i="1"/>
  <c r="K4080" i="1"/>
  <c r="J4080" i="1"/>
  <c r="K4079" i="1"/>
  <c r="J4079" i="1"/>
  <c r="K4078" i="1"/>
  <c r="J4078" i="1"/>
  <c r="K4077" i="1"/>
  <c r="J4077" i="1"/>
  <c r="K4076" i="1"/>
  <c r="J4076" i="1"/>
  <c r="K4075" i="1"/>
  <c r="J4075" i="1"/>
  <c r="K4074" i="1"/>
  <c r="J4074" i="1"/>
  <c r="K4073" i="1"/>
  <c r="J4073" i="1"/>
  <c r="K4072" i="1"/>
  <c r="J4072" i="1"/>
  <c r="K4071" i="1"/>
  <c r="J4071" i="1"/>
  <c r="K4070" i="1"/>
  <c r="J4070" i="1"/>
  <c r="K4069" i="1"/>
  <c r="J4069" i="1"/>
  <c r="K4068" i="1"/>
  <c r="J4068" i="1"/>
  <c r="K4067" i="1"/>
  <c r="J4067" i="1"/>
  <c r="K4066" i="1"/>
  <c r="J4066" i="1"/>
  <c r="K4065" i="1"/>
  <c r="J4065" i="1"/>
  <c r="K4064" i="1"/>
  <c r="J4064" i="1"/>
  <c r="K4063" i="1"/>
  <c r="J4063" i="1"/>
  <c r="K4062" i="1"/>
  <c r="J4062" i="1"/>
  <c r="K4061" i="1"/>
  <c r="J4061" i="1"/>
  <c r="K4060" i="1"/>
  <c r="J4060" i="1"/>
  <c r="K4059" i="1"/>
  <c r="J4059" i="1"/>
  <c r="K4058" i="1"/>
  <c r="J4058" i="1"/>
  <c r="K4057" i="1"/>
  <c r="J4057" i="1"/>
  <c r="K4056" i="1"/>
  <c r="J4056" i="1"/>
  <c r="K4055" i="1"/>
  <c r="J4055" i="1"/>
  <c r="K4054" i="1"/>
  <c r="J4054" i="1"/>
  <c r="K4053" i="1"/>
  <c r="J4053" i="1"/>
  <c r="K4052" i="1"/>
  <c r="J4052" i="1"/>
  <c r="K4051" i="1"/>
  <c r="J4051" i="1"/>
  <c r="K4050" i="1"/>
  <c r="J4050" i="1"/>
  <c r="K4049" i="1"/>
  <c r="J4049" i="1"/>
  <c r="K4048" i="1"/>
  <c r="J4048" i="1"/>
  <c r="K4047" i="1"/>
  <c r="J4047" i="1"/>
  <c r="K4046" i="1"/>
  <c r="J4046" i="1"/>
  <c r="K4045" i="1"/>
  <c r="J4045" i="1"/>
  <c r="K4044" i="1"/>
  <c r="J4044" i="1"/>
  <c r="K4043" i="1"/>
  <c r="J4043" i="1"/>
  <c r="K4042" i="1"/>
  <c r="J4042" i="1"/>
  <c r="K4041" i="1"/>
  <c r="J4041" i="1"/>
  <c r="K4040" i="1"/>
  <c r="J4040" i="1"/>
  <c r="K4039" i="1"/>
  <c r="J4039" i="1"/>
  <c r="K4038" i="1"/>
  <c r="J4038" i="1"/>
  <c r="K4037" i="1"/>
  <c r="J4037" i="1"/>
  <c r="K4036" i="1"/>
  <c r="J4036" i="1"/>
  <c r="K4035" i="1"/>
  <c r="J4035" i="1"/>
  <c r="K4034" i="1"/>
  <c r="J4034" i="1"/>
  <c r="K4033" i="1"/>
  <c r="J4033" i="1"/>
  <c r="K4032" i="1"/>
  <c r="J4032" i="1"/>
  <c r="K4031" i="1"/>
  <c r="J4031" i="1"/>
  <c r="K4030" i="1"/>
  <c r="J4030" i="1"/>
  <c r="K4029" i="1"/>
  <c r="J4029" i="1"/>
  <c r="K4028" i="1"/>
  <c r="J4028" i="1"/>
  <c r="K4027" i="1"/>
  <c r="J4027" i="1"/>
  <c r="K4026" i="1"/>
  <c r="J4026" i="1"/>
  <c r="K4025" i="1"/>
  <c r="J4025" i="1"/>
  <c r="K4024" i="1"/>
  <c r="J4024" i="1"/>
  <c r="K4023" i="1"/>
  <c r="J4023" i="1"/>
  <c r="K4022" i="1"/>
  <c r="J4022" i="1"/>
  <c r="K4021" i="1"/>
  <c r="J4021" i="1"/>
  <c r="K4020" i="1"/>
  <c r="J4020" i="1"/>
  <c r="K4019" i="1"/>
  <c r="J4019" i="1"/>
  <c r="K4018" i="1"/>
  <c r="J4018" i="1"/>
  <c r="K4017" i="1"/>
  <c r="J4017" i="1"/>
  <c r="K4016" i="1"/>
  <c r="J4016" i="1"/>
  <c r="K4015" i="1"/>
  <c r="J4015" i="1"/>
  <c r="K4014" i="1"/>
  <c r="J4014" i="1"/>
  <c r="K4013" i="1"/>
  <c r="J4013" i="1"/>
  <c r="K4012" i="1"/>
  <c r="J4012" i="1"/>
  <c r="K4011" i="1"/>
  <c r="J4011" i="1"/>
  <c r="K4010" i="1"/>
  <c r="J4010" i="1"/>
  <c r="K4009" i="1"/>
  <c r="J4009" i="1"/>
  <c r="K4008" i="1"/>
  <c r="J4008" i="1"/>
  <c r="K4007" i="1"/>
  <c r="J4007" i="1"/>
  <c r="K4006" i="1"/>
  <c r="J4006" i="1"/>
  <c r="K4005" i="1"/>
  <c r="J4005" i="1"/>
  <c r="K4004" i="1"/>
  <c r="J4004" i="1"/>
  <c r="K4003" i="1"/>
  <c r="J4003" i="1"/>
  <c r="K4002" i="1"/>
  <c r="J4002" i="1"/>
  <c r="K4001" i="1"/>
  <c r="J4001" i="1"/>
  <c r="K4000" i="1"/>
  <c r="J4000" i="1"/>
  <c r="K3999" i="1"/>
  <c r="J3999" i="1"/>
  <c r="K3998" i="1"/>
  <c r="J3998" i="1"/>
  <c r="K3997" i="1"/>
  <c r="J3997" i="1"/>
  <c r="K3996" i="1"/>
  <c r="J3996" i="1"/>
  <c r="K3995" i="1"/>
  <c r="J3995" i="1"/>
  <c r="K3994" i="1"/>
  <c r="J3994" i="1"/>
  <c r="K3993" i="1"/>
  <c r="J3993" i="1"/>
  <c r="K3992" i="1"/>
  <c r="J3992" i="1"/>
  <c r="K3991" i="1"/>
  <c r="J3991" i="1"/>
  <c r="K3990" i="1"/>
  <c r="J3990" i="1"/>
  <c r="K3989" i="1"/>
  <c r="J3989" i="1"/>
  <c r="K3988" i="1"/>
  <c r="J3988" i="1"/>
  <c r="K3987" i="1"/>
  <c r="J3987" i="1"/>
  <c r="K3986" i="1"/>
  <c r="J3986" i="1"/>
  <c r="K3985" i="1"/>
  <c r="J3985" i="1"/>
  <c r="K3984" i="1"/>
  <c r="J3984" i="1"/>
  <c r="K3983" i="1"/>
  <c r="J3983" i="1"/>
  <c r="K3982" i="1"/>
  <c r="J3982" i="1"/>
  <c r="K3981" i="1"/>
  <c r="J3981" i="1"/>
  <c r="K3980" i="1"/>
  <c r="J3980" i="1"/>
  <c r="K3979" i="1"/>
  <c r="J3979" i="1"/>
  <c r="K3978" i="1"/>
  <c r="J3978" i="1"/>
  <c r="K3977" i="1"/>
  <c r="J3977" i="1"/>
  <c r="K3976" i="1"/>
  <c r="J3976" i="1"/>
  <c r="K3975" i="1"/>
  <c r="J3975" i="1"/>
  <c r="K3974" i="1"/>
  <c r="J3974" i="1"/>
  <c r="K3973" i="1"/>
  <c r="J3973" i="1"/>
  <c r="K3972" i="1"/>
  <c r="J3972" i="1"/>
  <c r="K3971" i="1"/>
  <c r="J3971" i="1"/>
  <c r="K3970" i="1"/>
  <c r="J3970" i="1"/>
  <c r="K3969" i="1"/>
  <c r="J3969" i="1"/>
  <c r="K3968" i="1"/>
  <c r="J3968" i="1"/>
  <c r="K3967" i="1"/>
  <c r="J3967" i="1"/>
  <c r="K3966" i="1"/>
  <c r="J3966" i="1"/>
  <c r="K3965" i="1"/>
  <c r="J3965" i="1"/>
  <c r="K3964" i="1"/>
  <c r="J3964" i="1"/>
  <c r="K3963" i="1"/>
  <c r="J3963" i="1"/>
  <c r="K3962" i="1"/>
  <c r="J3962" i="1"/>
  <c r="K3961" i="1"/>
  <c r="J3961" i="1"/>
  <c r="K3960" i="1"/>
  <c r="J3960" i="1"/>
  <c r="K3959" i="1"/>
  <c r="J3959" i="1"/>
  <c r="K3958" i="1"/>
  <c r="J3958" i="1"/>
  <c r="K3957" i="1"/>
  <c r="J3957" i="1"/>
  <c r="K3956" i="1"/>
  <c r="J3956" i="1"/>
  <c r="K3955" i="1"/>
  <c r="J3955" i="1"/>
  <c r="K3954" i="1"/>
  <c r="J3954" i="1"/>
  <c r="K3953" i="1"/>
  <c r="J3953" i="1"/>
  <c r="K3952" i="1"/>
  <c r="J3952" i="1"/>
  <c r="K3951" i="1"/>
  <c r="J3951" i="1"/>
  <c r="K3950" i="1"/>
  <c r="J3950" i="1"/>
  <c r="K3949" i="1"/>
  <c r="J3949" i="1"/>
  <c r="K3948" i="1"/>
  <c r="J3948" i="1"/>
  <c r="K3947" i="1"/>
  <c r="J3947" i="1"/>
  <c r="K3946" i="1"/>
  <c r="J3946" i="1"/>
  <c r="K3945" i="1"/>
  <c r="J3945" i="1"/>
  <c r="K3944" i="1"/>
  <c r="J3944" i="1"/>
  <c r="K3943" i="1"/>
  <c r="J3943" i="1"/>
  <c r="K3942" i="1"/>
  <c r="J3942" i="1"/>
  <c r="K3941" i="1"/>
  <c r="J3941" i="1"/>
  <c r="K3940" i="1"/>
  <c r="J3940" i="1"/>
  <c r="K3939" i="1"/>
  <c r="J3939" i="1"/>
  <c r="K3938" i="1"/>
  <c r="J3938" i="1"/>
  <c r="K3937" i="1"/>
  <c r="J3937" i="1"/>
  <c r="K3936" i="1"/>
  <c r="J3936" i="1"/>
  <c r="K3935" i="1"/>
  <c r="J3935" i="1"/>
  <c r="K3934" i="1"/>
  <c r="J3934" i="1"/>
  <c r="K3933" i="1"/>
  <c r="J3933" i="1"/>
  <c r="K3932" i="1"/>
  <c r="J3932" i="1"/>
  <c r="K3931" i="1"/>
  <c r="J3931" i="1"/>
  <c r="K3930" i="1"/>
  <c r="J3930" i="1"/>
  <c r="K3929" i="1"/>
  <c r="J3929" i="1"/>
  <c r="K3928" i="1"/>
  <c r="J3928" i="1"/>
  <c r="K3927" i="1"/>
  <c r="J3927" i="1"/>
  <c r="K3926" i="1"/>
  <c r="J3926" i="1"/>
  <c r="K3925" i="1"/>
  <c r="J3925" i="1"/>
  <c r="K3924" i="1"/>
  <c r="J3924" i="1"/>
  <c r="K3923" i="1"/>
  <c r="J3923" i="1"/>
  <c r="K3922" i="1"/>
  <c r="J3922" i="1"/>
  <c r="K3921" i="1"/>
  <c r="J3921" i="1"/>
  <c r="K3920" i="1"/>
  <c r="J3920" i="1"/>
  <c r="K3919" i="1"/>
  <c r="J3919" i="1"/>
  <c r="K3918" i="1"/>
  <c r="J3918" i="1"/>
  <c r="K3917" i="1"/>
  <c r="J3917" i="1"/>
  <c r="K3916" i="1"/>
  <c r="J3916" i="1"/>
  <c r="K3915" i="1"/>
  <c r="J3915" i="1"/>
  <c r="K3914" i="1"/>
  <c r="J3914" i="1"/>
  <c r="K3913" i="1"/>
  <c r="J3913" i="1"/>
  <c r="K3912" i="1"/>
  <c r="J3912" i="1"/>
  <c r="K3911" i="1"/>
  <c r="J3911" i="1"/>
  <c r="K3910" i="1"/>
  <c r="J3910" i="1"/>
  <c r="K3909" i="1"/>
  <c r="J3909" i="1"/>
  <c r="K3908" i="1"/>
  <c r="J3908" i="1"/>
  <c r="K3907" i="1"/>
  <c r="J3907" i="1"/>
  <c r="K3906" i="1"/>
  <c r="J3906" i="1"/>
  <c r="K3905" i="1"/>
  <c r="J3905" i="1"/>
  <c r="K3904" i="1"/>
  <c r="J3904" i="1"/>
  <c r="K3903" i="1"/>
  <c r="J3903" i="1"/>
  <c r="K3902" i="1"/>
  <c r="J3902" i="1"/>
  <c r="K3901" i="1"/>
  <c r="J3901" i="1"/>
  <c r="K3900" i="1"/>
  <c r="J3900" i="1"/>
  <c r="K3899" i="1"/>
  <c r="J3899" i="1"/>
  <c r="K3898" i="1"/>
  <c r="J3898" i="1"/>
  <c r="K3897" i="1"/>
  <c r="J3897" i="1"/>
  <c r="K3896" i="1"/>
  <c r="J3896" i="1"/>
  <c r="K3895" i="1"/>
  <c r="J3895" i="1"/>
  <c r="K3894" i="1"/>
  <c r="J3894" i="1"/>
  <c r="K3893" i="1"/>
  <c r="J3893" i="1"/>
  <c r="K3892" i="1"/>
  <c r="J3892" i="1"/>
  <c r="K3891" i="1"/>
  <c r="J3891" i="1"/>
  <c r="K3890" i="1"/>
  <c r="J3890" i="1"/>
  <c r="K3889" i="1"/>
  <c r="J3889" i="1"/>
  <c r="K3888" i="1"/>
  <c r="J3888" i="1"/>
  <c r="K3887" i="1"/>
  <c r="J3887" i="1"/>
  <c r="K3886" i="1"/>
  <c r="J3886" i="1"/>
  <c r="K3885" i="1"/>
  <c r="J3885" i="1"/>
  <c r="K3884" i="1"/>
  <c r="J3884" i="1"/>
  <c r="K3883" i="1"/>
  <c r="J3883" i="1"/>
  <c r="K3882" i="1"/>
  <c r="J3882" i="1"/>
  <c r="K3881" i="1"/>
  <c r="J3881" i="1"/>
  <c r="K3880" i="1"/>
  <c r="J3880" i="1"/>
  <c r="K3879" i="1"/>
  <c r="J3879" i="1"/>
  <c r="K3878" i="1"/>
  <c r="J3878" i="1"/>
  <c r="K3877" i="1"/>
  <c r="J3877" i="1"/>
  <c r="K3876" i="1"/>
  <c r="J3876" i="1"/>
  <c r="K3875" i="1"/>
  <c r="J3875" i="1"/>
  <c r="K3874" i="1"/>
  <c r="J3874" i="1"/>
  <c r="K3873" i="1"/>
  <c r="J3873" i="1"/>
  <c r="K3872" i="1"/>
  <c r="J3872" i="1"/>
  <c r="K3871" i="1"/>
  <c r="J3871" i="1"/>
  <c r="K3870" i="1"/>
  <c r="J3870" i="1"/>
  <c r="K3869" i="1"/>
  <c r="J3869" i="1"/>
  <c r="K3868" i="1"/>
  <c r="J3868" i="1"/>
  <c r="K3867" i="1"/>
  <c r="J3867" i="1"/>
  <c r="K3866" i="1"/>
  <c r="J3866" i="1"/>
  <c r="K3865" i="1"/>
  <c r="J3865" i="1"/>
  <c r="K3864" i="1"/>
  <c r="J3864" i="1"/>
  <c r="K3863" i="1"/>
  <c r="J3863" i="1"/>
  <c r="K3862" i="1"/>
  <c r="J3862" i="1"/>
  <c r="K3861" i="1"/>
  <c r="J3861" i="1"/>
  <c r="K3860" i="1"/>
  <c r="J3860" i="1"/>
  <c r="K3859" i="1"/>
  <c r="J3859" i="1"/>
  <c r="K3858" i="1"/>
  <c r="J3858" i="1"/>
  <c r="K3857" i="1"/>
  <c r="J3857" i="1"/>
  <c r="K3856" i="1"/>
  <c r="J3856" i="1"/>
  <c r="K3855" i="1"/>
  <c r="J3855" i="1"/>
  <c r="K3854" i="1"/>
  <c r="J3854" i="1"/>
  <c r="K3853" i="1"/>
  <c r="J3853" i="1"/>
  <c r="K3852" i="1"/>
  <c r="J3852" i="1"/>
  <c r="K3851" i="1"/>
  <c r="J3851" i="1"/>
  <c r="K3850" i="1"/>
  <c r="J3850" i="1"/>
  <c r="K3849" i="1"/>
  <c r="J3849" i="1"/>
  <c r="K3848" i="1"/>
  <c r="J3848" i="1"/>
  <c r="K3847" i="1"/>
  <c r="J3847" i="1"/>
  <c r="K3846" i="1"/>
  <c r="J3846" i="1"/>
  <c r="K3845" i="1"/>
  <c r="J3845" i="1"/>
  <c r="K3844" i="1"/>
  <c r="J3844" i="1"/>
  <c r="K3843" i="1"/>
  <c r="J3843" i="1"/>
  <c r="K3842" i="1"/>
  <c r="J3842" i="1"/>
  <c r="K3841" i="1"/>
  <c r="J3841" i="1"/>
  <c r="K3840" i="1"/>
  <c r="J3840" i="1"/>
  <c r="K3839" i="1"/>
  <c r="J3839" i="1"/>
  <c r="K3838" i="1"/>
  <c r="J3838" i="1"/>
  <c r="K3837" i="1"/>
  <c r="J3837" i="1"/>
  <c r="K3836" i="1"/>
  <c r="J3836" i="1"/>
  <c r="K3835" i="1"/>
  <c r="J3835" i="1"/>
  <c r="K3834" i="1"/>
  <c r="J3834" i="1"/>
  <c r="K3833" i="1"/>
  <c r="J3833" i="1"/>
  <c r="K3832" i="1"/>
  <c r="J3832" i="1"/>
  <c r="K3831" i="1"/>
  <c r="J3831" i="1"/>
  <c r="K3830" i="1"/>
  <c r="J3830" i="1"/>
  <c r="K3829" i="1"/>
  <c r="J3829" i="1"/>
  <c r="K3828" i="1"/>
  <c r="J3828" i="1"/>
  <c r="K3827" i="1"/>
  <c r="J3827" i="1"/>
  <c r="K3826" i="1"/>
  <c r="J3826" i="1"/>
  <c r="K3825" i="1"/>
  <c r="J3825" i="1"/>
  <c r="K3824" i="1"/>
  <c r="J3824" i="1"/>
  <c r="K3823" i="1"/>
  <c r="J3823" i="1"/>
  <c r="K3822" i="1"/>
  <c r="J3822" i="1"/>
  <c r="K3821" i="1"/>
  <c r="J3821" i="1"/>
  <c r="K3820" i="1"/>
  <c r="J3820" i="1"/>
  <c r="K3819" i="1"/>
  <c r="J3819" i="1"/>
  <c r="K3818" i="1"/>
  <c r="J3818" i="1"/>
  <c r="K3817" i="1"/>
  <c r="J3817" i="1"/>
  <c r="K3816" i="1"/>
  <c r="J3816" i="1"/>
  <c r="K3815" i="1"/>
  <c r="J3815" i="1"/>
  <c r="K3814" i="1"/>
  <c r="J3814" i="1"/>
  <c r="K3813" i="1"/>
  <c r="J3813" i="1"/>
  <c r="K3812" i="1"/>
  <c r="J3812" i="1"/>
  <c r="K3811" i="1"/>
  <c r="J3811" i="1"/>
  <c r="K3810" i="1"/>
  <c r="J3810" i="1"/>
  <c r="K3809" i="1"/>
  <c r="J3809" i="1"/>
  <c r="K3808" i="1"/>
  <c r="J3808" i="1"/>
  <c r="K3807" i="1"/>
  <c r="J3807" i="1"/>
  <c r="K3806" i="1"/>
  <c r="J3806" i="1"/>
  <c r="K3805" i="1"/>
  <c r="J3805" i="1"/>
  <c r="K3804" i="1"/>
  <c r="J3804" i="1"/>
  <c r="K3803" i="1"/>
  <c r="J3803" i="1"/>
  <c r="K3802" i="1"/>
  <c r="J3802" i="1"/>
  <c r="K3801" i="1"/>
  <c r="J3801" i="1"/>
  <c r="K3800" i="1"/>
  <c r="J3800" i="1"/>
  <c r="K3799" i="1"/>
  <c r="J3799" i="1"/>
  <c r="K3798" i="1"/>
  <c r="J3798" i="1"/>
  <c r="K3797" i="1"/>
  <c r="J3797" i="1"/>
  <c r="K3796" i="1"/>
  <c r="J3796" i="1"/>
  <c r="K3795" i="1"/>
  <c r="J3795" i="1"/>
  <c r="K3794" i="1"/>
  <c r="J3794" i="1"/>
  <c r="K3793" i="1"/>
  <c r="J3793" i="1"/>
  <c r="K3792" i="1"/>
  <c r="J3792" i="1"/>
  <c r="K3791" i="1"/>
  <c r="J3791" i="1"/>
  <c r="K3790" i="1"/>
  <c r="J3790" i="1"/>
  <c r="K3789" i="1"/>
  <c r="J3789" i="1"/>
  <c r="K3788" i="1"/>
  <c r="J3788" i="1"/>
  <c r="K3787" i="1"/>
  <c r="J3787" i="1"/>
  <c r="K3786" i="1"/>
  <c r="J3786" i="1"/>
  <c r="K3785" i="1"/>
  <c r="J3785" i="1"/>
  <c r="K3784" i="1"/>
  <c r="J3784" i="1"/>
  <c r="K3783" i="1"/>
  <c r="J3783" i="1"/>
  <c r="K3782" i="1"/>
  <c r="J3782" i="1"/>
  <c r="K3781" i="1"/>
  <c r="J3781" i="1"/>
  <c r="K3780" i="1"/>
  <c r="J3780" i="1"/>
  <c r="K3779" i="1"/>
  <c r="J3779" i="1"/>
  <c r="K3778" i="1"/>
  <c r="J3778" i="1"/>
  <c r="K3777" i="1"/>
  <c r="J3777" i="1"/>
  <c r="K3776" i="1"/>
  <c r="J3776" i="1"/>
  <c r="K3775" i="1"/>
  <c r="J3775" i="1"/>
  <c r="K3774" i="1"/>
  <c r="J3774" i="1"/>
  <c r="K3773" i="1"/>
  <c r="J3773" i="1"/>
  <c r="K3772" i="1"/>
  <c r="J3772" i="1"/>
  <c r="K3771" i="1"/>
  <c r="J3771" i="1"/>
  <c r="K3770" i="1"/>
  <c r="J3770" i="1"/>
  <c r="K3769" i="1"/>
  <c r="J3769" i="1"/>
  <c r="K3768" i="1"/>
  <c r="J3768" i="1"/>
  <c r="K3767" i="1"/>
  <c r="J3767" i="1"/>
  <c r="K3766" i="1"/>
  <c r="J3766" i="1"/>
  <c r="K3765" i="1"/>
  <c r="J3765" i="1"/>
  <c r="K3764" i="1"/>
  <c r="J3764" i="1"/>
  <c r="K3763" i="1"/>
  <c r="J3763" i="1"/>
  <c r="K3762" i="1"/>
  <c r="J3762" i="1"/>
  <c r="K3761" i="1"/>
  <c r="J3761" i="1"/>
  <c r="K3760" i="1"/>
  <c r="J3760" i="1"/>
  <c r="K3759" i="1"/>
  <c r="J3759" i="1"/>
  <c r="K3758" i="1"/>
  <c r="J3758" i="1"/>
  <c r="K3757" i="1"/>
  <c r="J3757" i="1"/>
  <c r="K3756" i="1"/>
  <c r="J3756" i="1"/>
  <c r="K3755" i="1"/>
  <c r="J3755" i="1"/>
  <c r="K3754" i="1"/>
  <c r="J3754" i="1"/>
  <c r="K3753" i="1"/>
  <c r="J3753" i="1"/>
  <c r="K3752" i="1"/>
  <c r="J3752" i="1"/>
  <c r="K3751" i="1"/>
  <c r="J3751" i="1"/>
  <c r="K3750" i="1"/>
  <c r="J3750" i="1"/>
  <c r="K3749" i="1"/>
  <c r="J3749" i="1"/>
  <c r="K3748" i="1"/>
  <c r="J3748" i="1"/>
  <c r="K3747" i="1"/>
  <c r="J3747" i="1"/>
  <c r="K3746" i="1"/>
  <c r="J3746" i="1"/>
  <c r="K3745" i="1"/>
  <c r="J3745" i="1"/>
  <c r="K3744" i="1"/>
  <c r="J3744" i="1"/>
  <c r="K3743" i="1"/>
  <c r="J3743" i="1"/>
  <c r="K3742" i="1"/>
  <c r="J3742" i="1"/>
  <c r="K3741" i="1"/>
  <c r="J3741" i="1"/>
  <c r="K3740" i="1"/>
  <c r="J3740" i="1"/>
  <c r="K3739" i="1"/>
  <c r="J3739" i="1"/>
  <c r="K3738" i="1"/>
  <c r="J3738" i="1"/>
  <c r="K3737" i="1"/>
  <c r="J3737" i="1"/>
  <c r="K3736" i="1"/>
  <c r="J3736" i="1"/>
  <c r="K3735" i="1"/>
  <c r="J3735" i="1"/>
  <c r="K3734" i="1"/>
  <c r="J3734" i="1"/>
  <c r="K3733" i="1"/>
  <c r="J3733" i="1"/>
  <c r="K3732" i="1"/>
  <c r="J3732" i="1"/>
  <c r="K3731" i="1"/>
  <c r="J3731" i="1"/>
  <c r="K3730" i="1"/>
  <c r="J3730" i="1"/>
  <c r="K3729" i="1"/>
  <c r="J3729" i="1"/>
  <c r="K3728" i="1"/>
  <c r="J3728" i="1"/>
  <c r="K3727" i="1"/>
  <c r="J3727" i="1"/>
  <c r="K3726" i="1"/>
  <c r="J3726" i="1"/>
  <c r="K3725" i="1"/>
  <c r="J3725" i="1"/>
  <c r="K3724" i="1"/>
  <c r="J3724" i="1"/>
  <c r="K3723" i="1"/>
  <c r="J3723" i="1"/>
  <c r="K3722" i="1"/>
  <c r="J3722" i="1"/>
  <c r="K3721" i="1"/>
  <c r="J3721" i="1"/>
  <c r="K3720" i="1"/>
  <c r="J3720" i="1"/>
  <c r="K3719" i="1"/>
  <c r="J3719" i="1"/>
  <c r="K3718" i="1"/>
  <c r="J3718" i="1"/>
  <c r="K3717" i="1"/>
  <c r="J3717" i="1"/>
  <c r="K3716" i="1"/>
  <c r="J3716" i="1"/>
  <c r="K3715" i="1"/>
  <c r="J3715" i="1"/>
  <c r="K3714" i="1"/>
  <c r="J3714" i="1"/>
  <c r="K3713" i="1"/>
  <c r="J3713" i="1"/>
  <c r="K3712" i="1"/>
  <c r="J3712" i="1"/>
  <c r="K3711" i="1"/>
  <c r="J3711" i="1"/>
  <c r="K3710" i="1"/>
  <c r="J3710" i="1"/>
  <c r="K3709" i="1"/>
  <c r="J3709" i="1"/>
  <c r="K3708" i="1"/>
  <c r="J3708" i="1"/>
  <c r="K3707" i="1"/>
  <c r="J3707" i="1"/>
  <c r="K3706" i="1"/>
  <c r="J3706" i="1"/>
  <c r="K3705" i="1"/>
  <c r="J3705" i="1"/>
  <c r="K3704" i="1"/>
  <c r="J3704" i="1"/>
  <c r="K3703" i="1"/>
  <c r="J3703" i="1"/>
  <c r="K3702" i="1"/>
  <c r="J3702" i="1"/>
  <c r="K3701" i="1"/>
  <c r="J3701" i="1"/>
  <c r="K3700" i="1"/>
  <c r="J3700" i="1"/>
  <c r="K3699" i="1"/>
  <c r="J3699" i="1"/>
  <c r="K3698" i="1"/>
  <c r="J3698" i="1"/>
  <c r="K3697" i="1"/>
  <c r="J3697" i="1"/>
  <c r="K3696" i="1"/>
  <c r="J3696" i="1"/>
  <c r="K3695" i="1"/>
  <c r="J3695" i="1"/>
  <c r="K3694" i="1"/>
  <c r="J3694" i="1"/>
  <c r="K3693" i="1"/>
  <c r="J3693" i="1"/>
  <c r="K3692" i="1"/>
  <c r="J3692" i="1"/>
  <c r="K3691" i="1"/>
  <c r="J3691" i="1"/>
  <c r="K3690" i="1"/>
  <c r="J3690" i="1"/>
  <c r="K3689" i="1"/>
  <c r="J3689" i="1"/>
  <c r="K3688" i="1"/>
  <c r="J3688" i="1"/>
  <c r="K3687" i="1"/>
  <c r="J3687" i="1"/>
  <c r="K3686" i="1"/>
  <c r="J3686" i="1"/>
  <c r="K3685" i="1"/>
  <c r="J3685" i="1"/>
  <c r="K3684" i="1"/>
  <c r="J3684" i="1"/>
  <c r="K3683" i="1"/>
  <c r="J3683" i="1"/>
  <c r="K3682" i="1"/>
  <c r="J3682" i="1"/>
  <c r="K3681" i="1"/>
  <c r="J3681" i="1"/>
  <c r="K3680" i="1"/>
  <c r="J3680" i="1"/>
  <c r="K3679" i="1"/>
  <c r="J3679" i="1"/>
  <c r="K3678" i="1"/>
  <c r="J3678" i="1"/>
  <c r="K3677" i="1"/>
  <c r="J3677" i="1"/>
  <c r="K3676" i="1"/>
  <c r="J3676" i="1"/>
  <c r="K3675" i="1"/>
  <c r="J3675" i="1"/>
  <c r="K3674" i="1"/>
  <c r="J3674" i="1"/>
  <c r="K3673" i="1"/>
  <c r="J3673" i="1"/>
  <c r="K3672" i="1"/>
  <c r="J3672" i="1"/>
  <c r="K3671" i="1"/>
  <c r="J3671" i="1"/>
  <c r="K3670" i="1"/>
  <c r="J3670" i="1"/>
  <c r="K3669" i="1"/>
  <c r="J3669" i="1"/>
  <c r="K3668" i="1"/>
  <c r="J3668" i="1"/>
  <c r="K3667" i="1"/>
  <c r="J3667" i="1"/>
  <c r="K3666" i="1"/>
  <c r="J3666" i="1"/>
  <c r="K3665" i="1"/>
  <c r="J3665" i="1"/>
  <c r="K3664" i="1"/>
  <c r="J3664" i="1"/>
  <c r="K3663" i="1"/>
  <c r="J3663" i="1"/>
  <c r="K3662" i="1"/>
  <c r="J3662" i="1"/>
  <c r="K3661" i="1"/>
  <c r="J3661" i="1"/>
  <c r="K3660" i="1"/>
  <c r="J3660" i="1"/>
  <c r="K3659" i="1"/>
  <c r="J3659" i="1"/>
  <c r="K3658" i="1"/>
  <c r="J3658" i="1"/>
  <c r="K3657" i="1"/>
  <c r="J3657" i="1"/>
  <c r="K3656" i="1"/>
  <c r="J3656" i="1"/>
  <c r="K3655" i="1"/>
  <c r="J3655" i="1"/>
  <c r="K3654" i="1"/>
  <c r="J3654" i="1"/>
  <c r="K3653" i="1"/>
  <c r="J3653" i="1"/>
  <c r="K3652" i="1"/>
  <c r="J3652" i="1"/>
  <c r="K3651" i="1"/>
  <c r="J3651" i="1"/>
  <c r="K3650" i="1"/>
  <c r="J3650" i="1"/>
  <c r="K3649" i="1"/>
  <c r="J3649" i="1"/>
  <c r="K3648" i="1"/>
  <c r="J3648" i="1"/>
  <c r="K3647" i="1"/>
  <c r="J3647" i="1"/>
  <c r="K3646" i="1"/>
  <c r="J3646" i="1"/>
  <c r="K3645" i="1"/>
  <c r="J3645" i="1"/>
  <c r="K3644" i="1"/>
  <c r="J3644" i="1"/>
  <c r="K3643" i="1"/>
  <c r="J3643" i="1"/>
  <c r="K3642" i="1"/>
  <c r="J3642" i="1"/>
  <c r="K3641" i="1"/>
  <c r="J3641" i="1"/>
  <c r="K3640" i="1"/>
  <c r="J3640" i="1"/>
  <c r="K3639" i="1"/>
  <c r="J3639" i="1"/>
  <c r="K3638" i="1"/>
  <c r="J3638" i="1"/>
  <c r="K3637" i="1"/>
  <c r="J3637" i="1"/>
  <c r="K3636" i="1"/>
  <c r="J3636" i="1"/>
  <c r="K3635" i="1"/>
  <c r="J3635" i="1"/>
  <c r="K3634" i="1"/>
  <c r="J3634" i="1"/>
  <c r="K3633" i="1"/>
  <c r="J3633" i="1"/>
  <c r="K3632" i="1"/>
  <c r="J3632" i="1"/>
  <c r="K3631" i="1"/>
  <c r="J3631" i="1"/>
  <c r="K3630" i="1"/>
  <c r="J3630" i="1"/>
  <c r="K3629" i="1"/>
  <c r="J3629" i="1"/>
  <c r="K3628" i="1"/>
  <c r="J3628" i="1"/>
  <c r="K3627" i="1"/>
  <c r="J3627" i="1"/>
  <c r="K3626" i="1"/>
  <c r="J3626" i="1"/>
  <c r="K3625" i="1"/>
  <c r="J3625" i="1"/>
  <c r="K3624" i="1"/>
  <c r="J3624" i="1"/>
  <c r="K3623" i="1"/>
  <c r="J3623" i="1"/>
  <c r="K3622" i="1"/>
  <c r="J3622" i="1"/>
  <c r="K3621" i="1"/>
  <c r="J3621" i="1"/>
  <c r="K3620" i="1"/>
  <c r="J3620" i="1"/>
  <c r="K3619" i="1"/>
  <c r="J3619" i="1"/>
  <c r="K3618" i="1"/>
  <c r="J3618" i="1"/>
  <c r="K3617" i="1"/>
  <c r="J3617" i="1"/>
  <c r="K3616" i="1"/>
  <c r="J3616" i="1"/>
  <c r="K3615" i="1"/>
  <c r="J3615" i="1"/>
  <c r="K3614" i="1"/>
  <c r="J3614" i="1"/>
  <c r="K3613" i="1"/>
  <c r="J3613" i="1"/>
  <c r="K3612" i="1"/>
  <c r="J3612" i="1"/>
  <c r="K3611" i="1"/>
  <c r="J3611" i="1"/>
  <c r="K3610" i="1"/>
  <c r="J3610" i="1"/>
  <c r="K3609" i="1"/>
  <c r="J3609" i="1"/>
  <c r="K3608" i="1"/>
  <c r="J3608" i="1"/>
  <c r="K3607" i="1"/>
  <c r="J3607" i="1"/>
  <c r="K3606" i="1"/>
  <c r="J3606" i="1"/>
  <c r="K3605" i="1"/>
  <c r="J3605" i="1"/>
  <c r="K3604" i="1"/>
  <c r="J3604" i="1"/>
  <c r="K3603" i="1"/>
  <c r="J3603" i="1"/>
  <c r="K3602" i="1"/>
  <c r="J3602" i="1"/>
  <c r="K3601" i="1"/>
  <c r="J3601" i="1"/>
  <c r="K3600" i="1"/>
  <c r="J3600" i="1"/>
  <c r="K3599" i="1"/>
  <c r="J3599" i="1"/>
  <c r="K3598" i="1"/>
  <c r="J3598" i="1"/>
  <c r="K3597" i="1"/>
  <c r="J3597" i="1"/>
  <c r="K3596" i="1"/>
  <c r="J3596" i="1"/>
  <c r="K3595" i="1"/>
  <c r="J3595" i="1"/>
  <c r="K3594" i="1"/>
  <c r="J3594" i="1"/>
  <c r="K3593" i="1"/>
  <c r="J3593" i="1"/>
  <c r="K3592" i="1"/>
  <c r="J3592" i="1"/>
  <c r="K3591" i="1"/>
  <c r="J3591" i="1"/>
  <c r="K3590" i="1"/>
  <c r="J3590" i="1"/>
  <c r="K3589" i="1"/>
  <c r="J3589" i="1"/>
  <c r="K3588" i="1"/>
  <c r="J3588" i="1"/>
  <c r="K3587" i="1"/>
  <c r="J3587" i="1"/>
  <c r="K3586" i="1"/>
  <c r="J3586" i="1"/>
  <c r="K3585" i="1"/>
  <c r="J3585" i="1"/>
  <c r="K3584" i="1"/>
  <c r="J3584" i="1"/>
  <c r="K3583" i="1"/>
  <c r="J3583" i="1"/>
  <c r="K3582" i="1"/>
  <c r="J3582" i="1"/>
  <c r="K3581" i="1"/>
  <c r="J3581" i="1"/>
  <c r="K3580" i="1"/>
  <c r="J3580" i="1"/>
  <c r="K3579" i="1"/>
  <c r="J3579" i="1"/>
  <c r="K3578" i="1"/>
  <c r="J3578" i="1"/>
  <c r="K3577" i="1"/>
  <c r="J3577" i="1"/>
  <c r="K3576" i="1"/>
  <c r="J3576" i="1"/>
  <c r="K3575" i="1"/>
  <c r="J3575" i="1"/>
  <c r="K3574" i="1"/>
  <c r="J3574" i="1"/>
  <c r="K3573" i="1"/>
  <c r="J3573" i="1"/>
  <c r="K3572" i="1"/>
  <c r="J3572" i="1"/>
  <c r="K3571" i="1"/>
  <c r="J3571" i="1"/>
  <c r="K3570" i="1"/>
  <c r="J3570" i="1"/>
  <c r="K3569" i="1"/>
  <c r="J3569" i="1"/>
  <c r="K3568" i="1"/>
  <c r="J3568" i="1"/>
  <c r="K3567" i="1"/>
  <c r="J3567" i="1"/>
  <c r="K3566" i="1"/>
  <c r="J3566" i="1"/>
  <c r="K3565" i="1"/>
  <c r="J3565" i="1"/>
  <c r="K3564" i="1"/>
  <c r="J3564" i="1"/>
  <c r="K3563" i="1"/>
  <c r="J3563" i="1"/>
  <c r="K3562" i="1"/>
  <c r="J3562" i="1"/>
  <c r="K3561" i="1"/>
  <c r="J3561" i="1"/>
  <c r="K3560" i="1"/>
  <c r="J3560" i="1"/>
  <c r="K3559" i="1"/>
  <c r="J3559" i="1"/>
  <c r="K3558" i="1"/>
  <c r="J3558" i="1"/>
  <c r="K3557" i="1"/>
  <c r="J3557" i="1"/>
  <c r="K3556" i="1"/>
  <c r="J3556" i="1"/>
  <c r="K3555" i="1"/>
  <c r="J3555" i="1"/>
  <c r="K3554" i="1"/>
  <c r="J3554" i="1"/>
  <c r="K3553" i="1"/>
  <c r="J3553" i="1"/>
  <c r="K3552" i="1"/>
  <c r="J3552" i="1"/>
  <c r="K3551" i="1"/>
  <c r="J3551" i="1"/>
  <c r="K3550" i="1"/>
  <c r="J3550" i="1"/>
  <c r="K3549" i="1"/>
  <c r="J3549" i="1"/>
  <c r="K3548" i="1"/>
  <c r="J3548" i="1"/>
  <c r="K3547" i="1"/>
  <c r="J3547" i="1"/>
  <c r="K3546" i="1"/>
  <c r="J3546" i="1"/>
  <c r="K3545" i="1"/>
  <c r="J3545" i="1"/>
  <c r="K3544" i="1"/>
  <c r="J3544" i="1"/>
  <c r="K3543" i="1"/>
  <c r="J3543" i="1"/>
  <c r="K3542" i="1"/>
  <c r="J3542" i="1"/>
  <c r="K3541" i="1"/>
  <c r="J3541" i="1"/>
  <c r="K3540" i="1"/>
  <c r="J3540" i="1"/>
  <c r="K3539" i="1"/>
  <c r="J3539" i="1"/>
  <c r="K3538" i="1"/>
  <c r="J3538" i="1"/>
  <c r="K3537" i="1"/>
  <c r="J3537" i="1"/>
  <c r="K3536" i="1"/>
  <c r="J3536" i="1"/>
  <c r="K3535" i="1"/>
  <c r="J3535" i="1"/>
  <c r="K3534" i="1"/>
  <c r="J3534" i="1"/>
  <c r="K3533" i="1"/>
  <c r="J3533" i="1"/>
  <c r="K3532" i="1"/>
  <c r="J3532" i="1"/>
  <c r="K3531" i="1"/>
  <c r="J3531" i="1"/>
  <c r="K3530" i="1"/>
  <c r="J3530" i="1"/>
  <c r="K3529" i="1"/>
  <c r="J3529" i="1"/>
  <c r="K3528" i="1"/>
  <c r="J3528" i="1"/>
  <c r="K3527" i="1"/>
  <c r="J3527" i="1"/>
  <c r="K3526" i="1"/>
  <c r="J3526" i="1"/>
  <c r="K3525" i="1"/>
  <c r="J3525" i="1"/>
  <c r="K3524" i="1"/>
  <c r="J3524" i="1"/>
  <c r="K3523" i="1"/>
  <c r="J3523" i="1"/>
  <c r="K3522" i="1"/>
  <c r="J3522" i="1"/>
  <c r="K3521" i="1"/>
  <c r="J3521" i="1"/>
  <c r="K3520" i="1"/>
  <c r="J3520" i="1"/>
  <c r="K3519" i="1"/>
  <c r="J3519" i="1"/>
  <c r="K3518" i="1"/>
  <c r="J3518" i="1"/>
  <c r="K3517" i="1"/>
  <c r="J3517" i="1"/>
  <c r="K3516" i="1"/>
  <c r="J3516" i="1"/>
  <c r="K3515" i="1"/>
  <c r="J3515" i="1"/>
  <c r="K3514" i="1"/>
  <c r="J3514" i="1"/>
  <c r="K3513" i="1"/>
  <c r="J3513" i="1"/>
  <c r="K3512" i="1"/>
  <c r="J3512" i="1"/>
  <c r="K3511" i="1"/>
  <c r="J3511" i="1"/>
  <c r="K3510" i="1"/>
  <c r="J3510" i="1"/>
  <c r="K3509" i="1"/>
  <c r="J3509" i="1"/>
  <c r="K3508" i="1"/>
  <c r="J3508" i="1"/>
  <c r="K3507" i="1"/>
  <c r="J3507" i="1"/>
  <c r="K3506" i="1"/>
  <c r="J3506" i="1"/>
  <c r="K3505" i="1"/>
  <c r="J3505" i="1"/>
  <c r="K3504" i="1"/>
  <c r="J3504" i="1"/>
  <c r="K3503" i="1"/>
  <c r="J3503" i="1"/>
  <c r="K3502" i="1"/>
  <c r="J3502" i="1"/>
  <c r="K3501" i="1"/>
  <c r="J3501" i="1"/>
  <c r="K3500" i="1"/>
  <c r="J3500" i="1"/>
  <c r="K3499" i="1"/>
  <c r="J3499" i="1"/>
  <c r="K3498" i="1"/>
  <c r="J3498" i="1"/>
  <c r="K3497" i="1"/>
  <c r="J3497" i="1"/>
  <c r="K3496" i="1"/>
  <c r="J3496" i="1"/>
  <c r="K3495" i="1"/>
  <c r="J3495" i="1"/>
  <c r="K3494" i="1"/>
  <c r="J3494" i="1"/>
  <c r="K3493" i="1"/>
  <c r="J3493" i="1"/>
  <c r="K3492" i="1"/>
  <c r="J3492" i="1"/>
  <c r="K3491" i="1"/>
  <c r="J3491" i="1"/>
  <c r="K3490" i="1"/>
  <c r="J3490" i="1"/>
  <c r="K3489" i="1"/>
  <c r="J3489" i="1"/>
  <c r="K3488" i="1"/>
  <c r="J3488" i="1"/>
  <c r="K3487" i="1"/>
  <c r="J3487" i="1"/>
  <c r="K3486" i="1"/>
  <c r="J3486" i="1"/>
  <c r="K3485" i="1"/>
  <c r="J3485" i="1"/>
  <c r="K3484" i="1"/>
  <c r="J3484" i="1"/>
  <c r="K3483" i="1"/>
  <c r="J3483" i="1"/>
  <c r="K3482" i="1"/>
  <c r="J3482" i="1"/>
  <c r="K3481" i="1"/>
  <c r="J3481" i="1"/>
  <c r="K3480" i="1"/>
  <c r="J3480" i="1"/>
  <c r="K3479" i="1"/>
  <c r="J3479" i="1"/>
  <c r="K3478" i="1"/>
  <c r="J3478" i="1"/>
  <c r="K3477" i="1"/>
  <c r="J3477" i="1"/>
  <c r="K3476" i="1"/>
  <c r="J3476" i="1"/>
  <c r="K3475" i="1"/>
  <c r="J3475" i="1"/>
  <c r="K3474" i="1"/>
  <c r="J3474" i="1"/>
  <c r="K3473" i="1"/>
  <c r="J3473" i="1"/>
  <c r="K3472" i="1"/>
  <c r="J3472" i="1"/>
  <c r="K3471" i="1"/>
  <c r="J3471" i="1"/>
  <c r="K3470" i="1"/>
  <c r="J3470" i="1"/>
  <c r="K3469" i="1"/>
  <c r="J3469" i="1"/>
  <c r="K3468" i="1"/>
  <c r="J3468" i="1"/>
  <c r="K3467" i="1"/>
  <c r="J3467" i="1"/>
  <c r="K3466" i="1"/>
  <c r="J3466" i="1"/>
  <c r="K3465" i="1"/>
  <c r="J3465" i="1"/>
  <c r="K3464" i="1"/>
  <c r="J3464" i="1"/>
  <c r="K3463" i="1"/>
  <c r="J3463" i="1"/>
  <c r="K3462" i="1"/>
  <c r="J3462" i="1"/>
  <c r="K3461" i="1"/>
  <c r="J3461" i="1"/>
  <c r="K3460" i="1"/>
  <c r="J3460" i="1"/>
  <c r="K3459" i="1"/>
  <c r="J3459" i="1"/>
  <c r="K3458" i="1"/>
  <c r="J3458" i="1"/>
  <c r="K3457" i="1"/>
  <c r="J3457" i="1"/>
  <c r="K3456" i="1"/>
  <c r="J3456" i="1"/>
  <c r="K3455" i="1"/>
  <c r="J3455" i="1"/>
  <c r="K3454" i="1"/>
  <c r="J3454" i="1"/>
  <c r="K3453" i="1"/>
  <c r="J3453" i="1"/>
  <c r="K3452" i="1"/>
  <c r="J3452" i="1"/>
  <c r="K3451" i="1"/>
  <c r="J3451" i="1"/>
  <c r="K3450" i="1"/>
  <c r="J3450" i="1"/>
  <c r="K3449" i="1"/>
  <c r="J3449" i="1"/>
  <c r="K3448" i="1"/>
  <c r="J3448" i="1"/>
  <c r="K3447" i="1"/>
  <c r="J3447" i="1"/>
  <c r="K3446" i="1"/>
  <c r="J3446" i="1"/>
  <c r="K3445" i="1"/>
  <c r="J3445" i="1"/>
  <c r="K3444" i="1"/>
  <c r="J3444" i="1"/>
  <c r="K3443" i="1"/>
  <c r="J3443" i="1"/>
  <c r="K3442" i="1"/>
  <c r="J3442" i="1"/>
  <c r="K3441" i="1"/>
  <c r="J3441" i="1"/>
  <c r="K3440" i="1"/>
  <c r="J3440" i="1"/>
  <c r="K3439" i="1"/>
  <c r="J3439" i="1"/>
  <c r="K3438" i="1"/>
  <c r="J3438" i="1"/>
  <c r="K3437" i="1"/>
  <c r="J3437" i="1"/>
  <c r="K3436" i="1"/>
  <c r="J3436" i="1"/>
  <c r="K3435" i="1"/>
  <c r="J3435" i="1"/>
  <c r="K3434" i="1"/>
  <c r="J3434" i="1"/>
  <c r="K3433" i="1"/>
  <c r="J3433" i="1"/>
  <c r="K3432" i="1"/>
  <c r="J3432" i="1"/>
  <c r="K3431" i="1"/>
  <c r="J3431" i="1"/>
  <c r="K3430" i="1"/>
  <c r="J3430" i="1"/>
  <c r="K3429" i="1"/>
  <c r="J3429" i="1"/>
  <c r="K3428" i="1"/>
  <c r="J3428" i="1"/>
  <c r="K3427" i="1"/>
  <c r="J3427" i="1"/>
  <c r="K3426" i="1"/>
  <c r="J3426" i="1"/>
  <c r="K3425" i="1"/>
  <c r="J3425" i="1"/>
  <c r="K3424" i="1"/>
  <c r="J3424" i="1"/>
  <c r="K3423" i="1"/>
  <c r="J3423" i="1"/>
  <c r="K3422" i="1"/>
  <c r="J3422" i="1"/>
  <c r="K3421" i="1"/>
  <c r="J3421" i="1"/>
  <c r="K3420" i="1"/>
  <c r="J3420" i="1"/>
  <c r="K3419" i="1"/>
  <c r="J3419" i="1"/>
  <c r="K3418" i="1"/>
  <c r="J3418" i="1"/>
  <c r="K3417" i="1"/>
  <c r="J3417" i="1"/>
  <c r="K3416" i="1"/>
  <c r="J3416" i="1"/>
  <c r="K3415" i="1"/>
  <c r="J3415" i="1"/>
  <c r="K3414" i="1"/>
  <c r="J3414" i="1"/>
  <c r="K3413" i="1"/>
  <c r="J3413" i="1"/>
  <c r="K3412" i="1"/>
  <c r="J3412" i="1"/>
  <c r="K3411" i="1"/>
  <c r="J3411" i="1"/>
  <c r="K3410" i="1"/>
  <c r="J3410" i="1"/>
  <c r="K3409" i="1"/>
  <c r="J3409" i="1"/>
  <c r="K3408" i="1"/>
  <c r="J3408" i="1"/>
  <c r="K3407" i="1"/>
  <c r="J3407" i="1"/>
  <c r="K3406" i="1"/>
  <c r="J3406" i="1"/>
  <c r="K3405" i="1"/>
  <c r="J3405" i="1"/>
  <c r="K3404" i="1"/>
  <c r="J3404" i="1"/>
  <c r="K3403" i="1"/>
  <c r="J3403" i="1"/>
  <c r="K3402" i="1"/>
  <c r="J3402" i="1"/>
  <c r="K3401" i="1"/>
  <c r="J3401" i="1"/>
  <c r="K3400" i="1"/>
  <c r="J3400" i="1"/>
  <c r="K3399" i="1"/>
  <c r="J3399" i="1"/>
  <c r="K3398" i="1"/>
  <c r="J3398" i="1"/>
  <c r="K3397" i="1"/>
  <c r="J3397" i="1"/>
  <c r="K3396" i="1"/>
  <c r="J3396" i="1"/>
  <c r="K3395" i="1"/>
  <c r="J3395" i="1"/>
  <c r="K3394" i="1"/>
  <c r="J3394" i="1"/>
  <c r="K3393" i="1"/>
  <c r="J3393" i="1"/>
  <c r="K3392" i="1"/>
  <c r="J3392" i="1"/>
  <c r="K3391" i="1"/>
  <c r="J3391" i="1"/>
  <c r="K3390" i="1"/>
  <c r="J3390" i="1"/>
  <c r="K3389" i="1"/>
  <c r="J3389" i="1"/>
  <c r="K3388" i="1"/>
  <c r="J3388" i="1"/>
  <c r="K3387" i="1"/>
  <c r="J3387" i="1"/>
  <c r="K3386" i="1"/>
  <c r="J3386" i="1"/>
  <c r="K3385" i="1"/>
  <c r="J3385" i="1"/>
  <c r="K3384" i="1"/>
  <c r="J3384" i="1"/>
  <c r="K3383" i="1"/>
  <c r="J3383" i="1"/>
  <c r="K3382" i="1"/>
  <c r="J3382" i="1"/>
  <c r="K3381" i="1"/>
  <c r="J3381" i="1"/>
  <c r="K3380" i="1"/>
  <c r="J3380" i="1"/>
  <c r="K3379" i="1"/>
  <c r="J3379" i="1"/>
  <c r="K3378" i="1"/>
  <c r="J3378" i="1"/>
  <c r="K3377" i="1"/>
  <c r="J3377" i="1"/>
  <c r="K3376" i="1"/>
  <c r="J3376" i="1"/>
  <c r="K3375" i="1"/>
  <c r="J3375" i="1"/>
  <c r="K3374" i="1"/>
  <c r="J3374" i="1"/>
  <c r="K3373" i="1"/>
  <c r="J3373" i="1"/>
  <c r="K3372" i="1"/>
  <c r="J3372" i="1"/>
  <c r="K3371" i="1"/>
  <c r="J3371" i="1"/>
  <c r="K3370" i="1"/>
  <c r="J3370" i="1"/>
  <c r="K3369" i="1"/>
  <c r="J3369" i="1"/>
  <c r="K3368" i="1"/>
  <c r="J3368" i="1"/>
  <c r="K3367" i="1"/>
  <c r="J3367" i="1"/>
  <c r="K3366" i="1"/>
  <c r="J3366" i="1"/>
  <c r="K3365" i="1"/>
  <c r="J3365" i="1"/>
  <c r="K3364" i="1"/>
  <c r="J3364" i="1"/>
  <c r="K3363" i="1"/>
  <c r="J3363" i="1"/>
  <c r="K3362" i="1"/>
  <c r="J3362" i="1"/>
  <c r="K3361" i="1"/>
  <c r="J3361" i="1"/>
  <c r="K3360" i="1"/>
  <c r="J3360" i="1"/>
  <c r="K3359" i="1"/>
  <c r="J3359" i="1"/>
  <c r="K3358" i="1"/>
  <c r="J3358" i="1"/>
  <c r="K3357" i="1"/>
  <c r="J3357" i="1"/>
  <c r="K3356" i="1"/>
  <c r="J3356" i="1"/>
  <c r="K3355" i="1"/>
  <c r="J3355" i="1"/>
  <c r="K3354" i="1"/>
  <c r="J3354" i="1"/>
  <c r="K3353" i="1"/>
  <c r="J3353" i="1"/>
  <c r="K3352" i="1"/>
  <c r="J3352" i="1"/>
  <c r="K3351" i="1"/>
  <c r="J3351" i="1"/>
  <c r="K3350" i="1"/>
  <c r="J3350" i="1"/>
  <c r="K3349" i="1"/>
  <c r="J3349" i="1"/>
  <c r="K3348" i="1"/>
  <c r="J3348" i="1"/>
  <c r="K3347" i="1"/>
  <c r="J3347" i="1"/>
  <c r="K3346" i="1"/>
  <c r="J3346" i="1"/>
  <c r="K3345" i="1"/>
  <c r="J3345" i="1"/>
  <c r="K3344" i="1"/>
  <c r="J3344" i="1"/>
  <c r="K3343" i="1"/>
  <c r="J3343" i="1"/>
  <c r="K3342" i="1"/>
  <c r="J3342" i="1"/>
  <c r="K3341" i="1"/>
  <c r="J3341" i="1"/>
  <c r="K3340" i="1"/>
  <c r="J3340" i="1"/>
  <c r="K3339" i="1"/>
  <c r="J3339" i="1"/>
  <c r="K3338" i="1"/>
  <c r="J3338" i="1"/>
  <c r="K3337" i="1"/>
  <c r="J3337" i="1"/>
  <c r="K3336" i="1"/>
  <c r="J3336" i="1"/>
  <c r="K3335" i="1"/>
  <c r="J3335" i="1"/>
  <c r="K3334" i="1"/>
  <c r="J3334" i="1"/>
  <c r="K3333" i="1"/>
  <c r="J3333" i="1"/>
  <c r="K3332" i="1"/>
  <c r="J3332" i="1"/>
  <c r="K3331" i="1"/>
  <c r="J3331" i="1"/>
  <c r="K3330" i="1"/>
  <c r="J3330" i="1"/>
  <c r="K3329" i="1"/>
  <c r="J3329" i="1"/>
  <c r="K3328" i="1"/>
  <c r="J3328" i="1"/>
  <c r="K3327" i="1"/>
  <c r="J3327" i="1"/>
  <c r="K3326" i="1"/>
  <c r="J3326" i="1"/>
  <c r="K3325" i="1"/>
  <c r="J3325" i="1"/>
  <c r="K3324" i="1"/>
  <c r="J3324" i="1"/>
  <c r="K3323" i="1"/>
  <c r="J3323" i="1"/>
  <c r="K3322" i="1"/>
  <c r="J3322" i="1"/>
  <c r="K3321" i="1"/>
  <c r="J3321" i="1"/>
  <c r="K3320" i="1"/>
  <c r="J3320" i="1"/>
  <c r="K3319" i="1"/>
  <c r="J3319" i="1"/>
  <c r="K3318" i="1"/>
  <c r="J3318" i="1"/>
  <c r="K3317" i="1"/>
  <c r="J3317" i="1"/>
  <c r="K3316" i="1"/>
  <c r="J3316" i="1"/>
  <c r="K3315" i="1"/>
  <c r="J3315" i="1"/>
  <c r="K3314" i="1"/>
  <c r="J3314" i="1"/>
  <c r="K3313" i="1"/>
  <c r="J3313" i="1"/>
  <c r="K3312" i="1"/>
  <c r="J3312" i="1"/>
  <c r="K3311" i="1"/>
  <c r="J3311" i="1"/>
  <c r="K3310" i="1"/>
  <c r="J3310" i="1"/>
  <c r="K3309" i="1"/>
  <c r="J3309" i="1"/>
  <c r="K3308" i="1"/>
  <c r="J3308" i="1"/>
  <c r="K3307" i="1"/>
  <c r="J3307" i="1"/>
  <c r="K3306" i="1"/>
  <c r="J3306" i="1"/>
  <c r="K3305" i="1"/>
  <c r="J3305" i="1"/>
  <c r="K3304" i="1"/>
  <c r="J3304" i="1"/>
  <c r="K3303" i="1"/>
  <c r="J3303" i="1"/>
  <c r="K3302" i="1"/>
  <c r="J3302" i="1"/>
  <c r="K3301" i="1"/>
  <c r="J3301" i="1"/>
  <c r="K3300" i="1"/>
  <c r="J3300" i="1"/>
  <c r="K3299" i="1"/>
  <c r="J3299" i="1"/>
  <c r="K3298" i="1"/>
  <c r="J3298" i="1"/>
  <c r="K3297" i="1"/>
  <c r="J3297" i="1"/>
  <c r="K3296" i="1"/>
  <c r="J3296" i="1"/>
  <c r="K3295" i="1"/>
  <c r="J3295" i="1"/>
  <c r="K3294" i="1"/>
  <c r="J3294" i="1"/>
  <c r="K3293" i="1"/>
  <c r="J3293" i="1"/>
  <c r="K3292" i="1"/>
  <c r="J3292" i="1"/>
  <c r="K3291" i="1"/>
  <c r="J3291" i="1"/>
  <c r="K3290" i="1"/>
  <c r="J3290" i="1"/>
  <c r="K3289" i="1"/>
  <c r="J3289" i="1"/>
  <c r="K3288" i="1"/>
  <c r="J3288" i="1"/>
  <c r="K3287" i="1"/>
  <c r="J3287" i="1"/>
  <c r="K3286" i="1"/>
  <c r="J3286" i="1"/>
  <c r="K3285" i="1"/>
  <c r="J3285" i="1"/>
  <c r="K3284" i="1"/>
  <c r="J3284" i="1"/>
  <c r="K3283" i="1"/>
  <c r="J3283" i="1"/>
  <c r="K3282" i="1"/>
  <c r="J3282" i="1"/>
  <c r="K3281" i="1"/>
  <c r="J3281" i="1"/>
  <c r="K3280" i="1"/>
  <c r="J3280" i="1"/>
  <c r="K3279" i="1"/>
  <c r="J3279" i="1"/>
  <c r="K3278" i="1"/>
  <c r="J3278" i="1"/>
  <c r="K3277" i="1"/>
  <c r="J3277" i="1"/>
  <c r="K3276" i="1"/>
  <c r="J3276" i="1"/>
  <c r="K3275" i="1"/>
  <c r="J3275" i="1"/>
  <c r="K3274" i="1"/>
  <c r="J3274" i="1"/>
  <c r="K3273" i="1"/>
  <c r="J3273" i="1"/>
  <c r="K3272" i="1"/>
  <c r="J3272" i="1"/>
  <c r="K3271" i="1"/>
  <c r="J3271" i="1"/>
  <c r="K3270" i="1"/>
  <c r="J3270" i="1"/>
  <c r="K3269" i="1"/>
  <c r="J3269" i="1"/>
  <c r="K3268" i="1"/>
  <c r="J3268" i="1"/>
  <c r="K3267" i="1"/>
  <c r="J3267" i="1"/>
  <c r="K3266" i="1"/>
  <c r="J3266" i="1"/>
  <c r="K3265" i="1"/>
  <c r="J3265" i="1"/>
  <c r="K3264" i="1"/>
  <c r="J3264" i="1"/>
  <c r="K3263" i="1"/>
  <c r="J3263" i="1"/>
  <c r="K3262" i="1"/>
  <c r="J3262" i="1"/>
  <c r="K3261" i="1"/>
  <c r="J3261" i="1"/>
  <c r="K3260" i="1"/>
  <c r="J3260" i="1"/>
  <c r="K3259" i="1"/>
  <c r="J3259" i="1"/>
  <c r="K3258" i="1"/>
  <c r="J3258" i="1"/>
  <c r="K3257" i="1"/>
  <c r="J3257" i="1"/>
  <c r="K3256" i="1"/>
  <c r="J3256" i="1"/>
  <c r="K3255" i="1"/>
  <c r="J3255" i="1"/>
  <c r="K3254" i="1"/>
  <c r="J3254" i="1"/>
  <c r="K3253" i="1"/>
  <c r="J3253" i="1"/>
  <c r="K3252" i="1"/>
  <c r="J3252" i="1"/>
  <c r="K3251" i="1"/>
  <c r="J3251" i="1"/>
  <c r="K3250" i="1"/>
  <c r="J3250" i="1"/>
  <c r="K3249" i="1"/>
  <c r="J3249" i="1"/>
  <c r="K3248" i="1"/>
  <c r="J3248" i="1"/>
  <c r="K3247" i="1"/>
  <c r="J3247" i="1"/>
  <c r="K3246" i="1"/>
  <c r="J3246" i="1"/>
  <c r="K3245" i="1"/>
  <c r="J3245" i="1"/>
  <c r="K3244" i="1"/>
  <c r="J3244" i="1"/>
  <c r="K3243" i="1"/>
  <c r="J3243" i="1"/>
  <c r="K3242" i="1"/>
  <c r="J3242" i="1"/>
  <c r="K3241" i="1"/>
  <c r="J3241" i="1"/>
  <c r="K3240" i="1"/>
  <c r="J3240" i="1"/>
  <c r="K3239" i="1"/>
  <c r="J3239" i="1"/>
  <c r="K3238" i="1"/>
  <c r="J3238" i="1"/>
  <c r="K3237" i="1"/>
  <c r="J3237" i="1"/>
  <c r="K3236" i="1"/>
  <c r="J3236" i="1"/>
  <c r="K3235" i="1"/>
  <c r="J3235" i="1"/>
  <c r="K3234" i="1"/>
  <c r="J3234" i="1"/>
  <c r="K3233" i="1"/>
  <c r="J3233" i="1"/>
  <c r="K3232" i="1"/>
  <c r="J3232" i="1"/>
  <c r="K3231" i="1"/>
  <c r="J3231" i="1"/>
  <c r="K3230" i="1"/>
  <c r="J3230" i="1"/>
  <c r="K3229" i="1"/>
  <c r="J3229" i="1"/>
  <c r="K3228" i="1"/>
  <c r="J3228" i="1"/>
  <c r="K3227" i="1"/>
  <c r="J3227" i="1"/>
  <c r="K3226" i="1"/>
  <c r="J3226" i="1"/>
  <c r="K3225" i="1"/>
  <c r="J3225" i="1"/>
  <c r="K3224" i="1"/>
  <c r="J3224" i="1"/>
  <c r="K3223" i="1"/>
  <c r="J3223" i="1"/>
  <c r="K3222" i="1"/>
  <c r="J3222" i="1"/>
  <c r="K3221" i="1"/>
  <c r="J3221" i="1"/>
  <c r="K3220" i="1"/>
  <c r="J3220" i="1"/>
  <c r="K3219" i="1"/>
  <c r="J3219" i="1"/>
  <c r="K3218" i="1"/>
  <c r="J3218" i="1"/>
  <c r="K3217" i="1"/>
  <c r="J3217" i="1"/>
  <c r="K3216" i="1"/>
  <c r="J3216" i="1"/>
  <c r="K3215" i="1"/>
  <c r="J3215" i="1"/>
  <c r="K3214" i="1"/>
  <c r="J3214" i="1"/>
  <c r="K3213" i="1"/>
  <c r="J3213" i="1"/>
  <c r="K3212" i="1"/>
  <c r="J3212" i="1"/>
  <c r="K3211" i="1"/>
  <c r="J3211" i="1"/>
  <c r="K3210" i="1"/>
  <c r="J3210" i="1"/>
  <c r="K3209" i="1"/>
  <c r="J3209" i="1"/>
  <c r="K3208" i="1"/>
  <c r="J3208" i="1"/>
  <c r="K3207" i="1"/>
  <c r="J3207" i="1"/>
  <c r="K3206" i="1"/>
  <c r="J3206" i="1"/>
  <c r="K3205" i="1"/>
  <c r="J3205" i="1"/>
  <c r="K3204" i="1"/>
  <c r="J3204" i="1"/>
  <c r="K3203" i="1"/>
  <c r="J3203" i="1"/>
  <c r="K3202" i="1"/>
  <c r="J3202" i="1"/>
  <c r="K3201" i="1"/>
  <c r="J3201" i="1"/>
  <c r="K3200" i="1"/>
  <c r="J3200" i="1"/>
  <c r="K3199" i="1"/>
  <c r="J3199" i="1"/>
  <c r="K3198" i="1"/>
  <c r="J3198" i="1"/>
  <c r="K3197" i="1"/>
  <c r="J3197" i="1"/>
  <c r="K3196" i="1"/>
  <c r="J3196" i="1"/>
  <c r="K3195" i="1"/>
  <c r="J3195" i="1"/>
  <c r="K3194" i="1"/>
  <c r="J3194" i="1"/>
  <c r="K3193" i="1"/>
  <c r="J3193" i="1"/>
  <c r="K3192" i="1"/>
  <c r="J3192" i="1"/>
  <c r="K3191" i="1"/>
  <c r="J3191" i="1"/>
  <c r="K3190" i="1"/>
  <c r="J3190" i="1"/>
  <c r="K3189" i="1"/>
  <c r="J3189" i="1"/>
  <c r="K3188" i="1"/>
  <c r="J3188" i="1"/>
  <c r="K3187" i="1"/>
  <c r="J3187" i="1"/>
  <c r="K3186" i="1"/>
  <c r="J3186" i="1"/>
  <c r="K3185" i="1"/>
  <c r="J3185" i="1"/>
  <c r="K3184" i="1"/>
  <c r="J3184" i="1"/>
  <c r="K3183" i="1"/>
  <c r="J3183" i="1"/>
  <c r="K3182" i="1"/>
  <c r="J3182" i="1"/>
  <c r="K3181" i="1"/>
  <c r="J3181" i="1"/>
  <c r="K3180" i="1"/>
  <c r="J3180" i="1"/>
  <c r="K3179" i="1"/>
  <c r="J3179" i="1"/>
  <c r="K3178" i="1"/>
  <c r="J3178" i="1"/>
  <c r="K3177" i="1"/>
  <c r="J3177" i="1"/>
  <c r="K3176" i="1"/>
  <c r="J3176" i="1"/>
  <c r="K3175" i="1"/>
  <c r="J3175" i="1"/>
  <c r="K3174" i="1"/>
  <c r="J3174" i="1"/>
  <c r="K3173" i="1"/>
  <c r="J3173" i="1"/>
  <c r="K3172" i="1"/>
  <c r="J3172" i="1"/>
  <c r="K3171" i="1"/>
  <c r="J3171" i="1"/>
  <c r="K3170" i="1"/>
  <c r="J3170" i="1"/>
  <c r="K3169" i="1"/>
  <c r="J3169" i="1"/>
  <c r="K3168" i="1"/>
  <c r="J3168" i="1"/>
  <c r="K3167" i="1"/>
  <c r="J3167" i="1"/>
  <c r="K3166" i="1"/>
  <c r="J3166" i="1"/>
  <c r="K3165" i="1"/>
  <c r="J3165" i="1"/>
  <c r="K3164" i="1"/>
  <c r="J3164" i="1"/>
  <c r="K3163" i="1"/>
  <c r="J3163" i="1"/>
  <c r="K3162" i="1"/>
  <c r="J3162" i="1"/>
  <c r="K3161" i="1"/>
  <c r="J3161" i="1"/>
  <c r="K3160" i="1"/>
  <c r="J3160" i="1"/>
  <c r="K3159" i="1"/>
  <c r="J3159" i="1"/>
  <c r="K3158" i="1"/>
  <c r="J3158" i="1"/>
  <c r="K3157" i="1"/>
  <c r="J3157" i="1"/>
  <c r="K3156" i="1"/>
  <c r="J3156" i="1"/>
  <c r="K3155" i="1"/>
  <c r="J3155" i="1"/>
  <c r="K3154" i="1"/>
  <c r="J3154" i="1"/>
  <c r="K3153" i="1"/>
  <c r="J3153" i="1"/>
  <c r="K3152" i="1"/>
  <c r="J3152" i="1"/>
  <c r="K3151" i="1"/>
  <c r="J3151" i="1"/>
  <c r="K3150" i="1"/>
  <c r="J3150" i="1"/>
  <c r="K3149" i="1"/>
  <c r="J3149" i="1"/>
  <c r="K3148" i="1"/>
  <c r="J3148" i="1"/>
  <c r="K3147" i="1"/>
  <c r="J3147" i="1"/>
  <c r="K3146" i="1"/>
  <c r="J3146" i="1"/>
  <c r="K3145" i="1"/>
  <c r="J3145" i="1"/>
  <c r="K3144" i="1"/>
  <c r="J3144" i="1"/>
  <c r="K3143" i="1"/>
  <c r="J3143" i="1"/>
  <c r="K3142" i="1"/>
  <c r="J3142" i="1"/>
  <c r="K3141" i="1"/>
  <c r="J3141" i="1"/>
  <c r="K3140" i="1"/>
  <c r="J3140" i="1"/>
  <c r="K3139" i="1"/>
  <c r="J3139" i="1"/>
  <c r="K3138" i="1"/>
  <c r="J3138" i="1"/>
  <c r="K3137" i="1"/>
  <c r="J3137" i="1"/>
  <c r="K3136" i="1"/>
  <c r="J3136" i="1"/>
  <c r="K3135" i="1"/>
  <c r="J3135" i="1"/>
  <c r="K3134" i="1"/>
  <c r="J3134" i="1"/>
  <c r="K3133" i="1"/>
  <c r="J3133" i="1"/>
  <c r="K3132" i="1"/>
  <c r="J3132" i="1"/>
  <c r="K3131" i="1"/>
  <c r="J3131" i="1"/>
  <c r="K3130" i="1"/>
  <c r="J3130" i="1"/>
  <c r="K3129" i="1"/>
  <c r="J3129" i="1"/>
  <c r="K3128" i="1"/>
  <c r="J3128" i="1"/>
  <c r="K3127" i="1"/>
  <c r="J3127" i="1"/>
  <c r="K3126" i="1"/>
  <c r="J3126" i="1"/>
  <c r="K3125" i="1"/>
  <c r="J3125" i="1"/>
  <c r="K3124" i="1"/>
  <c r="J3124" i="1"/>
  <c r="K3123" i="1"/>
  <c r="J3123" i="1"/>
  <c r="K3122" i="1"/>
  <c r="J3122" i="1"/>
  <c r="K3121" i="1"/>
  <c r="J3121" i="1"/>
  <c r="K3120" i="1"/>
  <c r="J3120" i="1"/>
  <c r="K3119" i="1"/>
  <c r="J3119" i="1"/>
  <c r="K3118" i="1"/>
  <c r="J3118" i="1"/>
  <c r="K3117" i="1"/>
  <c r="J3117" i="1"/>
  <c r="K3116" i="1"/>
  <c r="J3116" i="1"/>
  <c r="K3115" i="1"/>
  <c r="J3115" i="1"/>
  <c r="K3114" i="1"/>
  <c r="J3114" i="1"/>
  <c r="K3113" i="1"/>
  <c r="J3113" i="1"/>
  <c r="K3112" i="1"/>
  <c r="J3112" i="1"/>
  <c r="K3111" i="1"/>
  <c r="J3111" i="1"/>
  <c r="K3110" i="1"/>
  <c r="J3110" i="1"/>
  <c r="K3109" i="1"/>
  <c r="J3109" i="1"/>
  <c r="K3108" i="1"/>
  <c r="J3108" i="1"/>
  <c r="K3107" i="1"/>
  <c r="J3107" i="1"/>
  <c r="K3106" i="1"/>
  <c r="J3106" i="1"/>
  <c r="K3105" i="1"/>
  <c r="J3105" i="1"/>
  <c r="K3104" i="1"/>
  <c r="J3104" i="1"/>
  <c r="K3103" i="1"/>
  <c r="J3103" i="1"/>
  <c r="K3102" i="1"/>
  <c r="J3102" i="1"/>
  <c r="K3101" i="1"/>
  <c r="J3101" i="1"/>
  <c r="K3100" i="1"/>
  <c r="J3100" i="1"/>
  <c r="K3099" i="1"/>
  <c r="J3099" i="1"/>
  <c r="K3098" i="1"/>
  <c r="J3098" i="1"/>
  <c r="K3097" i="1"/>
  <c r="J3097" i="1"/>
  <c r="K3096" i="1"/>
  <c r="J3096" i="1"/>
  <c r="K3095" i="1"/>
  <c r="J3095" i="1"/>
  <c r="K3094" i="1"/>
  <c r="J3094" i="1"/>
  <c r="K3093" i="1"/>
  <c r="J3093" i="1"/>
  <c r="K3092" i="1"/>
  <c r="J3092" i="1"/>
  <c r="K3091" i="1"/>
  <c r="J3091" i="1"/>
  <c r="K3090" i="1"/>
  <c r="J3090" i="1"/>
  <c r="K3089" i="1"/>
  <c r="J3089" i="1"/>
  <c r="K3088" i="1"/>
  <c r="J3088" i="1"/>
  <c r="K3087" i="1"/>
  <c r="J3087" i="1"/>
  <c r="K3086" i="1"/>
  <c r="J3086" i="1"/>
  <c r="K3085" i="1"/>
  <c r="J3085" i="1"/>
  <c r="K3084" i="1"/>
  <c r="J3084" i="1"/>
  <c r="K3083" i="1"/>
  <c r="J3083" i="1"/>
  <c r="K3082" i="1"/>
  <c r="J3082" i="1"/>
  <c r="K3081" i="1"/>
  <c r="J3081" i="1"/>
  <c r="K3080" i="1"/>
  <c r="J3080" i="1"/>
  <c r="K3079" i="1"/>
  <c r="J3079" i="1"/>
  <c r="K3078" i="1"/>
  <c r="J3078" i="1"/>
  <c r="K3077" i="1"/>
  <c r="J3077" i="1"/>
  <c r="K3076" i="1"/>
  <c r="J3076" i="1"/>
  <c r="K3075" i="1"/>
  <c r="J3075" i="1"/>
  <c r="K3074" i="1"/>
  <c r="J3074" i="1"/>
  <c r="K3073" i="1"/>
  <c r="J3073" i="1"/>
  <c r="K3072" i="1"/>
  <c r="J3072" i="1"/>
  <c r="K3071" i="1"/>
  <c r="J3071" i="1"/>
  <c r="K3070" i="1"/>
  <c r="J3070" i="1"/>
  <c r="K3069" i="1"/>
  <c r="J3069" i="1"/>
  <c r="K3068" i="1"/>
  <c r="J3068" i="1"/>
  <c r="K3067" i="1"/>
  <c r="J3067" i="1"/>
  <c r="K3066" i="1"/>
  <c r="J3066" i="1"/>
  <c r="K3065" i="1"/>
  <c r="J3065" i="1"/>
  <c r="K3064" i="1"/>
  <c r="J3064" i="1"/>
  <c r="K3063" i="1"/>
  <c r="J3063" i="1"/>
  <c r="K3062" i="1"/>
  <c r="J3062" i="1"/>
  <c r="K3061" i="1"/>
  <c r="J3061" i="1"/>
  <c r="K3060" i="1"/>
  <c r="J3060" i="1"/>
  <c r="K3059" i="1"/>
  <c r="J3059" i="1"/>
  <c r="K3058" i="1"/>
  <c r="J3058" i="1"/>
  <c r="K3057" i="1"/>
  <c r="J3057" i="1"/>
  <c r="K3056" i="1"/>
  <c r="J3056" i="1"/>
  <c r="K3055" i="1"/>
  <c r="J3055" i="1"/>
  <c r="K3054" i="1"/>
  <c r="J3054" i="1"/>
  <c r="K3053" i="1"/>
  <c r="J3053" i="1"/>
  <c r="K3052" i="1"/>
  <c r="J3052" i="1"/>
  <c r="K3051" i="1"/>
  <c r="J3051" i="1"/>
  <c r="K3050" i="1"/>
  <c r="J3050" i="1"/>
  <c r="K3049" i="1"/>
  <c r="J3049" i="1"/>
  <c r="K3048" i="1"/>
  <c r="J3048" i="1"/>
  <c r="K3047" i="1"/>
  <c r="J3047" i="1"/>
  <c r="K3046" i="1"/>
  <c r="J3046" i="1"/>
  <c r="K3045" i="1"/>
  <c r="J3045" i="1"/>
  <c r="K3044" i="1"/>
  <c r="J3044" i="1"/>
  <c r="K3043" i="1"/>
  <c r="J3043" i="1"/>
  <c r="K3042" i="1"/>
  <c r="J3042" i="1"/>
  <c r="K3041" i="1"/>
  <c r="J3041" i="1"/>
  <c r="K3040" i="1"/>
  <c r="J3040" i="1"/>
  <c r="K3039" i="1"/>
  <c r="J3039" i="1"/>
  <c r="K3038" i="1"/>
  <c r="J3038" i="1"/>
  <c r="K3037" i="1"/>
  <c r="J3037" i="1"/>
  <c r="K3036" i="1"/>
  <c r="J3036" i="1"/>
  <c r="K3035" i="1"/>
  <c r="J3035" i="1"/>
  <c r="K3034" i="1"/>
  <c r="J3034" i="1"/>
  <c r="K3033" i="1"/>
  <c r="J3033" i="1"/>
  <c r="K3032" i="1"/>
  <c r="J3032" i="1"/>
  <c r="K3031" i="1"/>
  <c r="J3031" i="1"/>
  <c r="K3030" i="1"/>
  <c r="J3030" i="1"/>
  <c r="K3029" i="1"/>
  <c r="J3029" i="1"/>
  <c r="K3028" i="1"/>
  <c r="J3028" i="1"/>
  <c r="K3027" i="1"/>
  <c r="J3027" i="1"/>
  <c r="K3026" i="1"/>
  <c r="J3026" i="1"/>
  <c r="K3025" i="1"/>
  <c r="J3025" i="1"/>
  <c r="K3024" i="1"/>
  <c r="J3024" i="1"/>
  <c r="K3023" i="1"/>
  <c r="J3023" i="1"/>
  <c r="K3022" i="1"/>
  <c r="J3022" i="1"/>
  <c r="K3021" i="1"/>
  <c r="J3021" i="1"/>
  <c r="K3020" i="1"/>
  <c r="J3020" i="1"/>
  <c r="K3019" i="1"/>
  <c r="J3019" i="1"/>
  <c r="K3018" i="1"/>
  <c r="J3018" i="1"/>
  <c r="K3017" i="1"/>
  <c r="J3017" i="1"/>
  <c r="K3016" i="1"/>
  <c r="J3016" i="1"/>
  <c r="K3015" i="1"/>
  <c r="J3015" i="1"/>
  <c r="K3014" i="1"/>
  <c r="J3014" i="1"/>
  <c r="K3013" i="1"/>
  <c r="J3013" i="1"/>
  <c r="K3012" i="1"/>
  <c r="J3012" i="1"/>
  <c r="K3011" i="1"/>
  <c r="J3011" i="1"/>
  <c r="K3010" i="1"/>
  <c r="J3010" i="1"/>
  <c r="K3009" i="1"/>
  <c r="J3009" i="1"/>
  <c r="K3008" i="1"/>
  <c r="J3008" i="1"/>
  <c r="K3007" i="1"/>
  <c r="J3007" i="1"/>
  <c r="K3006" i="1"/>
  <c r="J3006" i="1"/>
  <c r="K3005" i="1"/>
  <c r="J3005" i="1"/>
  <c r="K3004" i="1"/>
  <c r="J3004" i="1"/>
  <c r="K3003" i="1"/>
  <c r="J3003" i="1"/>
  <c r="K3002" i="1"/>
  <c r="J3002" i="1"/>
  <c r="K3001" i="1"/>
  <c r="J3001" i="1"/>
  <c r="K3000" i="1"/>
  <c r="J3000" i="1"/>
  <c r="K2999" i="1"/>
  <c r="J2999" i="1"/>
  <c r="K2998" i="1"/>
  <c r="J2998" i="1"/>
  <c r="K2997" i="1"/>
  <c r="J2997" i="1"/>
  <c r="K2996" i="1"/>
  <c r="J2996" i="1"/>
  <c r="K2995" i="1"/>
  <c r="J2995" i="1"/>
  <c r="K2994" i="1"/>
  <c r="J2994" i="1"/>
  <c r="K2993" i="1"/>
  <c r="J2993" i="1"/>
  <c r="K2992" i="1"/>
  <c r="J2992" i="1"/>
  <c r="K2991" i="1"/>
  <c r="J2991" i="1"/>
  <c r="K2990" i="1"/>
  <c r="J2990" i="1"/>
  <c r="K2989" i="1"/>
  <c r="J2989" i="1"/>
  <c r="K2988" i="1"/>
  <c r="J2988" i="1"/>
  <c r="K2987" i="1"/>
  <c r="J2987" i="1"/>
  <c r="K2986" i="1"/>
  <c r="J2986" i="1"/>
  <c r="K2985" i="1"/>
  <c r="J2985" i="1"/>
  <c r="K2984" i="1"/>
  <c r="J2984" i="1"/>
  <c r="K2983" i="1"/>
  <c r="J2983" i="1"/>
  <c r="K2982" i="1"/>
  <c r="J2982" i="1"/>
  <c r="K2981" i="1"/>
  <c r="J2981" i="1"/>
  <c r="K2980" i="1"/>
  <c r="J2980" i="1"/>
  <c r="K2979" i="1"/>
  <c r="J2979" i="1"/>
  <c r="K2978" i="1"/>
  <c r="J2978" i="1"/>
  <c r="K2977" i="1"/>
  <c r="J2977" i="1"/>
  <c r="K2976" i="1"/>
  <c r="J2976" i="1"/>
  <c r="K2975" i="1"/>
  <c r="J2975" i="1"/>
  <c r="K2974" i="1"/>
  <c r="J2974" i="1"/>
  <c r="K2973" i="1"/>
  <c r="J2973" i="1"/>
  <c r="K2972" i="1"/>
  <c r="J2972" i="1"/>
  <c r="K2971" i="1"/>
  <c r="J2971" i="1"/>
  <c r="K2970" i="1"/>
  <c r="J2970" i="1"/>
  <c r="K2969" i="1"/>
  <c r="J2969" i="1"/>
  <c r="K2968" i="1"/>
  <c r="J2968" i="1"/>
  <c r="K2967" i="1"/>
  <c r="J2967" i="1"/>
  <c r="K2966" i="1"/>
  <c r="J2966" i="1"/>
  <c r="K2965" i="1"/>
  <c r="J2965" i="1"/>
  <c r="K2964" i="1"/>
  <c r="J2964" i="1"/>
  <c r="K2963" i="1"/>
  <c r="J2963" i="1"/>
  <c r="K2962" i="1"/>
  <c r="J2962" i="1"/>
  <c r="K2961" i="1"/>
  <c r="J2961" i="1"/>
  <c r="K2960" i="1"/>
  <c r="J2960" i="1"/>
  <c r="K2959" i="1"/>
  <c r="J2959" i="1"/>
  <c r="K2958" i="1"/>
  <c r="J2958" i="1"/>
  <c r="K2957" i="1"/>
  <c r="J2957" i="1"/>
  <c r="K2956" i="1"/>
  <c r="J2956" i="1"/>
  <c r="K2955" i="1"/>
  <c r="J2955" i="1"/>
  <c r="K2954" i="1"/>
  <c r="J2954" i="1"/>
  <c r="K2953" i="1"/>
  <c r="J2953" i="1"/>
  <c r="K2952" i="1"/>
  <c r="J2952" i="1"/>
  <c r="K2951" i="1"/>
  <c r="J2951" i="1"/>
  <c r="K2950" i="1"/>
  <c r="J2950" i="1"/>
  <c r="K2949" i="1"/>
  <c r="J2949" i="1"/>
  <c r="K2948" i="1"/>
  <c r="J2948" i="1"/>
  <c r="K2947" i="1"/>
  <c r="J2947" i="1"/>
  <c r="K2946" i="1"/>
  <c r="J2946" i="1"/>
  <c r="K2945" i="1"/>
  <c r="J2945" i="1"/>
  <c r="K2944" i="1"/>
  <c r="J2944" i="1"/>
  <c r="K2943" i="1"/>
  <c r="J2943" i="1"/>
  <c r="K2942" i="1"/>
  <c r="J2942" i="1"/>
  <c r="K2941" i="1"/>
  <c r="J2941" i="1"/>
  <c r="K2940" i="1"/>
  <c r="J2940" i="1"/>
  <c r="K2939" i="1"/>
  <c r="J2939" i="1"/>
  <c r="K2938" i="1"/>
  <c r="J2938" i="1"/>
  <c r="K2937" i="1"/>
  <c r="J2937" i="1"/>
  <c r="K2936" i="1"/>
  <c r="J2936" i="1"/>
  <c r="K2935" i="1"/>
  <c r="J2935" i="1"/>
  <c r="K2934" i="1"/>
  <c r="J2934" i="1"/>
  <c r="K2933" i="1"/>
  <c r="J2933" i="1"/>
  <c r="K2932" i="1"/>
  <c r="J2932" i="1"/>
  <c r="K2931" i="1"/>
  <c r="J2931" i="1"/>
  <c r="K2930" i="1"/>
  <c r="J2930" i="1"/>
  <c r="K2929" i="1"/>
  <c r="J2929" i="1"/>
  <c r="K2928" i="1"/>
  <c r="J2928" i="1"/>
  <c r="K2927" i="1"/>
  <c r="J2927" i="1"/>
  <c r="K2926" i="1"/>
  <c r="J2926" i="1"/>
  <c r="K2925" i="1"/>
  <c r="J2925" i="1"/>
  <c r="K2924" i="1"/>
  <c r="J2924" i="1"/>
  <c r="K2923" i="1"/>
  <c r="J2923" i="1"/>
  <c r="K2922" i="1"/>
  <c r="J2922" i="1"/>
  <c r="K2921" i="1"/>
  <c r="J2921" i="1"/>
  <c r="K2920" i="1"/>
  <c r="J2920" i="1"/>
  <c r="K2919" i="1"/>
  <c r="J2919" i="1"/>
  <c r="K2918" i="1"/>
  <c r="J2918" i="1"/>
  <c r="K2917" i="1"/>
  <c r="J2917" i="1"/>
  <c r="K2916" i="1"/>
  <c r="J2916" i="1"/>
  <c r="K2915" i="1"/>
  <c r="J2915" i="1"/>
  <c r="K2914" i="1"/>
  <c r="J2914" i="1"/>
  <c r="K2913" i="1"/>
  <c r="J2913" i="1"/>
  <c r="K2912" i="1"/>
  <c r="J2912" i="1"/>
  <c r="K2911" i="1"/>
  <c r="J2911" i="1"/>
  <c r="K2910" i="1"/>
  <c r="J2910" i="1"/>
  <c r="K2909" i="1"/>
  <c r="J2909" i="1"/>
  <c r="K2908" i="1"/>
  <c r="J2908" i="1"/>
  <c r="K2907" i="1"/>
  <c r="J2907" i="1"/>
  <c r="K2906" i="1"/>
  <c r="J2906" i="1"/>
  <c r="K2905" i="1"/>
  <c r="J2905" i="1"/>
  <c r="K2904" i="1"/>
  <c r="J2904" i="1"/>
  <c r="K2903" i="1"/>
  <c r="J2903" i="1"/>
  <c r="K2902" i="1"/>
  <c r="J2902" i="1"/>
  <c r="K2901" i="1"/>
  <c r="J2901" i="1"/>
  <c r="K2900" i="1"/>
  <c r="J2900" i="1"/>
  <c r="K2899" i="1"/>
  <c r="J2899" i="1"/>
  <c r="K2898" i="1"/>
  <c r="J2898" i="1"/>
  <c r="K2897" i="1"/>
  <c r="J2897" i="1"/>
  <c r="K2896" i="1"/>
  <c r="J2896" i="1"/>
  <c r="K2895" i="1"/>
  <c r="J2895" i="1"/>
  <c r="K2894" i="1"/>
  <c r="J2894" i="1"/>
  <c r="K2893" i="1"/>
  <c r="J2893" i="1"/>
  <c r="K2892" i="1"/>
  <c r="J2892" i="1"/>
  <c r="K2891" i="1"/>
  <c r="J2891" i="1"/>
  <c r="K2890" i="1"/>
  <c r="J2890" i="1"/>
  <c r="K2889" i="1"/>
  <c r="J2889" i="1"/>
  <c r="K2888" i="1"/>
  <c r="J2888" i="1"/>
  <c r="K2887" i="1"/>
  <c r="J2887" i="1"/>
  <c r="K2886" i="1"/>
  <c r="J2886" i="1"/>
  <c r="K2885" i="1"/>
  <c r="J2885" i="1"/>
  <c r="K2884" i="1"/>
  <c r="J2884" i="1"/>
  <c r="K2883" i="1"/>
  <c r="J2883" i="1"/>
  <c r="K2882" i="1"/>
  <c r="J2882" i="1"/>
  <c r="K2881" i="1"/>
  <c r="J2881" i="1"/>
  <c r="K2880" i="1"/>
  <c r="J2880" i="1"/>
  <c r="K2879" i="1"/>
  <c r="J2879" i="1"/>
  <c r="K2878" i="1"/>
  <c r="J2878" i="1"/>
  <c r="K2877" i="1"/>
  <c r="J2877" i="1"/>
  <c r="K2876" i="1"/>
  <c r="J2876" i="1"/>
  <c r="K2875" i="1"/>
  <c r="J2875" i="1"/>
  <c r="K2874" i="1"/>
  <c r="J2874" i="1"/>
  <c r="K2873" i="1"/>
  <c r="J2873" i="1"/>
  <c r="K2872" i="1"/>
  <c r="J2872" i="1"/>
  <c r="K2871" i="1"/>
  <c r="J2871" i="1"/>
  <c r="K2870" i="1"/>
  <c r="J2870" i="1"/>
  <c r="K2869" i="1"/>
  <c r="J2869" i="1"/>
  <c r="K2868" i="1"/>
  <c r="J2868" i="1"/>
  <c r="K2867" i="1"/>
  <c r="J2867" i="1"/>
  <c r="K2866" i="1"/>
  <c r="J2866" i="1"/>
  <c r="K2865" i="1"/>
  <c r="J2865" i="1"/>
  <c r="K2864" i="1"/>
  <c r="J2864" i="1"/>
  <c r="K2863" i="1"/>
  <c r="J2863" i="1"/>
  <c r="K2862" i="1"/>
  <c r="J2862" i="1"/>
  <c r="K2861" i="1"/>
  <c r="J2861" i="1"/>
  <c r="K2860" i="1"/>
  <c r="J2860" i="1"/>
  <c r="K2859" i="1"/>
  <c r="J2859" i="1"/>
  <c r="K2858" i="1"/>
  <c r="J2858" i="1"/>
  <c r="K2857" i="1"/>
  <c r="J2857" i="1"/>
  <c r="K2856" i="1"/>
  <c r="J2856" i="1"/>
  <c r="K2855" i="1"/>
  <c r="J2855" i="1"/>
  <c r="K2854" i="1"/>
  <c r="J2854" i="1"/>
  <c r="K2853" i="1"/>
  <c r="J2853" i="1"/>
  <c r="K2852" i="1"/>
  <c r="J2852" i="1"/>
  <c r="K2851" i="1"/>
  <c r="J2851" i="1"/>
  <c r="K2850" i="1"/>
  <c r="J2850" i="1"/>
  <c r="K2849" i="1"/>
  <c r="J2849" i="1"/>
  <c r="K2848" i="1"/>
  <c r="J2848" i="1"/>
  <c r="K2847" i="1"/>
  <c r="J2847" i="1"/>
  <c r="K2846" i="1"/>
  <c r="J2846" i="1"/>
  <c r="K2845" i="1"/>
  <c r="J2845" i="1"/>
  <c r="K2844" i="1"/>
  <c r="J2844" i="1"/>
  <c r="K2843" i="1"/>
  <c r="J2843" i="1"/>
  <c r="K2842" i="1"/>
  <c r="J2842" i="1"/>
  <c r="K2841" i="1"/>
  <c r="J2841" i="1"/>
  <c r="K2840" i="1"/>
  <c r="J2840" i="1"/>
  <c r="K2839" i="1"/>
  <c r="J2839" i="1"/>
  <c r="K2838" i="1"/>
  <c r="J2838" i="1"/>
  <c r="K2837" i="1"/>
  <c r="J2837" i="1"/>
  <c r="K2836" i="1"/>
  <c r="J2836" i="1"/>
  <c r="K2835" i="1"/>
  <c r="J2835" i="1"/>
  <c r="K2834" i="1"/>
  <c r="J2834" i="1"/>
  <c r="K2833" i="1"/>
  <c r="J2833" i="1"/>
  <c r="K2832" i="1"/>
  <c r="J2832" i="1"/>
  <c r="K2831" i="1"/>
  <c r="J2831" i="1"/>
  <c r="K2830" i="1"/>
  <c r="J2830" i="1"/>
  <c r="K2829" i="1"/>
  <c r="J2829" i="1"/>
  <c r="K2828" i="1"/>
  <c r="J2828" i="1"/>
  <c r="K2827" i="1"/>
  <c r="J2827" i="1"/>
  <c r="K2826" i="1"/>
  <c r="J2826" i="1"/>
  <c r="K2825" i="1"/>
  <c r="J2825" i="1"/>
  <c r="K2824" i="1"/>
  <c r="J2824" i="1"/>
  <c r="K2823" i="1"/>
  <c r="J2823" i="1"/>
  <c r="K2822" i="1"/>
  <c r="J2822" i="1"/>
  <c r="K2821" i="1"/>
  <c r="J2821" i="1"/>
  <c r="K2820" i="1"/>
  <c r="J2820" i="1"/>
  <c r="K2819" i="1"/>
  <c r="J2819" i="1"/>
  <c r="K2818" i="1"/>
  <c r="J2818" i="1"/>
  <c r="K2817" i="1"/>
  <c r="J2817" i="1"/>
  <c r="K2816" i="1"/>
  <c r="J2816" i="1"/>
  <c r="K2815" i="1"/>
  <c r="J2815" i="1"/>
  <c r="K2814" i="1"/>
  <c r="J2814" i="1"/>
  <c r="K2813" i="1"/>
  <c r="J2813" i="1"/>
  <c r="K2812" i="1"/>
  <c r="J2812" i="1"/>
  <c r="K2811" i="1"/>
  <c r="J2811" i="1"/>
  <c r="K2810" i="1"/>
  <c r="J2810" i="1"/>
  <c r="K2809" i="1"/>
  <c r="J2809" i="1"/>
  <c r="K2808" i="1"/>
  <c r="J2808" i="1"/>
  <c r="K2807" i="1"/>
  <c r="J2807" i="1"/>
  <c r="K2806" i="1"/>
  <c r="J2806" i="1"/>
  <c r="K2805" i="1"/>
  <c r="J2805" i="1"/>
  <c r="K2804" i="1"/>
  <c r="J2804" i="1"/>
  <c r="K2803" i="1"/>
  <c r="J2803" i="1"/>
  <c r="K2802" i="1"/>
  <c r="J2802" i="1"/>
  <c r="K2801" i="1"/>
  <c r="J2801" i="1"/>
  <c r="K2800" i="1"/>
  <c r="J2800" i="1"/>
  <c r="K2799" i="1"/>
  <c r="J2799" i="1"/>
  <c r="K2798" i="1"/>
  <c r="J2798" i="1"/>
  <c r="K2797" i="1"/>
  <c r="J2797" i="1"/>
  <c r="K2796" i="1"/>
  <c r="J2796" i="1"/>
  <c r="K2795" i="1"/>
  <c r="J2795" i="1"/>
  <c r="K2794" i="1"/>
  <c r="J2794" i="1"/>
  <c r="K2793" i="1"/>
  <c r="J2793" i="1"/>
  <c r="K2792" i="1"/>
  <c r="J2792" i="1"/>
  <c r="K2791" i="1"/>
  <c r="J2791" i="1"/>
  <c r="K2790" i="1"/>
  <c r="J2790" i="1"/>
  <c r="K2789" i="1"/>
  <c r="J2789" i="1"/>
  <c r="K2788" i="1"/>
  <c r="J2788" i="1"/>
  <c r="K2787" i="1"/>
  <c r="J2787" i="1"/>
  <c r="K2786" i="1"/>
  <c r="J2786" i="1"/>
  <c r="K2785" i="1"/>
  <c r="J2785" i="1"/>
  <c r="K2784" i="1"/>
  <c r="J2784" i="1"/>
  <c r="K2783" i="1"/>
  <c r="J2783" i="1"/>
  <c r="K2782" i="1"/>
  <c r="J2782" i="1"/>
  <c r="K2781" i="1"/>
  <c r="J2781" i="1"/>
  <c r="K2780" i="1"/>
  <c r="J2780" i="1"/>
  <c r="K2779" i="1"/>
  <c r="J2779" i="1"/>
  <c r="K2778" i="1"/>
  <c r="J2778" i="1"/>
  <c r="K2777" i="1"/>
  <c r="J2777" i="1"/>
  <c r="K2776" i="1"/>
  <c r="J2776" i="1"/>
  <c r="K2775" i="1"/>
  <c r="J2775" i="1"/>
  <c r="K2774" i="1"/>
  <c r="J2774" i="1"/>
  <c r="K2773" i="1"/>
  <c r="J2773" i="1"/>
  <c r="K2772" i="1"/>
  <c r="J2772" i="1"/>
  <c r="K2771" i="1"/>
  <c r="J2771" i="1"/>
  <c r="K2770" i="1"/>
  <c r="J2770" i="1"/>
  <c r="K2769" i="1"/>
  <c r="J2769" i="1"/>
  <c r="K2768" i="1"/>
  <c r="J2768" i="1"/>
  <c r="K2767" i="1"/>
  <c r="J2767" i="1"/>
  <c r="K2766" i="1"/>
  <c r="J2766" i="1"/>
  <c r="K2765" i="1"/>
  <c r="J2765" i="1"/>
  <c r="K2764" i="1"/>
  <c r="J2764" i="1"/>
  <c r="K2763" i="1"/>
  <c r="J2763" i="1"/>
  <c r="K2762" i="1"/>
  <c r="J2762" i="1"/>
  <c r="K2761" i="1"/>
  <c r="J2761" i="1"/>
  <c r="K2760" i="1"/>
  <c r="J2760" i="1"/>
  <c r="K2759" i="1"/>
  <c r="J2759" i="1"/>
  <c r="K2758" i="1"/>
  <c r="J2758" i="1"/>
  <c r="K2757" i="1"/>
  <c r="J2757" i="1"/>
  <c r="K2756" i="1"/>
  <c r="J2756" i="1"/>
  <c r="K2755" i="1"/>
  <c r="J2755" i="1"/>
  <c r="K2754" i="1"/>
  <c r="J2754" i="1"/>
  <c r="K2753" i="1"/>
  <c r="J2753" i="1"/>
  <c r="K2752" i="1"/>
  <c r="J2752" i="1"/>
  <c r="K2751" i="1"/>
  <c r="J2751" i="1"/>
  <c r="K2750" i="1"/>
  <c r="J2750" i="1"/>
  <c r="K2749" i="1"/>
  <c r="J2749" i="1"/>
  <c r="K2748" i="1"/>
  <c r="J2748" i="1"/>
  <c r="K2747" i="1"/>
  <c r="J2747" i="1"/>
  <c r="K2746" i="1"/>
  <c r="J2746" i="1"/>
  <c r="K2745" i="1"/>
  <c r="J2745" i="1"/>
  <c r="K2744" i="1"/>
  <c r="J2744" i="1"/>
  <c r="K2743" i="1"/>
  <c r="J2743" i="1"/>
  <c r="K2742" i="1"/>
  <c r="J2742" i="1"/>
  <c r="K2741" i="1"/>
  <c r="J2741" i="1"/>
  <c r="K2740" i="1"/>
  <c r="J2740" i="1"/>
  <c r="K2739" i="1"/>
  <c r="J2739" i="1"/>
  <c r="K2738" i="1"/>
  <c r="J2738" i="1"/>
  <c r="K2737" i="1"/>
  <c r="J2737" i="1"/>
  <c r="K2736" i="1"/>
  <c r="J2736" i="1"/>
  <c r="K2735" i="1"/>
  <c r="J2735" i="1"/>
  <c r="K2734" i="1"/>
  <c r="J2734" i="1"/>
  <c r="K2733" i="1"/>
  <c r="J2733" i="1"/>
  <c r="K2732" i="1"/>
  <c r="J2732" i="1"/>
  <c r="K2731" i="1"/>
  <c r="J2731" i="1"/>
  <c r="K2730" i="1"/>
  <c r="J2730" i="1"/>
  <c r="K2729" i="1"/>
  <c r="J2729" i="1"/>
  <c r="K2728" i="1"/>
  <c r="J2728" i="1"/>
  <c r="K2727" i="1"/>
  <c r="J2727" i="1"/>
  <c r="K2726" i="1"/>
  <c r="J2726" i="1"/>
  <c r="K2725" i="1"/>
  <c r="J2725" i="1"/>
  <c r="K2724" i="1"/>
  <c r="J2724" i="1"/>
  <c r="K2723" i="1"/>
  <c r="J2723" i="1"/>
  <c r="K2722" i="1"/>
  <c r="J2722" i="1"/>
  <c r="K2721" i="1"/>
  <c r="J2721" i="1"/>
  <c r="K2720" i="1"/>
  <c r="J2720" i="1"/>
  <c r="K2719" i="1"/>
  <c r="J2719" i="1"/>
  <c r="K2718" i="1"/>
  <c r="J2718" i="1"/>
  <c r="K2717" i="1"/>
  <c r="J2717" i="1"/>
  <c r="K2716" i="1"/>
  <c r="J2716" i="1"/>
  <c r="K2715" i="1"/>
  <c r="J2715" i="1"/>
  <c r="K2714" i="1"/>
  <c r="J2714" i="1"/>
  <c r="K2713" i="1"/>
  <c r="J2713" i="1"/>
  <c r="K2712" i="1"/>
  <c r="J2712" i="1"/>
  <c r="K2711" i="1"/>
  <c r="J2711" i="1"/>
  <c r="K2710" i="1"/>
  <c r="J2710" i="1"/>
  <c r="K2709" i="1"/>
  <c r="J2709" i="1"/>
  <c r="K2708" i="1"/>
  <c r="J2708" i="1"/>
  <c r="K2707" i="1"/>
  <c r="J2707" i="1"/>
  <c r="K2706" i="1"/>
  <c r="J2706" i="1"/>
  <c r="K2705" i="1"/>
  <c r="J2705" i="1"/>
  <c r="K2704" i="1"/>
  <c r="J2704" i="1"/>
  <c r="K2703" i="1"/>
  <c r="J2703" i="1"/>
  <c r="K2702" i="1"/>
  <c r="J2702" i="1"/>
  <c r="K2701" i="1"/>
  <c r="J2701" i="1"/>
  <c r="K2700" i="1"/>
  <c r="J2700" i="1"/>
  <c r="K2699" i="1"/>
  <c r="J2699" i="1"/>
  <c r="K2698" i="1"/>
  <c r="J2698" i="1"/>
  <c r="K2697" i="1"/>
  <c r="J2697" i="1"/>
  <c r="K2696" i="1"/>
  <c r="J2696" i="1"/>
  <c r="K2695" i="1"/>
  <c r="J2695" i="1"/>
  <c r="K2694" i="1"/>
  <c r="J2694" i="1"/>
  <c r="K2693" i="1"/>
  <c r="J2693" i="1"/>
  <c r="K2692" i="1"/>
  <c r="J2692" i="1"/>
  <c r="K2691" i="1"/>
  <c r="J2691" i="1"/>
  <c r="K2690" i="1"/>
  <c r="J2690" i="1"/>
  <c r="K2689" i="1"/>
  <c r="J2689" i="1"/>
  <c r="K2688" i="1"/>
  <c r="J2688" i="1"/>
  <c r="K2687" i="1"/>
  <c r="J2687" i="1"/>
  <c r="K2686" i="1"/>
  <c r="J2686" i="1"/>
  <c r="K2685" i="1"/>
  <c r="J2685" i="1"/>
  <c r="K2684" i="1"/>
  <c r="J2684" i="1"/>
  <c r="K2683" i="1"/>
  <c r="J2683" i="1"/>
  <c r="K2682" i="1"/>
  <c r="J2682" i="1"/>
  <c r="K2681" i="1"/>
  <c r="J2681" i="1"/>
  <c r="K2680" i="1"/>
  <c r="J2680" i="1"/>
  <c r="K2679" i="1"/>
  <c r="J2679" i="1"/>
  <c r="K2678" i="1"/>
  <c r="J2678" i="1"/>
  <c r="K2677" i="1"/>
  <c r="J2677" i="1"/>
  <c r="K2676" i="1"/>
  <c r="J2676" i="1"/>
  <c r="K2675" i="1"/>
  <c r="J2675" i="1"/>
  <c r="K2674" i="1"/>
  <c r="J2674" i="1"/>
  <c r="K2673" i="1"/>
  <c r="J2673" i="1"/>
  <c r="K2672" i="1"/>
  <c r="J2672" i="1"/>
  <c r="K2671" i="1"/>
  <c r="J2671" i="1"/>
  <c r="K2670" i="1"/>
  <c r="J2670" i="1"/>
  <c r="K2669" i="1"/>
  <c r="J2669" i="1"/>
  <c r="K2668" i="1"/>
  <c r="J2668" i="1"/>
  <c r="K2667" i="1"/>
  <c r="J2667" i="1"/>
  <c r="K2666" i="1"/>
  <c r="J2666" i="1"/>
  <c r="K2665" i="1"/>
  <c r="J2665" i="1"/>
  <c r="K2664" i="1"/>
  <c r="J2664" i="1"/>
  <c r="K2663" i="1"/>
  <c r="J2663" i="1"/>
  <c r="K2662" i="1"/>
  <c r="J2662" i="1"/>
  <c r="K2661" i="1"/>
  <c r="J2661" i="1"/>
  <c r="K2660" i="1"/>
  <c r="J2660" i="1"/>
  <c r="K2659" i="1"/>
  <c r="J2659" i="1"/>
  <c r="K2658" i="1"/>
  <c r="J2658" i="1"/>
  <c r="K2657" i="1"/>
  <c r="J2657" i="1"/>
  <c r="K2656" i="1"/>
  <c r="J2656" i="1"/>
  <c r="K2655" i="1"/>
  <c r="J2655" i="1"/>
  <c r="K2654" i="1"/>
  <c r="J2654" i="1"/>
  <c r="K2653" i="1"/>
  <c r="J2653" i="1"/>
  <c r="K2652" i="1"/>
  <c r="J2652" i="1"/>
  <c r="K2651" i="1"/>
  <c r="J2651" i="1"/>
  <c r="K2650" i="1"/>
  <c r="J2650" i="1"/>
  <c r="K2649" i="1"/>
  <c r="J2649" i="1"/>
  <c r="K2648" i="1"/>
  <c r="J2648" i="1"/>
  <c r="K2647" i="1"/>
  <c r="J2647" i="1"/>
  <c r="K2646" i="1"/>
  <c r="J2646" i="1"/>
  <c r="K2645" i="1"/>
  <c r="J2645" i="1"/>
  <c r="K2644" i="1"/>
  <c r="J2644" i="1"/>
  <c r="K2643" i="1"/>
  <c r="J2643" i="1"/>
  <c r="K2642" i="1"/>
  <c r="J2642" i="1"/>
  <c r="K2641" i="1"/>
  <c r="J2641" i="1"/>
  <c r="K2640" i="1"/>
  <c r="J2640" i="1"/>
  <c r="K2639" i="1"/>
  <c r="J2639" i="1"/>
  <c r="K2638" i="1"/>
  <c r="J2638" i="1"/>
  <c r="K2637" i="1"/>
  <c r="J2637" i="1"/>
  <c r="K2636" i="1"/>
  <c r="J2636" i="1"/>
  <c r="K2635" i="1"/>
  <c r="J2635" i="1"/>
  <c r="K2634" i="1"/>
  <c r="J2634" i="1"/>
  <c r="K2633" i="1"/>
  <c r="J2633" i="1"/>
  <c r="K2632" i="1"/>
  <c r="J2632" i="1"/>
  <c r="K2631" i="1"/>
  <c r="J2631" i="1"/>
  <c r="K2630" i="1"/>
  <c r="J2630" i="1"/>
  <c r="K2629" i="1"/>
  <c r="J2629" i="1"/>
  <c r="K2628" i="1"/>
  <c r="J2628" i="1"/>
  <c r="K2627" i="1"/>
  <c r="J2627" i="1"/>
  <c r="K2626" i="1"/>
  <c r="J2626" i="1"/>
  <c r="K2625" i="1"/>
  <c r="J2625" i="1"/>
  <c r="K2624" i="1"/>
  <c r="J2624" i="1"/>
  <c r="K2623" i="1"/>
  <c r="J2623" i="1"/>
  <c r="K2622" i="1"/>
  <c r="J2622" i="1"/>
  <c r="K2621" i="1"/>
  <c r="J2621" i="1"/>
  <c r="K2620" i="1"/>
  <c r="J2620" i="1"/>
  <c r="K2619" i="1"/>
  <c r="J2619" i="1"/>
  <c r="K2618" i="1"/>
  <c r="J2618" i="1"/>
  <c r="K2617" i="1"/>
  <c r="J2617" i="1"/>
  <c r="K2616" i="1"/>
  <c r="J2616" i="1"/>
  <c r="K2615" i="1"/>
  <c r="J2615" i="1"/>
  <c r="K2614" i="1"/>
  <c r="J2614" i="1"/>
  <c r="K2613" i="1"/>
  <c r="J2613" i="1"/>
  <c r="K2612" i="1"/>
  <c r="J2612" i="1"/>
  <c r="K2611" i="1"/>
  <c r="J2611" i="1"/>
  <c r="K2610" i="1"/>
  <c r="J2610" i="1"/>
  <c r="K2609" i="1"/>
  <c r="J2609" i="1"/>
  <c r="K2608" i="1"/>
  <c r="J2608" i="1"/>
  <c r="K2607" i="1"/>
  <c r="J2607" i="1"/>
  <c r="K2606" i="1"/>
  <c r="J2606" i="1"/>
  <c r="K2605" i="1"/>
  <c r="J2605" i="1"/>
  <c r="K2604" i="1"/>
  <c r="J2604" i="1"/>
  <c r="K2603" i="1"/>
  <c r="J2603" i="1"/>
  <c r="K2602" i="1"/>
  <c r="J2602" i="1"/>
  <c r="K2601" i="1"/>
  <c r="J2601" i="1"/>
  <c r="K2600" i="1"/>
  <c r="J2600" i="1"/>
  <c r="K2599" i="1"/>
  <c r="J2599" i="1"/>
  <c r="K2598" i="1"/>
  <c r="J2598" i="1"/>
  <c r="K2597" i="1"/>
  <c r="J2597" i="1"/>
  <c r="K2596" i="1"/>
  <c r="J2596" i="1"/>
  <c r="K2595" i="1"/>
  <c r="J2595" i="1"/>
  <c r="K2594" i="1"/>
  <c r="J2594" i="1"/>
  <c r="K2593" i="1"/>
  <c r="J2593" i="1"/>
  <c r="K2592" i="1"/>
  <c r="J2592" i="1"/>
  <c r="K2591" i="1"/>
  <c r="J2591" i="1"/>
  <c r="K2590" i="1"/>
  <c r="J2590" i="1"/>
  <c r="K2589" i="1"/>
  <c r="J2589" i="1"/>
  <c r="K2588" i="1"/>
  <c r="J2588" i="1"/>
  <c r="K2587" i="1"/>
  <c r="J2587" i="1"/>
  <c r="K2586" i="1"/>
  <c r="J2586" i="1"/>
  <c r="K2585" i="1"/>
  <c r="J2585" i="1"/>
  <c r="K2584" i="1"/>
  <c r="J2584" i="1"/>
  <c r="K2583" i="1"/>
  <c r="J2583" i="1"/>
  <c r="K2582" i="1"/>
  <c r="J2582" i="1"/>
  <c r="K2581" i="1"/>
  <c r="J2581" i="1"/>
  <c r="K2580" i="1"/>
  <c r="J2580" i="1"/>
  <c r="K2579" i="1"/>
  <c r="J2579" i="1"/>
  <c r="K2578" i="1"/>
  <c r="J2578" i="1"/>
  <c r="K2577" i="1"/>
  <c r="J2577" i="1"/>
  <c r="K2576" i="1"/>
  <c r="J2576" i="1"/>
  <c r="K2575" i="1"/>
  <c r="J2575" i="1"/>
  <c r="K2574" i="1"/>
  <c r="J2574" i="1"/>
  <c r="K2573" i="1"/>
  <c r="J2573" i="1"/>
  <c r="K2572" i="1"/>
  <c r="J2572" i="1"/>
  <c r="K2571" i="1"/>
  <c r="J2571" i="1"/>
  <c r="K2570" i="1"/>
  <c r="J2570" i="1"/>
  <c r="K2569" i="1"/>
  <c r="J2569" i="1"/>
  <c r="K2568" i="1"/>
  <c r="J2568" i="1"/>
  <c r="K2567" i="1"/>
  <c r="J2567" i="1"/>
  <c r="K2566" i="1"/>
  <c r="J2566" i="1"/>
  <c r="K2565" i="1"/>
  <c r="J2565" i="1"/>
  <c r="K2564" i="1"/>
  <c r="J2564" i="1"/>
  <c r="K2563" i="1"/>
  <c r="J2563" i="1"/>
  <c r="K2562" i="1"/>
  <c r="J2562" i="1"/>
  <c r="K2561" i="1"/>
  <c r="J2561" i="1"/>
  <c r="K2560" i="1"/>
  <c r="J2560" i="1"/>
  <c r="K2559" i="1"/>
  <c r="J2559" i="1"/>
  <c r="K2558" i="1"/>
  <c r="J2558" i="1"/>
  <c r="K2557" i="1"/>
  <c r="J2557" i="1"/>
  <c r="K2556" i="1"/>
  <c r="J2556" i="1"/>
  <c r="K2555" i="1"/>
  <c r="J2555" i="1"/>
  <c r="K2554" i="1"/>
  <c r="J2554" i="1"/>
  <c r="K2553" i="1"/>
  <c r="J2553" i="1"/>
  <c r="K2552" i="1"/>
  <c r="J2552" i="1"/>
  <c r="K2551" i="1"/>
  <c r="J2551" i="1"/>
  <c r="K2550" i="1"/>
  <c r="J2550" i="1"/>
  <c r="K2549" i="1"/>
  <c r="J2549" i="1"/>
  <c r="K2548" i="1"/>
  <c r="J2548" i="1"/>
  <c r="K2547" i="1"/>
  <c r="J2547" i="1"/>
  <c r="K2546" i="1"/>
  <c r="J2546" i="1"/>
  <c r="K2545" i="1"/>
  <c r="J2545" i="1"/>
  <c r="K2544" i="1"/>
  <c r="J2544" i="1"/>
  <c r="K2543" i="1"/>
  <c r="J2543" i="1"/>
  <c r="K2542" i="1"/>
  <c r="J2542" i="1"/>
  <c r="K2541" i="1"/>
  <c r="J2541" i="1"/>
  <c r="K2540" i="1"/>
  <c r="J2540" i="1"/>
  <c r="K2539" i="1"/>
  <c r="J2539" i="1"/>
  <c r="K2538" i="1"/>
  <c r="J2538" i="1"/>
  <c r="K2537" i="1"/>
  <c r="J2537" i="1"/>
  <c r="K2536" i="1"/>
  <c r="J2536" i="1"/>
  <c r="K2535" i="1"/>
  <c r="J2535" i="1"/>
  <c r="K2534" i="1"/>
  <c r="J2534" i="1"/>
  <c r="K2533" i="1"/>
  <c r="J2533" i="1"/>
  <c r="K2532" i="1"/>
  <c r="J2532" i="1"/>
  <c r="K2531" i="1"/>
  <c r="J2531" i="1"/>
  <c r="K2530" i="1"/>
  <c r="J2530" i="1"/>
  <c r="K2529" i="1"/>
  <c r="J2529" i="1"/>
  <c r="K2528" i="1"/>
  <c r="J2528" i="1"/>
  <c r="K2527" i="1"/>
  <c r="J2527" i="1"/>
  <c r="K2526" i="1"/>
  <c r="J2526" i="1"/>
  <c r="K2525" i="1"/>
  <c r="J2525" i="1"/>
  <c r="K2524" i="1"/>
  <c r="J2524" i="1"/>
  <c r="K2523" i="1"/>
  <c r="J2523" i="1"/>
  <c r="K2522" i="1"/>
  <c r="J2522" i="1"/>
  <c r="K2521" i="1"/>
  <c r="J2521" i="1"/>
  <c r="K2520" i="1"/>
  <c r="J2520" i="1"/>
  <c r="K2519" i="1"/>
  <c r="J2519" i="1"/>
  <c r="K2518" i="1"/>
  <c r="J2518" i="1"/>
  <c r="K2517" i="1"/>
  <c r="J2517" i="1"/>
  <c r="K2516" i="1"/>
  <c r="J2516" i="1"/>
  <c r="K2515" i="1"/>
  <c r="J2515" i="1"/>
  <c r="K2514" i="1"/>
  <c r="J2514" i="1"/>
  <c r="K2513" i="1"/>
  <c r="J2513" i="1"/>
  <c r="K2512" i="1"/>
  <c r="J2512" i="1"/>
  <c r="K2511" i="1"/>
  <c r="J2511" i="1"/>
  <c r="K2510" i="1"/>
  <c r="J2510" i="1"/>
  <c r="K2509" i="1"/>
  <c r="J2509" i="1"/>
  <c r="K2508" i="1"/>
  <c r="J2508" i="1"/>
  <c r="K2507" i="1"/>
  <c r="J2507" i="1"/>
  <c r="K2506" i="1"/>
  <c r="J2506" i="1"/>
  <c r="K2505" i="1"/>
  <c r="J2505" i="1"/>
  <c r="K2504" i="1"/>
  <c r="J2504" i="1"/>
  <c r="K2503" i="1"/>
  <c r="J2503" i="1"/>
  <c r="K2502" i="1"/>
  <c r="J2502" i="1"/>
  <c r="K2501" i="1"/>
  <c r="J2501" i="1"/>
  <c r="K2500" i="1"/>
  <c r="J2500" i="1"/>
  <c r="K2499" i="1"/>
  <c r="J2499" i="1"/>
  <c r="K2498" i="1"/>
  <c r="J2498" i="1"/>
  <c r="K2497" i="1"/>
  <c r="J2497" i="1"/>
  <c r="K2496" i="1"/>
  <c r="J2496" i="1"/>
  <c r="K2495" i="1"/>
  <c r="J2495" i="1"/>
  <c r="K2494" i="1"/>
  <c r="J2494" i="1"/>
  <c r="K2493" i="1"/>
  <c r="J2493" i="1"/>
  <c r="K2492" i="1"/>
  <c r="J2492" i="1"/>
  <c r="K2491" i="1"/>
  <c r="J2491" i="1"/>
  <c r="K2490" i="1"/>
  <c r="J2490" i="1"/>
  <c r="K2489" i="1"/>
  <c r="J2489" i="1"/>
  <c r="K2488" i="1"/>
  <c r="J2488" i="1"/>
  <c r="K2487" i="1"/>
  <c r="J2487" i="1"/>
  <c r="K2486" i="1"/>
  <c r="J2486" i="1"/>
  <c r="K2485" i="1"/>
  <c r="J2485" i="1"/>
  <c r="K2484" i="1"/>
  <c r="J2484" i="1"/>
  <c r="K2483" i="1"/>
  <c r="J2483" i="1"/>
  <c r="K2482" i="1"/>
  <c r="J2482" i="1"/>
  <c r="K2481" i="1"/>
  <c r="J2481" i="1"/>
  <c r="K2480" i="1"/>
  <c r="J2480" i="1"/>
  <c r="K2479" i="1"/>
  <c r="J2479" i="1"/>
  <c r="K2478" i="1"/>
  <c r="J2478" i="1"/>
  <c r="K2477" i="1"/>
  <c r="J2477" i="1"/>
  <c r="K2476" i="1"/>
  <c r="J2476" i="1"/>
  <c r="K2475" i="1"/>
  <c r="J2475" i="1"/>
  <c r="K2474" i="1"/>
  <c r="J2474" i="1"/>
  <c r="K2473" i="1"/>
  <c r="J2473" i="1"/>
  <c r="K2472" i="1"/>
  <c r="J2472" i="1"/>
  <c r="K2471" i="1"/>
  <c r="J2471" i="1"/>
  <c r="K2470" i="1"/>
  <c r="J2470" i="1"/>
  <c r="K2469" i="1"/>
  <c r="J2469" i="1"/>
  <c r="K2468" i="1"/>
  <c r="J2468" i="1"/>
  <c r="K2467" i="1"/>
  <c r="J2467" i="1"/>
  <c r="K2466" i="1"/>
  <c r="J2466" i="1"/>
  <c r="K2465" i="1"/>
  <c r="J2465" i="1"/>
  <c r="K2464" i="1"/>
  <c r="J2464" i="1"/>
  <c r="K2463" i="1"/>
  <c r="J2463" i="1"/>
  <c r="K2462" i="1"/>
  <c r="J2462" i="1"/>
  <c r="K2461" i="1"/>
  <c r="J2461" i="1"/>
  <c r="K2460" i="1"/>
  <c r="J2460" i="1"/>
  <c r="K2459" i="1"/>
  <c r="J2459" i="1"/>
  <c r="K2458" i="1"/>
  <c r="J2458" i="1"/>
  <c r="K2457" i="1"/>
  <c r="J2457" i="1"/>
  <c r="K2456" i="1"/>
  <c r="J2456" i="1"/>
  <c r="K2455" i="1"/>
  <c r="J2455" i="1"/>
  <c r="K2454" i="1"/>
  <c r="J2454" i="1"/>
  <c r="K2453" i="1"/>
  <c r="J2453" i="1"/>
  <c r="K2452" i="1"/>
  <c r="J2452" i="1"/>
  <c r="K2451" i="1"/>
  <c r="J2451" i="1"/>
  <c r="K2450" i="1"/>
  <c r="J2450" i="1"/>
  <c r="K2449" i="1"/>
  <c r="J2449" i="1"/>
  <c r="K2448" i="1"/>
  <c r="J2448" i="1"/>
  <c r="K2447" i="1"/>
  <c r="J2447" i="1"/>
  <c r="K2446" i="1"/>
  <c r="J2446" i="1"/>
  <c r="K2445" i="1"/>
  <c r="J2445" i="1"/>
  <c r="K2444" i="1"/>
  <c r="J2444" i="1"/>
  <c r="K2443" i="1"/>
  <c r="J2443" i="1"/>
  <c r="K2442" i="1"/>
  <c r="J2442" i="1"/>
  <c r="K2441" i="1"/>
  <c r="J2441" i="1"/>
  <c r="K2440" i="1"/>
  <c r="J2440" i="1"/>
  <c r="K2439" i="1"/>
  <c r="J2439" i="1"/>
  <c r="K2438" i="1"/>
  <c r="J2438" i="1"/>
  <c r="K2437" i="1"/>
  <c r="J2437" i="1"/>
  <c r="K2436" i="1"/>
  <c r="J2436" i="1"/>
  <c r="K2435" i="1"/>
  <c r="J2435" i="1"/>
  <c r="K2434" i="1"/>
  <c r="J2434" i="1"/>
  <c r="K2433" i="1"/>
  <c r="J2433" i="1"/>
  <c r="K2432" i="1"/>
  <c r="J2432" i="1"/>
  <c r="K2431" i="1"/>
  <c r="J2431" i="1"/>
  <c r="K2430" i="1"/>
  <c r="J2430" i="1"/>
  <c r="K2429" i="1"/>
  <c r="J2429" i="1"/>
  <c r="K2428" i="1"/>
  <c r="J2428" i="1"/>
  <c r="K2427" i="1"/>
  <c r="J2427" i="1"/>
  <c r="K2426" i="1"/>
  <c r="J2426" i="1"/>
  <c r="K2425" i="1"/>
  <c r="J2425" i="1"/>
  <c r="K2424" i="1"/>
  <c r="J2424" i="1"/>
  <c r="K2423" i="1"/>
  <c r="J2423" i="1"/>
  <c r="K2422" i="1"/>
  <c r="J2422" i="1"/>
  <c r="K2421" i="1"/>
  <c r="J2421" i="1"/>
  <c r="K2420" i="1"/>
  <c r="J2420" i="1"/>
  <c r="K2419" i="1"/>
  <c r="J2419" i="1"/>
  <c r="K2418" i="1"/>
  <c r="J2418" i="1"/>
  <c r="K2417" i="1"/>
  <c r="J2417" i="1"/>
  <c r="K2416" i="1"/>
  <c r="J2416" i="1"/>
  <c r="K2415" i="1"/>
  <c r="J2415" i="1"/>
  <c r="K2414" i="1"/>
  <c r="J2414" i="1"/>
  <c r="K2413" i="1"/>
  <c r="J2413" i="1"/>
  <c r="K2412" i="1"/>
  <c r="J2412" i="1"/>
  <c r="K2411" i="1"/>
  <c r="J2411" i="1"/>
  <c r="K2410" i="1"/>
  <c r="J2410" i="1"/>
  <c r="K2409" i="1"/>
  <c r="J2409" i="1"/>
  <c r="K2408" i="1"/>
  <c r="J2408" i="1"/>
  <c r="K2407" i="1"/>
  <c r="J2407" i="1"/>
  <c r="K2406" i="1"/>
  <c r="J2406" i="1"/>
  <c r="K2405" i="1"/>
  <c r="J2405" i="1"/>
  <c r="K2404" i="1"/>
  <c r="J2404" i="1"/>
  <c r="K2403" i="1"/>
  <c r="J2403" i="1"/>
  <c r="K2402" i="1"/>
  <c r="J2402" i="1"/>
  <c r="K2401" i="1"/>
  <c r="J2401" i="1"/>
  <c r="K2400" i="1"/>
  <c r="J2400" i="1"/>
  <c r="K2399" i="1"/>
  <c r="J2399" i="1"/>
  <c r="K2398" i="1"/>
  <c r="J2398" i="1"/>
  <c r="K2397" i="1"/>
  <c r="J2397" i="1"/>
  <c r="K2396" i="1"/>
  <c r="J2396" i="1"/>
  <c r="K2395" i="1"/>
  <c r="J2395" i="1"/>
  <c r="K2394" i="1"/>
  <c r="J2394" i="1"/>
  <c r="K2393" i="1"/>
  <c r="J2393" i="1"/>
  <c r="K2392" i="1"/>
  <c r="J2392" i="1"/>
  <c r="K2391" i="1"/>
  <c r="J2391" i="1"/>
  <c r="K2390" i="1"/>
  <c r="J2390" i="1"/>
  <c r="K2389" i="1"/>
  <c r="J2389" i="1"/>
  <c r="K2388" i="1"/>
  <c r="J2388" i="1"/>
  <c r="K2387" i="1"/>
  <c r="J2387" i="1"/>
  <c r="K2386" i="1"/>
  <c r="J2386" i="1"/>
  <c r="K2385" i="1"/>
  <c r="J2385" i="1"/>
  <c r="K2384" i="1"/>
  <c r="J2384" i="1"/>
  <c r="K2383" i="1"/>
  <c r="J2383" i="1"/>
  <c r="K2382" i="1"/>
  <c r="J2382" i="1"/>
  <c r="K2381" i="1"/>
  <c r="J2381" i="1"/>
  <c r="K2380" i="1"/>
  <c r="J2380" i="1"/>
  <c r="K2379" i="1"/>
  <c r="J2379" i="1"/>
  <c r="K2378" i="1"/>
  <c r="J2378" i="1"/>
  <c r="K2377" i="1"/>
  <c r="J2377" i="1"/>
  <c r="K2376" i="1"/>
  <c r="J2376" i="1"/>
  <c r="K2375" i="1"/>
  <c r="J2375" i="1"/>
  <c r="K2374" i="1"/>
  <c r="J2374" i="1"/>
  <c r="K2373" i="1"/>
  <c r="J2373" i="1"/>
  <c r="K2372" i="1"/>
  <c r="J2372" i="1"/>
  <c r="K2371" i="1"/>
  <c r="J2371" i="1"/>
  <c r="K2370" i="1"/>
  <c r="J2370" i="1"/>
  <c r="K2369" i="1"/>
  <c r="J2369" i="1"/>
  <c r="K2368" i="1"/>
  <c r="J2368" i="1"/>
  <c r="K2367" i="1"/>
  <c r="J2367" i="1"/>
  <c r="K2366" i="1"/>
  <c r="J2366" i="1"/>
  <c r="K2365" i="1"/>
  <c r="J2365" i="1"/>
  <c r="K2364" i="1"/>
  <c r="J2364" i="1"/>
  <c r="K2363" i="1"/>
  <c r="J2363" i="1"/>
  <c r="K2362" i="1"/>
  <c r="J2362" i="1"/>
  <c r="K2361" i="1"/>
  <c r="J2361" i="1"/>
  <c r="K2360" i="1"/>
  <c r="J2360" i="1"/>
  <c r="K2359" i="1"/>
  <c r="J2359" i="1"/>
  <c r="K2358" i="1"/>
  <c r="J2358" i="1"/>
  <c r="K2357" i="1"/>
  <c r="J2357" i="1"/>
  <c r="K2356" i="1"/>
  <c r="J2356" i="1"/>
  <c r="K2355" i="1"/>
  <c r="J2355" i="1"/>
  <c r="K2354" i="1"/>
  <c r="J2354" i="1"/>
  <c r="K2353" i="1"/>
  <c r="J2353" i="1"/>
  <c r="K2352" i="1"/>
  <c r="J2352" i="1"/>
  <c r="K2351" i="1"/>
  <c r="J2351" i="1"/>
  <c r="K2350" i="1"/>
  <c r="J2350" i="1"/>
  <c r="K2349" i="1"/>
  <c r="J2349" i="1"/>
  <c r="K2348" i="1"/>
  <c r="J2348" i="1"/>
  <c r="K2347" i="1"/>
  <c r="J2347" i="1"/>
  <c r="K2346" i="1"/>
  <c r="J2346" i="1"/>
  <c r="K2345" i="1"/>
  <c r="J2345" i="1"/>
  <c r="K2344" i="1"/>
  <c r="J2344" i="1"/>
  <c r="K2343" i="1"/>
  <c r="J2343" i="1"/>
  <c r="K2342" i="1"/>
  <c r="J2342" i="1"/>
  <c r="K2341" i="1"/>
  <c r="J2341" i="1"/>
  <c r="K2340" i="1"/>
  <c r="J2340" i="1"/>
  <c r="K2339" i="1"/>
  <c r="J2339" i="1"/>
  <c r="K2338" i="1"/>
  <c r="J2338" i="1"/>
  <c r="K2337" i="1"/>
  <c r="J2337" i="1"/>
  <c r="K2336" i="1"/>
  <c r="J2336" i="1"/>
  <c r="K2335" i="1"/>
  <c r="J2335" i="1"/>
  <c r="K2334" i="1"/>
  <c r="J2334" i="1"/>
  <c r="K2333" i="1"/>
  <c r="J2333" i="1"/>
  <c r="K2332" i="1"/>
  <c r="J2332" i="1"/>
  <c r="K2331" i="1"/>
  <c r="J2331" i="1"/>
  <c r="K2330" i="1"/>
  <c r="J2330" i="1"/>
  <c r="K2329" i="1"/>
  <c r="J2329" i="1"/>
  <c r="K2328" i="1"/>
  <c r="J2328" i="1"/>
  <c r="K2327" i="1"/>
  <c r="J2327" i="1"/>
  <c r="K2326" i="1"/>
  <c r="J2326" i="1"/>
  <c r="K2325" i="1"/>
  <c r="J2325" i="1"/>
  <c r="K2324" i="1"/>
  <c r="J2324" i="1"/>
  <c r="K2323" i="1"/>
  <c r="J2323" i="1"/>
  <c r="K2322" i="1"/>
  <c r="J2322" i="1"/>
  <c r="K2321" i="1"/>
  <c r="J2321" i="1"/>
  <c r="K2320" i="1"/>
  <c r="J2320" i="1"/>
  <c r="K2319" i="1"/>
  <c r="J2319" i="1"/>
  <c r="K2318" i="1"/>
  <c r="J2318" i="1"/>
  <c r="K2317" i="1"/>
  <c r="J2317" i="1"/>
  <c r="K2316" i="1"/>
  <c r="J2316" i="1"/>
  <c r="K2315" i="1"/>
  <c r="J2315" i="1"/>
  <c r="K2314" i="1"/>
  <c r="J2314" i="1"/>
  <c r="K2313" i="1"/>
  <c r="J2313" i="1"/>
  <c r="K2312" i="1"/>
  <c r="J2312" i="1"/>
  <c r="K2311" i="1"/>
  <c r="J2311" i="1"/>
  <c r="K2310" i="1"/>
  <c r="J2310" i="1"/>
  <c r="K2309" i="1"/>
  <c r="J2309" i="1"/>
  <c r="K2308" i="1"/>
  <c r="J2308" i="1"/>
  <c r="K2307" i="1"/>
  <c r="J2307" i="1"/>
  <c r="K2306" i="1"/>
  <c r="J2306" i="1"/>
  <c r="K2305" i="1"/>
  <c r="J2305" i="1"/>
  <c r="K2304" i="1"/>
  <c r="J2304" i="1"/>
  <c r="K2303" i="1"/>
  <c r="J2303" i="1"/>
  <c r="K2302" i="1"/>
  <c r="J2302" i="1"/>
  <c r="K2301" i="1"/>
  <c r="J2301" i="1"/>
  <c r="K2300" i="1"/>
  <c r="J2300" i="1"/>
  <c r="K2299" i="1"/>
  <c r="J2299" i="1"/>
  <c r="K2298" i="1"/>
  <c r="J2298" i="1"/>
  <c r="K2297" i="1"/>
  <c r="J2297" i="1"/>
  <c r="K2296" i="1"/>
  <c r="J2296" i="1"/>
  <c r="K2295" i="1"/>
  <c r="J2295" i="1"/>
  <c r="K2294" i="1"/>
  <c r="J2294" i="1"/>
  <c r="K2293" i="1"/>
  <c r="J2293" i="1"/>
  <c r="K2292" i="1"/>
  <c r="J2292" i="1"/>
  <c r="K2291" i="1"/>
  <c r="J2291" i="1"/>
  <c r="K2290" i="1"/>
  <c r="J2290" i="1"/>
  <c r="K2289" i="1"/>
  <c r="J2289" i="1"/>
  <c r="K2288" i="1"/>
  <c r="J2288" i="1"/>
  <c r="K2287" i="1"/>
  <c r="J2287" i="1"/>
  <c r="K2286" i="1"/>
  <c r="J2286" i="1"/>
  <c r="K2285" i="1"/>
  <c r="J2285" i="1"/>
  <c r="K2284" i="1"/>
  <c r="J2284" i="1"/>
  <c r="K2283" i="1"/>
  <c r="J2283" i="1"/>
  <c r="K2282" i="1"/>
  <c r="J2282" i="1"/>
  <c r="K2281" i="1"/>
  <c r="J2281" i="1"/>
  <c r="K2280" i="1"/>
  <c r="J2280" i="1"/>
  <c r="K2279" i="1"/>
  <c r="J2279" i="1"/>
  <c r="K2278" i="1"/>
  <c r="J2278" i="1"/>
  <c r="K2277" i="1"/>
  <c r="J2277" i="1"/>
  <c r="K2276" i="1"/>
  <c r="J2276" i="1"/>
  <c r="K2275" i="1"/>
  <c r="J2275" i="1"/>
  <c r="K2274" i="1"/>
  <c r="J2274" i="1"/>
  <c r="K2273" i="1"/>
  <c r="J2273" i="1"/>
  <c r="K2272" i="1"/>
  <c r="J2272" i="1"/>
  <c r="K2271" i="1"/>
  <c r="J2271" i="1"/>
  <c r="K2270" i="1"/>
  <c r="J2270" i="1"/>
  <c r="K2269" i="1"/>
  <c r="J2269" i="1"/>
  <c r="K2268" i="1"/>
  <c r="J2268" i="1"/>
  <c r="K2267" i="1"/>
  <c r="J2267" i="1"/>
  <c r="K2266" i="1"/>
  <c r="J2266" i="1"/>
  <c r="K2265" i="1"/>
  <c r="J2265" i="1"/>
  <c r="K2264" i="1"/>
  <c r="J2264" i="1"/>
  <c r="K2263" i="1"/>
  <c r="J2263" i="1"/>
  <c r="K2262" i="1"/>
  <c r="J2262" i="1"/>
  <c r="K2261" i="1"/>
  <c r="J2261" i="1"/>
  <c r="K2260" i="1"/>
  <c r="J2260" i="1"/>
  <c r="K2259" i="1"/>
  <c r="J2259" i="1"/>
  <c r="K2258" i="1"/>
  <c r="J2258" i="1"/>
  <c r="K2257" i="1"/>
  <c r="J2257" i="1"/>
  <c r="K2256" i="1"/>
  <c r="J2256" i="1"/>
  <c r="K2255" i="1"/>
  <c r="J2255" i="1"/>
  <c r="K2254" i="1"/>
  <c r="J2254" i="1"/>
  <c r="K2253" i="1"/>
  <c r="J2253" i="1"/>
  <c r="K2252" i="1"/>
  <c r="J2252" i="1"/>
  <c r="K2251" i="1"/>
  <c r="J2251" i="1"/>
  <c r="K2250" i="1"/>
  <c r="J2250" i="1"/>
  <c r="K2249" i="1"/>
  <c r="J2249" i="1"/>
  <c r="K2248" i="1"/>
  <c r="J2248" i="1"/>
  <c r="K2247" i="1"/>
  <c r="J2247" i="1"/>
  <c r="K2246" i="1"/>
  <c r="J2246" i="1"/>
  <c r="K2245" i="1"/>
  <c r="J2245" i="1"/>
  <c r="K2244" i="1"/>
  <c r="J2244" i="1"/>
  <c r="K2243" i="1"/>
  <c r="J2243" i="1"/>
  <c r="K2242" i="1"/>
  <c r="J2242" i="1"/>
  <c r="K2241" i="1"/>
  <c r="J2241" i="1"/>
  <c r="K2240" i="1"/>
  <c r="J2240" i="1"/>
  <c r="K2239" i="1"/>
  <c r="J2239" i="1"/>
  <c r="K2238" i="1"/>
  <c r="J2238" i="1"/>
  <c r="K2237" i="1"/>
  <c r="J2237" i="1"/>
  <c r="K2236" i="1"/>
  <c r="J2236" i="1"/>
  <c r="K2235" i="1"/>
  <c r="J2235" i="1"/>
  <c r="K2234" i="1"/>
  <c r="J2234" i="1"/>
  <c r="K2233" i="1"/>
  <c r="J2233" i="1"/>
  <c r="K2232" i="1"/>
  <c r="J2232" i="1"/>
  <c r="K2231" i="1"/>
  <c r="J2231" i="1"/>
  <c r="K2230" i="1"/>
  <c r="J2230" i="1"/>
  <c r="K2229" i="1"/>
  <c r="J2229" i="1"/>
  <c r="K2228" i="1"/>
  <c r="J2228" i="1"/>
  <c r="K2227" i="1"/>
  <c r="J2227" i="1"/>
  <c r="K2226" i="1"/>
  <c r="J2226" i="1"/>
  <c r="K2225" i="1"/>
  <c r="J2225" i="1"/>
  <c r="K2224" i="1"/>
  <c r="J2224" i="1"/>
  <c r="K2223" i="1"/>
  <c r="J2223" i="1"/>
  <c r="K2222" i="1"/>
  <c r="J2222" i="1"/>
  <c r="K2221" i="1"/>
  <c r="J2221" i="1"/>
  <c r="K2220" i="1"/>
  <c r="J2220" i="1"/>
  <c r="K2219" i="1"/>
  <c r="J2219" i="1"/>
  <c r="K2218" i="1"/>
  <c r="J2218" i="1"/>
  <c r="K2217" i="1"/>
  <c r="J2217" i="1"/>
  <c r="K2216" i="1"/>
  <c r="J2216" i="1"/>
  <c r="K2215" i="1"/>
  <c r="J2215" i="1"/>
  <c r="K2214" i="1"/>
  <c r="J2214" i="1"/>
  <c r="K2213" i="1"/>
  <c r="J2213" i="1"/>
  <c r="K2212" i="1"/>
  <c r="J2212" i="1"/>
  <c r="K2211" i="1"/>
  <c r="J2211" i="1"/>
  <c r="K2210" i="1"/>
  <c r="J2210" i="1"/>
  <c r="K2209" i="1"/>
  <c r="J2209" i="1"/>
  <c r="K2208" i="1"/>
  <c r="J2208" i="1"/>
  <c r="K2207" i="1"/>
  <c r="J2207" i="1"/>
  <c r="K2206" i="1"/>
  <c r="J2206" i="1"/>
  <c r="K2205" i="1"/>
  <c r="J2205" i="1"/>
  <c r="K2204" i="1"/>
  <c r="J2204" i="1"/>
  <c r="K2203" i="1"/>
  <c r="J2203" i="1"/>
  <c r="K2202" i="1"/>
  <c r="J2202" i="1"/>
  <c r="K2201" i="1"/>
  <c r="J2201" i="1"/>
  <c r="K2200" i="1"/>
  <c r="J2200" i="1"/>
  <c r="K2199" i="1"/>
  <c r="J2199" i="1"/>
  <c r="K2198" i="1"/>
  <c r="J2198" i="1"/>
  <c r="K2197" i="1"/>
  <c r="J2197" i="1"/>
  <c r="K2196" i="1"/>
  <c r="J2196" i="1"/>
  <c r="K2195" i="1"/>
  <c r="J2195" i="1"/>
  <c r="K2194" i="1"/>
  <c r="J2194" i="1"/>
  <c r="K2193" i="1"/>
  <c r="J2193" i="1"/>
  <c r="K2192" i="1"/>
  <c r="J2192" i="1"/>
  <c r="K2191" i="1"/>
  <c r="J2191" i="1"/>
  <c r="K2190" i="1"/>
  <c r="J2190" i="1"/>
  <c r="K2189" i="1"/>
  <c r="J2189" i="1"/>
  <c r="K2188" i="1"/>
  <c r="J2188" i="1"/>
  <c r="K2187" i="1"/>
  <c r="J2187" i="1"/>
  <c r="K2186" i="1"/>
  <c r="J2186" i="1"/>
  <c r="K2185" i="1"/>
  <c r="J2185" i="1"/>
  <c r="K2184" i="1"/>
  <c r="J2184" i="1"/>
  <c r="K2183" i="1"/>
  <c r="J2183" i="1"/>
  <c r="K2182" i="1"/>
  <c r="J2182" i="1"/>
  <c r="K2181" i="1"/>
  <c r="J2181" i="1"/>
  <c r="K2180" i="1"/>
  <c r="J2180" i="1"/>
  <c r="K2179" i="1"/>
  <c r="J2179" i="1"/>
  <c r="K2178" i="1"/>
  <c r="J2178" i="1"/>
  <c r="K2177" i="1"/>
  <c r="J2177" i="1"/>
  <c r="K2176" i="1"/>
  <c r="J2176" i="1"/>
  <c r="K2175" i="1"/>
  <c r="J2175" i="1"/>
  <c r="K2174" i="1"/>
  <c r="J2174" i="1"/>
  <c r="K2173" i="1"/>
  <c r="J2173" i="1"/>
  <c r="K2172" i="1"/>
  <c r="J2172" i="1"/>
  <c r="K2171" i="1"/>
  <c r="J2171" i="1"/>
  <c r="K2170" i="1"/>
  <c r="J2170" i="1"/>
  <c r="K2169" i="1"/>
  <c r="J2169" i="1"/>
  <c r="K2168" i="1"/>
  <c r="J2168" i="1"/>
  <c r="K2167" i="1"/>
  <c r="J2167" i="1"/>
  <c r="K2166" i="1"/>
  <c r="J2166" i="1"/>
  <c r="K2165" i="1"/>
  <c r="J2165" i="1"/>
  <c r="K2164" i="1"/>
  <c r="J2164" i="1"/>
  <c r="K2163" i="1"/>
  <c r="J2163" i="1"/>
  <c r="K2162" i="1"/>
  <c r="J2162" i="1"/>
  <c r="K2161" i="1"/>
  <c r="J2161" i="1"/>
  <c r="K2160" i="1"/>
  <c r="J2160" i="1"/>
  <c r="K2159" i="1"/>
  <c r="J2159" i="1"/>
  <c r="K2158" i="1"/>
  <c r="J2158" i="1"/>
  <c r="K2157" i="1"/>
  <c r="J2157" i="1"/>
  <c r="K2156" i="1"/>
  <c r="J2156" i="1"/>
  <c r="K2155" i="1"/>
  <c r="J2155" i="1"/>
  <c r="K2154" i="1"/>
  <c r="J2154" i="1"/>
  <c r="K2153" i="1"/>
  <c r="J2153" i="1"/>
  <c r="K2152" i="1"/>
  <c r="J2152" i="1"/>
  <c r="K2151" i="1"/>
  <c r="J2151" i="1"/>
  <c r="K2150" i="1"/>
  <c r="J2150" i="1"/>
  <c r="K2149" i="1"/>
  <c r="J2149" i="1"/>
  <c r="K2148" i="1"/>
  <c r="J2148" i="1"/>
  <c r="K2147" i="1"/>
  <c r="J2147" i="1"/>
  <c r="K2146" i="1"/>
  <c r="J2146" i="1"/>
  <c r="K2145" i="1"/>
  <c r="J2145" i="1"/>
  <c r="K2144" i="1"/>
  <c r="J2144" i="1"/>
  <c r="K2143" i="1"/>
  <c r="J2143" i="1"/>
  <c r="K2142" i="1"/>
  <c r="J2142" i="1"/>
  <c r="K2141" i="1"/>
  <c r="J2141" i="1"/>
  <c r="K2140" i="1"/>
  <c r="J2140" i="1"/>
  <c r="K2139" i="1"/>
  <c r="J2139" i="1"/>
  <c r="K2138" i="1"/>
  <c r="J2138" i="1"/>
  <c r="K2137" i="1"/>
  <c r="J2137" i="1"/>
  <c r="K2136" i="1"/>
  <c r="J2136" i="1"/>
  <c r="K2135" i="1"/>
  <c r="J2135" i="1"/>
  <c r="K2134" i="1"/>
  <c r="J2134" i="1"/>
  <c r="K2133" i="1"/>
  <c r="J2133" i="1"/>
  <c r="K2132" i="1"/>
  <c r="J2132" i="1"/>
  <c r="K2131" i="1"/>
  <c r="J2131" i="1"/>
  <c r="K2130" i="1"/>
  <c r="J2130" i="1"/>
  <c r="K2129" i="1"/>
  <c r="J2129" i="1"/>
  <c r="K2128" i="1"/>
  <c r="J2128" i="1"/>
  <c r="K2127" i="1"/>
  <c r="J2127" i="1"/>
  <c r="K2126" i="1"/>
  <c r="J2126" i="1"/>
  <c r="K2125" i="1"/>
  <c r="J2125" i="1"/>
  <c r="K2124" i="1"/>
  <c r="J2124" i="1"/>
  <c r="K2123" i="1"/>
  <c r="J2123" i="1"/>
  <c r="K2122" i="1"/>
  <c r="J2122" i="1"/>
  <c r="K2121" i="1"/>
  <c r="J2121" i="1"/>
  <c r="K2120" i="1"/>
  <c r="J2120" i="1"/>
  <c r="K2119" i="1"/>
  <c r="J2119" i="1"/>
  <c r="K2118" i="1"/>
  <c r="J2118" i="1"/>
  <c r="K2117" i="1"/>
  <c r="J2117" i="1"/>
  <c r="K2116" i="1"/>
  <c r="J2116" i="1"/>
  <c r="K2115" i="1"/>
  <c r="J2115" i="1"/>
  <c r="K2114" i="1"/>
  <c r="J2114" i="1"/>
  <c r="K2113" i="1"/>
  <c r="J2113" i="1"/>
  <c r="K2112" i="1"/>
  <c r="J2112" i="1"/>
  <c r="K2111" i="1"/>
  <c r="J2111" i="1"/>
  <c r="K2110" i="1"/>
  <c r="J2110" i="1"/>
  <c r="K2109" i="1"/>
  <c r="J2109" i="1"/>
  <c r="K2108" i="1"/>
  <c r="J2108" i="1"/>
  <c r="K2107" i="1"/>
  <c r="J2107" i="1"/>
  <c r="K2106" i="1"/>
  <c r="J2106" i="1"/>
  <c r="K2105" i="1"/>
  <c r="J2105" i="1"/>
  <c r="K2104" i="1"/>
  <c r="J2104" i="1"/>
  <c r="K2103" i="1"/>
  <c r="J2103" i="1"/>
  <c r="K2102" i="1"/>
  <c r="J2102" i="1"/>
  <c r="K2101" i="1"/>
  <c r="J2101" i="1"/>
  <c r="K2100" i="1"/>
  <c r="J2100" i="1"/>
  <c r="K2099" i="1"/>
  <c r="J2099" i="1"/>
  <c r="K2098" i="1"/>
  <c r="J2098" i="1"/>
  <c r="K2097" i="1"/>
  <c r="J2097" i="1"/>
  <c r="K2096" i="1"/>
  <c r="J2096" i="1"/>
  <c r="K2095" i="1"/>
  <c r="J2095" i="1"/>
  <c r="K2094" i="1"/>
  <c r="J2094" i="1"/>
  <c r="K2093" i="1"/>
  <c r="J2093" i="1"/>
  <c r="K2092" i="1"/>
  <c r="J2092" i="1"/>
  <c r="K2091" i="1"/>
  <c r="J2091" i="1"/>
  <c r="K2090" i="1"/>
  <c r="J2090" i="1"/>
  <c r="K2089" i="1"/>
  <c r="J2089" i="1"/>
  <c r="K2088" i="1"/>
  <c r="J2088" i="1"/>
  <c r="K2087" i="1"/>
  <c r="J2087" i="1"/>
  <c r="K2086" i="1"/>
  <c r="J2086" i="1"/>
  <c r="K2085" i="1"/>
  <c r="J2085" i="1"/>
  <c r="K2084" i="1"/>
  <c r="J2084" i="1"/>
  <c r="K2083" i="1"/>
  <c r="J2083" i="1"/>
  <c r="K2082" i="1"/>
  <c r="J2082" i="1"/>
  <c r="K2081" i="1"/>
  <c r="J2081" i="1"/>
  <c r="K2080" i="1"/>
  <c r="J2080" i="1"/>
  <c r="K2079" i="1"/>
  <c r="J2079" i="1"/>
  <c r="K2078" i="1"/>
  <c r="J2078" i="1"/>
  <c r="K2077" i="1"/>
  <c r="J2077" i="1"/>
  <c r="K2076" i="1"/>
  <c r="J2076" i="1"/>
  <c r="K2075" i="1"/>
  <c r="J2075" i="1"/>
  <c r="K2074" i="1"/>
  <c r="J2074" i="1"/>
  <c r="K2073" i="1"/>
  <c r="J2073" i="1"/>
  <c r="K2072" i="1"/>
  <c r="J2072" i="1"/>
  <c r="K2071" i="1"/>
  <c r="J2071" i="1"/>
  <c r="K2070" i="1"/>
  <c r="J2070" i="1"/>
  <c r="K2069" i="1"/>
  <c r="J2069" i="1"/>
  <c r="K2068" i="1"/>
  <c r="J2068" i="1"/>
  <c r="K2067" i="1"/>
  <c r="J2067" i="1"/>
  <c r="K2066" i="1"/>
  <c r="J2066" i="1"/>
  <c r="K2065" i="1"/>
  <c r="J2065" i="1"/>
  <c r="K2064" i="1"/>
  <c r="J2064" i="1"/>
  <c r="K2063" i="1"/>
  <c r="J2063" i="1"/>
  <c r="K2062" i="1"/>
  <c r="J2062" i="1"/>
  <c r="K2061" i="1"/>
  <c r="J2061" i="1"/>
  <c r="K2060" i="1"/>
  <c r="J2060" i="1"/>
  <c r="K2059" i="1"/>
  <c r="J2059" i="1"/>
  <c r="K2058" i="1"/>
  <c r="J2058" i="1"/>
  <c r="K2057" i="1"/>
  <c r="J2057" i="1"/>
  <c r="K2056" i="1"/>
  <c r="J2056" i="1"/>
  <c r="K2055" i="1"/>
  <c r="J2055" i="1"/>
  <c r="K2054" i="1"/>
  <c r="J2054" i="1"/>
  <c r="K2053" i="1"/>
  <c r="J2053" i="1"/>
  <c r="K2052" i="1"/>
  <c r="J2052" i="1"/>
  <c r="K2051" i="1"/>
  <c r="J2051" i="1"/>
  <c r="K2050" i="1"/>
  <c r="J2050" i="1"/>
  <c r="K2049" i="1"/>
  <c r="J2049" i="1"/>
  <c r="K2048" i="1"/>
  <c r="J2048" i="1"/>
  <c r="K2047" i="1"/>
  <c r="J2047" i="1"/>
  <c r="K2046" i="1"/>
  <c r="J2046" i="1"/>
  <c r="K2045" i="1"/>
  <c r="J2045" i="1"/>
  <c r="K2044" i="1"/>
  <c r="J2044" i="1"/>
  <c r="K2043" i="1"/>
  <c r="J2043" i="1"/>
  <c r="K2042" i="1"/>
  <c r="J2042" i="1"/>
  <c r="K2041" i="1"/>
  <c r="J2041" i="1"/>
  <c r="K2040" i="1"/>
  <c r="J2040" i="1"/>
  <c r="K2039" i="1"/>
  <c r="J2039" i="1"/>
  <c r="K2038" i="1"/>
  <c r="J2038" i="1"/>
  <c r="K2037" i="1"/>
  <c r="J2037" i="1"/>
  <c r="K2036" i="1"/>
  <c r="J2036" i="1"/>
  <c r="K2035" i="1"/>
  <c r="J2035" i="1"/>
  <c r="K2034" i="1"/>
  <c r="J2034" i="1"/>
  <c r="K2033" i="1"/>
  <c r="J2033" i="1"/>
  <c r="K2032" i="1"/>
  <c r="J2032" i="1"/>
  <c r="K2031" i="1"/>
  <c r="J2031" i="1"/>
  <c r="K2030" i="1"/>
  <c r="J2030" i="1"/>
  <c r="K2029" i="1"/>
  <c r="J2029" i="1"/>
  <c r="K2028" i="1"/>
  <c r="J2028" i="1"/>
  <c r="K2027" i="1"/>
  <c r="J2027" i="1"/>
  <c r="K2026" i="1"/>
  <c r="J2026" i="1"/>
  <c r="K2025" i="1"/>
  <c r="J2025" i="1"/>
  <c r="K2024" i="1"/>
  <c r="J2024" i="1"/>
  <c r="K2023" i="1"/>
  <c r="J2023" i="1"/>
  <c r="K2022" i="1"/>
  <c r="J2022" i="1"/>
  <c r="K2021" i="1"/>
  <c r="J2021" i="1"/>
  <c r="K2020" i="1"/>
  <c r="J2020" i="1"/>
  <c r="K2019" i="1"/>
  <c r="J2019" i="1"/>
  <c r="K2018" i="1"/>
  <c r="J2018" i="1"/>
  <c r="K2017" i="1"/>
  <c r="J2017" i="1"/>
  <c r="K2016" i="1"/>
  <c r="J2016" i="1"/>
  <c r="K2015" i="1"/>
  <c r="J2015" i="1"/>
  <c r="K2014" i="1"/>
  <c r="J2014" i="1"/>
  <c r="K2013" i="1"/>
  <c r="J2013" i="1"/>
  <c r="K2012" i="1"/>
  <c r="J2012" i="1"/>
  <c r="K2011" i="1"/>
  <c r="J2011" i="1"/>
  <c r="K2010" i="1"/>
  <c r="J2010" i="1"/>
  <c r="K2009" i="1"/>
  <c r="J2009" i="1"/>
  <c r="K2008" i="1"/>
  <c r="J2008" i="1"/>
  <c r="K2007" i="1"/>
  <c r="J2007" i="1"/>
  <c r="K2006" i="1"/>
  <c r="J2006" i="1"/>
  <c r="K2005" i="1"/>
  <c r="J2005" i="1"/>
  <c r="K2004" i="1"/>
  <c r="J2004" i="1"/>
  <c r="K2003" i="1"/>
  <c r="J2003" i="1"/>
  <c r="K2002" i="1"/>
  <c r="J2002" i="1"/>
  <c r="K2001" i="1"/>
  <c r="J2001" i="1"/>
  <c r="K2000" i="1"/>
  <c r="J2000" i="1"/>
  <c r="K1999" i="1"/>
  <c r="J1999" i="1"/>
  <c r="K1998" i="1"/>
  <c r="J1998" i="1"/>
  <c r="K1997" i="1"/>
  <c r="J1997" i="1"/>
  <c r="K1996" i="1"/>
  <c r="J1996" i="1"/>
  <c r="K1995" i="1"/>
  <c r="J1995" i="1"/>
  <c r="K1994" i="1"/>
  <c r="J1994" i="1"/>
  <c r="K1993" i="1"/>
  <c r="J1993" i="1"/>
  <c r="K1992" i="1"/>
  <c r="J1992" i="1"/>
  <c r="K1991" i="1"/>
  <c r="J1991" i="1"/>
  <c r="K1990" i="1"/>
  <c r="J1990" i="1"/>
  <c r="K1989" i="1"/>
  <c r="J1989" i="1"/>
  <c r="K1988" i="1"/>
  <c r="J1988" i="1"/>
  <c r="K1987" i="1"/>
  <c r="J1987" i="1"/>
  <c r="K1986" i="1"/>
  <c r="J1986" i="1"/>
  <c r="K1985" i="1"/>
  <c r="J1985" i="1"/>
  <c r="K1984" i="1"/>
  <c r="J1984" i="1"/>
  <c r="K1983" i="1"/>
  <c r="J1983" i="1"/>
  <c r="K1982" i="1"/>
  <c r="J1982" i="1"/>
  <c r="K1981" i="1"/>
  <c r="J1981" i="1"/>
  <c r="K1980" i="1"/>
  <c r="J1980" i="1"/>
  <c r="K1979" i="1"/>
  <c r="J1979" i="1"/>
  <c r="K1978" i="1"/>
  <c r="J1978" i="1"/>
  <c r="K1977" i="1"/>
  <c r="J1977" i="1"/>
  <c r="K1976" i="1"/>
  <c r="J1976" i="1"/>
  <c r="K1975" i="1"/>
  <c r="J1975" i="1"/>
  <c r="K1974" i="1"/>
  <c r="J1974" i="1"/>
  <c r="K1973" i="1"/>
  <c r="J1973" i="1"/>
  <c r="K1972" i="1"/>
  <c r="J1972" i="1"/>
  <c r="K1971" i="1"/>
  <c r="J1971" i="1"/>
  <c r="K1970" i="1"/>
  <c r="J1970" i="1"/>
  <c r="K1969" i="1"/>
  <c r="J1969" i="1"/>
  <c r="K1968" i="1"/>
  <c r="J1968" i="1"/>
  <c r="K1967" i="1"/>
  <c r="J1967" i="1"/>
  <c r="K1966" i="1"/>
  <c r="J1966" i="1"/>
  <c r="K1965" i="1"/>
  <c r="J1965" i="1"/>
  <c r="K1964" i="1"/>
  <c r="J1964" i="1"/>
  <c r="K1963" i="1"/>
  <c r="J1963" i="1"/>
  <c r="K1962" i="1"/>
  <c r="J1962" i="1"/>
  <c r="K1961" i="1"/>
  <c r="J1961" i="1"/>
  <c r="K1960" i="1"/>
  <c r="J1960" i="1"/>
  <c r="K1959" i="1"/>
  <c r="J1959" i="1"/>
  <c r="K1958" i="1"/>
  <c r="J1958" i="1"/>
  <c r="K1957" i="1"/>
  <c r="J1957" i="1"/>
  <c r="K1956" i="1"/>
  <c r="J1956" i="1"/>
  <c r="K1955" i="1"/>
  <c r="J1955" i="1"/>
  <c r="K1954" i="1"/>
  <c r="J1954" i="1"/>
  <c r="K1953" i="1"/>
  <c r="J1953" i="1"/>
  <c r="K1952" i="1"/>
  <c r="J1952" i="1"/>
  <c r="K1951" i="1"/>
  <c r="J1951" i="1"/>
  <c r="K1950" i="1"/>
  <c r="J1950" i="1"/>
  <c r="K1949" i="1"/>
  <c r="J1949" i="1"/>
  <c r="K1948" i="1"/>
  <c r="J1948" i="1"/>
  <c r="K1947" i="1"/>
  <c r="J1947" i="1"/>
  <c r="K1946" i="1"/>
  <c r="J1946" i="1"/>
  <c r="K1945" i="1"/>
  <c r="J1945" i="1"/>
  <c r="K1944" i="1"/>
  <c r="J1944" i="1"/>
  <c r="K1943" i="1"/>
  <c r="J1943" i="1"/>
  <c r="K1942" i="1"/>
  <c r="J1942" i="1"/>
  <c r="K1941" i="1"/>
  <c r="J1941" i="1"/>
  <c r="K1940" i="1"/>
  <c r="J1940" i="1"/>
  <c r="K1939" i="1"/>
  <c r="J1939" i="1"/>
  <c r="K1938" i="1"/>
  <c r="J1938" i="1"/>
  <c r="K1937" i="1"/>
  <c r="J1937" i="1"/>
  <c r="K1936" i="1"/>
  <c r="J1936" i="1"/>
  <c r="K1935" i="1"/>
  <c r="J1935" i="1"/>
  <c r="K1934" i="1"/>
  <c r="J1934" i="1"/>
  <c r="K1933" i="1"/>
  <c r="J1933" i="1"/>
  <c r="K1932" i="1"/>
  <c r="J1932" i="1"/>
  <c r="K1931" i="1"/>
  <c r="J1931" i="1"/>
  <c r="K1930" i="1"/>
  <c r="J1930" i="1"/>
  <c r="K1929" i="1"/>
  <c r="J1929" i="1"/>
  <c r="K1928" i="1"/>
  <c r="J1928" i="1"/>
  <c r="K1927" i="1"/>
  <c r="J1927" i="1"/>
  <c r="K1926" i="1"/>
  <c r="J1926" i="1"/>
  <c r="K1925" i="1"/>
  <c r="J1925" i="1"/>
  <c r="K1924" i="1"/>
  <c r="J1924" i="1"/>
  <c r="K1923" i="1"/>
  <c r="J1923" i="1"/>
  <c r="K1922" i="1"/>
  <c r="J1922" i="1"/>
  <c r="K1921" i="1"/>
  <c r="J1921" i="1"/>
  <c r="K1920" i="1"/>
  <c r="J1920" i="1"/>
  <c r="K1919" i="1"/>
  <c r="J1919" i="1"/>
  <c r="K1918" i="1"/>
  <c r="J1918" i="1"/>
  <c r="K1917" i="1"/>
  <c r="J1917" i="1"/>
  <c r="K1916" i="1"/>
  <c r="J1916" i="1"/>
  <c r="K1915" i="1"/>
  <c r="J1915" i="1"/>
  <c r="K1914" i="1"/>
  <c r="J1914" i="1"/>
  <c r="K1913" i="1"/>
  <c r="J1913" i="1"/>
  <c r="K1912" i="1"/>
  <c r="J1912" i="1"/>
  <c r="K1911" i="1"/>
  <c r="J1911" i="1"/>
  <c r="K1910" i="1"/>
  <c r="J1910" i="1"/>
  <c r="K1909" i="1"/>
  <c r="J1909" i="1"/>
  <c r="K1908" i="1"/>
  <c r="J1908" i="1"/>
  <c r="K1907" i="1"/>
  <c r="J1907" i="1"/>
  <c r="K1906" i="1"/>
  <c r="J1906" i="1"/>
  <c r="K1905" i="1"/>
  <c r="J1905" i="1"/>
  <c r="K1904" i="1"/>
  <c r="J1904" i="1"/>
  <c r="K1903" i="1"/>
  <c r="J1903" i="1"/>
  <c r="K1902" i="1"/>
  <c r="J1902" i="1"/>
  <c r="K1901" i="1"/>
  <c r="J1901" i="1"/>
  <c r="K1900" i="1"/>
  <c r="J1900" i="1"/>
  <c r="K1899" i="1"/>
  <c r="J1899" i="1"/>
  <c r="K1898" i="1"/>
  <c r="J1898" i="1"/>
  <c r="K1897" i="1"/>
  <c r="J1897" i="1"/>
  <c r="K1896" i="1"/>
  <c r="J1896" i="1"/>
  <c r="K1895" i="1"/>
  <c r="J1895" i="1"/>
  <c r="K1894" i="1"/>
  <c r="J1894" i="1"/>
  <c r="K1893" i="1"/>
  <c r="J1893" i="1"/>
  <c r="K1892" i="1"/>
  <c r="J1892" i="1"/>
  <c r="K1891" i="1"/>
  <c r="J1891" i="1"/>
  <c r="K1890" i="1"/>
  <c r="J1890" i="1"/>
  <c r="K1889" i="1"/>
  <c r="J1889" i="1"/>
  <c r="K1888" i="1"/>
  <c r="J1888" i="1"/>
  <c r="K1887" i="1"/>
  <c r="J1887" i="1"/>
  <c r="K1886" i="1"/>
  <c r="J1886" i="1"/>
  <c r="K1885" i="1"/>
  <c r="J1885" i="1"/>
  <c r="K1884" i="1"/>
  <c r="J1884" i="1"/>
  <c r="K1883" i="1"/>
  <c r="J1883" i="1"/>
  <c r="K1882" i="1"/>
  <c r="J1882" i="1"/>
  <c r="K1881" i="1"/>
  <c r="J1881" i="1"/>
  <c r="K1880" i="1"/>
  <c r="J1880" i="1"/>
  <c r="K1879" i="1"/>
  <c r="J1879" i="1"/>
  <c r="K1878" i="1"/>
  <c r="J1878" i="1"/>
  <c r="K1877" i="1"/>
  <c r="J1877" i="1"/>
  <c r="K1876" i="1"/>
  <c r="J1876" i="1"/>
  <c r="K1875" i="1"/>
  <c r="J1875" i="1"/>
  <c r="K1874" i="1"/>
  <c r="J1874" i="1"/>
  <c r="K1873" i="1"/>
  <c r="J1873" i="1"/>
  <c r="K1872" i="1"/>
  <c r="J1872" i="1"/>
  <c r="K1871" i="1"/>
  <c r="J1871" i="1"/>
  <c r="K1870" i="1"/>
  <c r="J1870" i="1"/>
  <c r="K1869" i="1"/>
  <c r="J1869" i="1"/>
  <c r="K1868" i="1"/>
  <c r="J1868" i="1"/>
  <c r="K1867" i="1"/>
  <c r="J1867" i="1"/>
  <c r="K1866" i="1"/>
  <c r="J1866" i="1"/>
  <c r="K1865" i="1"/>
  <c r="J1865" i="1"/>
  <c r="K1864" i="1"/>
  <c r="J1864" i="1"/>
  <c r="K1863" i="1"/>
  <c r="J1863" i="1"/>
  <c r="K1862" i="1"/>
  <c r="J1862" i="1"/>
  <c r="K1861" i="1"/>
  <c r="J1861" i="1"/>
  <c r="K1860" i="1"/>
  <c r="J1860" i="1"/>
  <c r="K1859" i="1"/>
  <c r="J1859" i="1"/>
  <c r="K1858" i="1"/>
  <c r="J1858" i="1"/>
  <c r="K1857" i="1"/>
  <c r="J1857" i="1"/>
  <c r="K1856" i="1"/>
  <c r="J1856" i="1"/>
  <c r="K1855" i="1"/>
  <c r="J1855" i="1"/>
  <c r="K1854" i="1"/>
  <c r="J1854" i="1"/>
  <c r="K1853" i="1"/>
  <c r="J1853" i="1"/>
  <c r="K1852" i="1"/>
  <c r="J1852" i="1"/>
  <c r="K1851" i="1"/>
  <c r="J1851" i="1"/>
  <c r="K1850" i="1"/>
  <c r="J1850" i="1"/>
  <c r="K1849" i="1"/>
  <c r="J1849" i="1"/>
  <c r="K1848" i="1"/>
  <c r="J1848" i="1"/>
  <c r="K1847" i="1"/>
  <c r="J1847" i="1"/>
  <c r="K1846" i="1"/>
  <c r="J1846" i="1"/>
  <c r="K1845" i="1"/>
  <c r="J1845" i="1"/>
  <c r="K1844" i="1"/>
  <c r="J1844" i="1"/>
  <c r="K1843" i="1"/>
  <c r="J1843" i="1"/>
  <c r="K1842" i="1"/>
  <c r="J1842" i="1"/>
  <c r="K1841" i="1"/>
  <c r="J1841" i="1"/>
  <c r="K1840" i="1"/>
  <c r="J1840" i="1"/>
  <c r="K1839" i="1"/>
  <c r="J1839" i="1"/>
  <c r="K1838" i="1"/>
  <c r="J1838" i="1"/>
  <c r="K1837" i="1"/>
  <c r="J1837" i="1"/>
  <c r="K1836" i="1"/>
  <c r="J1836" i="1"/>
  <c r="K1835" i="1"/>
  <c r="J1835" i="1"/>
  <c r="K1834" i="1"/>
  <c r="J1834" i="1"/>
  <c r="K1833" i="1"/>
  <c r="J1833" i="1"/>
  <c r="K1832" i="1"/>
  <c r="J1832" i="1"/>
  <c r="K1831" i="1"/>
  <c r="J1831" i="1"/>
  <c r="K1830" i="1"/>
  <c r="J1830" i="1"/>
  <c r="K1829" i="1"/>
  <c r="J1829" i="1"/>
  <c r="K1828" i="1"/>
  <c r="J1828" i="1"/>
  <c r="K1827" i="1"/>
  <c r="J1827" i="1"/>
  <c r="K1826" i="1"/>
  <c r="J1826" i="1"/>
  <c r="K1825" i="1"/>
  <c r="J1825" i="1"/>
  <c r="K1824" i="1"/>
  <c r="J1824" i="1"/>
  <c r="K1823" i="1"/>
  <c r="J1823" i="1"/>
  <c r="K1822" i="1"/>
  <c r="J1822" i="1"/>
  <c r="K1821" i="1"/>
  <c r="J1821" i="1"/>
  <c r="K1820" i="1"/>
  <c r="J1820" i="1"/>
  <c r="K1819" i="1"/>
  <c r="J1819" i="1"/>
  <c r="K1818" i="1"/>
  <c r="J1818" i="1"/>
  <c r="K1817" i="1"/>
  <c r="J1817" i="1"/>
  <c r="K1816" i="1"/>
  <c r="J1816" i="1"/>
  <c r="K1815" i="1"/>
  <c r="J1815" i="1"/>
  <c r="K1814" i="1"/>
  <c r="J1814" i="1"/>
  <c r="K1813" i="1"/>
  <c r="J1813" i="1"/>
  <c r="K1812" i="1"/>
  <c r="J1812" i="1"/>
  <c r="K1811" i="1"/>
  <c r="J1811" i="1"/>
  <c r="K1810" i="1"/>
  <c r="J1810" i="1"/>
  <c r="K1809" i="1"/>
  <c r="J1809" i="1"/>
  <c r="K1808" i="1"/>
  <c r="J1808" i="1"/>
  <c r="K1807" i="1"/>
  <c r="J1807" i="1"/>
  <c r="K1806" i="1"/>
  <c r="J1806" i="1"/>
  <c r="K1805" i="1"/>
  <c r="J1805" i="1"/>
  <c r="K1804" i="1"/>
  <c r="J1804" i="1"/>
  <c r="K1803" i="1"/>
  <c r="J1803" i="1"/>
  <c r="K1802" i="1"/>
  <c r="J1802" i="1"/>
  <c r="K1801" i="1"/>
  <c r="J1801" i="1"/>
  <c r="K1800" i="1"/>
  <c r="J1800" i="1"/>
  <c r="K1799" i="1"/>
  <c r="J1799" i="1"/>
  <c r="K1798" i="1"/>
  <c r="J1798" i="1"/>
  <c r="K1797" i="1"/>
  <c r="J1797" i="1"/>
  <c r="K1796" i="1"/>
  <c r="J1796" i="1"/>
  <c r="K1795" i="1"/>
  <c r="J1795" i="1"/>
  <c r="K1794" i="1"/>
  <c r="J1794" i="1"/>
  <c r="K1793" i="1"/>
  <c r="J1793" i="1"/>
  <c r="K1792" i="1"/>
  <c r="J1792" i="1"/>
  <c r="K1791" i="1"/>
  <c r="J1791" i="1"/>
  <c r="K1790" i="1"/>
  <c r="J1790" i="1"/>
  <c r="K1789" i="1"/>
  <c r="J1789" i="1"/>
  <c r="K1788" i="1"/>
  <c r="J1788" i="1"/>
  <c r="K1787" i="1"/>
  <c r="J1787" i="1"/>
  <c r="K1786" i="1"/>
  <c r="J1786" i="1"/>
  <c r="K1785" i="1"/>
  <c r="J1785" i="1"/>
  <c r="K1784" i="1"/>
  <c r="J1784" i="1"/>
  <c r="K1783" i="1"/>
  <c r="J1783" i="1"/>
  <c r="K1782" i="1"/>
  <c r="J1782" i="1"/>
  <c r="K1781" i="1"/>
  <c r="J1781" i="1"/>
  <c r="K1780" i="1"/>
  <c r="J1780" i="1"/>
  <c r="K1779" i="1"/>
  <c r="J1779" i="1"/>
  <c r="K1778" i="1"/>
  <c r="J1778" i="1"/>
  <c r="K1777" i="1"/>
  <c r="J1777" i="1"/>
  <c r="K1776" i="1"/>
  <c r="J1776" i="1"/>
  <c r="K1775" i="1"/>
  <c r="J1775" i="1"/>
  <c r="K1774" i="1"/>
  <c r="J1774" i="1"/>
  <c r="K1773" i="1"/>
  <c r="J1773" i="1"/>
  <c r="K1772" i="1"/>
  <c r="J1772" i="1"/>
  <c r="K1771" i="1"/>
  <c r="J1771" i="1"/>
  <c r="K1770" i="1"/>
  <c r="J1770" i="1"/>
  <c r="K1769" i="1"/>
  <c r="J1769" i="1"/>
  <c r="K1768" i="1"/>
  <c r="J1768" i="1"/>
  <c r="K1767" i="1"/>
  <c r="J1767" i="1"/>
  <c r="K1766" i="1"/>
  <c r="J1766" i="1"/>
  <c r="K1765" i="1"/>
  <c r="J1765" i="1"/>
  <c r="K1764" i="1"/>
  <c r="J1764" i="1"/>
  <c r="K1763" i="1"/>
  <c r="J1763" i="1"/>
  <c r="K1762" i="1"/>
  <c r="J1762" i="1"/>
  <c r="K1761" i="1"/>
  <c r="J1761" i="1"/>
  <c r="K1760" i="1"/>
  <c r="J1760" i="1"/>
  <c r="K1759" i="1"/>
  <c r="J1759" i="1"/>
  <c r="K1758" i="1"/>
  <c r="J1758" i="1"/>
  <c r="K1757" i="1"/>
  <c r="J1757" i="1"/>
  <c r="K1756" i="1"/>
  <c r="J1756" i="1"/>
  <c r="K1755" i="1"/>
  <c r="J1755" i="1"/>
  <c r="K1754" i="1"/>
  <c r="J1754" i="1"/>
  <c r="K1753" i="1"/>
  <c r="J1753" i="1"/>
  <c r="K1752" i="1"/>
  <c r="J1752" i="1"/>
  <c r="K1751" i="1"/>
  <c r="J1751" i="1"/>
  <c r="K1750" i="1"/>
  <c r="J1750" i="1"/>
  <c r="K1749" i="1"/>
  <c r="J1749" i="1"/>
  <c r="K1748" i="1"/>
  <c r="J1748" i="1"/>
  <c r="K1747" i="1"/>
  <c r="J1747" i="1"/>
  <c r="K1746" i="1"/>
  <c r="J1746" i="1"/>
  <c r="K1745" i="1"/>
  <c r="J1745" i="1"/>
  <c r="K1744" i="1"/>
  <c r="J1744" i="1"/>
  <c r="K1743" i="1"/>
  <c r="J1743" i="1"/>
  <c r="K1742" i="1"/>
  <c r="J1742" i="1"/>
  <c r="K1741" i="1"/>
  <c r="J1741" i="1"/>
  <c r="K1740" i="1"/>
  <c r="J1740" i="1"/>
  <c r="K1739" i="1"/>
  <c r="J1739" i="1"/>
  <c r="K1738" i="1"/>
  <c r="J1738" i="1"/>
  <c r="K1737" i="1"/>
  <c r="J1737" i="1"/>
  <c r="K1736" i="1"/>
  <c r="J1736" i="1"/>
  <c r="K1735" i="1"/>
  <c r="J1735" i="1"/>
  <c r="K1734" i="1"/>
  <c r="J1734" i="1"/>
  <c r="K1733" i="1"/>
  <c r="J1733" i="1"/>
  <c r="K1732" i="1"/>
  <c r="J1732" i="1"/>
  <c r="K1731" i="1"/>
  <c r="J1731" i="1"/>
  <c r="K1730" i="1"/>
  <c r="J1730" i="1"/>
  <c r="K1729" i="1"/>
  <c r="J1729" i="1"/>
  <c r="K1728" i="1"/>
  <c r="J1728" i="1"/>
  <c r="K1727" i="1"/>
  <c r="J1727" i="1"/>
  <c r="K1726" i="1"/>
  <c r="J1726" i="1"/>
  <c r="K1725" i="1"/>
  <c r="J1725" i="1"/>
  <c r="K1724" i="1"/>
  <c r="J1724" i="1"/>
  <c r="K1723" i="1"/>
  <c r="J1723" i="1"/>
  <c r="K1722" i="1"/>
  <c r="J1722" i="1"/>
  <c r="K1721" i="1"/>
  <c r="J1721" i="1"/>
  <c r="K1720" i="1"/>
  <c r="J1720" i="1"/>
  <c r="K1719" i="1"/>
  <c r="J1719" i="1"/>
  <c r="K1718" i="1"/>
  <c r="J1718" i="1"/>
  <c r="K1717" i="1"/>
  <c r="J1717" i="1"/>
  <c r="K1716" i="1"/>
  <c r="J1716" i="1"/>
  <c r="K1715" i="1"/>
  <c r="J1715" i="1"/>
  <c r="K1714" i="1"/>
  <c r="J1714" i="1"/>
  <c r="K1713" i="1"/>
  <c r="J1713" i="1"/>
  <c r="K1712" i="1"/>
  <c r="J1712" i="1"/>
  <c r="K1711" i="1"/>
  <c r="J1711" i="1"/>
  <c r="K1710" i="1"/>
  <c r="J1710" i="1"/>
  <c r="K1709" i="1"/>
  <c r="J1709" i="1"/>
  <c r="K1708" i="1"/>
  <c r="J1708" i="1"/>
  <c r="K1707" i="1"/>
  <c r="J1707" i="1"/>
  <c r="K1706" i="1"/>
  <c r="J1706" i="1"/>
  <c r="K1705" i="1"/>
  <c r="J1705" i="1"/>
  <c r="K1704" i="1"/>
  <c r="J1704" i="1"/>
  <c r="K1703" i="1"/>
  <c r="J1703" i="1"/>
  <c r="K1702" i="1"/>
  <c r="J1702" i="1"/>
  <c r="K1701" i="1"/>
  <c r="J1701" i="1"/>
  <c r="K1700" i="1"/>
  <c r="J1700" i="1"/>
  <c r="K1699" i="1"/>
  <c r="J1699" i="1"/>
  <c r="K1698" i="1"/>
  <c r="J1698" i="1"/>
  <c r="K1697" i="1"/>
  <c r="J1697" i="1"/>
  <c r="K1696" i="1"/>
  <c r="J1696" i="1"/>
  <c r="K1695" i="1"/>
  <c r="J1695" i="1"/>
  <c r="K1694" i="1"/>
  <c r="J1694" i="1"/>
  <c r="K1693" i="1"/>
  <c r="J1693" i="1"/>
  <c r="K1692" i="1"/>
  <c r="J1692" i="1"/>
  <c r="K1691" i="1"/>
  <c r="J1691" i="1"/>
  <c r="K1690" i="1"/>
  <c r="J1690" i="1"/>
  <c r="K1689" i="1"/>
  <c r="J1689" i="1"/>
  <c r="K1688" i="1"/>
  <c r="J1688" i="1"/>
  <c r="K1687" i="1"/>
  <c r="J1687" i="1"/>
  <c r="K1686" i="1"/>
  <c r="J1686" i="1"/>
  <c r="K1685" i="1"/>
  <c r="J1685" i="1"/>
  <c r="K1684" i="1"/>
  <c r="J1684" i="1"/>
  <c r="K1683" i="1"/>
  <c r="J1683" i="1"/>
  <c r="K1682" i="1"/>
  <c r="J1682" i="1"/>
  <c r="K1681" i="1"/>
  <c r="J1681" i="1"/>
  <c r="K1680" i="1"/>
  <c r="J1680" i="1"/>
  <c r="K1679" i="1"/>
  <c r="J1679" i="1"/>
  <c r="K1678" i="1"/>
  <c r="J1678" i="1"/>
  <c r="K1677" i="1"/>
  <c r="J1677" i="1"/>
  <c r="K1676" i="1"/>
  <c r="J1676" i="1"/>
  <c r="K1675" i="1"/>
  <c r="J1675" i="1"/>
  <c r="K1674" i="1"/>
  <c r="J1674" i="1"/>
  <c r="K1673" i="1"/>
  <c r="J1673" i="1"/>
  <c r="K1672" i="1"/>
  <c r="J1672" i="1"/>
  <c r="K1671" i="1"/>
  <c r="J1671" i="1"/>
  <c r="K1670" i="1"/>
  <c r="J1670" i="1"/>
  <c r="K1669" i="1"/>
  <c r="J1669" i="1"/>
  <c r="K1668" i="1"/>
  <c r="J1668" i="1"/>
  <c r="K1667" i="1"/>
  <c r="J1667" i="1"/>
  <c r="K1666" i="1"/>
  <c r="J1666" i="1"/>
  <c r="K1665" i="1"/>
  <c r="J1665" i="1"/>
  <c r="K1664" i="1"/>
  <c r="J1664" i="1"/>
  <c r="K1663" i="1"/>
  <c r="J1663" i="1"/>
  <c r="K1662" i="1"/>
  <c r="J1662" i="1"/>
  <c r="K1661" i="1"/>
  <c r="J1661" i="1"/>
  <c r="K1660" i="1"/>
  <c r="J1660" i="1"/>
  <c r="K1659" i="1"/>
  <c r="J1659" i="1"/>
  <c r="K1658" i="1"/>
  <c r="J1658" i="1"/>
  <c r="K1657" i="1"/>
  <c r="J1657" i="1"/>
  <c r="K1656" i="1"/>
  <c r="J1656" i="1"/>
  <c r="K1655" i="1"/>
  <c r="J1655" i="1"/>
  <c r="K1654" i="1"/>
  <c r="J1654" i="1"/>
  <c r="K1653" i="1"/>
  <c r="J1653" i="1"/>
  <c r="K1652" i="1"/>
  <c r="J1652" i="1"/>
  <c r="K1651" i="1"/>
  <c r="J1651" i="1"/>
  <c r="K1650" i="1"/>
  <c r="J1650" i="1"/>
  <c r="K1649" i="1"/>
  <c r="J1649" i="1"/>
  <c r="K1648" i="1"/>
  <c r="J1648" i="1"/>
  <c r="K1647" i="1"/>
  <c r="J1647" i="1"/>
  <c r="K1646" i="1"/>
  <c r="J1646" i="1"/>
  <c r="K1645" i="1"/>
  <c r="J1645" i="1"/>
  <c r="K1644" i="1"/>
  <c r="J1644" i="1"/>
  <c r="K1643" i="1"/>
  <c r="J1643" i="1"/>
  <c r="K1642" i="1"/>
  <c r="J1642" i="1"/>
  <c r="K1641" i="1"/>
  <c r="J1641" i="1"/>
  <c r="K1640" i="1"/>
  <c r="J1640" i="1"/>
  <c r="K1639" i="1"/>
  <c r="J1639" i="1"/>
  <c r="K1638" i="1"/>
  <c r="J1638" i="1"/>
  <c r="K1637" i="1"/>
  <c r="J1637" i="1"/>
  <c r="K1636" i="1"/>
  <c r="J1636" i="1"/>
  <c r="K1635" i="1"/>
  <c r="J1635" i="1"/>
  <c r="K1634" i="1"/>
  <c r="J1634" i="1"/>
  <c r="K1633" i="1"/>
  <c r="J1633" i="1"/>
  <c r="K1632" i="1"/>
  <c r="J1632" i="1"/>
  <c r="K1631" i="1"/>
  <c r="J1631" i="1"/>
  <c r="K1630" i="1"/>
  <c r="J1630" i="1"/>
  <c r="K1629" i="1"/>
  <c r="J1629" i="1"/>
  <c r="K1628" i="1"/>
  <c r="J1628" i="1"/>
  <c r="K1627" i="1"/>
  <c r="J1627" i="1"/>
  <c r="K1626" i="1"/>
  <c r="J1626" i="1"/>
  <c r="K1625" i="1"/>
  <c r="J1625" i="1"/>
  <c r="K1624" i="1"/>
  <c r="J1624" i="1"/>
  <c r="K1623" i="1"/>
  <c r="J1623" i="1"/>
  <c r="K1622" i="1"/>
  <c r="J1622" i="1"/>
  <c r="K1621" i="1"/>
  <c r="J1621" i="1"/>
  <c r="K1620" i="1"/>
  <c r="J1620" i="1"/>
  <c r="K1619" i="1"/>
  <c r="J1619" i="1"/>
  <c r="K1618" i="1"/>
  <c r="J1618" i="1"/>
  <c r="K1617" i="1"/>
  <c r="J1617" i="1"/>
  <c r="K1616" i="1"/>
  <c r="J1616" i="1"/>
  <c r="K1615" i="1"/>
  <c r="J1615" i="1"/>
  <c r="K1614" i="1"/>
  <c r="J1614" i="1"/>
  <c r="K1613" i="1"/>
  <c r="J1613" i="1"/>
  <c r="K1612" i="1"/>
  <c r="J1612" i="1"/>
  <c r="K1611" i="1"/>
  <c r="J1611" i="1"/>
  <c r="K1610" i="1"/>
  <c r="J1610" i="1"/>
  <c r="K1609" i="1"/>
  <c r="J1609" i="1"/>
  <c r="K1608" i="1"/>
  <c r="J1608" i="1"/>
  <c r="K1607" i="1"/>
  <c r="J1607" i="1"/>
  <c r="K1606" i="1"/>
  <c r="J1606" i="1"/>
  <c r="K1605" i="1"/>
  <c r="J1605" i="1"/>
  <c r="K1604" i="1"/>
  <c r="J1604" i="1"/>
  <c r="K1603" i="1"/>
  <c r="J1603" i="1"/>
  <c r="K1602" i="1"/>
  <c r="J1602" i="1"/>
  <c r="K1601" i="1"/>
  <c r="J1601" i="1"/>
  <c r="K1600" i="1"/>
  <c r="J1600" i="1"/>
  <c r="K1599" i="1"/>
  <c r="J1599" i="1"/>
  <c r="K1598" i="1"/>
  <c r="J1598" i="1"/>
  <c r="K1597" i="1"/>
  <c r="J1597" i="1"/>
  <c r="K1596" i="1"/>
  <c r="J1596" i="1"/>
  <c r="K1595" i="1"/>
  <c r="J1595" i="1"/>
  <c r="K1594" i="1"/>
  <c r="J1594" i="1"/>
  <c r="K1593" i="1"/>
  <c r="J1593" i="1"/>
  <c r="K1592" i="1"/>
  <c r="J1592" i="1"/>
  <c r="K1591" i="1"/>
  <c r="J1591" i="1"/>
  <c r="K1590" i="1"/>
  <c r="J1590" i="1"/>
  <c r="K1589" i="1"/>
  <c r="J1589" i="1"/>
  <c r="K1588" i="1"/>
  <c r="J1588" i="1"/>
  <c r="K1587" i="1"/>
  <c r="J1587" i="1"/>
  <c r="K1586" i="1"/>
  <c r="J1586" i="1"/>
  <c r="K1585" i="1"/>
  <c r="J1585" i="1"/>
  <c r="K1584" i="1"/>
  <c r="J1584" i="1"/>
  <c r="K1583" i="1"/>
  <c r="J1583" i="1"/>
  <c r="K1582" i="1"/>
  <c r="J1582" i="1"/>
  <c r="K1581" i="1"/>
  <c r="J1581" i="1"/>
  <c r="K1580" i="1"/>
  <c r="J1580" i="1"/>
  <c r="K1579" i="1"/>
  <c r="J1579" i="1"/>
  <c r="K1578" i="1"/>
  <c r="J1578" i="1"/>
  <c r="K1577" i="1"/>
  <c r="J1577" i="1"/>
  <c r="K1576" i="1"/>
  <c r="J1576" i="1"/>
  <c r="K1575" i="1"/>
  <c r="J1575" i="1"/>
  <c r="K1574" i="1"/>
  <c r="J1574" i="1"/>
  <c r="K1573" i="1"/>
  <c r="J1573" i="1"/>
  <c r="K1572" i="1"/>
  <c r="J1572" i="1"/>
  <c r="K1571" i="1"/>
  <c r="J1571" i="1"/>
  <c r="K1570" i="1"/>
  <c r="J1570" i="1"/>
  <c r="K1569" i="1"/>
  <c r="J1569" i="1"/>
  <c r="K1568" i="1"/>
  <c r="J1568" i="1"/>
  <c r="K1567" i="1"/>
  <c r="J1567" i="1"/>
  <c r="K1566" i="1"/>
  <c r="J1566" i="1"/>
  <c r="K1565" i="1"/>
  <c r="J1565" i="1"/>
  <c r="K1564" i="1"/>
  <c r="J1564" i="1"/>
  <c r="K1563" i="1"/>
  <c r="J1563" i="1"/>
  <c r="K1562" i="1"/>
  <c r="J1562" i="1"/>
  <c r="K1561" i="1"/>
  <c r="J1561" i="1"/>
  <c r="K1560" i="1"/>
  <c r="J1560" i="1"/>
  <c r="K1559" i="1"/>
  <c r="J1559" i="1"/>
  <c r="K1558" i="1"/>
  <c r="J1558" i="1"/>
  <c r="K1557" i="1"/>
  <c r="J1557" i="1"/>
  <c r="K1556" i="1"/>
  <c r="J1556" i="1"/>
  <c r="K1555" i="1"/>
  <c r="J1555" i="1"/>
  <c r="K1554" i="1"/>
  <c r="J1554" i="1"/>
  <c r="K1553" i="1"/>
  <c r="J1553" i="1"/>
  <c r="K1552" i="1"/>
  <c r="J1552" i="1"/>
  <c r="K1551" i="1"/>
  <c r="J1551" i="1"/>
  <c r="K1550" i="1"/>
  <c r="J1550" i="1"/>
  <c r="K1549" i="1"/>
  <c r="J1549" i="1"/>
  <c r="K1548" i="1"/>
  <c r="J1548" i="1"/>
  <c r="K1547" i="1"/>
  <c r="J1547" i="1"/>
  <c r="K1546" i="1"/>
  <c r="J1546" i="1"/>
  <c r="K1545" i="1"/>
  <c r="J1545" i="1"/>
  <c r="K1544" i="1"/>
  <c r="J1544" i="1"/>
  <c r="K1543" i="1"/>
  <c r="J1543" i="1"/>
  <c r="K1542" i="1"/>
  <c r="J1542" i="1"/>
  <c r="K1541" i="1"/>
  <c r="J1541" i="1"/>
  <c r="K1540" i="1"/>
  <c r="J1540" i="1"/>
  <c r="K1539" i="1"/>
  <c r="J1539" i="1"/>
  <c r="K1538" i="1"/>
  <c r="J1538" i="1"/>
  <c r="K1537" i="1"/>
  <c r="J1537" i="1"/>
  <c r="K1536" i="1"/>
  <c r="J1536" i="1"/>
  <c r="K1535" i="1"/>
  <c r="J1535" i="1"/>
  <c r="K1534" i="1"/>
  <c r="J1534" i="1"/>
  <c r="K1533" i="1"/>
  <c r="J1533" i="1"/>
  <c r="K1532" i="1"/>
  <c r="J1532" i="1"/>
  <c r="K1531" i="1"/>
  <c r="J1531" i="1"/>
  <c r="K1530" i="1"/>
  <c r="J1530" i="1"/>
  <c r="K1529" i="1"/>
  <c r="J1529" i="1"/>
  <c r="K1528" i="1"/>
  <c r="J1528" i="1"/>
  <c r="K1527" i="1"/>
  <c r="J1527" i="1"/>
  <c r="K1526" i="1"/>
  <c r="J1526" i="1"/>
  <c r="K1525" i="1"/>
  <c r="J1525" i="1"/>
  <c r="K1524" i="1"/>
  <c r="J1524" i="1"/>
  <c r="K1523" i="1"/>
  <c r="J1523" i="1"/>
  <c r="K1522" i="1"/>
  <c r="J1522" i="1"/>
  <c r="K1521" i="1"/>
  <c r="J1521" i="1"/>
  <c r="K1520" i="1"/>
  <c r="J1520" i="1"/>
  <c r="K1519" i="1"/>
  <c r="J1519" i="1"/>
  <c r="K1518" i="1"/>
  <c r="J1518" i="1"/>
  <c r="K1517" i="1"/>
  <c r="J1517" i="1"/>
  <c r="K1516" i="1"/>
  <c r="J1516" i="1"/>
  <c r="K1515" i="1"/>
  <c r="J1515" i="1"/>
  <c r="K1514" i="1"/>
  <c r="J1514" i="1"/>
  <c r="K1513" i="1"/>
  <c r="J1513" i="1"/>
  <c r="K1512" i="1"/>
  <c r="J1512" i="1"/>
  <c r="K1511" i="1"/>
  <c r="J1511" i="1"/>
  <c r="K1510" i="1"/>
  <c r="J1510" i="1"/>
  <c r="K1509" i="1"/>
  <c r="J1509" i="1"/>
  <c r="K1508" i="1"/>
  <c r="J1508" i="1"/>
  <c r="K1507" i="1"/>
  <c r="J1507" i="1"/>
  <c r="K1506" i="1"/>
  <c r="J1506" i="1"/>
  <c r="K1505" i="1"/>
  <c r="J1505" i="1"/>
  <c r="K1504" i="1"/>
  <c r="J1504" i="1"/>
  <c r="K1503" i="1"/>
  <c r="J1503" i="1"/>
  <c r="K1502" i="1"/>
  <c r="J1502" i="1"/>
  <c r="K1501" i="1"/>
  <c r="J1501" i="1"/>
  <c r="K1500" i="1"/>
  <c r="J1500" i="1"/>
  <c r="K1499" i="1"/>
  <c r="J1499" i="1"/>
  <c r="K1498" i="1"/>
  <c r="J1498" i="1"/>
  <c r="K1497" i="1"/>
  <c r="J1497" i="1"/>
  <c r="K1496" i="1"/>
  <c r="J1496" i="1"/>
  <c r="K1495" i="1"/>
  <c r="J1495" i="1"/>
  <c r="K1494" i="1"/>
  <c r="J1494" i="1"/>
  <c r="K1493" i="1"/>
  <c r="J1493" i="1"/>
  <c r="K1492" i="1"/>
  <c r="J1492" i="1"/>
  <c r="K1491" i="1"/>
  <c r="J1491" i="1"/>
  <c r="K1490" i="1"/>
  <c r="J1490" i="1"/>
  <c r="K1489" i="1"/>
  <c r="J1489" i="1"/>
  <c r="K1488" i="1"/>
  <c r="J1488" i="1"/>
  <c r="K1487" i="1"/>
  <c r="J1487" i="1"/>
  <c r="K1486" i="1"/>
  <c r="J1486" i="1"/>
  <c r="K1485" i="1"/>
  <c r="J1485" i="1"/>
  <c r="K1484" i="1"/>
  <c r="J1484" i="1"/>
  <c r="K1483" i="1"/>
  <c r="J1483" i="1"/>
  <c r="K1482" i="1"/>
  <c r="J1482" i="1"/>
  <c r="K1481" i="1"/>
  <c r="J1481" i="1"/>
  <c r="K1480" i="1"/>
  <c r="J1480" i="1"/>
  <c r="K1479" i="1"/>
  <c r="J1479" i="1"/>
  <c r="K1478" i="1"/>
  <c r="J1478" i="1"/>
  <c r="K1477" i="1"/>
  <c r="J1477" i="1"/>
  <c r="K1476" i="1"/>
  <c r="J1476" i="1"/>
  <c r="K1475" i="1"/>
  <c r="J1475" i="1"/>
  <c r="K1474" i="1"/>
  <c r="J1474" i="1"/>
  <c r="K1473" i="1"/>
  <c r="J1473" i="1"/>
  <c r="K1472" i="1"/>
  <c r="J1472" i="1"/>
  <c r="K1471" i="1"/>
  <c r="J1471" i="1"/>
  <c r="K1470" i="1"/>
  <c r="J1470" i="1"/>
  <c r="K1469" i="1"/>
  <c r="J1469" i="1"/>
  <c r="K1468" i="1"/>
  <c r="J1468" i="1"/>
  <c r="K1467" i="1"/>
  <c r="J1467" i="1"/>
  <c r="K1466" i="1"/>
  <c r="J1466" i="1"/>
  <c r="K1465" i="1"/>
  <c r="J1465" i="1"/>
  <c r="K1464" i="1"/>
  <c r="J1464" i="1"/>
  <c r="K1463" i="1"/>
  <c r="J1463" i="1"/>
  <c r="K1462" i="1"/>
  <c r="J1462" i="1"/>
  <c r="K1461" i="1"/>
  <c r="J1461" i="1"/>
  <c r="K1460" i="1"/>
  <c r="J1460" i="1"/>
  <c r="K1459" i="1"/>
  <c r="J1459" i="1"/>
  <c r="K1458" i="1"/>
  <c r="J1458" i="1"/>
  <c r="K1457" i="1"/>
  <c r="J1457" i="1"/>
  <c r="K1456" i="1"/>
  <c r="J1456" i="1"/>
  <c r="K1455" i="1"/>
  <c r="J1455" i="1"/>
  <c r="K1454" i="1"/>
  <c r="J1454" i="1"/>
  <c r="K1453" i="1"/>
  <c r="J1453" i="1"/>
  <c r="K1452" i="1"/>
  <c r="J1452" i="1"/>
  <c r="K1451" i="1"/>
  <c r="J1451" i="1"/>
  <c r="K1450" i="1"/>
  <c r="J1450" i="1"/>
  <c r="K1449" i="1"/>
  <c r="J1449" i="1"/>
  <c r="K1448" i="1"/>
  <c r="J1448" i="1"/>
  <c r="K1447" i="1"/>
  <c r="J1447" i="1"/>
  <c r="K1446" i="1"/>
  <c r="J1446" i="1"/>
  <c r="K1445" i="1"/>
  <c r="J1445" i="1"/>
  <c r="K1444" i="1"/>
  <c r="J1444" i="1"/>
  <c r="K1443" i="1"/>
  <c r="J1443" i="1"/>
  <c r="K1442" i="1"/>
  <c r="J1442" i="1"/>
  <c r="K1441" i="1"/>
  <c r="J1441" i="1"/>
  <c r="K1440" i="1"/>
  <c r="J1440" i="1"/>
  <c r="K1439" i="1"/>
  <c r="J1439" i="1"/>
  <c r="K1438" i="1"/>
  <c r="J1438" i="1"/>
  <c r="K1437" i="1"/>
  <c r="J1437" i="1"/>
  <c r="K1436" i="1"/>
  <c r="J1436" i="1"/>
  <c r="K1435" i="1"/>
  <c r="J1435" i="1"/>
  <c r="K1434" i="1"/>
  <c r="J1434" i="1"/>
  <c r="K1433" i="1"/>
  <c r="J1433" i="1"/>
  <c r="K1432" i="1"/>
  <c r="J1432" i="1"/>
  <c r="K1431" i="1"/>
  <c r="J1431" i="1"/>
  <c r="K1430" i="1"/>
  <c r="J1430" i="1"/>
  <c r="K1429" i="1"/>
  <c r="J1429" i="1"/>
  <c r="K1428" i="1"/>
  <c r="J1428" i="1"/>
  <c r="K1427" i="1"/>
  <c r="J1427" i="1"/>
  <c r="K1426" i="1"/>
  <c r="J1426" i="1"/>
  <c r="K1425" i="1"/>
  <c r="J1425" i="1"/>
  <c r="K1424" i="1"/>
  <c r="J1424" i="1"/>
  <c r="K1423" i="1"/>
  <c r="J1423" i="1"/>
  <c r="K1422" i="1"/>
  <c r="J1422" i="1"/>
  <c r="K1421" i="1"/>
  <c r="J1421" i="1"/>
  <c r="K1420" i="1"/>
  <c r="J1420" i="1"/>
  <c r="K1419" i="1"/>
  <c r="J1419" i="1"/>
  <c r="K1418" i="1"/>
  <c r="J1418" i="1"/>
  <c r="K1417" i="1"/>
  <c r="J1417" i="1"/>
  <c r="K1416" i="1"/>
  <c r="J1416" i="1"/>
  <c r="K1415" i="1"/>
  <c r="J1415" i="1"/>
  <c r="K1414" i="1"/>
  <c r="J1414" i="1"/>
  <c r="K1413" i="1"/>
  <c r="J1413" i="1"/>
  <c r="K1412" i="1"/>
  <c r="J1412" i="1"/>
  <c r="K1411" i="1"/>
  <c r="J1411" i="1"/>
  <c r="K1410" i="1"/>
  <c r="J1410" i="1"/>
  <c r="K1409" i="1"/>
  <c r="J1409" i="1"/>
  <c r="K1408" i="1"/>
  <c r="J1408" i="1"/>
  <c r="K1407" i="1"/>
  <c r="J1407" i="1"/>
  <c r="K1406" i="1"/>
  <c r="J1406" i="1"/>
  <c r="K1405" i="1"/>
  <c r="J1405" i="1"/>
  <c r="K1404" i="1"/>
  <c r="J1404" i="1"/>
  <c r="K1403" i="1"/>
  <c r="J1403" i="1"/>
  <c r="K1402" i="1"/>
  <c r="J1402" i="1"/>
  <c r="K1401" i="1"/>
  <c r="J1401" i="1"/>
  <c r="K1400" i="1"/>
  <c r="J1400" i="1"/>
  <c r="K1399" i="1"/>
  <c r="J1399" i="1"/>
  <c r="K1398" i="1"/>
  <c r="J1398" i="1"/>
  <c r="K1397" i="1"/>
  <c r="J1397" i="1"/>
  <c r="K1396" i="1"/>
  <c r="J1396" i="1"/>
  <c r="K1395" i="1"/>
  <c r="J1395" i="1"/>
  <c r="K1394" i="1"/>
  <c r="J1394" i="1"/>
  <c r="K1393" i="1"/>
  <c r="J1393" i="1"/>
  <c r="K1392" i="1"/>
  <c r="J1392" i="1"/>
  <c r="K1391" i="1"/>
  <c r="J1391" i="1"/>
  <c r="K1390" i="1"/>
  <c r="J1390" i="1"/>
  <c r="K1389" i="1"/>
  <c r="J1389" i="1"/>
  <c r="K1388" i="1"/>
  <c r="J1388" i="1"/>
  <c r="K1387" i="1"/>
  <c r="J1387" i="1"/>
  <c r="K1386" i="1"/>
  <c r="J1386" i="1"/>
  <c r="K1385" i="1"/>
  <c r="J1385" i="1"/>
  <c r="K1384" i="1"/>
  <c r="J1384" i="1"/>
  <c r="K1383" i="1"/>
  <c r="J1383" i="1"/>
  <c r="K1382" i="1"/>
  <c r="J1382" i="1"/>
  <c r="K1381" i="1"/>
  <c r="J1381" i="1"/>
  <c r="K1380" i="1"/>
  <c r="J1380" i="1"/>
  <c r="K1379" i="1"/>
  <c r="J1379" i="1"/>
  <c r="K1378" i="1"/>
  <c r="J1378" i="1"/>
  <c r="K1377" i="1"/>
  <c r="J1377" i="1"/>
  <c r="K1376" i="1"/>
  <c r="J1376" i="1"/>
  <c r="K1375" i="1"/>
  <c r="J1375" i="1"/>
  <c r="K1374" i="1"/>
  <c r="J1374" i="1"/>
  <c r="K1373" i="1"/>
  <c r="J1373" i="1"/>
  <c r="K1372" i="1"/>
  <c r="J1372" i="1"/>
  <c r="K1371" i="1"/>
  <c r="J1371" i="1"/>
  <c r="K1370" i="1"/>
  <c r="J1370" i="1"/>
  <c r="K1369" i="1"/>
  <c r="J1369" i="1"/>
  <c r="K1368" i="1"/>
  <c r="J1368" i="1"/>
  <c r="K1367" i="1"/>
  <c r="J1367" i="1"/>
  <c r="K1366" i="1"/>
  <c r="J1366" i="1"/>
  <c r="K1365" i="1"/>
  <c r="J1365" i="1"/>
  <c r="K1364" i="1"/>
  <c r="J1364" i="1"/>
  <c r="K1363" i="1"/>
  <c r="J1363" i="1"/>
  <c r="K1362" i="1"/>
  <c r="J1362" i="1"/>
  <c r="K1361" i="1"/>
  <c r="J1361" i="1"/>
  <c r="K1360" i="1"/>
  <c r="J1360" i="1"/>
  <c r="K1359" i="1"/>
  <c r="J1359" i="1"/>
  <c r="K1358" i="1"/>
  <c r="J1358" i="1"/>
  <c r="K1357" i="1"/>
  <c r="J1357" i="1"/>
  <c r="K1356" i="1"/>
  <c r="J1356" i="1"/>
  <c r="K1355" i="1"/>
  <c r="J1355" i="1"/>
  <c r="K1354" i="1"/>
  <c r="J1354" i="1"/>
  <c r="K1353" i="1"/>
  <c r="J1353" i="1"/>
  <c r="K1352" i="1"/>
  <c r="J1352" i="1"/>
  <c r="K1351" i="1"/>
  <c r="J1351" i="1"/>
  <c r="K1350" i="1"/>
  <c r="J1350" i="1"/>
  <c r="K1349" i="1"/>
  <c r="J1349" i="1"/>
  <c r="K1348" i="1"/>
  <c r="J1348" i="1"/>
  <c r="K1347" i="1"/>
  <c r="J1347" i="1"/>
  <c r="K1346" i="1"/>
  <c r="J1346" i="1"/>
  <c r="K1345" i="1"/>
  <c r="J1345" i="1"/>
  <c r="K1344" i="1"/>
  <c r="J1344" i="1"/>
  <c r="K1343" i="1"/>
  <c r="J1343" i="1"/>
  <c r="K1342" i="1"/>
  <c r="J1342" i="1"/>
  <c r="K1341" i="1"/>
  <c r="J1341" i="1"/>
  <c r="K1340" i="1"/>
  <c r="J1340" i="1"/>
  <c r="K1339" i="1"/>
  <c r="J1339" i="1"/>
  <c r="K1338" i="1"/>
  <c r="J1338" i="1"/>
  <c r="K1337" i="1"/>
  <c r="J1337" i="1"/>
  <c r="K1336" i="1"/>
  <c r="J1336" i="1"/>
  <c r="K1335" i="1"/>
  <c r="J1335" i="1"/>
  <c r="K1334" i="1"/>
  <c r="J1334" i="1"/>
  <c r="K1333" i="1"/>
  <c r="J1333" i="1"/>
  <c r="K1332" i="1"/>
  <c r="J1332" i="1"/>
  <c r="K1331" i="1"/>
  <c r="J1331" i="1"/>
  <c r="K1330" i="1"/>
  <c r="J1330" i="1"/>
  <c r="K1329" i="1"/>
  <c r="J1329" i="1"/>
  <c r="K1328" i="1"/>
  <c r="J1328" i="1"/>
  <c r="K1327" i="1"/>
  <c r="J1327" i="1"/>
  <c r="K1326" i="1"/>
  <c r="J1326" i="1"/>
  <c r="K1325" i="1"/>
  <c r="J1325" i="1"/>
  <c r="K1324" i="1"/>
  <c r="J1324" i="1"/>
  <c r="K1323" i="1"/>
  <c r="J1323" i="1"/>
  <c r="K1322" i="1"/>
  <c r="J1322" i="1"/>
  <c r="K1321" i="1"/>
  <c r="J1321" i="1"/>
  <c r="K1320" i="1"/>
  <c r="J1320" i="1"/>
  <c r="K1319" i="1"/>
  <c r="J1319" i="1"/>
  <c r="K1318" i="1"/>
  <c r="J1318" i="1"/>
  <c r="K1317" i="1"/>
  <c r="J1317" i="1"/>
  <c r="K1316" i="1"/>
  <c r="J1316" i="1"/>
  <c r="K1315" i="1"/>
  <c r="J1315" i="1"/>
  <c r="K1314" i="1"/>
  <c r="J1314" i="1"/>
  <c r="K1313" i="1"/>
  <c r="J1313" i="1"/>
  <c r="K1312" i="1"/>
  <c r="J1312" i="1"/>
  <c r="K1311" i="1"/>
  <c r="J1311" i="1"/>
  <c r="K1310" i="1"/>
  <c r="J1310" i="1"/>
  <c r="K1309" i="1"/>
  <c r="J1309" i="1"/>
  <c r="K1308" i="1"/>
  <c r="J1308" i="1"/>
  <c r="K1307" i="1"/>
  <c r="J1307" i="1"/>
  <c r="K1306" i="1"/>
  <c r="J1306" i="1"/>
  <c r="K1305" i="1"/>
  <c r="J1305" i="1"/>
  <c r="K1304" i="1"/>
  <c r="J1304" i="1"/>
  <c r="K1303" i="1"/>
  <c r="J1303" i="1"/>
  <c r="K1302" i="1"/>
  <c r="J1302" i="1"/>
  <c r="K1301" i="1"/>
  <c r="J1301" i="1"/>
  <c r="K1300" i="1"/>
  <c r="J1300" i="1"/>
  <c r="K1299" i="1"/>
  <c r="J1299" i="1"/>
  <c r="K1298" i="1"/>
  <c r="J1298" i="1"/>
  <c r="K1297" i="1"/>
  <c r="J1297" i="1"/>
  <c r="K1296" i="1"/>
  <c r="J1296" i="1"/>
  <c r="K1295" i="1"/>
  <c r="J1295" i="1"/>
  <c r="K1294" i="1"/>
  <c r="J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K1193" i="1"/>
  <c r="J1193" i="1"/>
  <c r="K1192" i="1"/>
  <c r="J1192" i="1"/>
  <c r="K1191" i="1"/>
  <c r="J1191" i="1"/>
  <c r="K1190" i="1"/>
  <c r="J1190" i="1"/>
  <c r="K1189" i="1"/>
  <c r="J1189" i="1"/>
  <c r="K1188" i="1"/>
  <c r="J1188" i="1"/>
  <c r="K1187" i="1"/>
  <c r="J1187" i="1"/>
  <c r="K1186" i="1"/>
  <c r="J1186" i="1"/>
  <c r="K1185" i="1"/>
  <c r="J1185" i="1"/>
  <c r="K1184" i="1"/>
  <c r="J1184" i="1"/>
  <c r="K1183" i="1"/>
  <c r="J1183" i="1"/>
  <c r="K1182" i="1"/>
  <c r="J1182" i="1"/>
  <c r="K1181" i="1"/>
  <c r="J1181" i="1"/>
  <c r="K1180" i="1"/>
  <c r="J1180" i="1"/>
  <c r="K1179" i="1"/>
  <c r="J1179" i="1"/>
  <c r="K1178" i="1"/>
  <c r="J1178" i="1"/>
  <c r="K1177" i="1"/>
  <c r="J1177" i="1"/>
  <c r="K1176" i="1"/>
  <c r="J1176" i="1"/>
  <c r="K1175" i="1"/>
  <c r="J1175" i="1"/>
  <c r="K1174" i="1"/>
  <c r="J1174" i="1"/>
  <c r="K1173" i="1"/>
  <c r="J1173" i="1"/>
  <c r="K1172" i="1"/>
  <c r="J1172" i="1"/>
  <c r="K1171" i="1"/>
  <c r="J1171" i="1"/>
  <c r="K1170" i="1"/>
  <c r="J1170" i="1"/>
  <c r="K1169" i="1"/>
  <c r="J1169" i="1"/>
  <c r="K1168" i="1"/>
  <c r="J1168" i="1"/>
  <c r="K1167" i="1"/>
  <c r="J1167" i="1"/>
  <c r="K1166" i="1"/>
  <c r="J1166" i="1"/>
  <c r="K1165" i="1"/>
  <c r="J1165" i="1"/>
  <c r="K1164" i="1"/>
  <c r="J1164" i="1"/>
  <c r="K1163" i="1"/>
  <c r="J1163" i="1"/>
  <c r="K1162" i="1"/>
  <c r="J1162" i="1"/>
  <c r="K1161" i="1"/>
  <c r="J1161" i="1"/>
  <c r="K1160" i="1"/>
  <c r="J1160" i="1"/>
  <c r="K1159" i="1"/>
  <c r="J1159" i="1"/>
  <c r="K1158" i="1"/>
  <c r="J1158" i="1"/>
  <c r="K1157" i="1"/>
  <c r="J1157" i="1"/>
  <c r="K1156" i="1"/>
  <c r="J1156" i="1"/>
  <c r="K1155" i="1"/>
  <c r="J1155" i="1"/>
  <c r="K1154" i="1"/>
  <c r="J1154" i="1"/>
  <c r="K1153" i="1"/>
  <c r="J1153" i="1"/>
  <c r="K1152" i="1"/>
  <c r="J1152" i="1"/>
  <c r="K1151" i="1"/>
  <c r="J1151" i="1"/>
  <c r="K1150" i="1"/>
  <c r="J1150" i="1"/>
  <c r="K1149" i="1"/>
  <c r="J1149" i="1"/>
  <c r="K1148" i="1"/>
  <c r="J1148" i="1"/>
  <c r="K1147" i="1"/>
  <c r="J1147" i="1"/>
  <c r="K1146" i="1"/>
  <c r="J1146" i="1"/>
  <c r="K1145" i="1"/>
  <c r="J1145" i="1"/>
  <c r="K1144" i="1"/>
  <c r="J1144" i="1"/>
  <c r="K1143" i="1"/>
  <c r="J1143" i="1"/>
  <c r="K1142" i="1"/>
  <c r="J1142" i="1"/>
  <c r="K1141" i="1"/>
  <c r="J1141" i="1"/>
  <c r="K1140" i="1"/>
  <c r="J1140" i="1"/>
  <c r="K1139" i="1"/>
  <c r="J1139" i="1"/>
  <c r="K1138" i="1"/>
  <c r="J1138" i="1"/>
  <c r="K1137" i="1"/>
  <c r="J1137" i="1"/>
  <c r="K1136" i="1"/>
  <c r="J1136" i="1"/>
  <c r="K1135" i="1"/>
  <c r="J1135" i="1"/>
  <c r="K1134" i="1"/>
  <c r="J1134" i="1"/>
  <c r="K1133" i="1"/>
  <c r="J1133" i="1"/>
  <c r="K1132" i="1"/>
  <c r="J1132" i="1"/>
  <c r="K1131" i="1"/>
  <c r="J1131" i="1"/>
  <c r="K1130" i="1"/>
  <c r="J1130" i="1"/>
  <c r="K1129" i="1"/>
  <c r="J1129" i="1"/>
  <c r="K1128" i="1"/>
  <c r="J1128" i="1"/>
  <c r="K1127" i="1"/>
  <c r="J1127" i="1"/>
  <c r="K1126" i="1"/>
  <c r="J1126" i="1"/>
  <c r="K1125" i="1"/>
  <c r="J1125" i="1"/>
  <c r="K1124" i="1"/>
  <c r="J1124" i="1"/>
  <c r="K1123" i="1"/>
  <c r="J1123" i="1"/>
  <c r="K1122" i="1"/>
  <c r="J1122" i="1"/>
  <c r="K1121" i="1"/>
  <c r="J1121" i="1"/>
  <c r="K1120" i="1"/>
  <c r="J1120" i="1"/>
  <c r="K1119" i="1"/>
  <c r="J1119" i="1"/>
  <c r="K1118" i="1"/>
  <c r="J1118" i="1"/>
  <c r="K1117" i="1"/>
  <c r="J1117" i="1"/>
  <c r="K1116" i="1"/>
  <c r="J1116" i="1"/>
  <c r="K1115" i="1"/>
  <c r="J1115" i="1"/>
  <c r="K1114" i="1"/>
  <c r="J1114" i="1"/>
  <c r="K1113" i="1"/>
  <c r="J1113" i="1"/>
  <c r="K1112" i="1"/>
  <c r="J1112" i="1"/>
  <c r="K1111" i="1"/>
  <c r="J1111" i="1"/>
  <c r="K1110" i="1"/>
  <c r="J1110" i="1"/>
  <c r="K1109" i="1"/>
  <c r="J1109" i="1"/>
  <c r="K1108" i="1"/>
  <c r="J1108" i="1"/>
  <c r="K1107" i="1"/>
  <c r="J1107" i="1"/>
  <c r="K1106" i="1"/>
  <c r="J1106" i="1"/>
  <c r="K1105" i="1"/>
  <c r="J1105" i="1"/>
  <c r="K1104" i="1"/>
  <c r="J1104" i="1"/>
  <c r="K1103" i="1"/>
  <c r="J1103" i="1"/>
  <c r="K1102" i="1"/>
  <c r="J1102" i="1"/>
  <c r="K1101" i="1"/>
  <c r="J1101" i="1"/>
  <c r="K1100" i="1"/>
  <c r="J1100" i="1"/>
  <c r="K1099" i="1"/>
  <c r="J1099" i="1"/>
  <c r="K1098" i="1"/>
  <c r="J1098" i="1"/>
  <c r="K1097" i="1"/>
  <c r="J1097" i="1"/>
  <c r="K1096" i="1"/>
  <c r="J1096" i="1"/>
  <c r="K1095" i="1"/>
  <c r="J1095" i="1"/>
  <c r="K1094" i="1"/>
  <c r="J1094" i="1"/>
  <c r="K1093" i="1"/>
  <c r="J1093" i="1"/>
  <c r="K1092" i="1"/>
  <c r="J1092" i="1"/>
  <c r="K1091" i="1"/>
  <c r="J1091" i="1"/>
  <c r="K1090" i="1"/>
  <c r="J1090" i="1"/>
  <c r="K1089" i="1"/>
  <c r="J1089" i="1"/>
  <c r="K1088" i="1"/>
  <c r="J1088" i="1"/>
  <c r="K1087" i="1"/>
  <c r="J1087" i="1"/>
  <c r="K1086" i="1"/>
  <c r="J1086" i="1"/>
  <c r="K1085" i="1"/>
  <c r="J1085" i="1"/>
  <c r="K1084" i="1"/>
  <c r="J1084" i="1"/>
  <c r="K1083" i="1"/>
  <c r="J1083" i="1"/>
  <c r="K1082" i="1"/>
  <c r="J1082" i="1"/>
  <c r="K1081" i="1"/>
  <c r="J1081" i="1"/>
  <c r="K1080" i="1"/>
  <c r="J1080" i="1"/>
  <c r="K1079" i="1"/>
  <c r="J1079" i="1"/>
  <c r="K1078" i="1"/>
  <c r="J1078" i="1"/>
  <c r="K1077" i="1"/>
  <c r="J1077" i="1"/>
  <c r="K1076" i="1"/>
  <c r="J1076" i="1"/>
  <c r="K1075" i="1"/>
  <c r="J1075" i="1"/>
  <c r="K1074" i="1"/>
  <c r="J1074" i="1"/>
  <c r="K1073" i="1"/>
  <c r="J1073" i="1"/>
  <c r="K1072" i="1"/>
  <c r="J1072" i="1"/>
  <c r="K1071" i="1"/>
  <c r="J1071" i="1"/>
  <c r="K1070" i="1"/>
  <c r="J1070" i="1"/>
  <c r="K1069" i="1"/>
  <c r="J1069" i="1"/>
  <c r="K1068" i="1"/>
  <c r="J1068" i="1"/>
  <c r="K1067" i="1"/>
  <c r="J1067" i="1"/>
  <c r="K1066" i="1"/>
  <c r="J1066" i="1"/>
  <c r="K1065" i="1"/>
  <c r="J1065" i="1"/>
  <c r="K1064" i="1"/>
  <c r="J1064" i="1"/>
  <c r="K1063" i="1"/>
  <c r="J1063" i="1"/>
  <c r="K1062" i="1"/>
  <c r="J1062" i="1"/>
  <c r="K1061" i="1"/>
  <c r="J1061" i="1"/>
  <c r="K1060" i="1"/>
  <c r="J1060" i="1"/>
  <c r="K1059" i="1"/>
  <c r="J1059" i="1"/>
  <c r="K1058" i="1"/>
  <c r="J1058" i="1"/>
  <c r="K1057" i="1"/>
  <c r="J1057" i="1"/>
  <c r="K1056" i="1"/>
  <c r="J1056" i="1"/>
  <c r="K1055" i="1"/>
  <c r="J1055" i="1"/>
  <c r="K1054" i="1"/>
  <c r="J1054" i="1"/>
  <c r="K1053" i="1"/>
  <c r="J1053" i="1"/>
  <c r="K1052" i="1"/>
  <c r="J1052" i="1"/>
  <c r="K1051" i="1"/>
  <c r="J1051" i="1"/>
  <c r="K1050" i="1"/>
  <c r="J1050" i="1"/>
  <c r="K1049" i="1"/>
  <c r="J1049" i="1"/>
  <c r="K1048" i="1"/>
  <c r="J1048" i="1"/>
  <c r="K1047" i="1"/>
  <c r="J1047" i="1"/>
  <c r="K1046" i="1"/>
  <c r="J1046" i="1"/>
  <c r="K1045" i="1"/>
  <c r="J1045" i="1"/>
  <c r="K1044" i="1"/>
  <c r="J1044" i="1"/>
  <c r="K1043" i="1"/>
  <c r="J1043" i="1"/>
  <c r="K1042" i="1"/>
  <c r="J1042" i="1"/>
  <c r="K1041" i="1"/>
  <c r="J1041" i="1"/>
  <c r="K1040" i="1"/>
  <c r="J1040" i="1"/>
  <c r="K1039" i="1"/>
  <c r="J1039" i="1"/>
  <c r="K1038" i="1"/>
  <c r="J1038" i="1"/>
  <c r="K1037" i="1"/>
  <c r="J1037" i="1"/>
  <c r="K1036" i="1"/>
  <c r="J1036" i="1"/>
  <c r="K1035" i="1"/>
  <c r="J1035" i="1"/>
  <c r="K1034" i="1"/>
  <c r="J1034" i="1"/>
  <c r="K1033" i="1"/>
  <c r="J1033" i="1"/>
  <c r="K1032" i="1"/>
  <c r="J1032" i="1"/>
  <c r="K1031" i="1"/>
  <c r="J1031" i="1"/>
  <c r="K1030" i="1"/>
  <c r="J1030" i="1"/>
  <c r="K1029" i="1"/>
  <c r="J1029" i="1"/>
  <c r="K1028" i="1"/>
  <c r="J1028" i="1"/>
  <c r="K1027" i="1"/>
  <c r="J1027" i="1"/>
  <c r="K1026" i="1"/>
  <c r="J1026" i="1"/>
  <c r="K1025" i="1"/>
  <c r="J1025" i="1"/>
  <c r="K1024" i="1"/>
  <c r="J1024" i="1"/>
  <c r="K1023" i="1"/>
  <c r="J1023" i="1"/>
  <c r="K1022" i="1"/>
  <c r="J1022" i="1"/>
  <c r="K1021" i="1"/>
  <c r="J1021" i="1"/>
  <c r="K1020" i="1"/>
  <c r="J1020" i="1"/>
  <c r="K1019" i="1"/>
  <c r="J1019" i="1"/>
  <c r="K1018" i="1"/>
  <c r="J1018" i="1"/>
  <c r="K1017" i="1"/>
  <c r="J1017" i="1"/>
  <c r="K1016" i="1"/>
  <c r="J1016" i="1"/>
  <c r="K1015" i="1"/>
  <c r="J1015" i="1"/>
  <c r="K1014" i="1"/>
  <c r="J1014" i="1"/>
  <c r="K1013" i="1"/>
  <c r="J1013" i="1"/>
  <c r="K1012" i="1"/>
  <c r="J1012" i="1"/>
  <c r="K1011" i="1"/>
  <c r="J1011" i="1"/>
  <c r="K1010" i="1"/>
  <c r="J1010" i="1"/>
  <c r="K1009" i="1"/>
  <c r="J1009" i="1"/>
  <c r="K1008" i="1"/>
  <c r="J1008" i="1"/>
  <c r="K1007" i="1"/>
  <c r="J1007" i="1"/>
  <c r="K1006" i="1"/>
  <c r="J1006" i="1"/>
  <c r="K1005" i="1"/>
  <c r="J1005" i="1"/>
  <c r="K1004" i="1"/>
  <c r="J1004" i="1"/>
  <c r="K1003" i="1"/>
  <c r="J1003" i="1"/>
  <c r="K1002" i="1"/>
  <c r="J1002" i="1"/>
  <c r="K1001" i="1"/>
  <c r="J1001" i="1"/>
  <c r="K1000" i="1"/>
  <c r="J1000" i="1"/>
  <c r="K999" i="1"/>
  <c r="J999" i="1"/>
  <c r="K998" i="1"/>
  <c r="J998" i="1"/>
  <c r="K997" i="1"/>
  <c r="J997" i="1"/>
  <c r="K996" i="1"/>
  <c r="J996" i="1"/>
  <c r="K995" i="1"/>
  <c r="J995" i="1"/>
  <c r="K994" i="1"/>
  <c r="J994" i="1"/>
  <c r="K993" i="1"/>
  <c r="J993" i="1"/>
  <c r="K992" i="1"/>
  <c r="J992" i="1"/>
  <c r="K991" i="1"/>
  <c r="J991" i="1"/>
  <c r="K990" i="1"/>
  <c r="J990" i="1"/>
  <c r="K989" i="1"/>
  <c r="J989" i="1"/>
  <c r="K988" i="1"/>
  <c r="J988" i="1"/>
  <c r="K987" i="1"/>
  <c r="J987" i="1"/>
  <c r="K986" i="1"/>
  <c r="J986" i="1"/>
  <c r="K985" i="1"/>
  <c r="J985" i="1"/>
  <c r="K984" i="1"/>
  <c r="J984" i="1"/>
  <c r="K983" i="1"/>
  <c r="J983" i="1"/>
  <c r="K982" i="1"/>
  <c r="J982" i="1"/>
  <c r="K981" i="1"/>
  <c r="J981" i="1"/>
  <c r="K980" i="1"/>
  <c r="J980" i="1"/>
  <c r="K979" i="1"/>
  <c r="J979" i="1"/>
  <c r="K978" i="1"/>
  <c r="J978" i="1"/>
  <c r="K977" i="1"/>
  <c r="J977" i="1"/>
  <c r="K976" i="1"/>
  <c r="J976" i="1"/>
  <c r="K975" i="1"/>
  <c r="J975" i="1"/>
  <c r="K974" i="1"/>
  <c r="J974" i="1"/>
  <c r="K973" i="1"/>
  <c r="J973" i="1"/>
  <c r="K972" i="1"/>
  <c r="J972" i="1"/>
  <c r="K971" i="1"/>
  <c r="J971" i="1"/>
  <c r="K970" i="1"/>
  <c r="J970" i="1"/>
  <c r="K969" i="1"/>
  <c r="J969" i="1"/>
  <c r="K968" i="1"/>
  <c r="J968" i="1"/>
  <c r="K967" i="1"/>
  <c r="J967" i="1"/>
  <c r="K966" i="1"/>
  <c r="J966" i="1"/>
  <c r="K965" i="1"/>
  <c r="J965" i="1"/>
  <c r="K964" i="1"/>
  <c r="J964" i="1"/>
  <c r="K963" i="1"/>
  <c r="J963" i="1"/>
  <c r="K962" i="1"/>
  <c r="J962" i="1"/>
  <c r="K961" i="1"/>
  <c r="J961" i="1"/>
  <c r="K960" i="1"/>
  <c r="J960" i="1"/>
  <c r="K959" i="1"/>
  <c r="J959" i="1"/>
  <c r="K958" i="1"/>
  <c r="J958" i="1"/>
  <c r="K957" i="1"/>
  <c r="J957" i="1"/>
  <c r="K956" i="1"/>
  <c r="J956" i="1"/>
  <c r="K955" i="1"/>
  <c r="J955" i="1"/>
  <c r="K954" i="1"/>
  <c r="J954" i="1"/>
  <c r="K953" i="1"/>
  <c r="J953" i="1"/>
  <c r="K952" i="1"/>
  <c r="J952" i="1"/>
  <c r="K951" i="1"/>
  <c r="J951" i="1"/>
  <c r="K950" i="1"/>
  <c r="J950" i="1"/>
  <c r="K949" i="1"/>
  <c r="J949" i="1"/>
  <c r="K948" i="1"/>
  <c r="J948" i="1"/>
  <c r="K947" i="1"/>
  <c r="J947" i="1"/>
  <c r="K946" i="1"/>
  <c r="J946" i="1"/>
  <c r="K945" i="1"/>
  <c r="J945" i="1"/>
  <c r="K944" i="1"/>
  <c r="J944" i="1"/>
  <c r="K943" i="1"/>
  <c r="J943" i="1"/>
  <c r="K942" i="1"/>
  <c r="J942" i="1"/>
  <c r="K941" i="1"/>
  <c r="J941" i="1"/>
  <c r="K940" i="1"/>
  <c r="J940" i="1"/>
  <c r="K939" i="1"/>
  <c r="J939" i="1"/>
  <c r="K938" i="1"/>
  <c r="J938" i="1"/>
  <c r="K937" i="1"/>
  <c r="J937" i="1"/>
  <c r="K936" i="1"/>
  <c r="J936" i="1"/>
  <c r="K935" i="1"/>
  <c r="J935" i="1"/>
  <c r="K934" i="1"/>
  <c r="J934" i="1"/>
  <c r="K933" i="1"/>
  <c r="J933" i="1"/>
  <c r="K932" i="1"/>
  <c r="J932" i="1"/>
  <c r="K931" i="1"/>
  <c r="J931" i="1"/>
  <c r="K930" i="1"/>
  <c r="J930" i="1"/>
  <c r="K929" i="1"/>
  <c r="J929" i="1"/>
  <c r="K928" i="1"/>
  <c r="J928" i="1"/>
  <c r="K927" i="1"/>
  <c r="J927" i="1"/>
  <c r="K926" i="1"/>
  <c r="J926" i="1"/>
  <c r="K925" i="1"/>
  <c r="J925" i="1"/>
  <c r="K924" i="1"/>
  <c r="J924" i="1"/>
  <c r="K923" i="1"/>
  <c r="J923" i="1"/>
  <c r="K922" i="1"/>
  <c r="J922" i="1"/>
  <c r="K921" i="1"/>
  <c r="J921" i="1"/>
  <c r="K920" i="1"/>
  <c r="J920" i="1"/>
  <c r="K919" i="1"/>
  <c r="J919" i="1"/>
  <c r="K918" i="1"/>
  <c r="J918" i="1"/>
  <c r="K917" i="1"/>
  <c r="J917" i="1"/>
  <c r="K916" i="1"/>
  <c r="J916" i="1"/>
  <c r="K915" i="1"/>
  <c r="J915" i="1"/>
  <c r="K914" i="1"/>
  <c r="J914" i="1"/>
  <c r="K913" i="1"/>
  <c r="J913" i="1"/>
  <c r="K912" i="1"/>
  <c r="J912" i="1"/>
  <c r="K911" i="1"/>
  <c r="J911" i="1"/>
  <c r="K910" i="1"/>
  <c r="J910" i="1"/>
  <c r="K909" i="1"/>
  <c r="J909" i="1"/>
  <c r="K908" i="1"/>
  <c r="J908" i="1"/>
  <c r="K907" i="1"/>
  <c r="J907" i="1"/>
  <c r="K906" i="1"/>
  <c r="J906" i="1"/>
  <c r="K905" i="1"/>
  <c r="J905" i="1"/>
  <c r="K904" i="1"/>
  <c r="J904" i="1"/>
  <c r="K903" i="1"/>
  <c r="J903" i="1"/>
  <c r="K902" i="1"/>
  <c r="J902" i="1"/>
  <c r="K901" i="1"/>
  <c r="J901" i="1"/>
  <c r="K900" i="1"/>
  <c r="J900" i="1"/>
  <c r="K899" i="1"/>
  <c r="J899" i="1"/>
  <c r="K898" i="1"/>
  <c r="J898" i="1"/>
  <c r="K897" i="1"/>
  <c r="J897" i="1"/>
  <c r="K896" i="1"/>
  <c r="J896" i="1"/>
  <c r="K895" i="1"/>
  <c r="J895" i="1"/>
  <c r="K894" i="1"/>
  <c r="J894" i="1"/>
  <c r="K893" i="1"/>
  <c r="J893" i="1"/>
  <c r="K892" i="1"/>
  <c r="J892" i="1"/>
  <c r="K891" i="1"/>
  <c r="J891" i="1"/>
  <c r="K890" i="1"/>
  <c r="J890" i="1"/>
  <c r="K889" i="1"/>
  <c r="J889" i="1"/>
  <c r="K888" i="1"/>
  <c r="J888" i="1"/>
  <c r="K887" i="1"/>
  <c r="J887" i="1"/>
  <c r="K886" i="1"/>
  <c r="J886" i="1"/>
  <c r="K885" i="1"/>
  <c r="J885" i="1"/>
  <c r="K884" i="1"/>
  <c r="J884" i="1"/>
  <c r="K883" i="1"/>
  <c r="J883" i="1"/>
  <c r="K882" i="1"/>
  <c r="J882" i="1"/>
  <c r="K881" i="1"/>
  <c r="J881" i="1"/>
  <c r="K880" i="1"/>
  <c r="J880" i="1"/>
  <c r="K879" i="1"/>
  <c r="J879" i="1"/>
  <c r="K878" i="1"/>
  <c r="J878" i="1"/>
  <c r="K877" i="1"/>
  <c r="J877" i="1"/>
  <c r="K876" i="1"/>
  <c r="J876" i="1"/>
  <c r="K875" i="1"/>
  <c r="J875" i="1"/>
  <c r="K874" i="1"/>
  <c r="J874" i="1"/>
  <c r="K873" i="1"/>
  <c r="J873" i="1"/>
  <c r="K872" i="1"/>
  <c r="J872" i="1"/>
  <c r="K871" i="1"/>
  <c r="J871" i="1"/>
  <c r="K870" i="1"/>
  <c r="J870" i="1"/>
  <c r="K869" i="1"/>
  <c r="J869" i="1"/>
  <c r="K868" i="1"/>
  <c r="J868" i="1"/>
  <c r="K867" i="1"/>
  <c r="J867" i="1"/>
  <c r="K866" i="1"/>
  <c r="J866" i="1"/>
  <c r="K865" i="1"/>
  <c r="J865" i="1"/>
  <c r="K864" i="1"/>
  <c r="J864" i="1"/>
  <c r="K863" i="1"/>
  <c r="J863" i="1"/>
  <c r="K862" i="1"/>
  <c r="J862" i="1"/>
  <c r="K861" i="1"/>
  <c r="J861" i="1"/>
  <c r="K860" i="1"/>
  <c r="J860" i="1"/>
  <c r="K859" i="1"/>
  <c r="J859" i="1"/>
  <c r="K858" i="1"/>
  <c r="J858" i="1"/>
  <c r="K857" i="1"/>
  <c r="J857" i="1"/>
  <c r="K856" i="1"/>
  <c r="J856" i="1"/>
  <c r="K855" i="1"/>
  <c r="J855" i="1"/>
  <c r="K854" i="1"/>
  <c r="J854" i="1"/>
  <c r="K853" i="1"/>
  <c r="J853" i="1"/>
  <c r="K852" i="1"/>
  <c r="J852" i="1"/>
  <c r="K851" i="1"/>
  <c r="J851" i="1"/>
  <c r="K850" i="1"/>
  <c r="J850" i="1"/>
  <c r="K849" i="1"/>
  <c r="J849" i="1"/>
  <c r="K848" i="1"/>
  <c r="J848" i="1"/>
  <c r="K847" i="1"/>
  <c r="J847" i="1"/>
  <c r="K846" i="1"/>
  <c r="J846" i="1"/>
  <c r="K845" i="1"/>
  <c r="J845" i="1"/>
  <c r="K844" i="1"/>
  <c r="J844" i="1"/>
  <c r="K843" i="1"/>
  <c r="J843" i="1"/>
  <c r="K842" i="1"/>
  <c r="J842" i="1"/>
  <c r="K841" i="1"/>
  <c r="J841" i="1"/>
  <c r="K840" i="1"/>
  <c r="J840" i="1"/>
  <c r="K839" i="1"/>
  <c r="J839" i="1"/>
  <c r="K838" i="1"/>
  <c r="J838" i="1"/>
  <c r="K837" i="1"/>
  <c r="J837" i="1"/>
  <c r="K836" i="1"/>
  <c r="J836" i="1"/>
  <c r="K835" i="1"/>
  <c r="J835" i="1"/>
  <c r="K834" i="1"/>
  <c r="J834" i="1"/>
  <c r="K833" i="1"/>
  <c r="J833" i="1"/>
  <c r="K832" i="1"/>
  <c r="J832" i="1"/>
  <c r="K831" i="1"/>
  <c r="J831" i="1"/>
  <c r="K830" i="1"/>
  <c r="J830" i="1"/>
  <c r="K829" i="1"/>
  <c r="J829" i="1"/>
  <c r="K828" i="1"/>
  <c r="J828" i="1"/>
  <c r="K827" i="1"/>
  <c r="J827" i="1"/>
  <c r="K826" i="1"/>
  <c r="J826" i="1"/>
  <c r="K825" i="1"/>
  <c r="J825" i="1"/>
  <c r="K824" i="1"/>
  <c r="J824" i="1"/>
  <c r="K823" i="1"/>
  <c r="J823" i="1"/>
  <c r="K822" i="1"/>
  <c r="J822" i="1"/>
  <c r="K821" i="1"/>
  <c r="J821" i="1"/>
  <c r="K820" i="1"/>
  <c r="J820" i="1"/>
  <c r="K819" i="1"/>
  <c r="J819" i="1"/>
  <c r="K818" i="1"/>
  <c r="J818" i="1"/>
  <c r="K817" i="1"/>
  <c r="J817" i="1"/>
  <c r="K816" i="1"/>
  <c r="J816" i="1"/>
  <c r="K815" i="1"/>
  <c r="J815" i="1"/>
  <c r="K814" i="1"/>
  <c r="J814" i="1"/>
  <c r="K813" i="1"/>
  <c r="J813" i="1"/>
  <c r="K812" i="1"/>
  <c r="J812" i="1"/>
  <c r="K811" i="1"/>
  <c r="J811" i="1"/>
  <c r="K810" i="1"/>
  <c r="J810" i="1"/>
  <c r="K809" i="1"/>
  <c r="J809" i="1"/>
  <c r="K808" i="1"/>
  <c r="J808" i="1"/>
  <c r="K807" i="1"/>
  <c r="J807" i="1"/>
  <c r="K806" i="1"/>
  <c r="J806" i="1"/>
  <c r="K805" i="1"/>
  <c r="J805" i="1"/>
  <c r="K804" i="1"/>
  <c r="J804" i="1"/>
  <c r="K803" i="1"/>
  <c r="J803" i="1"/>
  <c r="K802" i="1"/>
  <c r="J802" i="1"/>
  <c r="K801" i="1"/>
  <c r="J801" i="1"/>
  <c r="K800" i="1"/>
  <c r="J800" i="1"/>
  <c r="K799" i="1"/>
  <c r="J799" i="1"/>
  <c r="K798" i="1"/>
  <c r="J798" i="1"/>
  <c r="K797" i="1"/>
  <c r="J797" i="1"/>
  <c r="K796" i="1"/>
  <c r="J796" i="1"/>
  <c r="K795" i="1"/>
  <c r="J795" i="1"/>
  <c r="K794" i="1"/>
  <c r="J794" i="1"/>
  <c r="K793" i="1"/>
  <c r="J793" i="1"/>
  <c r="K792" i="1"/>
  <c r="J792" i="1"/>
  <c r="K791" i="1"/>
  <c r="J791" i="1"/>
  <c r="K790" i="1"/>
  <c r="J790" i="1"/>
  <c r="K789" i="1"/>
  <c r="J789" i="1"/>
  <c r="K788" i="1"/>
  <c r="J788" i="1"/>
  <c r="K787" i="1"/>
  <c r="J787" i="1"/>
  <c r="K786" i="1"/>
  <c r="J786" i="1"/>
  <c r="K785" i="1"/>
  <c r="J785" i="1"/>
  <c r="K784" i="1"/>
  <c r="J784" i="1"/>
  <c r="K783" i="1"/>
  <c r="J783" i="1"/>
  <c r="K782" i="1"/>
  <c r="J782" i="1"/>
  <c r="K781" i="1"/>
  <c r="J781" i="1"/>
  <c r="K780" i="1"/>
  <c r="J780" i="1"/>
  <c r="K779" i="1"/>
  <c r="J779" i="1"/>
  <c r="K778" i="1"/>
  <c r="J778" i="1"/>
  <c r="K777" i="1"/>
  <c r="J777" i="1"/>
  <c r="K776" i="1"/>
  <c r="J776" i="1"/>
  <c r="K775" i="1"/>
  <c r="J775" i="1"/>
  <c r="K774" i="1"/>
  <c r="J774" i="1"/>
  <c r="K773" i="1"/>
  <c r="J773" i="1"/>
  <c r="K772" i="1"/>
  <c r="J772" i="1"/>
  <c r="K771" i="1"/>
  <c r="J771" i="1"/>
  <c r="K770" i="1"/>
  <c r="J770" i="1"/>
  <c r="K769" i="1"/>
  <c r="J769" i="1"/>
  <c r="K768" i="1"/>
  <c r="J768" i="1"/>
  <c r="K767" i="1"/>
  <c r="J767" i="1"/>
  <c r="K766" i="1"/>
  <c r="J766" i="1"/>
  <c r="K765" i="1"/>
  <c r="J765" i="1"/>
  <c r="K764" i="1"/>
  <c r="J764" i="1"/>
  <c r="K763" i="1"/>
  <c r="J763" i="1"/>
  <c r="K762" i="1"/>
  <c r="J762" i="1"/>
  <c r="K761" i="1"/>
  <c r="J761" i="1"/>
  <c r="K760" i="1"/>
  <c r="J760" i="1"/>
  <c r="K759" i="1"/>
  <c r="J759" i="1"/>
  <c r="K758" i="1"/>
  <c r="J758" i="1"/>
  <c r="K757" i="1"/>
  <c r="J757" i="1"/>
  <c r="K756" i="1"/>
  <c r="J756" i="1"/>
  <c r="K755" i="1"/>
  <c r="J755" i="1"/>
  <c r="K754" i="1"/>
  <c r="J754" i="1"/>
  <c r="K753" i="1"/>
  <c r="J753" i="1"/>
  <c r="K752" i="1"/>
  <c r="J752" i="1"/>
  <c r="K751" i="1"/>
  <c r="J751" i="1"/>
  <c r="K750" i="1"/>
  <c r="J750" i="1"/>
  <c r="K749" i="1"/>
  <c r="J749" i="1"/>
  <c r="K748" i="1"/>
  <c r="J748" i="1"/>
  <c r="K747" i="1"/>
  <c r="J747" i="1"/>
  <c r="K746" i="1"/>
  <c r="J746" i="1"/>
  <c r="K745" i="1"/>
  <c r="J745" i="1"/>
  <c r="K744" i="1"/>
  <c r="J744" i="1"/>
  <c r="K743" i="1"/>
  <c r="J743" i="1"/>
  <c r="K742" i="1"/>
  <c r="J742" i="1"/>
  <c r="K741" i="1"/>
  <c r="J741" i="1"/>
  <c r="K740" i="1"/>
  <c r="J740" i="1"/>
  <c r="K739" i="1"/>
  <c r="J739" i="1"/>
  <c r="K738" i="1"/>
  <c r="J738" i="1"/>
  <c r="K737" i="1"/>
  <c r="J737" i="1"/>
  <c r="K736" i="1"/>
  <c r="J736" i="1"/>
  <c r="K735" i="1"/>
  <c r="J735" i="1"/>
  <c r="K734" i="1"/>
  <c r="J734" i="1"/>
  <c r="K733" i="1"/>
  <c r="J733" i="1"/>
  <c r="K732" i="1"/>
  <c r="J732" i="1"/>
  <c r="K731" i="1"/>
  <c r="J731" i="1"/>
  <c r="K730" i="1"/>
  <c r="J730" i="1"/>
  <c r="K729" i="1"/>
  <c r="J729" i="1"/>
  <c r="K728" i="1"/>
  <c r="J728" i="1"/>
  <c r="K727" i="1"/>
  <c r="J727" i="1"/>
  <c r="K726" i="1"/>
  <c r="J726" i="1"/>
  <c r="K725" i="1"/>
  <c r="J725" i="1"/>
  <c r="K724" i="1"/>
  <c r="J724" i="1"/>
  <c r="K723" i="1"/>
  <c r="J723" i="1"/>
  <c r="K722" i="1"/>
  <c r="J722" i="1"/>
  <c r="K721" i="1"/>
  <c r="J721" i="1"/>
  <c r="K720" i="1"/>
  <c r="J720" i="1"/>
  <c r="K719" i="1"/>
  <c r="J719" i="1"/>
  <c r="K718" i="1"/>
  <c r="J718" i="1"/>
  <c r="K717" i="1"/>
  <c r="J717" i="1"/>
  <c r="K716" i="1"/>
  <c r="J716" i="1"/>
  <c r="K715" i="1"/>
  <c r="J715" i="1"/>
  <c r="K714" i="1"/>
  <c r="J714" i="1"/>
  <c r="K713" i="1"/>
  <c r="J713" i="1"/>
  <c r="K712" i="1"/>
  <c r="J712" i="1"/>
  <c r="K711" i="1"/>
  <c r="J711" i="1"/>
  <c r="K710" i="1"/>
  <c r="J710" i="1"/>
  <c r="K709" i="1"/>
  <c r="J709" i="1"/>
  <c r="K708" i="1"/>
  <c r="J708" i="1"/>
  <c r="K707" i="1"/>
  <c r="J707" i="1"/>
  <c r="K706" i="1"/>
  <c r="J706" i="1"/>
  <c r="K705" i="1"/>
  <c r="J705" i="1"/>
  <c r="K704" i="1"/>
  <c r="J704" i="1"/>
  <c r="K703" i="1"/>
  <c r="J703" i="1"/>
  <c r="K702" i="1"/>
  <c r="J702" i="1"/>
  <c r="K701" i="1"/>
  <c r="J701" i="1"/>
  <c r="K700" i="1"/>
  <c r="J700" i="1"/>
  <c r="K699" i="1"/>
  <c r="J699" i="1"/>
  <c r="K698" i="1"/>
  <c r="J698" i="1"/>
  <c r="K697" i="1"/>
  <c r="J697" i="1"/>
  <c r="K696" i="1"/>
  <c r="J696" i="1"/>
  <c r="K695" i="1"/>
  <c r="J695" i="1"/>
  <c r="K694" i="1"/>
  <c r="J694" i="1"/>
  <c r="K693" i="1"/>
  <c r="J693" i="1"/>
  <c r="K692" i="1"/>
  <c r="J692" i="1"/>
  <c r="K691" i="1"/>
  <c r="J691" i="1"/>
  <c r="K690" i="1"/>
  <c r="J690" i="1"/>
  <c r="K689" i="1"/>
  <c r="J689" i="1"/>
  <c r="K688" i="1"/>
  <c r="J688" i="1"/>
  <c r="K687" i="1"/>
  <c r="J687" i="1"/>
  <c r="K686" i="1"/>
  <c r="J686" i="1"/>
  <c r="K685" i="1"/>
  <c r="J685" i="1"/>
  <c r="K684" i="1"/>
  <c r="J684" i="1"/>
  <c r="K683" i="1"/>
  <c r="J683" i="1"/>
  <c r="K682" i="1"/>
  <c r="J682" i="1"/>
  <c r="K681" i="1"/>
  <c r="J681" i="1"/>
  <c r="K680" i="1"/>
  <c r="J680" i="1"/>
  <c r="K679" i="1"/>
  <c r="J679" i="1"/>
  <c r="K678" i="1"/>
  <c r="J678" i="1"/>
  <c r="K677" i="1"/>
  <c r="J677" i="1"/>
  <c r="K676" i="1"/>
  <c r="J676" i="1"/>
  <c r="K675" i="1"/>
  <c r="J675" i="1"/>
  <c r="K674" i="1"/>
  <c r="J674" i="1"/>
  <c r="K673" i="1"/>
  <c r="J673" i="1"/>
  <c r="K672" i="1"/>
  <c r="J672" i="1"/>
  <c r="K671" i="1"/>
  <c r="J671" i="1"/>
  <c r="K670" i="1"/>
  <c r="J670" i="1"/>
  <c r="K669" i="1"/>
  <c r="J669" i="1"/>
  <c r="K668" i="1"/>
  <c r="J668" i="1"/>
  <c r="K667" i="1"/>
  <c r="J667" i="1"/>
  <c r="K666" i="1"/>
  <c r="J666" i="1"/>
  <c r="K665" i="1"/>
  <c r="J665" i="1"/>
  <c r="K664" i="1"/>
  <c r="J664" i="1"/>
  <c r="K663" i="1"/>
  <c r="J663" i="1"/>
  <c r="K662" i="1"/>
  <c r="J662" i="1"/>
  <c r="K661" i="1"/>
  <c r="J661" i="1"/>
  <c r="K660" i="1"/>
  <c r="J660" i="1"/>
  <c r="K659" i="1"/>
  <c r="J659" i="1"/>
  <c r="K658" i="1"/>
  <c r="J658" i="1"/>
  <c r="K657" i="1"/>
  <c r="J657" i="1"/>
  <c r="K656" i="1"/>
  <c r="J656" i="1"/>
  <c r="K655" i="1"/>
  <c r="J655" i="1"/>
  <c r="K654" i="1"/>
  <c r="J654" i="1"/>
  <c r="K653" i="1"/>
  <c r="J653" i="1"/>
  <c r="K652" i="1"/>
  <c r="J652" i="1"/>
  <c r="K651" i="1"/>
  <c r="J651" i="1"/>
  <c r="K650" i="1"/>
  <c r="J650" i="1"/>
  <c r="K649" i="1"/>
  <c r="J649" i="1"/>
  <c r="K648" i="1"/>
  <c r="J648" i="1"/>
  <c r="K647" i="1"/>
  <c r="J647" i="1"/>
  <c r="K646" i="1"/>
  <c r="J646" i="1"/>
  <c r="K645" i="1"/>
  <c r="J645" i="1"/>
  <c r="K644" i="1"/>
  <c r="J644" i="1"/>
  <c r="K643" i="1"/>
  <c r="J643" i="1"/>
  <c r="K642" i="1"/>
  <c r="J642" i="1"/>
  <c r="K641" i="1"/>
  <c r="J641" i="1"/>
  <c r="K640" i="1"/>
  <c r="J640" i="1"/>
  <c r="K639" i="1"/>
  <c r="J639" i="1"/>
  <c r="K638" i="1"/>
  <c r="J638" i="1"/>
  <c r="K637" i="1"/>
  <c r="J637" i="1"/>
  <c r="K636" i="1"/>
  <c r="J636" i="1"/>
  <c r="K635" i="1"/>
  <c r="J635" i="1"/>
  <c r="K634" i="1"/>
  <c r="J634" i="1"/>
  <c r="K633" i="1"/>
  <c r="J633" i="1"/>
  <c r="K632" i="1"/>
  <c r="J632" i="1"/>
  <c r="K631" i="1"/>
  <c r="J631" i="1"/>
  <c r="K630" i="1"/>
  <c r="J630" i="1"/>
  <c r="K629" i="1"/>
  <c r="J629" i="1"/>
  <c r="K628" i="1"/>
  <c r="J628" i="1"/>
  <c r="K627" i="1"/>
  <c r="J627" i="1"/>
  <c r="K626" i="1"/>
  <c r="J626" i="1"/>
  <c r="K625" i="1"/>
  <c r="J625" i="1"/>
  <c r="K624" i="1"/>
  <c r="J624" i="1"/>
  <c r="K623" i="1"/>
  <c r="J623" i="1"/>
  <c r="K622" i="1"/>
  <c r="J622" i="1"/>
  <c r="K621" i="1"/>
  <c r="J621" i="1"/>
  <c r="K620" i="1"/>
  <c r="J620" i="1"/>
  <c r="K619" i="1"/>
  <c r="J619" i="1"/>
  <c r="K618" i="1"/>
  <c r="J618" i="1"/>
  <c r="K617" i="1"/>
  <c r="J617" i="1"/>
  <c r="K616" i="1"/>
  <c r="J616" i="1"/>
  <c r="K615" i="1"/>
  <c r="J615" i="1"/>
  <c r="K614" i="1"/>
  <c r="J614" i="1"/>
  <c r="K613" i="1"/>
  <c r="J613" i="1"/>
  <c r="K612" i="1"/>
  <c r="J612" i="1"/>
  <c r="K611" i="1"/>
  <c r="J611" i="1"/>
  <c r="K610" i="1"/>
  <c r="J610" i="1"/>
  <c r="K609" i="1"/>
  <c r="J609" i="1"/>
  <c r="K608" i="1"/>
  <c r="J608" i="1"/>
  <c r="K607" i="1"/>
  <c r="J607" i="1"/>
  <c r="K606" i="1"/>
  <c r="J606" i="1"/>
  <c r="K605" i="1"/>
  <c r="J605" i="1"/>
  <c r="K604" i="1"/>
  <c r="J604" i="1"/>
  <c r="K603" i="1"/>
  <c r="J603" i="1"/>
  <c r="K602" i="1"/>
  <c r="J602" i="1"/>
  <c r="K601" i="1"/>
  <c r="J601" i="1"/>
  <c r="K600" i="1"/>
  <c r="J600" i="1"/>
  <c r="K599" i="1"/>
  <c r="J599" i="1"/>
  <c r="K598" i="1"/>
  <c r="J598" i="1"/>
  <c r="K597" i="1"/>
  <c r="J597" i="1"/>
  <c r="K596" i="1"/>
  <c r="J596" i="1"/>
  <c r="K595" i="1"/>
  <c r="J595" i="1"/>
  <c r="K594" i="1"/>
  <c r="J594" i="1"/>
  <c r="K593" i="1"/>
  <c r="J593" i="1"/>
  <c r="K592" i="1"/>
  <c r="J592" i="1"/>
  <c r="K591" i="1"/>
  <c r="J591" i="1"/>
  <c r="K590" i="1"/>
  <c r="J590" i="1"/>
  <c r="K589" i="1"/>
  <c r="J589" i="1"/>
  <c r="K588" i="1"/>
  <c r="J588" i="1"/>
  <c r="K587" i="1"/>
  <c r="J587" i="1"/>
  <c r="K586" i="1"/>
  <c r="J586" i="1"/>
  <c r="K585" i="1"/>
  <c r="J585" i="1"/>
  <c r="K584" i="1"/>
  <c r="J584" i="1"/>
  <c r="K583" i="1"/>
  <c r="J583" i="1"/>
  <c r="K582" i="1"/>
  <c r="J582" i="1"/>
  <c r="K581" i="1"/>
  <c r="J581" i="1"/>
  <c r="K580" i="1"/>
  <c r="J580" i="1"/>
  <c r="K579" i="1"/>
  <c r="J579" i="1"/>
  <c r="K578" i="1"/>
  <c r="J578" i="1"/>
  <c r="K577" i="1"/>
  <c r="J577" i="1"/>
  <c r="K576" i="1"/>
  <c r="J576" i="1"/>
  <c r="K575" i="1"/>
  <c r="J575" i="1"/>
  <c r="K574" i="1"/>
  <c r="J574" i="1"/>
  <c r="K573" i="1"/>
  <c r="J573" i="1"/>
  <c r="K572" i="1"/>
  <c r="J572" i="1"/>
  <c r="K571" i="1"/>
  <c r="J571" i="1"/>
  <c r="K570" i="1"/>
  <c r="J570" i="1"/>
  <c r="K569" i="1"/>
  <c r="J569" i="1"/>
  <c r="K568" i="1"/>
  <c r="J568" i="1"/>
  <c r="K567" i="1"/>
  <c r="J567" i="1"/>
  <c r="K566" i="1"/>
  <c r="J566" i="1"/>
  <c r="K565" i="1"/>
  <c r="J565" i="1"/>
  <c r="K564" i="1"/>
  <c r="J564" i="1"/>
  <c r="K563" i="1"/>
  <c r="J563" i="1"/>
  <c r="K562" i="1"/>
  <c r="J562" i="1"/>
  <c r="K561" i="1"/>
  <c r="J561" i="1"/>
  <c r="K560" i="1"/>
  <c r="J560" i="1"/>
  <c r="K559" i="1"/>
  <c r="J559" i="1"/>
  <c r="K558" i="1"/>
  <c r="J558" i="1"/>
  <c r="K557" i="1"/>
  <c r="J557" i="1"/>
  <c r="K556" i="1"/>
  <c r="J556" i="1"/>
  <c r="K555" i="1"/>
  <c r="J555" i="1"/>
  <c r="K554" i="1"/>
  <c r="J554" i="1"/>
  <c r="K553" i="1"/>
  <c r="J553" i="1"/>
  <c r="K552" i="1"/>
  <c r="J552" i="1"/>
  <c r="K551" i="1"/>
  <c r="J551" i="1"/>
  <c r="K550" i="1"/>
  <c r="J550" i="1"/>
  <c r="K549" i="1"/>
  <c r="J549" i="1"/>
  <c r="K548" i="1"/>
  <c r="J548" i="1"/>
  <c r="K547" i="1"/>
  <c r="J547" i="1"/>
  <c r="K546" i="1"/>
  <c r="J546" i="1"/>
  <c r="K545" i="1"/>
  <c r="J545" i="1"/>
  <c r="K544" i="1"/>
  <c r="J544" i="1"/>
  <c r="K543" i="1"/>
  <c r="J543" i="1"/>
  <c r="K542" i="1"/>
  <c r="J542" i="1"/>
  <c r="K541" i="1"/>
  <c r="J541" i="1"/>
  <c r="K540" i="1"/>
  <c r="J540" i="1"/>
  <c r="K539" i="1"/>
  <c r="J539" i="1"/>
  <c r="K538" i="1"/>
  <c r="J538" i="1"/>
  <c r="K537" i="1"/>
  <c r="J537" i="1"/>
  <c r="K536" i="1"/>
  <c r="J536" i="1"/>
  <c r="K535" i="1"/>
  <c r="J535" i="1"/>
  <c r="K534" i="1"/>
  <c r="J534" i="1"/>
  <c r="K533" i="1"/>
  <c r="J533" i="1"/>
  <c r="K532" i="1"/>
  <c r="J532" i="1"/>
  <c r="K531" i="1"/>
  <c r="J531" i="1"/>
  <c r="K530" i="1"/>
  <c r="J530" i="1"/>
  <c r="K529" i="1"/>
  <c r="J529" i="1"/>
  <c r="K528" i="1"/>
  <c r="J528" i="1"/>
  <c r="K527" i="1"/>
  <c r="J527" i="1"/>
  <c r="K526" i="1"/>
  <c r="J526" i="1"/>
  <c r="K525" i="1"/>
  <c r="J525" i="1"/>
  <c r="K524" i="1"/>
  <c r="J524" i="1"/>
  <c r="K523" i="1"/>
  <c r="J523" i="1"/>
  <c r="K522" i="1"/>
  <c r="J522" i="1"/>
  <c r="K521" i="1"/>
  <c r="J521" i="1"/>
  <c r="K520" i="1"/>
  <c r="J520" i="1"/>
  <c r="K519" i="1"/>
  <c r="J519" i="1"/>
  <c r="K518" i="1"/>
  <c r="J518" i="1"/>
  <c r="K517" i="1"/>
  <c r="J517" i="1"/>
  <c r="K516" i="1"/>
  <c r="J516" i="1"/>
  <c r="K515" i="1"/>
  <c r="J515" i="1"/>
  <c r="K514" i="1"/>
  <c r="J514" i="1"/>
  <c r="K513" i="1"/>
  <c r="J513" i="1"/>
  <c r="K512" i="1"/>
  <c r="J512" i="1"/>
  <c r="K511" i="1"/>
  <c r="J511" i="1"/>
  <c r="K510" i="1"/>
  <c r="J510" i="1"/>
  <c r="K509" i="1"/>
  <c r="J509" i="1"/>
  <c r="K508" i="1"/>
  <c r="J508" i="1"/>
  <c r="K507" i="1"/>
  <c r="J507" i="1"/>
  <c r="K506" i="1"/>
  <c r="J506" i="1"/>
  <c r="K505" i="1"/>
  <c r="J505" i="1"/>
  <c r="K504" i="1"/>
  <c r="J504" i="1"/>
  <c r="K503" i="1"/>
  <c r="J503" i="1"/>
  <c r="K502" i="1"/>
  <c r="J502" i="1"/>
  <c r="K501" i="1"/>
  <c r="J501" i="1"/>
  <c r="K500" i="1"/>
  <c r="J500" i="1"/>
  <c r="K499" i="1"/>
  <c r="J499" i="1"/>
  <c r="K498" i="1"/>
  <c r="J498" i="1"/>
  <c r="K497" i="1"/>
  <c r="J497" i="1"/>
  <c r="K496" i="1"/>
  <c r="J496" i="1"/>
  <c r="K495" i="1"/>
  <c r="J495" i="1"/>
  <c r="K494" i="1"/>
  <c r="J494" i="1"/>
  <c r="K493" i="1"/>
  <c r="J493" i="1"/>
  <c r="K492" i="1"/>
  <c r="J492" i="1"/>
  <c r="K491" i="1"/>
  <c r="J491" i="1"/>
  <c r="K490" i="1"/>
  <c r="J490" i="1"/>
  <c r="K489" i="1"/>
  <c r="J489" i="1"/>
  <c r="K488" i="1"/>
  <c r="J488" i="1"/>
  <c r="K487" i="1"/>
  <c r="J487" i="1"/>
  <c r="K486" i="1"/>
  <c r="J486" i="1"/>
  <c r="K485" i="1"/>
  <c r="J485" i="1"/>
  <c r="K484" i="1"/>
  <c r="J484" i="1"/>
  <c r="K483" i="1"/>
  <c r="J483" i="1"/>
  <c r="K482" i="1"/>
  <c r="J482" i="1"/>
  <c r="K481" i="1"/>
  <c r="J481" i="1"/>
  <c r="K480" i="1"/>
  <c r="J480" i="1"/>
  <c r="K479" i="1"/>
  <c r="J479" i="1"/>
  <c r="K478" i="1"/>
  <c r="J478" i="1"/>
  <c r="K477" i="1"/>
  <c r="J477" i="1"/>
  <c r="K476" i="1"/>
  <c r="J476" i="1"/>
  <c r="K475" i="1"/>
  <c r="J475" i="1"/>
  <c r="K474" i="1"/>
  <c r="J474" i="1"/>
  <c r="K473" i="1"/>
  <c r="J473" i="1"/>
  <c r="K472" i="1"/>
  <c r="J472" i="1"/>
  <c r="K471" i="1"/>
  <c r="J471" i="1"/>
  <c r="K470" i="1"/>
  <c r="J470" i="1"/>
  <c r="K469" i="1"/>
  <c r="J469" i="1"/>
  <c r="K468" i="1"/>
  <c r="J468" i="1"/>
  <c r="K467" i="1"/>
  <c r="J467" i="1"/>
  <c r="K466" i="1"/>
  <c r="J466" i="1"/>
  <c r="K465" i="1"/>
  <c r="J465" i="1"/>
  <c r="K464" i="1"/>
  <c r="J464" i="1"/>
  <c r="K463" i="1"/>
  <c r="J463" i="1"/>
  <c r="K462" i="1"/>
  <c r="J462" i="1"/>
  <c r="K461" i="1"/>
  <c r="J461" i="1"/>
  <c r="K460" i="1"/>
  <c r="J460" i="1"/>
  <c r="K459" i="1"/>
  <c r="J459" i="1"/>
  <c r="K458" i="1"/>
  <c r="J458" i="1"/>
  <c r="K457" i="1"/>
  <c r="J457" i="1"/>
  <c r="K456" i="1"/>
  <c r="J456" i="1"/>
  <c r="K455" i="1"/>
  <c r="J455" i="1"/>
  <c r="K454" i="1"/>
  <c r="J454" i="1"/>
  <c r="K453" i="1"/>
  <c r="J453" i="1"/>
  <c r="K452" i="1"/>
  <c r="J452" i="1"/>
  <c r="K451" i="1"/>
  <c r="J451" i="1"/>
  <c r="K450" i="1"/>
  <c r="J450" i="1"/>
  <c r="K449" i="1"/>
  <c r="J449" i="1"/>
  <c r="K448" i="1"/>
  <c r="J448" i="1"/>
  <c r="K447" i="1"/>
  <c r="J447" i="1"/>
  <c r="K446" i="1"/>
  <c r="J446" i="1"/>
  <c r="K445" i="1"/>
  <c r="J445" i="1"/>
  <c r="K444" i="1"/>
  <c r="J444" i="1"/>
  <c r="K443" i="1"/>
  <c r="J443" i="1"/>
  <c r="K442" i="1"/>
  <c r="J442" i="1"/>
  <c r="K441" i="1"/>
  <c r="J441" i="1"/>
  <c r="K440" i="1"/>
  <c r="J440" i="1"/>
  <c r="K439" i="1"/>
  <c r="J439" i="1"/>
  <c r="K438" i="1"/>
  <c r="J438" i="1"/>
  <c r="K437" i="1"/>
  <c r="J437" i="1"/>
  <c r="K436" i="1"/>
  <c r="J436" i="1"/>
  <c r="K435" i="1"/>
  <c r="J435" i="1"/>
  <c r="K434" i="1"/>
  <c r="J434" i="1"/>
  <c r="K433" i="1"/>
  <c r="J433" i="1"/>
  <c r="K432" i="1"/>
  <c r="J432" i="1"/>
  <c r="K431" i="1"/>
  <c r="J431" i="1"/>
  <c r="K430" i="1"/>
  <c r="J430" i="1"/>
  <c r="K429" i="1"/>
  <c r="J429" i="1"/>
  <c r="K428" i="1"/>
  <c r="J428" i="1"/>
  <c r="K427" i="1"/>
  <c r="J427" i="1"/>
  <c r="K426" i="1"/>
  <c r="J426" i="1"/>
  <c r="K425" i="1"/>
  <c r="J425" i="1"/>
  <c r="K424" i="1"/>
  <c r="J424" i="1"/>
  <c r="K423" i="1"/>
  <c r="J423" i="1"/>
  <c r="K422" i="1"/>
  <c r="J422" i="1"/>
  <c r="K421" i="1"/>
  <c r="J421" i="1"/>
  <c r="K420" i="1"/>
  <c r="J420" i="1"/>
  <c r="K419" i="1"/>
  <c r="J419" i="1"/>
  <c r="K418" i="1"/>
  <c r="J418" i="1"/>
  <c r="K417" i="1"/>
  <c r="J417" i="1"/>
  <c r="K416" i="1"/>
  <c r="J416" i="1"/>
  <c r="K415" i="1"/>
  <c r="J415" i="1"/>
  <c r="K414" i="1"/>
  <c r="J414" i="1"/>
  <c r="K413" i="1"/>
  <c r="J413" i="1"/>
  <c r="K412" i="1"/>
  <c r="J412" i="1"/>
  <c r="K411" i="1"/>
  <c r="J411" i="1"/>
  <c r="K410" i="1"/>
  <c r="J410" i="1"/>
  <c r="K409" i="1"/>
  <c r="J409" i="1"/>
  <c r="K408" i="1"/>
  <c r="J408" i="1"/>
  <c r="K407" i="1"/>
  <c r="J407" i="1"/>
  <c r="K406" i="1"/>
  <c r="J406" i="1"/>
  <c r="K405" i="1"/>
  <c r="J405" i="1"/>
  <c r="K404" i="1"/>
  <c r="J404" i="1"/>
  <c r="K403" i="1"/>
  <c r="J403" i="1"/>
  <c r="K402" i="1"/>
  <c r="J402" i="1"/>
  <c r="K401" i="1"/>
  <c r="J401" i="1"/>
  <c r="K400" i="1"/>
  <c r="J400" i="1"/>
  <c r="K399" i="1"/>
  <c r="J399" i="1"/>
  <c r="K398" i="1"/>
  <c r="J398" i="1"/>
  <c r="K397" i="1"/>
  <c r="J397" i="1"/>
  <c r="K396" i="1"/>
  <c r="J396" i="1"/>
  <c r="K395" i="1"/>
  <c r="J395" i="1"/>
  <c r="K394" i="1"/>
  <c r="J394" i="1"/>
  <c r="K393" i="1"/>
  <c r="J393" i="1"/>
  <c r="K392" i="1"/>
  <c r="J392" i="1"/>
  <c r="K391" i="1"/>
  <c r="J391" i="1"/>
  <c r="K390" i="1"/>
  <c r="J390" i="1"/>
  <c r="K389" i="1"/>
  <c r="J389" i="1"/>
  <c r="K388" i="1"/>
  <c r="J388" i="1"/>
  <c r="K387" i="1"/>
  <c r="J387" i="1"/>
  <c r="K386" i="1"/>
  <c r="J386" i="1"/>
  <c r="K385" i="1"/>
  <c r="J385" i="1"/>
  <c r="K384" i="1"/>
  <c r="J384" i="1"/>
  <c r="K383" i="1"/>
  <c r="J383" i="1"/>
  <c r="K382" i="1"/>
  <c r="J382" i="1"/>
  <c r="K381" i="1"/>
  <c r="J381" i="1"/>
  <c r="K380" i="1"/>
  <c r="J380" i="1"/>
  <c r="K379" i="1"/>
  <c r="J379" i="1"/>
  <c r="K378" i="1"/>
  <c r="J378" i="1"/>
  <c r="K377" i="1"/>
  <c r="J377" i="1"/>
  <c r="K376" i="1"/>
  <c r="J376" i="1"/>
  <c r="K375" i="1"/>
  <c r="J375" i="1"/>
  <c r="K374" i="1"/>
  <c r="J374" i="1"/>
  <c r="K373" i="1"/>
  <c r="J373" i="1"/>
  <c r="K372" i="1"/>
  <c r="J372" i="1"/>
  <c r="K371" i="1"/>
  <c r="J371" i="1"/>
  <c r="K370" i="1"/>
  <c r="J370" i="1"/>
  <c r="K369" i="1"/>
  <c r="J369" i="1"/>
  <c r="K368" i="1"/>
  <c r="J368" i="1"/>
  <c r="K367" i="1"/>
  <c r="J367" i="1"/>
  <c r="K366" i="1"/>
  <c r="J366" i="1"/>
  <c r="K365" i="1"/>
  <c r="J365" i="1"/>
  <c r="K364" i="1"/>
  <c r="J364" i="1"/>
  <c r="K363" i="1"/>
  <c r="J363" i="1"/>
  <c r="K362" i="1"/>
  <c r="J362" i="1"/>
  <c r="K361" i="1"/>
  <c r="J361" i="1"/>
  <c r="K360" i="1"/>
  <c r="J360" i="1"/>
  <c r="K359" i="1"/>
  <c r="J359" i="1"/>
  <c r="K358" i="1"/>
  <c r="J358" i="1"/>
  <c r="K357" i="1"/>
  <c r="J357" i="1"/>
  <c r="K356" i="1"/>
  <c r="J356" i="1"/>
  <c r="K355" i="1"/>
  <c r="J355" i="1"/>
  <c r="K354" i="1"/>
  <c r="J354" i="1"/>
  <c r="K353" i="1"/>
  <c r="J353" i="1"/>
  <c r="K352" i="1"/>
  <c r="J352" i="1"/>
  <c r="K351" i="1"/>
  <c r="J351" i="1"/>
  <c r="K350" i="1"/>
  <c r="J350" i="1"/>
  <c r="K349" i="1"/>
  <c r="J349" i="1"/>
  <c r="K348" i="1"/>
  <c r="J348" i="1"/>
  <c r="K347" i="1"/>
  <c r="J347" i="1"/>
  <c r="K346" i="1"/>
  <c r="J346" i="1"/>
  <c r="K345" i="1"/>
  <c r="J345" i="1"/>
  <c r="K344" i="1"/>
  <c r="J344" i="1"/>
  <c r="K343" i="1"/>
  <c r="J343" i="1"/>
  <c r="K342" i="1"/>
  <c r="J342" i="1"/>
  <c r="K341" i="1"/>
  <c r="J341" i="1"/>
  <c r="K340" i="1"/>
  <c r="J340" i="1"/>
  <c r="K339" i="1"/>
  <c r="J339" i="1"/>
  <c r="K338" i="1"/>
  <c r="J338" i="1"/>
  <c r="K337" i="1"/>
  <c r="J337" i="1"/>
  <c r="K336" i="1"/>
  <c r="J336" i="1"/>
  <c r="K335" i="1"/>
  <c r="J335" i="1"/>
  <c r="K334" i="1"/>
  <c r="J334" i="1"/>
  <c r="K333" i="1"/>
  <c r="J333" i="1"/>
  <c r="K332" i="1"/>
  <c r="J332" i="1"/>
  <c r="K331" i="1"/>
  <c r="J331" i="1"/>
  <c r="K330" i="1"/>
  <c r="J330" i="1"/>
  <c r="K329" i="1"/>
  <c r="J329" i="1"/>
  <c r="K328" i="1"/>
  <c r="J328" i="1"/>
  <c r="K327" i="1"/>
  <c r="J327" i="1"/>
  <c r="K326" i="1"/>
  <c r="J326" i="1"/>
  <c r="K325" i="1"/>
  <c r="J325" i="1"/>
  <c r="K324" i="1"/>
  <c r="J324" i="1"/>
  <c r="K323" i="1"/>
  <c r="J323" i="1"/>
  <c r="K322" i="1"/>
  <c r="J322" i="1"/>
  <c r="K321" i="1"/>
  <c r="J321" i="1"/>
  <c r="K320" i="1"/>
  <c r="J320" i="1"/>
  <c r="K319" i="1"/>
  <c r="J319" i="1"/>
  <c r="K318" i="1"/>
  <c r="J318" i="1"/>
  <c r="K317" i="1"/>
  <c r="J317" i="1"/>
  <c r="K316" i="1"/>
  <c r="J316" i="1"/>
  <c r="K315" i="1"/>
  <c r="J315" i="1"/>
  <c r="K314" i="1"/>
  <c r="J314" i="1"/>
  <c r="K313" i="1"/>
  <c r="J313" i="1"/>
  <c r="K312" i="1"/>
  <c r="J312" i="1"/>
  <c r="K311" i="1"/>
  <c r="J311" i="1"/>
  <c r="K310" i="1"/>
  <c r="J310" i="1"/>
  <c r="K309" i="1"/>
  <c r="J309" i="1"/>
  <c r="K308" i="1"/>
  <c r="J308" i="1"/>
  <c r="K307" i="1"/>
  <c r="J307" i="1"/>
  <c r="K306" i="1"/>
  <c r="J306" i="1"/>
  <c r="K305" i="1"/>
  <c r="J305" i="1"/>
  <c r="K304" i="1"/>
  <c r="J304" i="1"/>
  <c r="K303" i="1"/>
  <c r="J303" i="1"/>
  <c r="K302" i="1"/>
  <c r="J302" i="1"/>
  <c r="K301" i="1"/>
  <c r="J301" i="1"/>
  <c r="K300" i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K291" i="1"/>
  <c r="J291" i="1"/>
  <c r="K290" i="1"/>
  <c r="J290" i="1"/>
  <c r="K289" i="1"/>
  <c r="J289" i="1"/>
  <c r="K288" i="1"/>
  <c r="J288" i="1"/>
  <c r="K287" i="1"/>
  <c r="J287" i="1"/>
  <c r="K286" i="1"/>
  <c r="J286" i="1"/>
  <c r="K285" i="1"/>
  <c r="J285" i="1"/>
  <c r="K284" i="1"/>
  <c r="J284" i="1"/>
  <c r="K283" i="1"/>
  <c r="J283" i="1"/>
  <c r="K282" i="1"/>
  <c r="J282" i="1"/>
  <c r="K281" i="1"/>
  <c r="J281" i="1"/>
  <c r="K280" i="1"/>
  <c r="J280" i="1"/>
  <c r="K279" i="1"/>
  <c r="J279" i="1"/>
  <c r="K278" i="1"/>
  <c r="J278" i="1"/>
  <c r="K277" i="1"/>
  <c r="J277" i="1"/>
  <c r="K276" i="1"/>
  <c r="J276" i="1"/>
  <c r="K275" i="1"/>
  <c r="J275" i="1"/>
  <c r="K274" i="1"/>
  <c r="J274" i="1"/>
  <c r="K273" i="1"/>
  <c r="J273" i="1"/>
  <c r="K272" i="1"/>
  <c r="J272" i="1"/>
  <c r="K271" i="1"/>
  <c r="J271" i="1"/>
  <c r="K270" i="1"/>
  <c r="J270" i="1"/>
  <c r="K269" i="1"/>
  <c r="J269" i="1"/>
  <c r="K268" i="1"/>
  <c r="J268" i="1"/>
  <c r="K267" i="1"/>
  <c r="J267" i="1"/>
  <c r="K266" i="1"/>
  <c r="J266" i="1"/>
  <c r="K265" i="1"/>
  <c r="J265" i="1"/>
  <c r="K264" i="1"/>
  <c r="J264" i="1"/>
  <c r="K263" i="1"/>
  <c r="J263" i="1"/>
  <c r="K262" i="1"/>
  <c r="J262" i="1"/>
  <c r="K261" i="1"/>
  <c r="J261" i="1"/>
  <c r="K260" i="1"/>
  <c r="J260" i="1"/>
  <c r="K259" i="1"/>
  <c r="J259" i="1"/>
  <c r="K258" i="1"/>
  <c r="J258" i="1"/>
  <c r="K257" i="1"/>
  <c r="J257" i="1"/>
  <c r="K256" i="1"/>
  <c r="J256" i="1"/>
  <c r="K255" i="1"/>
  <c r="J255" i="1"/>
  <c r="K254" i="1"/>
  <c r="J254" i="1"/>
  <c r="K253" i="1"/>
  <c r="J253" i="1"/>
  <c r="K252" i="1"/>
  <c r="J252" i="1"/>
  <c r="K251" i="1"/>
  <c r="J251" i="1"/>
  <c r="K250" i="1"/>
  <c r="J250" i="1"/>
  <c r="K249" i="1"/>
  <c r="J249" i="1"/>
  <c r="K248" i="1"/>
  <c r="J248" i="1"/>
  <c r="K247" i="1"/>
  <c r="J247" i="1"/>
  <c r="K246" i="1"/>
  <c r="J246" i="1"/>
  <c r="K245" i="1"/>
  <c r="J245" i="1"/>
  <c r="K244" i="1"/>
  <c r="J244" i="1"/>
  <c r="K243" i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K235" i="1"/>
  <c r="J235" i="1"/>
  <c r="K234" i="1"/>
  <c r="J234" i="1"/>
  <c r="K233" i="1"/>
  <c r="J233" i="1"/>
  <c r="K232" i="1"/>
  <c r="J232" i="1"/>
  <c r="K231" i="1"/>
  <c r="J231" i="1"/>
  <c r="K230" i="1"/>
  <c r="J230" i="1"/>
  <c r="K229" i="1"/>
  <c r="J229" i="1"/>
  <c r="K228" i="1"/>
  <c r="J228" i="1"/>
  <c r="K227" i="1"/>
  <c r="J227" i="1"/>
  <c r="K226" i="1"/>
  <c r="J226" i="1"/>
  <c r="K225" i="1"/>
  <c r="J225" i="1"/>
  <c r="K224" i="1"/>
  <c r="J224" i="1"/>
  <c r="K223" i="1"/>
  <c r="J223" i="1"/>
  <c r="K222" i="1"/>
  <c r="J222" i="1"/>
  <c r="K221" i="1"/>
  <c r="J221" i="1"/>
  <c r="K220" i="1"/>
  <c r="J220" i="1"/>
  <c r="K219" i="1"/>
  <c r="J219" i="1"/>
  <c r="K218" i="1"/>
  <c r="J218" i="1"/>
  <c r="K217" i="1"/>
  <c r="J217" i="1"/>
  <c r="K216" i="1"/>
  <c r="J216" i="1"/>
  <c r="K215" i="1"/>
  <c r="J215" i="1"/>
  <c r="K214" i="1"/>
  <c r="J214" i="1"/>
  <c r="K213" i="1"/>
  <c r="J213" i="1"/>
  <c r="K212" i="1"/>
  <c r="J212" i="1"/>
  <c r="K211" i="1"/>
  <c r="J211" i="1"/>
  <c r="K210" i="1"/>
  <c r="J210" i="1"/>
  <c r="K209" i="1"/>
  <c r="J209" i="1"/>
  <c r="K208" i="1"/>
  <c r="J208" i="1"/>
  <c r="K207" i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I2" i="1"/>
  <c r="H2" i="1"/>
</calcChain>
</file>

<file path=xl/sharedStrings.xml><?xml version="1.0" encoding="utf-8"?>
<sst xmlns="http://schemas.openxmlformats.org/spreadsheetml/2006/main" count="17374" uniqueCount="5724">
  <si>
    <t>File</t>
  </si>
  <si>
    <t>ClaimNo</t>
  </si>
  <si>
    <t>Date.Loss</t>
  </si>
  <si>
    <t>Report Date</t>
  </si>
  <si>
    <t>Paid Date</t>
  </si>
  <si>
    <t>Statutory Class</t>
  </si>
  <si>
    <t>Gross Amount</t>
  </si>
  <si>
    <t>Net  Amount</t>
  </si>
  <si>
    <t>Unique</t>
  </si>
  <si>
    <t>Loss Year</t>
  </si>
  <si>
    <t>Paid Data&gt;&gt;</t>
  </si>
  <si>
    <t>Paid Data</t>
  </si>
  <si>
    <t>CLM-2025-000001</t>
  </si>
  <si>
    <t>Motor Private</t>
  </si>
  <si>
    <t>CLM-2025-000002</t>
  </si>
  <si>
    <t>CLM-2025-000003</t>
  </si>
  <si>
    <t>WIBA</t>
  </si>
  <si>
    <t>CLM-2025-000004</t>
  </si>
  <si>
    <t>Fire Domestic</t>
  </si>
  <si>
    <t>CLM-2025-000020</t>
  </si>
  <si>
    <t>Motor Commercial</t>
  </si>
  <si>
    <t>CLM-2025-000021</t>
  </si>
  <si>
    <t>Liability</t>
  </si>
  <si>
    <t>CLM-2025-000022</t>
  </si>
  <si>
    <t>CLM-2025-000023</t>
  </si>
  <si>
    <t>CLM-2025-000024</t>
  </si>
  <si>
    <t>CLM-2025-000025</t>
  </si>
  <si>
    <t>CLM-2025-000026</t>
  </si>
  <si>
    <t>CLM-2025-000027</t>
  </si>
  <si>
    <t>CLM-2025-000028</t>
  </si>
  <si>
    <t>CLM-2025-000055</t>
  </si>
  <si>
    <t>CLM-2025-000056</t>
  </si>
  <si>
    <t>CLM-2025-000057</t>
  </si>
  <si>
    <t>CLM-2025-000058</t>
  </si>
  <si>
    <t>CLM-2025-000059</t>
  </si>
  <si>
    <t>CLM-2025-000061</t>
  </si>
  <si>
    <t>CLM-2025-000062</t>
  </si>
  <si>
    <t>CLM-2025-000064</t>
  </si>
  <si>
    <t>Personal Accident</t>
  </si>
  <si>
    <t>CLM-2025-000065</t>
  </si>
  <si>
    <t>CLM-2025-000066</t>
  </si>
  <si>
    <t>Medical</t>
  </si>
  <si>
    <t>CLM-2025-000067</t>
  </si>
  <si>
    <t>CLM-2025-000068</t>
  </si>
  <si>
    <t>Fire Industrial</t>
  </si>
  <si>
    <t>CLM-2025-000069</t>
  </si>
  <si>
    <t>CLM-2025-000007</t>
  </si>
  <si>
    <t>CLM-2025-000072</t>
  </si>
  <si>
    <t>CLM-2025-000074</t>
  </si>
  <si>
    <t>CLM-2025-000075</t>
  </si>
  <si>
    <t>CLM-2025-000076</t>
  </si>
  <si>
    <t>CLM-2025-000078</t>
  </si>
  <si>
    <t>CLM-2025-000079</t>
  </si>
  <si>
    <t>CLM-2025-000080</t>
  </si>
  <si>
    <t>CLM-2025-000082</t>
  </si>
  <si>
    <t>CLM-2025-000083</t>
  </si>
  <si>
    <t>CLM-2025-000084</t>
  </si>
  <si>
    <t>CLM-2025-000088</t>
  </si>
  <si>
    <t>CLM-2025-000092</t>
  </si>
  <si>
    <t>CLM-2025-000093</t>
  </si>
  <si>
    <t>CLM-2025-000096</t>
  </si>
  <si>
    <t>CLM-2025-000097</t>
  </si>
  <si>
    <t>CLM-2025-000098</t>
  </si>
  <si>
    <t>CLM-2025-000100</t>
  </si>
  <si>
    <t>CLM-2025-000101</t>
  </si>
  <si>
    <t>CLM-2025-000102</t>
  </si>
  <si>
    <t>CLM-2025-000103</t>
  </si>
  <si>
    <t>CLM-2025-000104</t>
  </si>
  <si>
    <t>CLM-2025-000105</t>
  </si>
  <si>
    <t>CLM-2025-000107</t>
  </si>
  <si>
    <t>CLM-2025-000108</t>
  </si>
  <si>
    <t>CLM-2025-000110</t>
  </si>
  <si>
    <t>CLM-2025-000112</t>
  </si>
  <si>
    <t>CLM-2025-000115</t>
  </si>
  <si>
    <t>CLM-2025-000116</t>
  </si>
  <si>
    <t>CLM-2025-000120</t>
  </si>
  <si>
    <t>CLM-2025-000121</t>
  </si>
  <si>
    <t>CLM-2025-000123</t>
  </si>
  <si>
    <t>CLM-2025-000124</t>
  </si>
  <si>
    <t>CLM-2025-000127</t>
  </si>
  <si>
    <t>CLM-2025-000128</t>
  </si>
  <si>
    <t>CLM-2025-000129</t>
  </si>
  <si>
    <t>CLM-2025-000130</t>
  </si>
  <si>
    <t>CLM-2025-000131</t>
  </si>
  <si>
    <t>CLM-2025-000133</t>
  </si>
  <si>
    <t>CLM-2025-000134</t>
  </si>
  <si>
    <t>CLM-2025-000135</t>
  </si>
  <si>
    <t>CLM-2025-000136</t>
  </si>
  <si>
    <t>CLM-2025-000137</t>
  </si>
  <si>
    <t>CLM-2025-000139</t>
  </si>
  <si>
    <t>CLM-2025-000140</t>
  </si>
  <si>
    <t>CLM-2025-000141</t>
  </si>
  <si>
    <t>CLM-2025-000142</t>
  </si>
  <si>
    <t>CLM-2025-000145</t>
  </si>
  <si>
    <t>CLM-2025-000146</t>
  </si>
  <si>
    <t>CLM-2025-000147</t>
  </si>
  <si>
    <t>CLM-2025-000148</t>
  </si>
  <si>
    <t>CLM-2025-000149</t>
  </si>
  <si>
    <t>CLM-2025-000151</t>
  </si>
  <si>
    <t>CLM-2025-000152</t>
  </si>
  <si>
    <t>CLM-2025-000153</t>
  </si>
  <si>
    <t>CLM-2025-000154</t>
  </si>
  <si>
    <t>CLM-2025-000006</t>
  </si>
  <si>
    <t>CLM-2025-000156</t>
  </si>
  <si>
    <t>CLM-2025-000157</t>
  </si>
  <si>
    <t>CLM-2025-000160</t>
  </si>
  <si>
    <t>CLM-2025-000161</t>
  </si>
  <si>
    <t>CLM-2025-000163</t>
  </si>
  <si>
    <t>CLM-2025-000165</t>
  </si>
  <si>
    <t>CLM-2025-000166</t>
  </si>
  <si>
    <t>CLM-2025-000012</t>
  </si>
  <si>
    <t>CLM-2025-000018</t>
  </si>
  <si>
    <t>CLM-2025-000169</t>
  </si>
  <si>
    <t>CLM-2025-000170</t>
  </si>
  <si>
    <t>CLM-2025-000171</t>
  </si>
  <si>
    <t>CLM-2025-000175</t>
  </si>
  <si>
    <t>CLM-2025-000177</t>
  </si>
  <si>
    <t>CLM-2025-000178</t>
  </si>
  <si>
    <t>CLM-2025-000179</t>
  </si>
  <si>
    <t>CLM-2025-000181</t>
  </si>
  <si>
    <t>CLM-2025-000182</t>
  </si>
  <si>
    <t>CLM-2025-000183</t>
  </si>
  <si>
    <t>CLM-2025-000185</t>
  </si>
  <si>
    <t>CLM-2025-000186</t>
  </si>
  <si>
    <t>CLM-2025-000187</t>
  </si>
  <si>
    <t>CLM-2025-000188</t>
  </si>
  <si>
    <t>CLM-2025-000189</t>
  </si>
  <si>
    <t>CLM-2025-000190</t>
  </si>
  <si>
    <t>CLM-2025-000191</t>
  </si>
  <si>
    <t>CLM-2025-000193</t>
  </si>
  <si>
    <t>CLM-2025-000194</t>
  </si>
  <si>
    <t>CLM-2025-000195</t>
  </si>
  <si>
    <t>CLM-2025-000198</t>
  </si>
  <si>
    <t>CLM-2025-000199</t>
  </si>
  <si>
    <t>CLM-2025-000200</t>
  </si>
  <si>
    <t>CLM-2025-000201</t>
  </si>
  <si>
    <t>CLM-2025-000202</t>
  </si>
  <si>
    <t>CLM-2025-000203</t>
  </si>
  <si>
    <t>CLM-2025-000205</t>
  </si>
  <si>
    <t>CLM-2025-000207</t>
  </si>
  <si>
    <t>CLM-2025-000210</t>
  </si>
  <si>
    <t>CLM-2025-000212</t>
  </si>
  <si>
    <t>CLM-2025-000213</t>
  </si>
  <si>
    <t>CLM-2025-000214</t>
  </si>
  <si>
    <t>CLM-2025-000215</t>
  </si>
  <si>
    <t>CLM-2025-000217</t>
  </si>
  <si>
    <t>CLM-2025-000219</t>
  </si>
  <si>
    <t>CLM-2025-000254</t>
  </si>
  <si>
    <t>CLM-2025-000255</t>
  </si>
  <si>
    <t>CLM-2025-000256</t>
  </si>
  <si>
    <t>CLM-2025-000257</t>
  </si>
  <si>
    <t>CLM-2025-000260</t>
  </si>
  <si>
    <t>CLM-2025-000261</t>
  </si>
  <si>
    <t>CLM-2025-000271</t>
  </si>
  <si>
    <t>CLM-2025-000272</t>
  </si>
  <si>
    <t>CLM-2025-000275</t>
  </si>
  <si>
    <t>CLM-2025-000276</t>
  </si>
  <si>
    <t>CLM-2025-000277</t>
  </si>
  <si>
    <t>CLM-2025-000279</t>
  </si>
  <si>
    <t>CLM-2025-000280</t>
  </si>
  <si>
    <t>CLM-2025-000281</t>
  </si>
  <si>
    <t>CLM-2025-000284</t>
  </si>
  <si>
    <t>CLM-2025-000288</t>
  </si>
  <si>
    <t>CLM-2025-000289</t>
  </si>
  <si>
    <t>CLM-2025-000291</t>
  </si>
  <si>
    <t>CLM-2025-000292</t>
  </si>
  <si>
    <t>CLM-2025-000293</t>
  </si>
  <si>
    <t>CLM-2025-000294</t>
  </si>
  <si>
    <t>CLM-2025-000295</t>
  </si>
  <si>
    <t>CLM-2025-000297</t>
  </si>
  <si>
    <t>CLM-2025-000301</t>
  </si>
  <si>
    <t>CLM-2025-000303</t>
  </si>
  <si>
    <t>CLM-2025-000306</t>
  </si>
  <si>
    <t>CLM-2025-000309</t>
  </si>
  <si>
    <t>CLM-2025-000310</t>
  </si>
  <si>
    <t>CLM-2025-000311</t>
  </si>
  <si>
    <t>CLM-2025-000315</t>
  </si>
  <si>
    <t>CLM-2025-000316</t>
  </si>
  <si>
    <t>CLM-2025-000317</t>
  </si>
  <si>
    <t>CLM-2025-000318</t>
  </si>
  <si>
    <t>CLM-2025-000319</t>
  </si>
  <si>
    <t>CLM-2025-000320</t>
  </si>
  <si>
    <t>CLM-2025-000321</t>
  </si>
  <si>
    <t>CLM-2025-000323</t>
  </si>
  <si>
    <t>CLM-2025-000325</t>
  </si>
  <si>
    <t>CLM-2025-000327</t>
  </si>
  <si>
    <t>CLM-2025-000328</t>
  </si>
  <si>
    <t>CLM-2025-000329</t>
  </si>
  <si>
    <t>CLM-2025-000330</t>
  </si>
  <si>
    <t>CLM-2025-000334</t>
  </si>
  <si>
    <t>CLM-2025-000336</t>
  </si>
  <si>
    <t>CLM-2025-000337</t>
  </si>
  <si>
    <t>CLM-2025-000338</t>
  </si>
  <si>
    <t>CLM-2025-000340</t>
  </si>
  <si>
    <t>CLM-2025-000341</t>
  </si>
  <si>
    <t>CLM-2025-000343</t>
  </si>
  <si>
    <t>CLM-2025-000347</t>
  </si>
  <si>
    <t>CLM-2025-000348</t>
  </si>
  <si>
    <t>CLM-2025-000349</t>
  </si>
  <si>
    <t>CLM-2025-000350</t>
  </si>
  <si>
    <t>CLM-2025-000351</t>
  </si>
  <si>
    <t>CLM-2025-000352</t>
  </si>
  <si>
    <t>CLM-2025-000355</t>
  </si>
  <si>
    <t>CLM-2025-000356</t>
  </si>
  <si>
    <t>CLM-2025-000357</t>
  </si>
  <si>
    <t>CLM-2025-000363</t>
  </si>
  <si>
    <t>CLM-2025-000365</t>
  </si>
  <si>
    <t>CLM-2025-000369</t>
  </si>
  <si>
    <t>CLM-2025-000370</t>
  </si>
  <si>
    <t>CLM-2025-000372</t>
  </si>
  <si>
    <t>CLM-2025-000373</t>
  </si>
  <si>
    <t>CLM-2025-000374</t>
  </si>
  <si>
    <t>Marine Cargo</t>
  </si>
  <si>
    <t>CLM-2025-000375</t>
  </si>
  <si>
    <t>CLM-2025-000377</t>
  </si>
  <si>
    <t>CLM-2025-000378</t>
  </si>
  <si>
    <t>CLM-2025-000380</t>
  </si>
  <si>
    <t>CLM-2025-000382</t>
  </si>
  <si>
    <t>CLM-2025-000383</t>
  </si>
  <si>
    <t>CLM-2025-000385</t>
  </si>
  <si>
    <t>CLM-2025-000386</t>
  </si>
  <si>
    <t>CLM-2025-000387</t>
  </si>
  <si>
    <t>CLM-2025-000388</t>
  </si>
  <si>
    <t>CLM-2025-000389</t>
  </si>
  <si>
    <t>CLM-2025-000390</t>
  </si>
  <si>
    <t>CLM-2025-000392</t>
  </si>
  <si>
    <t>CLM-2025-000393</t>
  </si>
  <si>
    <t>CLM-2025-000394</t>
  </si>
  <si>
    <t>CLM-2025-000395</t>
  </si>
  <si>
    <t>CLM-2025-000396</t>
  </si>
  <si>
    <t>CLM-2025-000397</t>
  </si>
  <si>
    <t>CLM-2025-000398</t>
  </si>
  <si>
    <t>CLM-2025-000400</t>
  </si>
  <si>
    <t>CLM-2025-000401</t>
  </si>
  <si>
    <t>CLM-2025-000402</t>
  </si>
  <si>
    <t>CLM-2025-000403</t>
  </si>
  <si>
    <t>CLM-2025-000404</t>
  </si>
  <si>
    <t>CLM-2025-000405</t>
  </si>
  <si>
    <t>CLM-2025-000406</t>
  </si>
  <si>
    <t>CLM-2025-000407</t>
  </si>
  <si>
    <t>CLM-2025-000408</t>
  </si>
  <si>
    <t>CLM-2025-000409</t>
  </si>
  <si>
    <t>CLM-2025-000411</t>
  </si>
  <si>
    <t>CLM-2025-000412</t>
  </si>
  <si>
    <t>CLM-2025-000413</t>
  </si>
  <si>
    <t>CLM-2025-000414</t>
  </si>
  <si>
    <t>CLM-2025-000415</t>
  </si>
  <si>
    <t>CLM-2025-000416</t>
  </si>
  <si>
    <t>CLM-2025-000417</t>
  </si>
  <si>
    <t>CLM-2025-000418</t>
  </si>
  <si>
    <t>CLM-2025-000419</t>
  </si>
  <si>
    <t>CLM-2025-000420</t>
  </si>
  <si>
    <t>CLM-2025-000421</t>
  </si>
  <si>
    <t>CLM-2025-000422</t>
  </si>
  <si>
    <t>CLM-2025-000424</t>
  </si>
  <si>
    <t>CLM-2025-000425</t>
  </si>
  <si>
    <t>CLM-2025-000427</t>
  </si>
  <si>
    <t>CLM-2025-000428</t>
  </si>
  <si>
    <t>CLM-2025-000429</t>
  </si>
  <si>
    <t>CLM-2025-000430</t>
  </si>
  <si>
    <t>CLM-2025-000431</t>
  </si>
  <si>
    <t>CLM-2025-000433</t>
  </si>
  <si>
    <t>CLM-2025-000434</t>
  </si>
  <si>
    <t>CLM-2025-000435</t>
  </si>
  <si>
    <t>CLM-2025-000437</t>
  </si>
  <si>
    <t>CLM-2025-000440</t>
  </si>
  <si>
    <t>CLM-2025-000441</t>
  </si>
  <si>
    <t>CLM-2025-000442</t>
  </si>
  <si>
    <t>CLM-2025-000443</t>
  </si>
  <si>
    <t>CLM-2025-000444</t>
  </si>
  <si>
    <t>CLM-2025-000445</t>
  </si>
  <si>
    <t>CLM-2025-000447</t>
  </si>
  <si>
    <t>CLM-2025-000449</t>
  </si>
  <si>
    <t>CLM-2025-000450</t>
  </si>
  <si>
    <t>CLM-2025-000452</t>
  </si>
  <si>
    <t>CLM-2025-000453</t>
  </si>
  <si>
    <t>CLM-2025-000454</t>
  </si>
  <si>
    <t>CLM-2025-000455</t>
  </si>
  <si>
    <t>CLM-2025-000456</t>
  </si>
  <si>
    <t>CLM-2025-000457</t>
  </si>
  <si>
    <t>CLM-2025-000458</t>
  </si>
  <si>
    <t>CLM-2025-000460</t>
  </si>
  <si>
    <t>CLM-2025-000461</t>
  </si>
  <si>
    <t>CLM-2025-000462</t>
  </si>
  <si>
    <t>CLM-2025-000464</t>
  </si>
  <si>
    <t>CLM-2025-000465</t>
  </si>
  <si>
    <t>CLM-2025-000466</t>
  </si>
  <si>
    <t>CLM-2025-000469</t>
  </si>
  <si>
    <t>CLM-2025-000470</t>
  </si>
  <si>
    <t>CLM-2025-000471</t>
  </si>
  <si>
    <t>CLM-2025-000472</t>
  </si>
  <si>
    <t>CLM-2025-000473</t>
  </si>
  <si>
    <t>CLM-2025-000474</t>
  </si>
  <si>
    <t>CLM-2025-000475</t>
  </si>
  <si>
    <t>CLM-2025-000477</t>
  </si>
  <si>
    <t>CLM-2025-000478</t>
  </si>
  <si>
    <t>CLM-2025-000479</t>
  </si>
  <si>
    <t>CLM-2025-000480</t>
  </si>
  <si>
    <t>CLM-2025-000482</t>
  </si>
  <si>
    <t>CLM-2025-000483</t>
  </si>
  <si>
    <t>CLM-2025-000485</t>
  </si>
  <si>
    <t>CLM-2025-000486</t>
  </si>
  <si>
    <t>CLM-2025-000487</t>
  </si>
  <si>
    <t>CLM-2025-000488</t>
  </si>
  <si>
    <t>CLM-2025-000489</t>
  </si>
  <si>
    <t>CLM-2025-000491</t>
  </si>
  <si>
    <t>CLM-2025-000492</t>
  </si>
  <si>
    <t>CLM-2025-000493</t>
  </si>
  <si>
    <t>CLM-2025-000494</t>
  </si>
  <si>
    <t>CLM-2025-000495</t>
  </si>
  <si>
    <t>CLM-2025-000496</t>
  </si>
  <si>
    <t>CLM-2025-000497</t>
  </si>
  <si>
    <t>CLM-2025-000498</t>
  </si>
  <si>
    <t>CLM-2025-000499</t>
  </si>
  <si>
    <t>CLM-2025-000500</t>
  </si>
  <si>
    <t>CLM-2025-000501</t>
  </si>
  <si>
    <t>CLM-2025-000502</t>
  </si>
  <si>
    <t>CLM-2025-000503</t>
  </si>
  <si>
    <t>CLM-2025-000505</t>
  </si>
  <si>
    <t>CLM-2025-000506</t>
  </si>
  <si>
    <t>CLM-2025-000507</t>
  </si>
  <si>
    <t>CLM-2025-000508</t>
  </si>
  <si>
    <t>CLM-2025-000509</t>
  </si>
  <si>
    <t>CLM-2025-000510</t>
  </si>
  <si>
    <t>CLM-2025-000511</t>
  </si>
  <si>
    <t>CLM-2025-000513</t>
  </si>
  <si>
    <t>CLM-2025-000514</t>
  </si>
  <si>
    <t>CLM-2025-000515</t>
  </si>
  <si>
    <t>CLM-2025-000516</t>
  </si>
  <si>
    <t>CLM-2025-000517</t>
  </si>
  <si>
    <t>CLM-2025-000518</t>
  </si>
  <si>
    <t>CLM-2025-000520</t>
  </si>
  <si>
    <t>CLM-2025-000521</t>
  </si>
  <si>
    <t>CLM-2025-000522</t>
  </si>
  <si>
    <t>CLM-2025-000523</t>
  </si>
  <si>
    <t>CLM-2025-000524</t>
  </si>
  <si>
    <t>CLM-2025-000525</t>
  </si>
  <si>
    <t>CLM-2025-000526</t>
  </si>
  <si>
    <t>CLM-2025-000527</t>
  </si>
  <si>
    <t>CLM-2025-000531</t>
  </si>
  <si>
    <t>CLM-2025-000532</t>
  </si>
  <si>
    <t>CLM-2025-000535</t>
  </si>
  <si>
    <t>CLM-2025-000536</t>
  </si>
  <si>
    <t>CLM-2025-000537</t>
  </si>
  <si>
    <t>CLM-2025-000540</t>
  </si>
  <si>
    <t>CLM-2025-000541</t>
  </si>
  <si>
    <t>CLM-2025-000542</t>
  </si>
  <si>
    <t>CLM-2025-000543</t>
  </si>
  <si>
    <t>CLM-2025-000544</t>
  </si>
  <si>
    <t>CLM-2025-000545</t>
  </si>
  <si>
    <t>CLM-2025-000546</t>
  </si>
  <si>
    <t>CLM-2025-000548</t>
  </si>
  <si>
    <t>CLM-2025-000549</t>
  </si>
  <si>
    <t>CLM-2025-000550</t>
  </si>
  <si>
    <t>CLM-2025-000552</t>
  </si>
  <si>
    <t>CLM-2025-000553</t>
  </si>
  <si>
    <t>CLM-2025-000555</t>
  </si>
  <si>
    <t>CLM-2025-000556</t>
  </si>
  <si>
    <t>CLM-2025-000557</t>
  </si>
  <si>
    <t>CLM-2025-000558</t>
  </si>
  <si>
    <t>CLM-2025-000559</t>
  </si>
  <si>
    <t>CLM-2025-000561</t>
  </si>
  <si>
    <t>CLM-2025-000563</t>
  </si>
  <si>
    <t>CLM-2025-000564</t>
  </si>
  <si>
    <t>CLM-2025-000565</t>
  </si>
  <si>
    <t>CLM-2025-000566</t>
  </si>
  <si>
    <t>CLM-2025-000569</t>
  </si>
  <si>
    <t>CLM-2025-000571</t>
  </si>
  <si>
    <t>CLM-2025-000572</t>
  </si>
  <si>
    <t>CLM-2025-000573</t>
  </si>
  <si>
    <t>CLM-2025-000574</t>
  </si>
  <si>
    <t>CLM-2025-000575</t>
  </si>
  <si>
    <t>CLM-2025-000576</t>
  </si>
  <si>
    <t>CLM-2025-000577</t>
  </si>
  <si>
    <t>CLM-2025-000580</t>
  </si>
  <si>
    <t>CLM-2025-000582</t>
  </si>
  <si>
    <t>CLM-2025-000583</t>
  </si>
  <si>
    <t>CLM-2025-000584</t>
  </si>
  <si>
    <t>CLM-2025-000586</t>
  </si>
  <si>
    <t>CLM-2025-000587</t>
  </si>
  <si>
    <t>CLM-2025-000005</t>
  </si>
  <si>
    <t>CLM-2025-000589</t>
  </si>
  <si>
    <t>CLM-2025-000590</t>
  </si>
  <si>
    <t>CLM-2025-000591</t>
  </si>
  <si>
    <t>CLM-2025-000592</t>
  </si>
  <si>
    <t>CLM-2025-000593</t>
  </si>
  <si>
    <t>CLM-2025-000595</t>
  </si>
  <si>
    <t>CLM-2025-000597</t>
  </si>
  <si>
    <t>CLM-2025-000598</t>
  </si>
  <si>
    <t>CLM-2025-000599</t>
  </si>
  <si>
    <t>CLM-2025-000600</t>
  </si>
  <si>
    <t>CLM-2025-000601</t>
  </si>
  <si>
    <t>CLM-2025-000602</t>
  </si>
  <si>
    <t>CLM-2025-000604</t>
  </si>
  <si>
    <t>CLM-2025-000605</t>
  </si>
  <si>
    <t>CLM-2025-000606</t>
  </si>
  <si>
    <t>CLM-2025-000607</t>
  </si>
  <si>
    <t>CLM-2025-000609</t>
  </si>
  <si>
    <t>CLM-2025-000610</t>
  </si>
  <si>
    <t>CLM-2025-000611</t>
  </si>
  <si>
    <t>CLM-2025-000612</t>
  </si>
  <si>
    <t>CLM-2025-000613</t>
  </si>
  <si>
    <t>CLM-2025-000614</t>
  </si>
  <si>
    <t>CLM-2025-000615</t>
  </si>
  <si>
    <t>CLM-2025-000616</t>
  </si>
  <si>
    <t>CLM-2025-000617</t>
  </si>
  <si>
    <t>CLM-2025-000618</t>
  </si>
  <si>
    <t>CLM-2025-000622</t>
  </si>
  <si>
    <t>CLM-2025-000625</t>
  </si>
  <si>
    <t>CLM-2025-000628</t>
  </si>
  <si>
    <t>CLM-2025-000629</t>
  </si>
  <si>
    <t>CLM-2025-000630</t>
  </si>
  <si>
    <t>CLM-2025-000632</t>
  </si>
  <si>
    <t>CLM-2025-000634</t>
  </si>
  <si>
    <t>CLM-2025-000635</t>
  </si>
  <si>
    <t>CLM-2025-000637</t>
  </si>
  <si>
    <t>CLM-2025-000638</t>
  </si>
  <si>
    <t>CLM-2025-000639</t>
  </si>
  <si>
    <t>CLM-2025-000640</t>
  </si>
  <si>
    <t>CLM-2025-000641</t>
  </si>
  <si>
    <t>CLM-2025-000642</t>
  </si>
  <si>
    <t>CLM-2025-000643</t>
  </si>
  <si>
    <t>CLM-2025-000645</t>
  </si>
  <si>
    <t>CLM-2025-000646</t>
  </si>
  <si>
    <t>CLM-2025-000647</t>
  </si>
  <si>
    <t>CLM-2025-000648</t>
  </si>
  <si>
    <t>CLM-2025-000650</t>
  </si>
  <si>
    <t>CLM-2025-000651</t>
  </si>
  <si>
    <t>CLM-2025-000652</t>
  </si>
  <si>
    <t>CLM-2025-000653</t>
  </si>
  <si>
    <t>CLM-2025-000656</t>
  </si>
  <si>
    <t>CLM-2025-000657</t>
  </si>
  <si>
    <t>CLM-2025-000658</t>
  </si>
  <si>
    <t>CLM-2025-000659</t>
  </si>
  <si>
    <t>CLM-2025-000660</t>
  </si>
  <si>
    <t>CLM-2025-000661</t>
  </si>
  <si>
    <t>CLM-2025-000662</t>
  </si>
  <si>
    <t>CLM-2025-000663</t>
  </si>
  <si>
    <t>CLM-2025-000664</t>
  </si>
  <si>
    <t>CLM-2025-000665</t>
  </si>
  <si>
    <t>CLM-2025-000666</t>
  </si>
  <si>
    <t>CLM-2025-000667</t>
  </si>
  <si>
    <t>CLM-2025-000668</t>
  </si>
  <si>
    <t>CLM-2025-000669</t>
  </si>
  <si>
    <t>CLM-2025-000671</t>
  </si>
  <si>
    <t>CLM-2025-000673</t>
  </si>
  <si>
    <t>CLM-2025-000674</t>
  </si>
  <si>
    <t>CLM-2025-000675</t>
  </si>
  <si>
    <t>CLM-2025-000677</t>
  </si>
  <si>
    <t>CLM-2025-000678</t>
  </si>
  <si>
    <t>CLM-2025-000679</t>
  </si>
  <si>
    <t>CLM-2025-000680</t>
  </si>
  <si>
    <t>CLM-2025-000681</t>
  </si>
  <si>
    <t>CLM-2025-000682</t>
  </si>
  <si>
    <t>CLM-2025-000683</t>
  </si>
  <si>
    <t>CLM-2025-000684</t>
  </si>
  <si>
    <t>CLM-2025-000685</t>
  </si>
  <si>
    <t>CLM-2025-000686</t>
  </si>
  <si>
    <t>CLM-2025-000687</t>
  </si>
  <si>
    <t>CLM-2025-000688</t>
  </si>
  <si>
    <t>CLM-2025-000689</t>
  </si>
  <si>
    <t>CLM-2025-000692</t>
  </si>
  <si>
    <t>CLM-2025-000693</t>
  </si>
  <si>
    <t>CLM-2025-000694</t>
  </si>
  <si>
    <t>CLM-2025-000696</t>
  </si>
  <si>
    <t>CLM-2025-000697</t>
  </si>
  <si>
    <t>CLM-2025-000699</t>
  </si>
  <si>
    <t>CLM-2025-000700</t>
  </si>
  <si>
    <t>CLM-2025-000701</t>
  </si>
  <si>
    <t>CLM-2025-000702</t>
  </si>
  <si>
    <t>CLM-2025-000703</t>
  </si>
  <si>
    <t>CLM-2025-000704</t>
  </si>
  <si>
    <t>CLM-2025-000705</t>
  </si>
  <si>
    <t>CLM-2025-000706</t>
  </si>
  <si>
    <t>CLM-2025-000708</t>
  </si>
  <si>
    <t>CLM-2025-000709</t>
  </si>
  <si>
    <t>CLM-2025-000713</t>
  </si>
  <si>
    <t>CLM-2025-000714</t>
  </si>
  <si>
    <t>CLM-2025-000715</t>
  </si>
  <si>
    <t>CLM-2025-000716</t>
  </si>
  <si>
    <t>CLM-2025-000717</t>
  </si>
  <si>
    <t>CLM-2025-000718</t>
  </si>
  <si>
    <t>CLM-2025-000719</t>
  </si>
  <si>
    <t>CLM-2025-000720</t>
  </si>
  <si>
    <t>CLM-2025-000722</t>
  </si>
  <si>
    <t>CLM-2025-000723</t>
  </si>
  <si>
    <t>CLM-2025-000724</t>
  </si>
  <si>
    <t>CLM-2025-000725</t>
  </si>
  <si>
    <t>CLM-2025-000726</t>
  </si>
  <si>
    <t>CLM-2025-000728</t>
  </si>
  <si>
    <t>CLM-2025-000730</t>
  </si>
  <si>
    <t>CLM-2025-000734</t>
  </si>
  <si>
    <t>CLM-2025-000735</t>
  </si>
  <si>
    <t>CLM-2025-000736</t>
  </si>
  <si>
    <t>CLM-2025-000737</t>
  </si>
  <si>
    <t>CLM-2025-000738</t>
  </si>
  <si>
    <t>CLM-2025-000739</t>
  </si>
  <si>
    <t>CLM-2025-000741</t>
  </si>
  <si>
    <t>CLM-2025-000743</t>
  </si>
  <si>
    <t>CLM-2025-000744</t>
  </si>
  <si>
    <t>CLM-2025-000747</t>
  </si>
  <si>
    <t>CLM-2025-000748</t>
  </si>
  <si>
    <t>CLM-2025-000749</t>
  </si>
  <si>
    <t>CLM-2025-000750</t>
  </si>
  <si>
    <t>CLM-2025-000751</t>
  </si>
  <si>
    <t>CLM-2025-000752</t>
  </si>
  <si>
    <t>CLM-2025-000753</t>
  </si>
  <si>
    <t>CLM-2025-000754</t>
  </si>
  <si>
    <t>CLM-2025-000755</t>
  </si>
  <si>
    <t>CLM-2025-000756</t>
  </si>
  <si>
    <t>CLM-2025-000757</t>
  </si>
  <si>
    <t>CLM-2025-000758</t>
  </si>
  <si>
    <t>CLM-2025-000759</t>
  </si>
  <si>
    <t>CLM-2025-000760</t>
  </si>
  <si>
    <t>CLM-2025-000761</t>
  </si>
  <si>
    <t>CLM-2025-000762</t>
  </si>
  <si>
    <t>CLM-2025-000764</t>
  </si>
  <si>
    <t>CLM-2025-000765</t>
  </si>
  <si>
    <t>CLM-2025-000766</t>
  </si>
  <si>
    <t>CLM-2025-000767</t>
  </si>
  <si>
    <t>CLM-2025-000769</t>
  </si>
  <si>
    <t>CLM-2025-000770</t>
  </si>
  <si>
    <t>CLM-2025-000771</t>
  </si>
  <si>
    <t>CLM-2025-000772</t>
  </si>
  <si>
    <t>CLM-2025-000773</t>
  </si>
  <si>
    <t>CLM-2025-000774</t>
  </si>
  <si>
    <t>CLM-2025-000775</t>
  </si>
  <si>
    <t>CLM-2025-000778</t>
  </si>
  <si>
    <t>CLM-2025-000779</t>
  </si>
  <si>
    <t>CLM-2025-000780</t>
  </si>
  <si>
    <t>CLM-2025-000781</t>
  </si>
  <si>
    <t>CLM-2025-000784</t>
  </si>
  <si>
    <t>CLM-2025-000785</t>
  </si>
  <si>
    <t>CLM-2025-000786</t>
  </si>
  <si>
    <t>CLM-2025-000788</t>
  </si>
  <si>
    <t>CLM-2025-000789</t>
  </si>
  <si>
    <t>CLM-2025-000790</t>
  </si>
  <si>
    <t>CLM-2025-000791</t>
  </si>
  <si>
    <t>CLM-2025-000792</t>
  </si>
  <si>
    <t>CLM-2025-000794</t>
  </si>
  <si>
    <t>CLM-2025-000795</t>
  </si>
  <si>
    <t>CLM-2025-000796</t>
  </si>
  <si>
    <t>CLM-2025-000797</t>
  </si>
  <si>
    <t>CLM-2025-000800</t>
  </si>
  <si>
    <t>CLM-2025-000802</t>
  </si>
  <si>
    <t>CLM-2025-000803</t>
  </si>
  <si>
    <t>CLM-2025-000804</t>
  </si>
  <si>
    <t>CLM-2025-000805</t>
  </si>
  <si>
    <t>CLM-2025-000806</t>
  </si>
  <si>
    <t>CLM-2025-000807</t>
  </si>
  <si>
    <t>CLM-2025-000809</t>
  </si>
  <si>
    <t>CLM-2025-000810</t>
  </si>
  <si>
    <t>CLM-2025-000811</t>
  </si>
  <si>
    <t>CLM-2025-000812</t>
  </si>
  <si>
    <t>CLM-2025-000813</t>
  </si>
  <si>
    <t>CLM-2025-000814</t>
  </si>
  <si>
    <t>CLM-2025-000815</t>
  </si>
  <si>
    <t>CLM-2025-000816</t>
  </si>
  <si>
    <t>CLM-2025-000817</t>
  </si>
  <si>
    <t>CLM-2025-000818</t>
  </si>
  <si>
    <t>CLM-2025-000819</t>
  </si>
  <si>
    <t>CLM-2025-000820</t>
  </si>
  <si>
    <t>CLM-2025-000822</t>
  </si>
  <si>
    <t>CLM-2025-000824</t>
  </si>
  <si>
    <t>CLM-2025-000825</t>
  </si>
  <si>
    <t>CLM-2025-000826</t>
  </si>
  <si>
    <t>CLM-2025-000827</t>
  </si>
  <si>
    <t>CLM-2025-000828</t>
  </si>
  <si>
    <t>CLM-2025-000829</t>
  </si>
  <si>
    <t>CLM-2025-000830</t>
  </si>
  <si>
    <t>CLM-2025-000831</t>
  </si>
  <si>
    <t>CLM-2025-000832</t>
  </si>
  <si>
    <t>CLM-2025-000833</t>
  </si>
  <si>
    <t>CLM-2025-000834</t>
  </si>
  <si>
    <t>CLM-2025-000835</t>
  </si>
  <si>
    <t>CLM-2025-000836</t>
  </si>
  <si>
    <t>CLM-2025-000837</t>
  </si>
  <si>
    <t>CLM-2025-000839</t>
  </si>
  <si>
    <t>CLM-2025-000840</t>
  </si>
  <si>
    <t>CLM-2025-000841</t>
  </si>
  <si>
    <t>CLM-2025-000842</t>
  </si>
  <si>
    <t>CLM-2025-000844</t>
  </si>
  <si>
    <t>CLM-2025-000845</t>
  </si>
  <si>
    <t>CLM-2025-000846</t>
  </si>
  <si>
    <t>CLM-2025-000847</t>
  </si>
  <si>
    <t>CLM-2025-000848</t>
  </si>
  <si>
    <t>CLM-2025-000849</t>
  </si>
  <si>
    <t>CLM-2025-000850</t>
  </si>
  <si>
    <t>CLM-2025-000851</t>
  </si>
  <si>
    <t>CLM-2025-000852</t>
  </si>
  <si>
    <t>CLM-2025-000853</t>
  </si>
  <si>
    <t>CLM-2025-000854</t>
  </si>
  <si>
    <t>CLM-2025-000856</t>
  </si>
  <si>
    <t>CLM-2025-000857</t>
  </si>
  <si>
    <t>CLM-2025-000860</t>
  </si>
  <si>
    <t>CLM-2025-000861</t>
  </si>
  <si>
    <t>CLM-2025-000862</t>
  </si>
  <si>
    <t>CLM-2025-000863</t>
  </si>
  <si>
    <t>CLM-2025-000867</t>
  </si>
  <si>
    <t>CLM-2025-000868</t>
  </si>
  <si>
    <t>CLM-2025-000869</t>
  </si>
  <si>
    <t>CLM-2025-000870</t>
  </si>
  <si>
    <t>CLM-2025-000871</t>
  </si>
  <si>
    <t>CLM-2025-000872</t>
  </si>
  <si>
    <t>CLM-2025-000873</t>
  </si>
  <si>
    <t>CLM-2025-000875</t>
  </si>
  <si>
    <t>CLM-2025-000877</t>
  </si>
  <si>
    <t>CLM-2025-000879</t>
  </si>
  <si>
    <t>CLM-2025-000880</t>
  </si>
  <si>
    <t>CLM-2025-000882</t>
  </si>
  <si>
    <t>CLM-2025-000883</t>
  </si>
  <si>
    <t>CLM-2025-000885</t>
  </si>
  <si>
    <t>CLM-2025-000887</t>
  </si>
  <si>
    <t>CLM-2025-000888</t>
  </si>
  <si>
    <t>CLM-2025-000889</t>
  </si>
  <si>
    <t>CLM-2025-000890</t>
  </si>
  <si>
    <t>CLM-2025-000891</t>
  </si>
  <si>
    <t>CLM-2025-000892</t>
  </si>
  <si>
    <t>CLM-2025-000893</t>
  </si>
  <si>
    <t>CLM-2025-000894</t>
  </si>
  <si>
    <t>CLM-2025-000895</t>
  </si>
  <si>
    <t>CLM-2025-000896</t>
  </si>
  <si>
    <t>CLM-2025-000897</t>
  </si>
  <si>
    <t>CLM-2025-000898</t>
  </si>
  <si>
    <t>CLM-2025-000899</t>
  </si>
  <si>
    <t>CLM-2025-000900</t>
  </si>
  <si>
    <t>CLM-2025-000901</t>
  </si>
  <si>
    <t>CLM-2025-000904</t>
  </si>
  <si>
    <t>CLM-2025-000905</t>
  </si>
  <si>
    <t>CLM-2025-000906</t>
  </si>
  <si>
    <t>CLM-2025-000907</t>
  </si>
  <si>
    <t>CLM-2025-000909</t>
  </si>
  <si>
    <t>CLM-2025-000911</t>
  </si>
  <si>
    <t>CLM-2025-000912</t>
  </si>
  <si>
    <t>CLM-2025-000913</t>
  </si>
  <si>
    <t>CLM-2025-000915</t>
  </si>
  <si>
    <t>CLM-2025-000916</t>
  </si>
  <si>
    <t>CLM-2025-000917</t>
  </si>
  <si>
    <t>CLM-2025-000918</t>
  </si>
  <si>
    <t>CLM-2025-000919</t>
  </si>
  <si>
    <t>CLM-2025-000920</t>
  </si>
  <si>
    <t>CLM-2025-000921</t>
  </si>
  <si>
    <t>CLM-2025-000922</t>
  </si>
  <si>
    <t>CLM-2025-000923</t>
  </si>
  <si>
    <t>CLM-2025-000924</t>
  </si>
  <si>
    <t>CLM-2025-000925</t>
  </si>
  <si>
    <t>CLM-2025-000926</t>
  </si>
  <si>
    <t>CLM-2025-000927</t>
  </si>
  <si>
    <t>CLM-2025-000928</t>
  </si>
  <si>
    <t>CLM-2025-000931</t>
  </si>
  <si>
    <t>CLM-2025-000932</t>
  </si>
  <si>
    <t>CLM-2025-000934</t>
  </si>
  <si>
    <t>CLM-2025-000935</t>
  </si>
  <si>
    <t>CLM-2025-000936</t>
  </si>
  <si>
    <t>CLM-2025-000938</t>
  </si>
  <si>
    <t>CLM-2025-000939</t>
  </si>
  <si>
    <t>CLM-2025-000940</t>
  </si>
  <si>
    <t>CLM-2025-000941</t>
  </si>
  <si>
    <t>CLM-2025-000942</t>
  </si>
  <si>
    <t>CLM-2025-000943</t>
  </si>
  <si>
    <t>CLM-2025-000944</t>
  </si>
  <si>
    <t>CLM-2025-000945</t>
  </si>
  <si>
    <t>CLM-2025-000946</t>
  </si>
  <si>
    <t>CLM-2025-000948</t>
  </si>
  <si>
    <t>CLM-2025-000949</t>
  </si>
  <si>
    <t>CLM-2025-000950</t>
  </si>
  <si>
    <t>CLM-2025-000951</t>
  </si>
  <si>
    <t>CLM-2025-000952</t>
  </si>
  <si>
    <t>CLM-2025-000953</t>
  </si>
  <si>
    <t>CLM-2025-000954</t>
  </si>
  <si>
    <t>CLM-2025-000956</t>
  </si>
  <si>
    <t>CLM-2025-000957</t>
  </si>
  <si>
    <t>CLM-2025-000959</t>
  </si>
  <si>
    <t>CLM-2025-000960</t>
  </si>
  <si>
    <t>CLM-2025-000961</t>
  </si>
  <si>
    <t>CLM-2025-000962</t>
  </si>
  <si>
    <t>CLM-2025-000963</t>
  </si>
  <si>
    <t>CLM-2025-000964</t>
  </si>
  <si>
    <t>CLM-2025-000965</t>
  </si>
  <si>
    <t>CLM-2025-000966</t>
  </si>
  <si>
    <t>CLM-2025-000967</t>
  </si>
  <si>
    <t>CLM-2025-000968</t>
  </si>
  <si>
    <t>CLM-2025-000970</t>
  </si>
  <si>
    <t>CLM-2025-000971</t>
  </si>
  <si>
    <t>CLM-2025-000972</t>
  </si>
  <si>
    <t>CLM-2025-000973</t>
  </si>
  <si>
    <t>CLM-2025-000975</t>
  </si>
  <si>
    <t>CLM-2025-000976</t>
  </si>
  <si>
    <t>CLM-2025-000977</t>
  </si>
  <si>
    <t>CLM-2025-000978</t>
  </si>
  <si>
    <t>CLM-2025-000979</t>
  </si>
  <si>
    <t>CLM-2025-000980</t>
  </si>
  <si>
    <t>CLM-2025-000981</t>
  </si>
  <si>
    <t>CLM-2025-000982</t>
  </si>
  <si>
    <t>CLM-2025-000983</t>
  </si>
  <si>
    <t>CLM-2025-000984</t>
  </si>
  <si>
    <t>CLM-2025-000985</t>
  </si>
  <si>
    <t>CLM-2025-000986</t>
  </si>
  <si>
    <t>CLM-2025-000988</t>
  </si>
  <si>
    <t>CLM-2025-000989</t>
  </si>
  <si>
    <t>CLM-2025-004080</t>
  </si>
  <si>
    <t>CLM-2025-000991</t>
  </si>
  <si>
    <t>CLM-2025-000992</t>
  </si>
  <si>
    <t>CLM-2025-000994</t>
  </si>
  <si>
    <t>CLM-2025-000995</t>
  </si>
  <si>
    <t>CLM-2025-000996</t>
  </si>
  <si>
    <t>CLM-2025-000997</t>
  </si>
  <si>
    <t>CLM-2025-000998</t>
  </si>
  <si>
    <t>CLM-2025-001000</t>
  </si>
  <si>
    <t>CLM-2025-001001</t>
  </si>
  <si>
    <t>CLM-2025-001002</t>
  </si>
  <si>
    <t>CLM-2025-001003</t>
  </si>
  <si>
    <t>CLM-2025-001005</t>
  </si>
  <si>
    <t>CLM-2025-001007</t>
  </si>
  <si>
    <t>CLM-2025-001008</t>
  </si>
  <si>
    <t>CLM-2025-001009</t>
  </si>
  <si>
    <t>CLM-2025-001010</t>
  </si>
  <si>
    <t>CLM-2025-001011</t>
  </si>
  <si>
    <t>CLM-2025-001014</t>
  </si>
  <si>
    <t>CLM-2025-001015</t>
  </si>
  <si>
    <t>CLM-2025-001016</t>
  </si>
  <si>
    <t>CLM-2025-001017</t>
  </si>
  <si>
    <t>CLM-2025-001018</t>
  </si>
  <si>
    <t>CLM-2025-001019</t>
  </si>
  <si>
    <t>CLM-2025-001020</t>
  </si>
  <si>
    <t>CLM-2025-001021</t>
  </si>
  <si>
    <t>CLM-2025-001022</t>
  </si>
  <si>
    <t>CLM-2025-001023</t>
  </si>
  <si>
    <t>CLM-2025-001024</t>
  </si>
  <si>
    <t>CLM-2025-001026</t>
  </si>
  <si>
    <t>CLM-2025-001028</t>
  </si>
  <si>
    <t>CLM-2025-001029</t>
  </si>
  <si>
    <t>CLM-2025-001030</t>
  </si>
  <si>
    <t>CLM-2025-001031</t>
  </si>
  <si>
    <t>CLM-2025-001032</t>
  </si>
  <si>
    <t>CLM-2025-001034</t>
  </si>
  <si>
    <t>CLM-2025-001035</t>
  </si>
  <si>
    <t>CLM-2025-001036</t>
  </si>
  <si>
    <t>CLM-2025-001040</t>
  </si>
  <si>
    <t>CLM-2025-001042</t>
  </si>
  <si>
    <t>CLM-2025-001043</t>
  </si>
  <si>
    <t>CLM-2025-001044</t>
  </si>
  <si>
    <t>CLM-2025-001045</t>
  </si>
  <si>
    <t>CLM-2025-001046</t>
  </si>
  <si>
    <t>CLM-2025-001047</t>
  </si>
  <si>
    <t>CLM-2025-001048</t>
  </si>
  <si>
    <t>CLM-2025-001049</t>
  </si>
  <si>
    <t>CLM-2025-001050</t>
  </si>
  <si>
    <t>CLM-2025-001051</t>
  </si>
  <si>
    <t>CLM-2025-001052</t>
  </si>
  <si>
    <t>CLM-2025-001054</t>
  </si>
  <si>
    <t>CLM-2025-001056</t>
  </si>
  <si>
    <t>CLM-2025-001057</t>
  </si>
  <si>
    <t>CLM-2025-001058</t>
  </si>
  <si>
    <t>CLM-2025-001059</t>
  </si>
  <si>
    <t>CLM-2025-001061</t>
  </si>
  <si>
    <t>CLM-2025-001062</t>
  </si>
  <si>
    <t>CLM-2025-001063</t>
  </si>
  <si>
    <t>CLM-2025-001064</t>
  </si>
  <si>
    <t>CLM-2025-001067</t>
  </si>
  <si>
    <t>CLM-2025-001068</t>
  </si>
  <si>
    <t>CLM-2025-001069</t>
  </si>
  <si>
    <t>CLM-2025-001070</t>
  </si>
  <si>
    <t>CLM-2025-001071</t>
  </si>
  <si>
    <t>CLM-2025-001072</t>
  </si>
  <si>
    <t>CLM-2025-001073</t>
  </si>
  <si>
    <t>CLM-2025-001075</t>
  </si>
  <si>
    <t>CLM-2025-001077</t>
  </si>
  <si>
    <t>CLM-2025-001078</t>
  </si>
  <si>
    <t>CLM-2025-001079</t>
  </si>
  <si>
    <t>CLM-2025-001080</t>
  </si>
  <si>
    <t>CLM-2025-001081</t>
  </si>
  <si>
    <t>CLM-2025-001082</t>
  </si>
  <si>
    <t>CLM-2025-001083</t>
  </si>
  <si>
    <t>CLM-2025-001084</t>
  </si>
  <si>
    <t>CLM-2025-001085</t>
  </si>
  <si>
    <t>CLM-2025-001086</t>
  </si>
  <si>
    <t>CLM-2025-001087</t>
  </si>
  <si>
    <t>CLM-2025-001088</t>
  </si>
  <si>
    <t>CLM-2025-001089</t>
  </si>
  <si>
    <t>CLM-2025-001090</t>
  </si>
  <si>
    <t>CLM-2025-001093</t>
  </si>
  <si>
    <t>CLM-2025-001094</t>
  </si>
  <si>
    <t>CLM-2025-001095</t>
  </si>
  <si>
    <t>CLM-2025-001096</t>
  </si>
  <si>
    <t>CLM-2025-001097</t>
  </si>
  <si>
    <t>CLM-2025-001098</t>
  </si>
  <si>
    <t>CLM-2025-001099</t>
  </si>
  <si>
    <t>CLM-2025-001100</t>
  </si>
  <si>
    <t>CLM-2025-001102</t>
  </si>
  <si>
    <t>CLM-2025-001103</t>
  </si>
  <si>
    <t>CLM-2025-001104</t>
  </si>
  <si>
    <t>CLM-2025-001105</t>
  </si>
  <si>
    <t>CLM-2025-001107</t>
  </si>
  <si>
    <t>CLM-2025-001108</t>
  </si>
  <si>
    <t>CLM-2025-001109</t>
  </si>
  <si>
    <t>CLM-2025-001110</t>
  </si>
  <si>
    <t>CLM-2025-001111</t>
  </si>
  <si>
    <t>CLM-2025-001112</t>
  </si>
  <si>
    <t>CLM-2025-001113</t>
  </si>
  <si>
    <t>CLM-2025-001114</t>
  </si>
  <si>
    <t>CLM-2025-001115</t>
  </si>
  <si>
    <t>CLM-2025-001116</t>
  </si>
  <si>
    <t>CLM-2025-001119</t>
  </si>
  <si>
    <t>CLM-2025-001122</t>
  </si>
  <si>
    <t>CLM-2025-001123</t>
  </si>
  <si>
    <t>CLM-2025-001124</t>
  </si>
  <si>
    <t>CLM-2025-001125</t>
  </si>
  <si>
    <t>CLM-2025-001126</t>
  </si>
  <si>
    <t>CLM-2025-001128</t>
  </si>
  <si>
    <t>CLM-2025-001130</t>
  </si>
  <si>
    <t>CLM-2025-001131</t>
  </si>
  <si>
    <t>CLM-2025-001132</t>
  </si>
  <si>
    <t>CLM-2025-001133</t>
  </si>
  <si>
    <t>CLM-2025-001134</t>
  </si>
  <si>
    <t>CLM-2025-001135</t>
  </si>
  <si>
    <t>CLM-2025-001136</t>
  </si>
  <si>
    <t>CLM-2025-001137</t>
  </si>
  <si>
    <t>CLM-2025-001138</t>
  </si>
  <si>
    <t>CLM-2025-001139</t>
  </si>
  <si>
    <t>CLM-2025-001140</t>
  </si>
  <si>
    <t>CLM-2025-001141</t>
  </si>
  <si>
    <t>CLM-2025-001143</t>
  </si>
  <si>
    <t>CLM-2025-001145</t>
  </si>
  <si>
    <t>CLM-2025-001147</t>
  </si>
  <si>
    <t>CLM-2025-001148</t>
  </si>
  <si>
    <t>CLM-2025-001149</t>
  </si>
  <si>
    <t>CLM-2025-001150</t>
  </si>
  <si>
    <t>CLM-2025-001151</t>
  </si>
  <si>
    <t>CLM-2025-001153</t>
  </si>
  <si>
    <t>CLM-2025-001154</t>
  </si>
  <si>
    <t>CLM-2025-001155</t>
  </si>
  <si>
    <t>CLM-2025-001159</t>
  </si>
  <si>
    <t>CLM-2025-001161</t>
  </si>
  <si>
    <t>CLM-2025-001162</t>
  </si>
  <si>
    <t>CLM-2025-001164</t>
  </si>
  <si>
    <t>CLM-2025-001165</t>
  </si>
  <si>
    <t>CLM-2025-001166</t>
  </si>
  <si>
    <t>CLM-2025-001167</t>
  </si>
  <si>
    <t>CLM-2025-001169</t>
  </si>
  <si>
    <t>CLM-2025-001170</t>
  </si>
  <si>
    <t>CLM-2025-001172</t>
  </si>
  <si>
    <t>CLM-2025-001173</t>
  </si>
  <si>
    <t>CLM-2025-001174</t>
  </si>
  <si>
    <t>CLM-2025-001175</t>
  </si>
  <si>
    <t>CLM-2025-001176</t>
  </si>
  <si>
    <t>CLM-2025-001177</t>
  </si>
  <si>
    <t>CLM-2025-001178</t>
  </si>
  <si>
    <t>CLM-2025-001181</t>
  </si>
  <si>
    <t>CLM-2025-001182</t>
  </si>
  <si>
    <t>CLM-2025-001183</t>
  </si>
  <si>
    <t>CLM-2025-001184</t>
  </si>
  <si>
    <t>CLM-2025-001185</t>
  </si>
  <si>
    <t>CLM-2025-001188</t>
  </si>
  <si>
    <t>CLM-2025-001189</t>
  </si>
  <si>
    <t>CLM-2025-001190</t>
  </si>
  <si>
    <t>CLM-2025-001191</t>
  </si>
  <si>
    <t>CLM-2025-001192</t>
  </si>
  <si>
    <t>CLM-2025-001193</t>
  </si>
  <si>
    <t>CLM-2025-001194</t>
  </si>
  <si>
    <t>CLM-2025-001196</t>
  </si>
  <si>
    <t>CLM-2025-001198</t>
  </si>
  <si>
    <t>CLM-2025-001199</t>
  </si>
  <si>
    <t>CLM-2025-001202</t>
  </si>
  <si>
    <t>CLM-2025-001203</t>
  </si>
  <si>
    <t>CLM-2025-001204</t>
  </si>
  <si>
    <t>CLM-2025-001206</t>
  </si>
  <si>
    <t>CLM-2025-001207</t>
  </si>
  <si>
    <t>CLM-2025-001209</t>
  </si>
  <si>
    <t>CLM-2025-001210</t>
  </si>
  <si>
    <t>CLM-2025-001211</t>
  </si>
  <si>
    <t>CLM-2025-001212</t>
  </si>
  <si>
    <t>CLM-2025-001213</t>
  </si>
  <si>
    <t>CLM-2025-001214</t>
  </si>
  <si>
    <t>CLM-2025-001217</t>
  </si>
  <si>
    <t>CLM-2025-001218</t>
  </si>
  <si>
    <t>CLM-2025-001220</t>
  </si>
  <si>
    <t>CLM-2025-001221</t>
  </si>
  <si>
    <t>CLM-2025-001222</t>
  </si>
  <si>
    <t>CLM-2025-001223</t>
  </si>
  <si>
    <t>CLM-2025-001225</t>
  </si>
  <si>
    <t>CLM-2025-001226</t>
  </si>
  <si>
    <t>CLM-2025-001227</t>
  </si>
  <si>
    <t>CLM-2025-001229</t>
  </si>
  <si>
    <t>CLM-2025-001230</t>
  </si>
  <si>
    <t>CLM-2025-001231</t>
  </si>
  <si>
    <t>CLM-2025-001234</t>
  </si>
  <si>
    <t>CLM-2025-001235</t>
  </si>
  <si>
    <t>CLM-2025-001236</t>
  </si>
  <si>
    <t>CLM-2025-001237</t>
  </si>
  <si>
    <t>CLM-2025-001238</t>
  </si>
  <si>
    <t>CLM-2025-001239</t>
  </si>
  <si>
    <t>CLM-2025-001240</t>
  </si>
  <si>
    <t>CLM-2025-001242</t>
  </si>
  <si>
    <t>CLM-2025-001244</t>
  </si>
  <si>
    <t>CLM-2025-001245</t>
  </si>
  <si>
    <t>CLM-2025-001246</t>
  </si>
  <si>
    <t>CLM-2025-001247</t>
  </si>
  <si>
    <t>CLM-2025-001248</t>
  </si>
  <si>
    <t>CLM-2025-001249</t>
  </si>
  <si>
    <t>CLM-2025-001250</t>
  </si>
  <si>
    <t>CLM-2025-001251</t>
  </si>
  <si>
    <t>CLM-2025-001252</t>
  </si>
  <si>
    <t>CLM-2025-001253</t>
  </si>
  <si>
    <t>CLM-2025-001255</t>
  </si>
  <si>
    <t>CLM-2025-001256</t>
  </si>
  <si>
    <t>CLM-2025-001257</t>
  </si>
  <si>
    <t>CLM-2025-001258</t>
  </si>
  <si>
    <t>CLM-2025-001259</t>
  </si>
  <si>
    <t>CLM-2025-001261</t>
  </si>
  <si>
    <t>CLM-2025-001263</t>
  </si>
  <si>
    <t>CLM-2025-001264</t>
  </si>
  <si>
    <t>CLM-2025-001266</t>
  </si>
  <si>
    <t>CLM-2025-001267</t>
  </si>
  <si>
    <t>CLM-2025-001268</t>
  </si>
  <si>
    <t>CLM-2025-001269</t>
  </si>
  <si>
    <t>CLM-2025-001270</t>
  </si>
  <si>
    <t>CLM-2025-001271</t>
  </si>
  <si>
    <t>CLM-2025-001272</t>
  </si>
  <si>
    <t>CLM-2025-001274</t>
  </si>
  <si>
    <t>CLM-2025-001275</t>
  </si>
  <si>
    <t>CLM-2025-001278</t>
  </si>
  <si>
    <t>CLM-2025-001279</t>
  </si>
  <si>
    <t>CLM-2025-001280</t>
  </si>
  <si>
    <t>CLM-2025-001281</t>
  </si>
  <si>
    <t>CLM-2025-001282</t>
  </si>
  <si>
    <t>CLM-2025-001284</t>
  </si>
  <si>
    <t>CLM-2025-001285</t>
  </si>
  <si>
    <t>CLM-2025-001286</t>
  </si>
  <si>
    <t>CLM-2025-001287</t>
  </si>
  <si>
    <t>CLM-2025-001288</t>
  </si>
  <si>
    <t>CLM-2025-001289</t>
  </si>
  <si>
    <t>CLM-2025-001290</t>
  </si>
  <si>
    <t>CLM-2025-001291</t>
  </si>
  <si>
    <t>CLM-2025-001292</t>
  </si>
  <si>
    <t>CLM-2025-001294</t>
  </si>
  <si>
    <t>CLM-2025-001296</t>
  </si>
  <si>
    <t>CLM-2025-001297</t>
  </si>
  <si>
    <t>CLM-2025-001298</t>
  </si>
  <si>
    <t>CLM-2025-001299</t>
  </si>
  <si>
    <t>CLM-2025-001300</t>
  </si>
  <si>
    <t>CLM-2025-001301</t>
  </si>
  <si>
    <t>CLM-2025-001302</t>
  </si>
  <si>
    <t>CLM-2025-001303</t>
  </si>
  <si>
    <t>CLM-2025-001304</t>
  </si>
  <si>
    <t>CLM-2025-001305</t>
  </si>
  <si>
    <t>CLM-2025-001307</t>
  </si>
  <si>
    <t>CLM-2025-001308</t>
  </si>
  <si>
    <t>CLM-2025-001309</t>
  </si>
  <si>
    <t>CLM-2025-001310</t>
  </si>
  <si>
    <t>CLM-2025-001311</t>
  </si>
  <si>
    <t>CLM-2025-001313</t>
  </si>
  <si>
    <t>CLM-2025-001314</t>
  </si>
  <si>
    <t>CLM-2025-001315</t>
  </si>
  <si>
    <t>CLM-2025-001316</t>
  </si>
  <si>
    <t>CLM-2025-001318</t>
  </si>
  <si>
    <t>CLM-2025-001320</t>
  </si>
  <si>
    <t>CLM-2025-001321</t>
  </si>
  <si>
    <t>CLM-2025-001323</t>
  </si>
  <si>
    <t>CLM-2025-001324</t>
  </si>
  <si>
    <t>CLM-2025-001325</t>
  </si>
  <si>
    <t>CLM-2025-001326</t>
  </si>
  <si>
    <t>CLM-2025-001327</t>
  </si>
  <si>
    <t>CLM-2025-001328</t>
  </si>
  <si>
    <t>CLM-2025-001329</t>
  </si>
  <si>
    <t>CLM-2025-001330</t>
  </si>
  <si>
    <t>CLM-2025-001331</t>
  </si>
  <si>
    <t>CLM-2025-001332</t>
  </si>
  <si>
    <t>CLM-2025-001333</t>
  </si>
  <si>
    <t>CLM-2025-001334</t>
  </si>
  <si>
    <t>CLM-2025-001335</t>
  </si>
  <si>
    <t>CLM-2025-001336</t>
  </si>
  <si>
    <t>CLM-2025-001337</t>
  </si>
  <si>
    <t>CLM-2025-001338</t>
  </si>
  <si>
    <t>CLM-2025-001339</t>
  </si>
  <si>
    <t>CLM-2025-001340</t>
  </si>
  <si>
    <t>CLM-2025-001342</t>
  </si>
  <si>
    <t>CLM-2025-001343</t>
  </si>
  <si>
    <t>CLM-2025-001346</t>
  </si>
  <si>
    <t>CLM-2025-001347</t>
  </si>
  <si>
    <t>CLM-2025-001348</t>
  </si>
  <si>
    <t>CLM-2025-001349</t>
  </si>
  <si>
    <t>CLM-2025-001351</t>
  </si>
  <si>
    <t>CLM-2025-001352</t>
  </si>
  <si>
    <t>CLM-2025-001353</t>
  </si>
  <si>
    <t>CLM-2025-001355</t>
  </si>
  <si>
    <t>CLM-2025-001356</t>
  </si>
  <si>
    <t>CLM-2025-001357</t>
  </si>
  <si>
    <t>CLM-2025-001358</t>
  </si>
  <si>
    <t>CLM-2025-001360</t>
  </si>
  <si>
    <t>CLM-2025-001364</t>
  </si>
  <si>
    <t>CLM-2025-001366</t>
  </si>
  <si>
    <t>CLM-2025-001367</t>
  </si>
  <si>
    <t>CLM-2025-001368</t>
  </si>
  <si>
    <t>CLM-2025-001369</t>
  </si>
  <si>
    <t>CLM-2025-001370</t>
  </si>
  <si>
    <t>CLM-2025-001371</t>
  </si>
  <si>
    <t>CLM-2025-001372</t>
  </si>
  <si>
    <t>CLM-2025-001373</t>
  </si>
  <si>
    <t>CLM-2025-001374</t>
  </si>
  <si>
    <t>CLM-2025-001376</t>
  </si>
  <si>
    <t>CLM-2025-001377</t>
  </si>
  <si>
    <t>CLM-2025-001378</t>
  </si>
  <si>
    <t>CLM-2025-001381</t>
  </si>
  <si>
    <t>CLM-2025-001382</t>
  </si>
  <si>
    <t>CLM-2025-001383</t>
  </si>
  <si>
    <t>CLM-2025-001385</t>
  </si>
  <si>
    <t>CLM-2025-001386</t>
  </si>
  <si>
    <t>CLM-2025-001387</t>
  </si>
  <si>
    <t>CLM-2025-001388</t>
  </si>
  <si>
    <t>CLM-2025-001389</t>
  </si>
  <si>
    <t>CLM-2025-001390</t>
  </si>
  <si>
    <t>CLM-2025-001391</t>
  </si>
  <si>
    <t>CLM-2025-001392</t>
  </si>
  <si>
    <t>CLM-2025-001393</t>
  </si>
  <si>
    <t>CLM-2025-001394</t>
  </si>
  <si>
    <t>CLM-2025-001395</t>
  </si>
  <si>
    <t>CLM-2025-001396</t>
  </si>
  <si>
    <t>CLM-2025-001397</t>
  </si>
  <si>
    <t>CLM-2025-001398</t>
  </si>
  <si>
    <t>CLM-2025-001401</t>
  </si>
  <si>
    <t>CLM-2025-001403</t>
  </si>
  <si>
    <t>CLM-2025-001404</t>
  </si>
  <si>
    <t>CLM-2025-001405</t>
  </si>
  <si>
    <t>CLM-2025-001406</t>
  </si>
  <si>
    <t>CLM-2025-001407</t>
  </si>
  <si>
    <t>CLM-2025-001408</t>
  </si>
  <si>
    <t>CLM-2025-001409</t>
  </si>
  <si>
    <t>CLM-2025-001412</t>
  </si>
  <si>
    <t>CLM-2025-001413</t>
  </si>
  <si>
    <t>CLM-2025-001414</t>
  </si>
  <si>
    <t>CLM-2025-001415</t>
  </si>
  <si>
    <t>CLM-2025-001416</t>
  </si>
  <si>
    <t>CLM-2025-001417</t>
  </si>
  <si>
    <t>CLM-2025-001418</t>
  </si>
  <si>
    <t>CLM-2025-001419</t>
  </si>
  <si>
    <t>CLM-2025-001420</t>
  </si>
  <si>
    <t>CLM-2025-001421</t>
  </si>
  <si>
    <t>CLM-2025-001422</t>
  </si>
  <si>
    <t>CLM-2025-001423</t>
  </si>
  <si>
    <t>CLM-2025-001424</t>
  </si>
  <si>
    <t>CLM-2025-001425</t>
  </si>
  <si>
    <t>CLM-2025-001426</t>
  </si>
  <si>
    <t>CLM-2025-001427</t>
  </si>
  <si>
    <t>CLM-2025-001428</t>
  </si>
  <si>
    <t>CLM-2025-001429</t>
  </si>
  <si>
    <t>CLM-2025-001430</t>
  </si>
  <si>
    <t>CLM-2025-001431</t>
  </si>
  <si>
    <t>CLM-2025-001432</t>
  </si>
  <si>
    <t>CLM-2025-001433</t>
  </si>
  <si>
    <t>CLM-2025-001434</t>
  </si>
  <si>
    <t>CLM-2025-001435</t>
  </si>
  <si>
    <t>CLM-2025-001436</t>
  </si>
  <si>
    <t>CLM-2025-001438</t>
  </si>
  <si>
    <t>CLM-2025-001440</t>
  </si>
  <si>
    <t>CLM-2025-001442</t>
  </si>
  <si>
    <t>CLM-2025-001443</t>
  </si>
  <si>
    <t>CLM-2025-001445</t>
  </si>
  <si>
    <t>CLM-2025-001446</t>
  </si>
  <si>
    <t>CLM-2025-001448</t>
  </si>
  <si>
    <t>CLM-2025-001449</t>
  </si>
  <si>
    <t>CLM-2025-001450</t>
  </si>
  <si>
    <t>CLM-2025-001451</t>
  </si>
  <si>
    <t>CLM-2025-001452</t>
  </si>
  <si>
    <t>CLM-2025-001453</t>
  </si>
  <si>
    <t>CLM-2025-001454</t>
  </si>
  <si>
    <t>CLM-2025-001455</t>
  </si>
  <si>
    <t>CLM-2025-001456</t>
  </si>
  <si>
    <t>CLM-2025-001457</t>
  </si>
  <si>
    <t>CLM-2025-001459</t>
  </si>
  <si>
    <t>CLM-2025-001460</t>
  </si>
  <si>
    <t>CLM-2025-001461</t>
  </si>
  <si>
    <t>CLM-2025-001462</t>
  </si>
  <si>
    <t>CLM-2025-001465</t>
  </si>
  <si>
    <t>CLM-2025-001466</t>
  </si>
  <si>
    <t>CLM-2025-001467</t>
  </si>
  <si>
    <t>CLM-2025-001468</t>
  </si>
  <si>
    <t>CLM-2025-001469</t>
  </si>
  <si>
    <t>CLM-2025-001471</t>
  </si>
  <si>
    <t>CLM-2025-001473</t>
  </si>
  <si>
    <t>CLM-2025-001474</t>
  </si>
  <si>
    <t>CLM-2025-001475</t>
  </si>
  <si>
    <t>CLM-2025-001476</t>
  </si>
  <si>
    <t>CLM-2025-001477</t>
  </si>
  <si>
    <t>CLM-2025-001478</t>
  </si>
  <si>
    <t>CLM-2025-001480</t>
  </si>
  <si>
    <t>CLM-2025-001481</t>
  </si>
  <si>
    <t>CLM-2025-001482</t>
  </si>
  <si>
    <t>CLM-2025-001484</t>
  </si>
  <si>
    <t>CLM-2025-001485</t>
  </si>
  <si>
    <t>CLM-2025-001487</t>
  </si>
  <si>
    <t>CLM-2025-001488</t>
  </si>
  <si>
    <t>CLM-2025-001489</t>
  </si>
  <si>
    <t>CLM-2025-001490</t>
  </si>
  <si>
    <t>CLM-2025-001491</t>
  </si>
  <si>
    <t>CLM-2025-001493</t>
  </si>
  <si>
    <t>CLM-2025-001494</t>
  </si>
  <si>
    <t>CLM-2025-001495</t>
  </si>
  <si>
    <t>CLM-2025-001496</t>
  </si>
  <si>
    <t>CLM-2025-001497</t>
  </si>
  <si>
    <t>CLM-2025-001498</t>
  </si>
  <si>
    <t>CLM-2025-001499</t>
  </si>
  <si>
    <t>CLM-2025-001500</t>
  </si>
  <si>
    <t>CLM-2025-001501</t>
  </si>
  <si>
    <t>CLM-2025-001502</t>
  </si>
  <si>
    <t>CLM-2025-001503</t>
  </si>
  <si>
    <t>CLM-2025-001505</t>
  </si>
  <si>
    <t>CLM-2025-001506</t>
  </si>
  <si>
    <t>CLM-2025-001507</t>
  </si>
  <si>
    <t>CLM-2025-001508</t>
  </si>
  <si>
    <t>CLM-2025-001509</t>
  </si>
  <si>
    <t>CLM-2025-001510</t>
  </si>
  <si>
    <t>CLM-2025-001511</t>
  </si>
  <si>
    <t>CLM-2025-001512</t>
  </si>
  <si>
    <t>CLM-2025-001515</t>
  </si>
  <si>
    <t>CLM-2025-001517</t>
  </si>
  <si>
    <t>CLM-2025-001518</t>
  </si>
  <si>
    <t>CLM-2025-001519</t>
  </si>
  <si>
    <t>CLM-2025-001522</t>
  </si>
  <si>
    <t>CLM-2025-001523</t>
  </si>
  <si>
    <t>CLM-2025-001524</t>
  </si>
  <si>
    <t>CLM-2025-001525</t>
  </si>
  <si>
    <t>CLM-2025-001526</t>
  </si>
  <si>
    <t>CLM-2025-001527</t>
  </si>
  <si>
    <t>CLM-2025-001528</t>
  </si>
  <si>
    <t>CLM-2025-001529</t>
  </si>
  <si>
    <t>CLM-2025-001530</t>
  </si>
  <si>
    <t>CLM-2025-001531</t>
  </si>
  <si>
    <t>CLM-2025-001532</t>
  </si>
  <si>
    <t>CLM-2025-001534</t>
  </si>
  <si>
    <t>CLM-2025-001535</t>
  </si>
  <si>
    <t>CLM-2025-001536</t>
  </si>
  <si>
    <t>CLM-2025-001537</t>
  </si>
  <si>
    <t>CLM-2025-001538</t>
  </si>
  <si>
    <t>CLM-2025-001539</t>
  </si>
  <si>
    <t>CLM-2025-001540</t>
  </si>
  <si>
    <t>CLM-2025-001542</t>
  </si>
  <si>
    <t>CLM-2025-001543</t>
  </si>
  <si>
    <t>CLM-2025-001544</t>
  </si>
  <si>
    <t>CLM-2025-001545</t>
  </si>
  <si>
    <t>CLM-2025-001546</t>
  </si>
  <si>
    <t>CLM-2025-001547</t>
  </si>
  <si>
    <t>CLM-2025-001548</t>
  </si>
  <si>
    <t>CLM-2025-001550</t>
  </si>
  <si>
    <t>CLM-2025-001551</t>
  </si>
  <si>
    <t>CLM-2025-001552</t>
  </si>
  <si>
    <t>CLM-2025-001554</t>
  </si>
  <si>
    <t>CLM-2025-001556</t>
  </si>
  <si>
    <t>CLM-2025-001557</t>
  </si>
  <si>
    <t>CLM-2025-001558</t>
  </si>
  <si>
    <t>CLM-2025-001560</t>
  </si>
  <si>
    <t>CLM-2025-001561</t>
  </si>
  <si>
    <t>CLM-2025-001562</t>
  </si>
  <si>
    <t>CLM-2025-001563</t>
  </si>
  <si>
    <t>CLM-2025-001565</t>
  </si>
  <si>
    <t>CLM-2025-001567</t>
  </si>
  <si>
    <t>CLM-2025-001569</t>
  </si>
  <si>
    <t>CLM-2025-001570</t>
  </si>
  <si>
    <t>CLM-2025-001571</t>
  </si>
  <si>
    <t>CLM-2025-001572</t>
  </si>
  <si>
    <t>CLM-2025-001573</t>
  </si>
  <si>
    <t>CLM-2025-001575</t>
  </si>
  <si>
    <t>CLM-2025-001576</t>
  </si>
  <si>
    <t>CLM-2025-001577</t>
  </si>
  <si>
    <t>CLM-2025-001578</t>
  </si>
  <si>
    <t>CLM-2025-001579</t>
  </si>
  <si>
    <t>CLM-2025-001580</t>
  </si>
  <si>
    <t>CLM-2025-001581</t>
  </si>
  <si>
    <t>CLM-2025-001582</t>
  </si>
  <si>
    <t>CLM-2025-001583</t>
  </si>
  <si>
    <t>CLM-2025-001585</t>
  </si>
  <si>
    <t>CLM-2025-001586</t>
  </si>
  <si>
    <t>CLM-2025-001587</t>
  </si>
  <si>
    <t>CLM-2025-001588</t>
  </si>
  <si>
    <t>CLM-2025-001590</t>
  </si>
  <si>
    <t>CLM-2025-001591</t>
  </si>
  <si>
    <t>CLM-2025-001593</t>
  </si>
  <si>
    <t>CLM-2025-001595</t>
  </si>
  <si>
    <t>CLM-2025-001596</t>
  </si>
  <si>
    <t>CLM-2025-001597</t>
  </si>
  <si>
    <t>CLM-2025-001598</t>
  </si>
  <si>
    <t>CLM-2025-001599</t>
  </si>
  <si>
    <t>CLM-2025-001600</t>
  </si>
  <si>
    <t>CLM-2025-001601</t>
  </si>
  <si>
    <t>CLM-2025-001603</t>
  </si>
  <si>
    <t>CLM-2025-001604</t>
  </si>
  <si>
    <t>CLM-2025-001605</t>
  </si>
  <si>
    <t>CLM-2025-001606</t>
  </si>
  <si>
    <t>CLM-2025-001609</t>
  </si>
  <si>
    <t>CLM-2025-001610</t>
  </si>
  <si>
    <t>CLM-2025-001611</t>
  </si>
  <si>
    <t>CLM-2025-001612</t>
  </si>
  <si>
    <t>CLM-2025-001614</t>
  </si>
  <si>
    <t>CLM-2025-001615</t>
  </si>
  <si>
    <t>CLM-2025-001617</t>
  </si>
  <si>
    <t>CLM-2025-001618</t>
  </si>
  <si>
    <t>CLM-2025-001619</t>
  </si>
  <si>
    <t>CLM-2025-001621</t>
  </si>
  <si>
    <t>CLM-2025-001622</t>
  </si>
  <si>
    <t>CLM-2025-001623</t>
  </si>
  <si>
    <t>CLM-2025-001624</t>
  </si>
  <si>
    <t>CLM-2025-001625</t>
  </si>
  <si>
    <t>CLM-2025-001626</t>
  </si>
  <si>
    <t>CLM-2025-001627</t>
  </si>
  <si>
    <t>CLM-2025-001629</t>
  </si>
  <si>
    <t>CLM-2025-001631</t>
  </si>
  <si>
    <t>CLM-2025-001632</t>
  </si>
  <si>
    <t>CLM-2025-001634</t>
  </si>
  <si>
    <t>CLM-2025-001635</t>
  </si>
  <si>
    <t>CLM-2025-001636</t>
  </si>
  <si>
    <t>CLM-2025-001638</t>
  </si>
  <si>
    <t>CLM-2025-001641</t>
  </si>
  <si>
    <t>CLM-2025-001642</t>
  </si>
  <si>
    <t>CLM-2025-001643</t>
  </si>
  <si>
    <t>CLM-2025-001644</t>
  </si>
  <si>
    <t>CLM-2025-001645</t>
  </si>
  <si>
    <t>CLM-2025-001647</t>
  </si>
  <si>
    <t>CLM-2025-001648</t>
  </si>
  <si>
    <t>CLM-2025-001650</t>
  </si>
  <si>
    <t>CLM-2025-001652</t>
  </si>
  <si>
    <t>CLM-2025-001653</t>
  </si>
  <si>
    <t>CLM-2025-001656</t>
  </si>
  <si>
    <t>CLM-2025-001658</t>
  </si>
  <si>
    <t>CLM-2025-001659</t>
  </si>
  <si>
    <t>CLM-2025-001660</t>
  </si>
  <si>
    <t>CLM-2025-001661</t>
  </si>
  <si>
    <t>CLM-2025-001662</t>
  </si>
  <si>
    <t>CLM-2025-001663</t>
  </si>
  <si>
    <t>CLM-2025-001664</t>
  </si>
  <si>
    <t>CLM-2025-001665</t>
  </si>
  <si>
    <t>CLM-2025-001667</t>
  </si>
  <si>
    <t>CLM-2025-001669</t>
  </si>
  <si>
    <t>CLM-2025-001670</t>
  </si>
  <si>
    <t>CLM-2025-001671</t>
  </si>
  <si>
    <t>CLM-2025-001672</t>
  </si>
  <si>
    <t>CLM-2025-001673</t>
  </si>
  <si>
    <t>CLM-2025-001674</t>
  </si>
  <si>
    <t>CLM-2025-001675</t>
  </si>
  <si>
    <t>CLM-2025-001676</t>
  </si>
  <si>
    <t>CLM-2025-001677</t>
  </si>
  <si>
    <t>CLM-2025-001678</t>
  </si>
  <si>
    <t>CLM-2025-001679</t>
  </si>
  <si>
    <t>CLM-2025-001680</t>
  </si>
  <si>
    <t>CLM-2025-001681</t>
  </si>
  <si>
    <t>CLM-2025-001682</t>
  </si>
  <si>
    <t>CLM-2025-001683</t>
  </si>
  <si>
    <t>CLM-2025-001684</t>
  </si>
  <si>
    <t>CLM-2025-001685</t>
  </si>
  <si>
    <t>CLM-2025-001686</t>
  </si>
  <si>
    <t>CLM-2025-001687</t>
  </si>
  <si>
    <t>CLM-2025-001688</t>
  </si>
  <si>
    <t>CLM-2025-001689</t>
  </si>
  <si>
    <t>CLM-2025-001691</t>
  </si>
  <si>
    <t>CLM-2025-001692</t>
  </si>
  <si>
    <t>CLM-2025-001694</t>
  </si>
  <si>
    <t>CLM-2025-001695</t>
  </si>
  <si>
    <t>CLM-2025-001696</t>
  </si>
  <si>
    <t>CLM-2025-001697</t>
  </si>
  <si>
    <t>CLM-2025-001698</t>
  </si>
  <si>
    <t>CLM-2025-001699</t>
  </si>
  <si>
    <t>CLM-2025-001700</t>
  </si>
  <si>
    <t>CLM-2025-001701</t>
  </si>
  <si>
    <t>CLM-2025-001702</t>
  </si>
  <si>
    <t>CLM-2025-001703</t>
  </si>
  <si>
    <t>CLM-2025-001704</t>
  </si>
  <si>
    <t>CLM-2025-001706</t>
  </si>
  <si>
    <t>CLM-2025-001707</t>
  </si>
  <si>
    <t>CLM-2025-001708</t>
  </si>
  <si>
    <t>CLM-2025-001709</t>
  </si>
  <si>
    <t>CLM-2025-001710</t>
  </si>
  <si>
    <t>CLM-2025-001711</t>
  </si>
  <si>
    <t>CLM-2025-001712</t>
  </si>
  <si>
    <t>CLM-2025-001714</t>
  </si>
  <si>
    <t>CLM-2025-001715</t>
  </si>
  <si>
    <t>CLM-2025-001716</t>
  </si>
  <si>
    <t>CLM-2025-001717</t>
  </si>
  <si>
    <t>CLM-2025-001718</t>
  </si>
  <si>
    <t>CLM-2025-001719</t>
  </si>
  <si>
    <t>CLM-2025-001720</t>
  </si>
  <si>
    <t>CLM-2025-001721</t>
  </si>
  <si>
    <t>CLM-2025-001724</t>
  </si>
  <si>
    <t>CLM-2025-001725</t>
  </si>
  <si>
    <t>CLM-2025-001726</t>
  </si>
  <si>
    <t>CLM-2025-001727</t>
  </si>
  <si>
    <t>CLM-2025-001728</t>
  </si>
  <si>
    <t>CLM-2025-001730</t>
  </si>
  <si>
    <t>CLM-2025-001732</t>
  </si>
  <si>
    <t>CLM-2025-001733</t>
  </si>
  <si>
    <t>CLM-2025-001734</t>
  </si>
  <si>
    <t>CLM-2025-001735</t>
  </si>
  <si>
    <t>CLM-2025-001736</t>
  </si>
  <si>
    <t>CLM-2025-001737</t>
  </si>
  <si>
    <t>CLM-2025-001738</t>
  </si>
  <si>
    <t>CLM-2025-001740</t>
  </si>
  <si>
    <t>CLM-2025-001742</t>
  </si>
  <si>
    <t>CLM-2025-001743</t>
  </si>
  <si>
    <t>CLM-2025-001744</t>
  </si>
  <si>
    <t>CLM-2025-001745</t>
  </si>
  <si>
    <t>CLM-2025-001746</t>
  </si>
  <si>
    <t>CLM-2025-001747</t>
  </si>
  <si>
    <t>CLM-2025-001748</t>
  </si>
  <si>
    <t>CLM-2025-001750</t>
  </si>
  <si>
    <t>CLM-2025-001751</t>
  </si>
  <si>
    <t>CLM-2025-001755</t>
  </si>
  <si>
    <t>CLM-2025-001756</t>
  </si>
  <si>
    <t>CLM-2025-001757</t>
  </si>
  <si>
    <t>CLM-2025-001758</t>
  </si>
  <si>
    <t>CLM-2025-001759</t>
  </si>
  <si>
    <t>CLM-2025-001760</t>
  </si>
  <si>
    <t>CLM-2025-001761</t>
  </si>
  <si>
    <t>CLM-2025-001762</t>
  </si>
  <si>
    <t>CLM-2025-001766</t>
  </si>
  <si>
    <t>CLM-2025-001767</t>
  </si>
  <si>
    <t>CLM-2025-001768</t>
  </si>
  <si>
    <t>CLM-2025-001769</t>
  </si>
  <si>
    <t>CLM-2025-001770</t>
  </si>
  <si>
    <t>CLM-2025-001771</t>
  </si>
  <si>
    <t>CLM-2025-001772</t>
  </si>
  <si>
    <t>CLM-2025-001773</t>
  </si>
  <si>
    <t>CLM-2025-001774</t>
  </si>
  <si>
    <t>CLM-2025-001776</t>
  </si>
  <si>
    <t>CLM-2025-001777</t>
  </si>
  <si>
    <t>CLM-2025-001779</t>
  </si>
  <si>
    <t>CLM-2025-001780</t>
  </si>
  <si>
    <t>CLM-2025-001781</t>
  </si>
  <si>
    <t>CLM-2025-001782</t>
  </si>
  <si>
    <t>CLM-2025-001783</t>
  </si>
  <si>
    <t>CLM-2025-001785</t>
  </si>
  <si>
    <t>CLM-2025-001786</t>
  </si>
  <si>
    <t>CLM-2025-001787</t>
  </si>
  <si>
    <t>CLM-2025-001788</t>
  </si>
  <si>
    <t>CLM-2025-001791</t>
  </si>
  <si>
    <t>CLM-2025-001793</t>
  </si>
  <si>
    <t>CLM-2025-001794</t>
  </si>
  <si>
    <t>CLM-2025-001795</t>
  </si>
  <si>
    <t>CLM-2025-001796</t>
  </si>
  <si>
    <t>CLM-2025-001797</t>
  </si>
  <si>
    <t>CLM-2025-001798</t>
  </si>
  <si>
    <t>CLM-2025-001799</t>
  </si>
  <si>
    <t>CLM-2025-001801</t>
  </si>
  <si>
    <t>CLM-2025-001802</t>
  </si>
  <si>
    <t>CLM-2025-001805</t>
  </si>
  <si>
    <t>CLM-2025-001807</t>
  </si>
  <si>
    <t>CLM-2025-001809</t>
  </si>
  <si>
    <t>CLM-2025-001812</t>
  </si>
  <si>
    <t>CLM-2025-001813</t>
  </si>
  <si>
    <t>CLM-2025-001814</t>
  </si>
  <si>
    <t>CLM-2025-001815</t>
  </si>
  <si>
    <t>Engineering</t>
  </si>
  <si>
    <t>CLM-2025-001816</t>
  </si>
  <si>
    <t>CLM-2025-001817</t>
  </si>
  <si>
    <t>CLM-2025-001818</t>
  </si>
  <si>
    <t>CLM-2025-001820</t>
  </si>
  <si>
    <t>CLM-2025-001821</t>
  </si>
  <si>
    <t>CLM-2025-001822</t>
  </si>
  <si>
    <t>CLM-2025-001823</t>
  </si>
  <si>
    <t>CLM-2025-001824</t>
  </si>
  <si>
    <t>CLM-2025-001825</t>
  </si>
  <si>
    <t>CLM-2025-001826</t>
  </si>
  <si>
    <t>CLM-2025-001827</t>
  </si>
  <si>
    <t>CLM-2025-001828</t>
  </si>
  <si>
    <t>CLM-2025-001829</t>
  </si>
  <si>
    <t>CLM-2025-001830</t>
  </si>
  <si>
    <t>CLM-2025-001833</t>
  </si>
  <si>
    <t>CLM-2025-001834</t>
  </si>
  <si>
    <t>CLM-2025-001835</t>
  </si>
  <si>
    <t>CLM-2025-001837</t>
  </si>
  <si>
    <t>CLM-2025-001838</t>
  </si>
  <si>
    <t>CLM-2025-001839</t>
  </si>
  <si>
    <t>CLM-2025-001840</t>
  </si>
  <si>
    <t>CLM-2025-001841</t>
  </si>
  <si>
    <t>CLM-2025-001842</t>
  </si>
  <si>
    <t>CLM-2025-001843</t>
  </si>
  <si>
    <t>CLM-2025-001844</t>
  </si>
  <si>
    <t>CLM-2025-001845</t>
  </si>
  <si>
    <t>CLM-2025-001846</t>
  </si>
  <si>
    <t>CLM-2025-001847</t>
  </si>
  <si>
    <t>CLM-2025-001848</t>
  </si>
  <si>
    <t>CLM-2025-001849</t>
  </si>
  <si>
    <t>CLM-2025-001850</t>
  </si>
  <si>
    <t>CLM-2025-001851</t>
  </si>
  <si>
    <t>CLM-2025-001852</t>
  </si>
  <si>
    <t>CLM-2025-001853</t>
  </si>
  <si>
    <t>CLM-2025-001854</t>
  </si>
  <si>
    <t>CLM-2025-001855</t>
  </si>
  <si>
    <t>CLM-2025-001856</t>
  </si>
  <si>
    <t>CLM-2025-001857</t>
  </si>
  <si>
    <t>CLM-2025-001858</t>
  </si>
  <si>
    <t>CLM-2025-001859</t>
  </si>
  <si>
    <t>CLM-2025-001860</t>
  </si>
  <si>
    <t>CLM-2025-001861</t>
  </si>
  <si>
    <t>CLM-2025-001862</t>
  </si>
  <si>
    <t>CLM-2025-001863</t>
  </si>
  <si>
    <t>CLM-2025-001864</t>
  </si>
  <si>
    <t>CLM-2025-001865</t>
  </si>
  <si>
    <t>CLM-2025-001866</t>
  </si>
  <si>
    <t>CLM-2025-001867</t>
  </si>
  <si>
    <t>CLM-2025-001868</t>
  </si>
  <si>
    <t>CLM-2025-001869</t>
  </si>
  <si>
    <t>CLM-2025-001870</t>
  </si>
  <si>
    <t>CLM-2025-001871</t>
  </si>
  <si>
    <t>CLM-2025-001872</t>
  </si>
  <si>
    <t>CLM-2025-001873</t>
  </si>
  <si>
    <t>CLM-2025-001874</t>
  </si>
  <si>
    <t>CLM-2025-001876</t>
  </si>
  <si>
    <t>CLM-2025-001877</t>
  </si>
  <si>
    <t>CLM-2025-001879</t>
  </si>
  <si>
    <t>CLM-2025-001880</t>
  </si>
  <si>
    <t>CLM-2025-001882</t>
  </si>
  <si>
    <t>CLM-2025-001883</t>
  </si>
  <si>
    <t>CLM-2025-001884</t>
  </si>
  <si>
    <t>CLM-2025-001885</t>
  </si>
  <si>
    <t>CLM-2025-001886</t>
  </si>
  <si>
    <t>CLM-2025-001887</t>
  </si>
  <si>
    <t>CLM-2025-001889</t>
  </si>
  <si>
    <t>CLM-2025-001890</t>
  </si>
  <si>
    <t>CLM-2025-001891</t>
  </si>
  <si>
    <t>CLM-2025-001892</t>
  </si>
  <si>
    <t>CLM-2025-001893</t>
  </si>
  <si>
    <t>CLM-2025-001894</t>
  </si>
  <si>
    <t>CLM-2025-001896</t>
  </si>
  <si>
    <t>CLM-2025-001897</t>
  </si>
  <si>
    <t>CLM-2025-001898</t>
  </si>
  <si>
    <t>CLM-2025-001899</t>
  </si>
  <si>
    <t>CLM-2025-001900</t>
  </si>
  <si>
    <t>CLM-2025-001901</t>
  </si>
  <si>
    <t>CLM-2025-001902</t>
  </si>
  <si>
    <t>CLM-2025-001903</t>
  </si>
  <si>
    <t>CLM-2025-001904</t>
  </si>
  <si>
    <t>CLM-2025-001905</t>
  </si>
  <si>
    <t>CLM-2025-001906</t>
  </si>
  <si>
    <t>CLM-2025-001907</t>
  </si>
  <si>
    <t>CLM-2025-001909</t>
  </si>
  <si>
    <t>CLM-2025-001910</t>
  </si>
  <si>
    <t>CLM-2025-001911</t>
  </si>
  <si>
    <t>CLM-2025-001912</t>
  </si>
  <si>
    <t>CLM-2025-001913</t>
  </si>
  <si>
    <t>CLM-2025-001916</t>
  </si>
  <si>
    <t>CLM-2025-001917</t>
  </si>
  <si>
    <t>CLM-2025-001918</t>
  </si>
  <si>
    <t>CLM-2025-001919</t>
  </si>
  <si>
    <t>CLM-2025-001920</t>
  </si>
  <si>
    <t>CLM-2025-001921</t>
  </si>
  <si>
    <t>CLM-2025-001923</t>
  </si>
  <si>
    <t>CLM-2025-001924</t>
  </si>
  <si>
    <t>CLM-2025-001925</t>
  </si>
  <si>
    <t>CLM-2025-001926</t>
  </si>
  <si>
    <t>CLM-2025-001927</t>
  </si>
  <si>
    <t>CLM-2025-001928</t>
  </si>
  <si>
    <t>CLM-2025-001929</t>
  </si>
  <si>
    <t>CLM-2025-001930</t>
  </si>
  <si>
    <t>CLM-2025-001931</t>
  </si>
  <si>
    <t>CLM-2025-001932</t>
  </si>
  <si>
    <t>CLM-2025-001933</t>
  </si>
  <si>
    <t>CLM-2025-001935</t>
  </si>
  <si>
    <t>CLM-2025-001936</t>
  </si>
  <si>
    <t>CLM-2025-001937</t>
  </si>
  <si>
    <t>CLM-2025-001938</t>
  </si>
  <si>
    <t>CLM-2025-001939</t>
  </si>
  <si>
    <t>CLM-2025-001940</t>
  </si>
  <si>
    <t>CLM-2025-001943</t>
  </si>
  <si>
    <t>CLM-2025-001944</t>
  </si>
  <si>
    <t>CLM-2025-001945</t>
  </si>
  <si>
    <t>CLM-2025-001946</t>
  </si>
  <si>
    <t>CLM-2025-001947</t>
  </si>
  <si>
    <t>CLM-2025-001949</t>
  </si>
  <si>
    <t>CLM-2025-001950</t>
  </si>
  <si>
    <t>CLM-2025-001952</t>
  </si>
  <si>
    <t>CLM-2025-001954</t>
  </si>
  <si>
    <t>CLM-2025-001955</t>
  </si>
  <si>
    <t>CLM-2025-001958</t>
  </si>
  <si>
    <t>CLM-2025-001959</t>
  </si>
  <si>
    <t>CLM-2025-001960</t>
  </si>
  <si>
    <t>CLM-2025-001961</t>
  </si>
  <si>
    <t>CLM-2025-001964</t>
  </si>
  <si>
    <t>CLM-2025-001965</t>
  </si>
  <si>
    <t>CLM-2025-001966</t>
  </si>
  <si>
    <t>CLM-2025-001968</t>
  </si>
  <si>
    <t>CLM-2025-001969</t>
  </si>
  <si>
    <t>CLM-2025-001970</t>
  </si>
  <si>
    <t>CLM-2025-001971</t>
  </si>
  <si>
    <t>CLM-2025-001972</t>
  </si>
  <si>
    <t>CLM-2025-001974</t>
  </si>
  <si>
    <t>CLM-2025-001975</t>
  </si>
  <si>
    <t>CLM-2025-001978</t>
  </si>
  <si>
    <t>CLM-2025-001979</t>
  </si>
  <si>
    <t>CLM-2025-001980</t>
  </si>
  <si>
    <t>CLM-2025-001982</t>
  </si>
  <si>
    <t>CLM-2025-001983</t>
  </si>
  <si>
    <t>CLM-2025-001984</t>
  </si>
  <si>
    <t>CLM-2025-001986</t>
  </si>
  <si>
    <t>CLM-2025-001987</t>
  </si>
  <si>
    <t>CLM-2025-001988</t>
  </si>
  <si>
    <t>CLM-2025-001989</t>
  </si>
  <si>
    <t>CLM-2025-001990</t>
  </si>
  <si>
    <t>CLM-2025-001991</t>
  </si>
  <si>
    <t>CLM-2025-001992</t>
  </si>
  <si>
    <t>CLM-2025-001993</t>
  </si>
  <si>
    <t>CLM-2025-001994</t>
  </si>
  <si>
    <t>CLM-2025-001995</t>
  </si>
  <si>
    <t>CLM-2025-001996</t>
  </si>
  <si>
    <t>CLM-2025-001997</t>
  </si>
  <si>
    <t>CLM-2025-001998</t>
  </si>
  <si>
    <t>CLM-2025-001999</t>
  </si>
  <si>
    <t>CLM-2025-002001</t>
  </si>
  <si>
    <t>CLM-2025-002002</t>
  </si>
  <si>
    <t>CLM-2025-002003</t>
  </si>
  <si>
    <t>CLM-2025-002004</t>
  </si>
  <si>
    <t>CLM-2025-002005</t>
  </si>
  <si>
    <t>CLM-2025-002006</t>
  </si>
  <si>
    <t>CLM-2025-002007</t>
  </si>
  <si>
    <t>CLM-2025-002008</t>
  </si>
  <si>
    <t>CLM-2025-002009</t>
  </si>
  <si>
    <t>CLM-2025-002010</t>
  </si>
  <si>
    <t>CLM-2025-002011</t>
  </si>
  <si>
    <t>CLM-2025-002012</t>
  </si>
  <si>
    <t>CLM-2025-002014</t>
  </si>
  <si>
    <t>CLM-2025-002015</t>
  </si>
  <si>
    <t>CLM-2025-002016</t>
  </si>
  <si>
    <t>CLM-2025-002017</t>
  </si>
  <si>
    <t>CLM-2025-002018</t>
  </si>
  <si>
    <t>CLM-2025-002019</t>
  </si>
  <si>
    <t>CLM-2025-002020</t>
  </si>
  <si>
    <t>CLM-2025-002021</t>
  </si>
  <si>
    <t>CLM-2025-002022</t>
  </si>
  <si>
    <t>CLM-2025-002024</t>
  </si>
  <si>
    <t>CLM-2025-002025</t>
  </si>
  <si>
    <t>CLM-2025-002027</t>
  </si>
  <si>
    <t>CLM-2025-002028</t>
  </si>
  <si>
    <t>CLM-2025-002030</t>
  </si>
  <si>
    <t>CLM-2025-002031</t>
  </si>
  <si>
    <t>CLM-2025-002032</t>
  </si>
  <si>
    <t>CLM-2025-002033</t>
  </si>
  <si>
    <t>CLM-2025-002035</t>
  </si>
  <si>
    <t>CLM-2025-002036</t>
  </si>
  <si>
    <t>CLM-2025-002037</t>
  </si>
  <si>
    <t>CLM-2025-002038</t>
  </si>
  <si>
    <t>CLM-2025-002039</t>
  </si>
  <si>
    <t>CLM-2025-002040</t>
  </si>
  <si>
    <t>CLM-2025-002042</t>
  </si>
  <si>
    <t>CLM-2025-002043</t>
  </si>
  <si>
    <t>CLM-2025-002044</t>
  </si>
  <si>
    <t>CLM-2025-002045</t>
  </si>
  <si>
    <t>CLM-2025-002046</t>
  </si>
  <si>
    <t>CLM-2025-002047</t>
  </si>
  <si>
    <t>CLM-2025-002048</t>
  </si>
  <si>
    <t>CLM-2025-002049</t>
  </si>
  <si>
    <t>CLM-2025-002050</t>
  </si>
  <si>
    <t>CLM-2025-002051</t>
  </si>
  <si>
    <t>CLM-2025-002052</t>
  </si>
  <si>
    <t>CLM-2025-002053</t>
  </si>
  <si>
    <t>CLM-2025-002054</t>
  </si>
  <si>
    <t>CLM-2025-002055</t>
  </si>
  <si>
    <t>CLM-2025-002057</t>
  </si>
  <si>
    <t>CLM-2025-002058</t>
  </si>
  <si>
    <t>CLM-2025-002059</t>
  </si>
  <si>
    <t>CLM-2025-002060</t>
  </si>
  <si>
    <t>CLM-2025-002061</t>
  </si>
  <si>
    <t>CLM-2025-002062</t>
  </si>
  <si>
    <t>CLM-2025-002063</t>
  </si>
  <si>
    <t>CLM-2025-002064</t>
  </si>
  <si>
    <t>CLM-2025-002066</t>
  </si>
  <si>
    <t>CLM-2025-002068</t>
  </si>
  <si>
    <t>CLM-2025-002069</t>
  </si>
  <si>
    <t>CLM-2025-002070</t>
  </si>
  <si>
    <t>CLM-2025-002071</t>
  </si>
  <si>
    <t>CLM-2025-002072</t>
  </si>
  <si>
    <t>CLM-2025-002073</t>
  </si>
  <si>
    <t>CLM-2025-002075</t>
  </si>
  <si>
    <t>CLM-2025-002076</t>
  </si>
  <si>
    <t>CLM-2025-002077</t>
  </si>
  <si>
    <t>CLM-2025-002079</t>
  </si>
  <si>
    <t>CLM-2025-002080</t>
  </si>
  <si>
    <t>CLM-2025-002081</t>
  </si>
  <si>
    <t>CLM-2025-002082</t>
  </si>
  <si>
    <t>CLM-2025-002083</t>
  </si>
  <si>
    <t>CLM-2025-002084</t>
  </si>
  <si>
    <t>CLM-2025-002085</t>
  </si>
  <si>
    <t>CLM-2025-002086</t>
  </si>
  <si>
    <t>CLM-2025-002088</t>
  </si>
  <si>
    <t>CLM-2025-002089</t>
  </si>
  <si>
    <t>CLM-2025-002090</t>
  </si>
  <si>
    <t>CLM-2025-002091</t>
  </si>
  <si>
    <t>CLM-2025-002092</t>
  </si>
  <si>
    <t>CLM-2025-002093</t>
  </si>
  <si>
    <t>CLM-2025-002095</t>
  </si>
  <si>
    <t>CLM-2025-002096</t>
  </si>
  <si>
    <t>CLM-2025-002097</t>
  </si>
  <si>
    <t>CLM-2025-002098</t>
  </si>
  <si>
    <t>CLM-2025-002099</t>
  </si>
  <si>
    <t>CLM-2025-002100</t>
  </si>
  <si>
    <t>CLM-2025-002101</t>
  </si>
  <si>
    <t>CLM-2025-002102</t>
  </si>
  <si>
    <t>CLM-2025-002103</t>
  </si>
  <si>
    <t>CLM-2025-002104</t>
  </si>
  <si>
    <t>CLM-2025-002105</t>
  </si>
  <si>
    <t>CLM-2025-002106</t>
  </si>
  <si>
    <t>CLM-2025-002107</t>
  </si>
  <si>
    <t>CLM-2025-002108</t>
  </si>
  <si>
    <t>CLM-2025-002109</t>
  </si>
  <si>
    <t>CLM-2025-002110</t>
  </si>
  <si>
    <t>CLM-2025-002112</t>
  </si>
  <si>
    <t>CLM-2025-002113</t>
  </si>
  <si>
    <t>CLM-2025-002114</t>
  </si>
  <si>
    <t>CLM-2025-002115</t>
  </si>
  <si>
    <t>CLM-2025-002116</t>
  </si>
  <si>
    <t>CLM-2025-002118</t>
  </si>
  <si>
    <t>CLM-2025-002119</t>
  </si>
  <si>
    <t>CLM-2025-002120</t>
  </si>
  <si>
    <t>CLM-2025-002121</t>
  </si>
  <si>
    <t>CLM-2025-002122</t>
  </si>
  <si>
    <t>CLM-2025-002124</t>
  </si>
  <si>
    <t>CLM-2025-002125</t>
  </si>
  <si>
    <t>CLM-2025-002127</t>
  </si>
  <si>
    <t>CLM-2025-002128</t>
  </si>
  <si>
    <t>CLM-2025-002129</t>
  </si>
  <si>
    <t>CLM-2025-002130</t>
  </si>
  <si>
    <t>CLM-2025-002131</t>
  </si>
  <si>
    <t>CLM-2025-002132</t>
  </si>
  <si>
    <t>CLM-2025-002134</t>
  </si>
  <si>
    <t>CLM-2025-002135</t>
  </si>
  <si>
    <t>CLM-2025-002136</t>
  </si>
  <si>
    <t>CLM-2025-002137</t>
  </si>
  <si>
    <t>CLM-2025-002138</t>
  </si>
  <si>
    <t>CLM-2025-002140</t>
  </si>
  <si>
    <t>CLM-2025-002142</t>
  </si>
  <si>
    <t>CLM-2025-002143</t>
  </si>
  <si>
    <t>CLM-2025-002144</t>
  </si>
  <si>
    <t>CLM-2025-002146</t>
  </si>
  <si>
    <t>CLM-2025-002147</t>
  </si>
  <si>
    <t>CLM-2025-002149</t>
  </si>
  <si>
    <t>CLM-2025-002150</t>
  </si>
  <si>
    <t>CLM-2025-002151</t>
  </si>
  <si>
    <t>CLM-2025-002152</t>
  </si>
  <si>
    <t>CLM-2025-002153</t>
  </si>
  <si>
    <t>CLM-2025-002155</t>
  </si>
  <si>
    <t>CLM-2025-002156</t>
  </si>
  <si>
    <t>CLM-2025-002157</t>
  </si>
  <si>
    <t>CLM-2025-002158</t>
  </si>
  <si>
    <t>CLM-2025-002160</t>
  </si>
  <si>
    <t>CLM-2025-002161</t>
  </si>
  <si>
    <t>CLM-2025-002162</t>
  </si>
  <si>
    <t>CLM-2025-002163</t>
  </si>
  <si>
    <t>CLM-2025-002164</t>
  </si>
  <si>
    <t>CLM-2025-002165</t>
  </si>
  <si>
    <t>CLM-2025-002166</t>
  </si>
  <si>
    <t>CLM-2025-002167</t>
  </si>
  <si>
    <t>CLM-2025-002168</t>
  </si>
  <si>
    <t>CLM-2025-002169</t>
  </si>
  <si>
    <t>CLM-2025-002170</t>
  </si>
  <si>
    <t>CLM-2025-002173</t>
  </si>
  <si>
    <t>CLM-2025-002174</t>
  </si>
  <si>
    <t>CLM-2025-002175</t>
  </si>
  <si>
    <t>CLM-2025-002176</t>
  </si>
  <si>
    <t>CLM-2025-002177</t>
  </si>
  <si>
    <t>CLM-2025-002178</t>
  </si>
  <si>
    <t>CLM-2025-002179</t>
  </si>
  <si>
    <t>CLM-2025-002180</t>
  </si>
  <si>
    <t>CLM-2025-002182</t>
  </si>
  <si>
    <t>CLM-2025-002183</t>
  </si>
  <si>
    <t>CLM-2025-002185</t>
  </si>
  <si>
    <t>CLM-2025-002186</t>
  </si>
  <si>
    <t>CLM-2025-002187</t>
  </si>
  <si>
    <t>CLM-2025-002189</t>
  </si>
  <si>
    <t>CLM-2025-002192</t>
  </si>
  <si>
    <t>CLM-2025-002194</t>
  </si>
  <si>
    <t>CLM-2025-002196</t>
  </si>
  <si>
    <t>CLM-2025-002197</t>
  </si>
  <si>
    <t>CLM-2025-002198</t>
  </si>
  <si>
    <t>CLM-2025-002199</t>
  </si>
  <si>
    <t>CLM-2025-002200</t>
  </si>
  <si>
    <t>CLM-2025-002201</t>
  </si>
  <si>
    <t>CLM-2025-002202</t>
  </si>
  <si>
    <t>CLM-2025-002203</t>
  </si>
  <si>
    <t>CLM-2025-002205</t>
  </si>
  <si>
    <t>CLM-2025-002208</t>
  </si>
  <si>
    <t>CLM-2025-002209</t>
  </si>
  <si>
    <t>CLM-2025-002210</t>
  </si>
  <si>
    <t>CLM-2025-002211</t>
  </si>
  <si>
    <t>CLM-2025-002212</t>
  </si>
  <si>
    <t>CLM-2025-002216</t>
  </si>
  <si>
    <t>CLM-2025-002218</t>
  </si>
  <si>
    <t>CLM-2025-002219</t>
  </si>
  <si>
    <t>CLM-2025-002220</t>
  </si>
  <si>
    <t>CLM-2025-002221</t>
  </si>
  <si>
    <t>CLM-2025-002223</t>
  </si>
  <si>
    <t>CLM-2025-002224</t>
  </si>
  <si>
    <t>CLM-2025-002225</t>
  </si>
  <si>
    <t>CLM-2025-002226</t>
  </si>
  <si>
    <t>CLM-2025-002227</t>
  </si>
  <si>
    <t>CLM-2025-002228</t>
  </si>
  <si>
    <t>CLM-2025-002231</t>
  </si>
  <si>
    <t>CLM-2025-002233</t>
  </si>
  <si>
    <t>CLM-2025-002236</t>
  </si>
  <si>
    <t>CLM-2025-002238</t>
  </si>
  <si>
    <t>CLM-2025-002239</t>
  </si>
  <si>
    <t>CLM-2025-002240</t>
  </si>
  <si>
    <t>CLM-2025-002241</t>
  </si>
  <si>
    <t>CLM-2025-002242</t>
  </si>
  <si>
    <t>CLM-2025-002244</t>
  </si>
  <si>
    <t>CLM-2025-002245</t>
  </si>
  <si>
    <t>CLM-2025-002248</t>
  </si>
  <si>
    <t>CLM-2025-002250</t>
  </si>
  <si>
    <t>CLM-2025-002251</t>
  </si>
  <si>
    <t>CLM-2025-002253</t>
  </si>
  <si>
    <t>CLM-2025-002255</t>
  </si>
  <si>
    <t>CLM-2025-002256</t>
  </si>
  <si>
    <t>CLM-2025-002257</t>
  </si>
  <si>
    <t>CLM-2025-002258</t>
  </si>
  <si>
    <t>CLM-2025-002259</t>
  </si>
  <si>
    <t>CLM-2025-002260</t>
  </si>
  <si>
    <t>CLM-2025-002261</t>
  </si>
  <si>
    <t>CLM-2025-002262</t>
  </si>
  <si>
    <t>CLM-2025-002263</t>
  </si>
  <si>
    <t>CLM-2025-002264</t>
  </si>
  <si>
    <t>CLM-2025-002268</t>
  </si>
  <si>
    <t>CLM-2025-002271</t>
  </si>
  <si>
    <t>CLM-2025-002272</t>
  </si>
  <si>
    <t>CLM-2025-002273</t>
  </si>
  <si>
    <t>CLM-2025-002274</t>
  </si>
  <si>
    <t>CLM-2025-002275</t>
  </si>
  <si>
    <t>CLM-2025-002276</t>
  </si>
  <si>
    <t>CLM-2025-002277</t>
  </si>
  <si>
    <t>CLM-2025-002279</t>
  </si>
  <si>
    <t>CLM-2025-002280</t>
  </si>
  <si>
    <t>CLM-2025-002285</t>
  </si>
  <si>
    <t>CLM-2025-002286</t>
  </si>
  <si>
    <t>CLM-2025-002288</t>
  </si>
  <si>
    <t>CLM-2025-002289</t>
  </si>
  <si>
    <t>CLM-2025-002290</t>
  </si>
  <si>
    <t>CLM-2025-002292</t>
  </si>
  <si>
    <t>CLM-2025-002293</t>
  </si>
  <si>
    <t>CLM-2025-002295</t>
  </si>
  <si>
    <t>CLM-2025-002296</t>
  </si>
  <si>
    <t>CLM-2025-002297</t>
  </si>
  <si>
    <t>CLM-2025-002299</t>
  </si>
  <si>
    <t>CLM-2025-002300</t>
  </si>
  <si>
    <t>CLM-2025-002301</t>
  </si>
  <si>
    <t>CLM-2025-002302</t>
  </si>
  <si>
    <t>CLM-2025-002303</t>
  </si>
  <si>
    <t>CLM-2025-002307</t>
  </si>
  <si>
    <t>CLM-2025-002308</t>
  </si>
  <si>
    <t>CLM-2025-002309</t>
  </si>
  <si>
    <t>CLM-2025-002311</t>
  </si>
  <si>
    <t>CLM-2025-002312</t>
  </si>
  <si>
    <t>CLM-2025-002314</t>
  </si>
  <si>
    <t>CLM-2025-002315</t>
  </si>
  <si>
    <t>CLM-2025-002316</t>
  </si>
  <si>
    <t>CLM-2025-002321</t>
  </si>
  <si>
    <t>CLM-2025-002322</t>
  </si>
  <si>
    <t>CLM-2025-002323</t>
  </si>
  <si>
    <t>CLM-2025-002325</t>
  </si>
  <si>
    <t>CLM-2025-002326</t>
  </si>
  <si>
    <t>CLM-2025-002327</t>
  </si>
  <si>
    <t>CLM-2025-002328</t>
  </si>
  <si>
    <t>CLM-2025-002329</t>
  </si>
  <si>
    <t>CLM-2025-002330</t>
  </si>
  <si>
    <t>CLM-2025-002331</t>
  </si>
  <si>
    <t>CLM-2025-002333</t>
  </si>
  <si>
    <t>CLM-2025-002334</t>
  </si>
  <si>
    <t>CLM-2025-002335</t>
  </si>
  <si>
    <t>CLM-2025-002336</t>
  </si>
  <si>
    <t>CLM-2025-002337</t>
  </si>
  <si>
    <t>CLM-2025-002339</t>
  </si>
  <si>
    <t>CLM-2025-002340</t>
  </si>
  <si>
    <t>CLM-2025-002341</t>
  </si>
  <si>
    <t>CLM-2025-002342</t>
  </si>
  <si>
    <t>CLM-2025-002345</t>
  </si>
  <si>
    <t>CLM-2025-002347</t>
  </si>
  <si>
    <t>CLM-2025-002350</t>
  </si>
  <si>
    <t>CLM-2025-002352</t>
  </si>
  <si>
    <t>CLM-2025-002354</t>
  </si>
  <si>
    <t>CLM-2025-002356</t>
  </si>
  <si>
    <t>CLM-2025-002357</t>
  </si>
  <si>
    <t>CLM-2025-002358</t>
  </si>
  <si>
    <t>CLM-2025-002359</t>
  </si>
  <si>
    <t>CLM-2025-002360</t>
  </si>
  <si>
    <t>CLM-2025-002362</t>
  </si>
  <si>
    <t>CLM-2025-002363</t>
  </si>
  <si>
    <t>CLM-2025-002364</t>
  </si>
  <si>
    <t>CLM-2025-002365</t>
  </si>
  <si>
    <t>CLM-2025-002366</t>
  </si>
  <si>
    <t>CLM-2025-002367</t>
  </si>
  <si>
    <t>CLM-2025-002369</t>
  </si>
  <si>
    <t>CLM-2025-002370</t>
  </si>
  <si>
    <t>CLM-2025-002371</t>
  </si>
  <si>
    <t>CLM-2025-002378</t>
  </si>
  <si>
    <t>CLM-2025-002379</t>
  </si>
  <si>
    <t>CLM-2025-002382</t>
  </si>
  <si>
    <t>CLM-2025-002383</t>
  </si>
  <si>
    <t>CLM-2025-002386</t>
  </si>
  <si>
    <t>CLM-2025-002388</t>
  </si>
  <si>
    <t>CLM-2025-002389</t>
  </si>
  <si>
    <t>CLM-2025-002390</t>
  </si>
  <si>
    <t>CLM-2025-002392</t>
  </si>
  <si>
    <t>CLM-2025-002393</t>
  </si>
  <si>
    <t>CLM-2025-002396</t>
  </si>
  <si>
    <t>CLM-2025-002398</t>
  </si>
  <si>
    <t>CLM-2025-002403</t>
  </si>
  <si>
    <t>CLM-2025-002404</t>
  </si>
  <si>
    <t>CLM-2025-002405</t>
  </si>
  <si>
    <t>CLM-2025-002407</t>
  </si>
  <si>
    <t>CLM-2025-002408</t>
  </si>
  <si>
    <t>CLM-2025-002409</t>
  </si>
  <si>
    <t>CLM-2025-002412</t>
  </si>
  <si>
    <t>CLM-2025-002413</t>
  </si>
  <si>
    <t>CLM-2025-002415</t>
  </si>
  <si>
    <t>CLM-2025-002416</t>
  </si>
  <si>
    <t>CLM-2025-002417</t>
  </si>
  <si>
    <t>CLM-2025-002418</t>
  </si>
  <si>
    <t>CLM-2025-002419</t>
  </si>
  <si>
    <t>CLM-2025-002420</t>
  </si>
  <si>
    <t>CLM-2025-002421</t>
  </si>
  <si>
    <t>CLM-2025-002423</t>
  </si>
  <si>
    <t>CLM-2025-002425</t>
  </si>
  <si>
    <t>CLM-2025-002426</t>
  </si>
  <si>
    <t>CLM-2025-002429</t>
  </si>
  <si>
    <t>CLM-2025-002430</t>
  </si>
  <si>
    <t>CLM-2025-002432</t>
  </si>
  <si>
    <t>CLM-2025-002433</t>
  </si>
  <si>
    <t>CLM-2025-002434</t>
  </si>
  <si>
    <t>CLM-2025-002435</t>
  </si>
  <si>
    <t>CLM-2025-002437</t>
  </si>
  <si>
    <t>CLM-2025-002439</t>
  </si>
  <si>
    <t>CLM-2025-002441</t>
  </si>
  <si>
    <t>CLM-2025-002442</t>
  </si>
  <si>
    <t>CLM-2025-002445</t>
  </si>
  <si>
    <t>CLM-2025-002446</t>
  </si>
  <si>
    <t>CLM-2025-002448</t>
  </si>
  <si>
    <t>CLM-2025-002449</t>
  </si>
  <si>
    <t>CLM-2025-002450</t>
  </si>
  <si>
    <t>CLM-2025-002451</t>
  </si>
  <si>
    <t>CLM-2025-002452</t>
  </si>
  <si>
    <t>CLM-2025-002454</t>
  </si>
  <si>
    <t>CLM-2025-002455</t>
  </si>
  <si>
    <t>CLM-2025-002456</t>
  </si>
  <si>
    <t>CLM-2025-002457</t>
  </si>
  <si>
    <t>CLM-2025-002460</t>
  </si>
  <si>
    <t>CLM-2025-002462</t>
  </si>
  <si>
    <t>CLM-2025-002464</t>
  </si>
  <si>
    <t>CLM-2025-002465</t>
  </si>
  <si>
    <t>CLM-2025-002466</t>
  </si>
  <si>
    <t>CLM-2025-002467</t>
  </si>
  <si>
    <t>CLM-2025-002468</t>
  </si>
  <si>
    <t>CLM-2025-002469</t>
  </si>
  <si>
    <t>CLM-2025-002470</t>
  </si>
  <si>
    <t>CLM-2025-002471</t>
  </si>
  <si>
    <t>CLM-2025-002472</t>
  </si>
  <si>
    <t>CLM-2025-002473</t>
  </si>
  <si>
    <t>CLM-2025-002474</t>
  </si>
  <si>
    <t>CLM-2025-002475</t>
  </si>
  <si>
    <t>CLM-2025-002476</t>
  </si>
  <si>
    <t>CLM-2025-002477</t>
  </si>
  <si>
    <t>CLM-2025-002479</t>
  </si>
  <si>
    <t>CLM-2025-002480</t>
  </si>
  <si>
    <t>CLM-2025-002482</t>
  </si>
  <si>
    <t>CLM-2025-002483</t>
  </si>
  <si>
    <t>CLM-2025-002484</t>
  </si>
  <si>
    <t>CLM-2025-002485</t>
  </si>
  <si>
    <t>CLM-2025-002486</t>
  </si>
  <si>
    <t>CLM-2025-002488</t>
  </si>
  <si>
    <t>CLM-2025-002489</t>
  </si>
  <si>
    <t>CLM-2025-002493</t>
  </si>
  <si>
    <t>CLM-2025-002494</t>
  </si>
  <si>
    <t>CLM-2025-002495</t>
  </si>
  <si>
    <t>CLM-2025-002496</t>
  </si>
  <si>
    <t>CLM-2025-002498</t>
  </si>
  <si>
    <t>CLM-2025-002499</t>
  </si>
  <si>
    <t>CLM-2025-002500</t>
  </si>
  <si>
    <t>CLM-2025-002501</t>
  </si>
  <si>
    <t>CLM-2025-002504</t>
  </si>
  <si>
    <t>CLM-2025-002507</t>
  </si>
  <si>
    <t>CLM-2025-002508</t>
  </si>
  <si>
    <t>CLM-2025-002509</t>
  </si>
  <si>
    <t>CLM-2025-002511</t>
  </si>
  <si>
    <t>CLM-2025-002513</t>
  </si>
  <si>
    <t>CLM-2025-002514</t>
  </si>
  <si>
    <t>CLM-2025-002515</t>
  </si>
  <si>
    <t>CLM-2025-002516</t>
  </si>
  <si>
    <t>CLM-2025-002518</t>
  </si>
  <si>
    <t>CLM-2025-002519</t>
  </si>
  <si>
    <t>CLM-2025-002520</t>
  </si>
  <si>
    <t>CLM-2025-002521</t>
  </si>
  <si>
    <t>CLM-2025-002523</t>
  </si>
  <si>
    <t>CLM-2025-002524</t>
  </si>
  <si>
    <t>CLM-2025-002525</t>
  </si>
  <si>
    <t>CLM-2025-002526</t>
  </si>
  <si>
    <t>CLM-2025-002527</t>
  </si>
  <si>
    <t>CLM-2025-002528</t>
  </si>
  <si>
    <t>CLM-2025-002529</t>
  </si>
  <si>
    <t>CLM-2025-002530</t>
  </si>
  <si>
    <t>CLM-2025-002532</t>
  </si>
  <si>
    <t>CLM-2025-002533</t>
  </si>
  <si>
    <t>CLM-2025-002534</t>
  </si>
  <si>
    <t>CLM-2025-002535</t>
  </si>
  <si>
    <t>CLM-2025-002536</t>
  </si>
  <si>
    <t>CLM-2025-002537</t>
  </si>
  <si>
    <t>CLM-2025-002538</t>
  </si>
  <si>
    <t>CLM-2025-002540</t>
  </si>
  <si>
    <t>CLM-2025-002541</t>
  </si>
  <si>
    <t>CLM-2025-002542</t>
  </si>
  <si>
    <t>CLM-2025-002543</t>
  </si>
  <si>
    <t>CLM-2025-002544</t>
  </si>
  <si>
    <t>CLM-2025-002545</t>
  </si>
  <si>
    <t>CLM-2025-002546</t>
  </si>
  <si>
    <t>CLM-2025-002548</t>
  </si>
  <si>
    <t>CLM-2025-002549</t>
  </si>
  <si>
    <t>CLM-2025-002550</t>
  </si>
  <si>
    <t>CLM-2025-002553</t>
  </si>
  <si>
    <t>CLM-2025-002555</t>
  </si>
  <si>
    <t>CLM-2025-002556</t>
  </si>
  <si>
    <t>CLM-2025-002557</t>
  </si>
  <si>
    <t>CLM-2025-002558</t>
  </si>
  <si>
    <t>CLM-2025-002560</t>
  </si>
  <si>
    <t>CLM-2025-002561</t>
  </si>
  <si>
    <t>CLM-2025-002564</t>
  </si>
  <si>
    <t>CLM-2025-002568</t>
  </si>
  <si>
    <t>CLM-2025-002569</t>
  </si>
  <si>
    <t>CLM-2025-002570</t>
  </si>
  <si>
    <t>CLM-2025-002572</t>
  </si>
  <si>
    <t>CLM-2025-002573</t>
  </si>
  <si>
    <t>CLM-2025-002577</t>
  </si>
  <si>
    <t>CLM-2025-002578</t>
  </si>
  <si>
    <t>CLM-2025-002579</t>
  </si>
  <si>
    <t>CLM-2025-002580</t>
  </si>
  <si>
    <t>CLM-2025-002582</t>
  </si>
  <si>
    <t>CLM-2025-002585</t>
  </si>
  <si>
    <t>CLM-2025-002586</t>
  </si>
  <si>
    <t>CLM-2025-002587</t>
  </si>
  <si>
    <t>CLM-2025-002588</t>
  </si>
  <si>
    <t>CLM-2025-002589</t>
  </si>
  <si>
    <t>CLM-2025-002590</t>
  </si>
  <si>
    <t>CLM-2025-002591</t>
  </si>
  <si>
    <t>CLM-2025-002592</t>
  </si>
  <si>
    <t>CLM-2025-002594</t>
  </si>
  <si>
    <t>CLM-2025-002595</t>
  </si>
  <si>
    <t>CLM-2025-002596</t>
  </si>
  <si>
    <t>CLM-2025-002597</t>
  </si>
  <si>
    <t>CLM-2025-002598</t>
  </si>
  <si>
    <t>CLM-2025-002599</t>
  </si>
  <si>
    <t>CLM-2025-002600</t>
  </si>
  <si>
    <t>CLM-2025-002601</t>
  </si>
  <si>
    <t>CLM-2025-002602</t>
  </si>
  <si>
    <t>CLM-2025-002603</t>
  </si>
  <si>
    <t>CLM-2025-002604</t>
  </si>
  <si>
    <t>CLM-2025-002605</t>
  </si>
  <si>
    <t>CLM-2025-002606</t>
  </si>
  <si>
    <t>CLM-2025-002607</t>
  </si>
  <si>
    <t>CLM-2025-002608</t>
  </si>
  <si>
    <t>CLM-2025-002609</t>
  </si>
  <si>
    <t>CLM-2025-002610</t>
  </si>
  <si>
    <t>CLM-2025-002611</t>
  </si>
  <si>
    <t>CLM-2025-002612</t>
  </si>
  <si>
    <t>CLM-2025-002613</t>
  </si>
  <si>
    <t>CLM-2025-002614</t>
  </si>
  <si>
    <t>CLM-2025-002615</t>
  </si>
  <si>
    <t>CLM-2025-002616</t>
  </si>
  <si>
    <t>CLM-2025-002618</t>
  </si>
  <si>
    <t>CLM-2025-002619</t>
  </si>
  <si>
    <t>CLM-2025-002620</t>
  </si>
  <si>
    <t>CLM-2025-002622</t>
  </si>
  <si>
    <t>CLM-2025-002623</t>
  </si>
  <si>
    <t>CLM-2025-002624</t>
  </si>
  <si>
    <t>CLM-2025-002626</t>
  </si>
  <si>
    <t>CLM-2025-002627</t>
  </si>
  <si>
    <t>CLM-2025-002628</t>
  </si>
  <si>
    <t>CLM-2025-002629</t>
  </si>
  <si>
    <t>CLM-2025-002632</t>
  </si>
  <si>
    <t>CLM-2025-002633</t>
  </si>
  <si>
    <t>CLM-2025-002634</t>
  </si>
  <si>
    <t>CLM-2025-002636</t>
  </si>
  <si>
    <t>CLM-2025-002637</t>
  </si>
  <si>
    <t>CLM-2025-002638</t>
  </si>
  <si>
    <t>CLM-2025-002639</t>
  </si>
  <si>
    <t>CLM-2025-002640</t>
  </si>
  <si>
    <t>CLM-2025-002641</t>
  </si>
  <si>
    <t>CLM-2025-002643</t>
  </si>
  <si>
    <t>CLM-2025-002644</t>
  </si>
  <si>
    <t>CLM-2025-002647</t>
  </si>
  <si>
    <t>CLM-2025-002648</t>
  </si>
  <si>
    <t>CLM-2025-002649</t>
  </si>
  <si>
    <t>CLM-2025-002651</t>
  </si>
  <si>
    <t>CLM-2025-002652</t>
  </si>
  <si>
    <t>CLM-2025-002653</t>
  </si>
  <si>
    <t>CLM-2025-002654</t>
  </si>
  <si>
    <t>CLM-2025-002655</t>
  </si>
  <si>
    <t>CLM-2025-002656</t>
  </si>
  <si>
    <t>CLM-2025-002658</t>
  </si>
  <si>
    <t>CLM-2025-002659</t>
  </si>
  <si>
    <t>CLM-2025-002660</t>
  </si>
  <si>
    <t>CLM-2025-002661</t>
  </si>
  <si>
    <t>CLM-2025-002663</t>
  </si>
  <si>
    <t>CLM-2025-002664</t>
  </si>
  <si>
    <t>CLM-2025-002666</t>
  </si>
  <si>
    <t>CLM-2025-002667</t>
  </si>
  <si>
    <t>CLM-2025-002668</t>
  </si>
  <si>
    <t>CLM-2025-002669</t>
  </si>
  <si>
    <t>CLM-2025-002671</t>
  </si>
  <si>
    <t>CLM-2025-002672</t>
  </si>
  <si>
    <t>CLM-2025-002673</t>
  </si>
  <si>
    <t>CLM-2025-002676</t>
  </si>
  <si>
    <t>CLM-2025-002677</t>
  </si>
  <si>
    <t>CLM-2025-002678</t>
  </si>
  <si>
    <t>CLM-2025-002680</t>
  </si>
  <si>
    <t>CLM-2025-002681</t>
  </si>
  <si>
    <t>CLM-2025-002682</t>
  </si>
  <si>
    <t>CLM-2025-002683</t>
  </si>
  <si>
    <t>CLM-2025-002684</t>
  </si>
  <si>
    <t>CLM-2025-002685</t>
  </si>
  <si>
    <t>CLM-2025-002687</t>
  </si>
  <si>
    <t>CLM-2025-002688</t>
  </si>
  <si>
    <t>CLM-2025-002689</t>
  </si>
  <si>
    <t>CLM-2025-002690</t>
  </si>
  <si>
    <t>CLM-2025-002691</t>
  </si>
  <si>
    <t>CLM-2025-002693</t>
  </si>
  <si>
    <t>CLM-2025-002694</t>
  </si>
  <si>
    <t>CLM-2025-002695</t>
  </si>
  <si>
    <t>CLM-2025-002696</t>
  </si>
  <si>
    <t>CLM-2025-002698</t>
  </si>
  <si>
    <t>CLM-2025-002699</t>
  </si>
  <si>
    <t>CLM-2025-002702</t>
  </si>
  <si>
    <t>CLM-2025-002703</t>
  </si>
  <si>
    <t>CLM-2025-002704</t>
  </si>
  <si>
    <t>CLM-2025-002705</t>
  </si>
  <si>
    <t>CLM-2025-002706</t>
  </si>
  <si>
    <t>CLM-2025-002707</t>
  </si>
  <si>
    <t>CLM-2025-002708</t>
  </si>
  <si>
    <t>CLM-2025-002709</t>
  </si>
  <si>
    <t>CLM-2025-002710</t>
  </si>
  <si>
    <t>CLM-2025-002711</t>
  </si>
  <si>
    <t>CLM-2025-002712</t>
  </si>
  <si>
    <t>CLM-2025-002713</t>
  </si>
  <si>
    <t>CLM-2025-002714</t>
  </si>
  <si>
    <t>CLM-2025-002715</t>
  </si>
  <si>
    <t>CLM-2025-002716</t>
  </si>
  <si>
    <t>CLM-2025-002717</t>
  </si>
  <si>
    <t>CLM-2025-002719</t>
  </si>
  <si>
    <t>CLM-2025-002721</t>
  </si>
  <si>
    <t>CLM-2025-002723</t>
  </si>
  <si>
    <t>CLM-2025-002724</t>
  </si>
  <si>
    <t>CLM-2025-002725</t>
  </si>
  <si>
    <t>CLM-2025-002726</t>
  </si>
  <si>
    <t>CLM-2025-002728</t>
  </si>
  <si>
    <t>CLM-2025-002729</t>
  </si>
  <si>
    <t>CLM-2025-002730</t>
  </si>
  <si>
    <t>CLM-2025-002731</t>
  </si>
  <si>
    <t>CLM-2025-002732</t>
  </si>
  <si>
    <t>CLM-2025-002733</t>
  </si>
  <si>
    <t>CLM-2025-002734</t>
  </si>
  <si>
    <t>CLM-2025-002735</t>
  </si>
  <si>
    <t>CLM-2025-002736</t>
  </si>
  <si>
    <t>CLM-2025-002737</t>
  </si>
  <si>
    <t>CLM-2025-002738</t>
  </si>
  <si>
    <t>CLM-2025-002739</t>
  </si>
  <si>
    <t>CLM-2025-002740</t>
  </si>
  <si>
    <t>CLM-2025-002741</t>
  </si>
  <si>
    <t>CLM-2025-002742</t>
  </si>
  <si>
    <t>CLM-2025-002743</t>
  </si>
  <si>
    <t>CLM-2025-002744</t>
  </si>
  <si>
    <t>CLM-2025-002745</t>
  </si>
  <si>
    <t>CLM-2025-002746</t>
  </si>
  <si>
    <t>CLM-2025-002747</t>
  </si>
  <si>
    <t>CLM-2025-002748</t>
  </si>
  <si>
    <t>CLM-2025-002749</t>
  </si>
  <si>
    <t>CLM-2025-002751</t>
  </si>
  <si>
    <t>CLM-2025-002752</t>
  </si>
  <si>
    <t>CLM-2025-002753</t>
  </si>
  <si>
    <t>CLM-2025-002754</t>
  </si>
  <si>
    <t>CLM-2025-002755</t>
  </si>
  <si>
    <t>CLM-2025-002756</t>
  </si>
  <si>
    <t>CLM-2025-002757</t>
  </si>
  <si>
    <t>CLM-2025-002758</t>
  </si>
  <si>
    <t>CLM-2025-002759</t>
  </si>
  <si>
    <t>CLM-2025-002760</t>
  </si>
  <si>
    <t>CLM-2025-002761</t>
  </si>
  <si>
    <t>CLM-2025-002762</t>
  </si>
  <si>
    <t>CLM-2025-002763</t>
  </si>
  <si>
    <t>CLM-2025-002764</t>
  </si>
  <si>
    <t>CLM-2025-002765</t>
  </si>
  <si>
    <t>CLM-2025-002766</t>
  </si>
  <si>
    <t>CLM-2025-002768</t>
  </si>
  <si>
    <t>CLM-2025-002770</t>
  </si>
  <si>
    <t>CLM-2025-002771</t>
  </si>
  <si>
    <t>CLM-2025-002772</t>
  </si>
  <si>
    <t>CLM-2025-002773</t>
  </si>
  <si>
    <t>CLM-2025-002774</t>
  </si>
  <si>
    <t>CLM-2025-002776</t>
  </si>
  <si>
    <t>CLM-2025-002777</t>
  </si>
  <si>
    <t>CLM-2025-002778</t>
  </si>
  <si>
    <t>CLM-2025-002780</t>
  </si>
  <si>
    <t>CLM-2025-002781</t>
  </si>
  <si>
    <t>CLM-2025-002782</t>
  </si>
  <si>
    <t>CLM-2025-002783</t>
  </si>
  <si>
    <t>CLM-2025-002784</t>
  </si>
  <si>
    <t>CLM-2025-002785</t>
  </si>
  <si>
    <t>CLM-2025-002786</t>
  </si>
  <si>
    <t>CLM-2025-002787</t>
  </si>
  <si>
    <t>CLM-2025-002788</t>
  </si>
  <si>
    <t>CLM-2025-002789</t>
  </si>
  <si>
    <t>CLM-2025-002791</t>
  </si>
  <si>
    <t>CLM-2025-002792</t>
  </si>
  <si>
    <t>CLM-2025-002793</t>
  </si>
  <si>
    <t>CLM-2025-002794</t>
  </si>
  <si>
    <t>CLM-2025-002795</t>
  </si>
  <si>
    <t>CLM-2025-002797</t>
  </si>
  <si>
    <t>CLM-2025-002798</t>
  </si>
  <si>
    <t>CLM-2025-002799</t>
  </si>
  <si>
    <t>CLM-2025-002800</t>
  </si>
  <si>
    <t>CLM-2025-002801</t>
  </si>
  <si>
    <t>CLM-2025-002802</t>
  </si>
  <si>
    <t>CLM-2025-002803</t>
  </si>
  <si>
    <t>CLM-2025-002804</t>
  </si>
  <si>
    <t>CLM-2025-002805</t>
  </si>
  <si>
    <t>CLM-2025-002806</t>
  </si>
  <si>
    <t>CLM-2025-002807</t>
  </si>
  <si>
    <t>CLM-2025-002808</t>
  </si>
  <si>
    <t>CLM-2025-002809</t>
  </si>
  <si>
    <t>CLM-2025-002810</t>
  </si>
  <si>
    <t>CLM-2025-002811</t>
  </si>
  <si>
    <t>CLM-2025-002812</t>
  </si>
  <si>
    <t>CLM-2025-002813</t>
  </si>
  <si>
    <t>CLM-2025-002814</t>
  </si>
  <si>
    <t>CLM-2025-002815</t>
  </si>
  <si>
    <t>CLM-2025-002816</t>
  </si>
  <si>
    <t>CLM-2025-002817</t>
  </si>
  <si>
    <t>CLM-2025-002818</t>
  </si>
  <si>
    <t>CLM-2025-002819</t>
  </si>
  <si>
    <t>CLM-2025-002820</t>
  </si>
  <si>
    <t>CLM-2025-002821</t>
  </si>
  <si>
    <t>CLM-2025-002823</t>
  </si>
  <si>
    <t>CLM-2025-002824</t>
  </si>
  <si>
    <t>CLM-2025-002825</t>
  </si>
  <si>
    <t>CLM-2025-002826</t>
  </si>
  <si>
    <t>CLM-2025-002827</t>
  </si>
  <si>
    <t>CLM-2025-002828</t>
  </si>
  <si>
    <t>CLM-2025-002830</t>
  </si>
  <si>
    <t>CLM-2025-002831</t>
  </si>
  <si>
    <t>CLM-2025-002833</t>
  </si>
  <si>
    <t>CLM-2025-002834</t>
  </si>
  <si>
    <t>CLM-2025-002836</t>
  </si>
  <si>
    <t>CLM-2025-002837</t>
  </si>
  <si>
    <t>CLM-2025-002838</t>
  </si>
  <si>
    <t>CLM-2025-002839</t>
  </si>
  <si>
    <t>CLM-2025-002840</t>
  </si>
  <si>
    <t>CLM-2025-002841</t>
  </si>
  <si>
    <t>CLM-2025-002843</t>
  </si>
  <si>
    <t>CLM-2025-002844</t>
  </si>
  <si>
    <t>CLM-2025-002845</t>
  </si>
  <si>
    <t>CLM-2025-002846</t>
  </si>
  <si>
    <t>CLM-2025-002848</t>
  </si>
  <si>
    <t>CLM-2025-002850</t>
  </si>
  <si>
    <t>CLM-2025-002851</t>
  </si>
  <si>
    <t>CLM-2025-002852</t>
  </si>
  <si>
    <t>CLM-2025-002853</t>
  </si>
  <si>
    <t>CLM-2025-002854</t>
  </si>
  <si>
    <t>CLM-2025-002855</t>
  </si>
  <si>
    <t>CLM-2025-002856</t>
  </si>
  <si>
    <t>CLM-2025-002857</t>
  </si>
  <si>
    <t>CLM-2025-002858</t>
  </si>
  <si>
    <t>CLM-2025-002859</t>
  </si>
  <si>
    <t>CLM-2025-002860</t>
  </si>
  <si>
    <t>CLM-2025-002861</t>
  </si>
  <si>
    <t>CLM-2025-002862</t>
  </si>
  <si>
    <t>CLM-2025-002863</t>
  </si>
  <si>
    <t>CLM-2025-002864</t>
  </si>
  <si>
    <t>CLM-2025-002865</t>
  </si>
  <si>
    <t>CLM-2025-002866</t>
  </si>
  <si>
    <t>CLM-2025-002867</t>
  </si>
  <si>
    <t>CLM-2025-002868</t>
  </si>
  <si>
    <t>CLM-2025-002869</t>
  </si>
  <si>
    <t>CLM-2025-002870</t>
  </si>
  <si>
    <t>CLM-2025-002871</t>
  </si>
  <si>
    <t>CLM-2025-002872</t>
  </si>
  <si>
    <t>CLM-2025-002873</t>
  </si>
  <si>
    <t>CLM-2025-002874</t>
  </si>
  <si>
    <t>CLM-2025-002875</t>
  </si>
  <si>
    <t>CLM-2025-002876</t>
  </si>
  <si>
    <t>CLM-2025-002877</t>
  </si>
  <si>
    <t>CLM-2025-002878</t>
  </si>
  <si>
    <t>CLM-2025-002879</t>
  </si>
  <si>
    <t>CLM-2025-002880</t>
  </si>
  <si>
    <t>CLM-2025-002881</t>
  </si>
  <si>
    <t>CLM-2025-002882</t>
  </si>
  <si>
    <t>CLM-2025-002883</t>
  </si>
  <si>
    <t>CLM-2025-002885</t>
  </si>
  <si>
    <t>CLM-2025-002886</t>
  </si>
  <si>
    <t>CLM-2025-002887</t>
  </si>
  <si>
    <t>CLM-2025-002888</t>
  </si>
  <si>
    <t>CLM-2025-002889</t>
  </si>
  <si>
    <t>CLM-2025-002890</t>
  </si>
  <si>
    <t>CLM-2025-002891</t>
  </si>
  <si>
    <t>CLM-2025-002892</t>
  </si>
  <si>
    <t>CLM-2025-002893</t>
  </si>
  <si>
    <t>CLM-2025-002894</t>
  </si>
  <si>
    <t>CLM-2025-002895</t>
  </si>
  <si>
    <t>CLM-2025-002896</t>
  </si>
  <si>
    <t>CLM-2025-002897</t>
  </si>
  <si>
    <t>CLM-2025-002898</t>
  </si>
  <si>
    <t>CLM-2025-002899</t>
  </si>
  <si>
    <t>CLM-2025-002900</t>
  </si>
  <si>
    <t>CLM-2025-002901</t>
  </si>
  <si>
    <t>CLM-2025-002902</t>
  </si>
  <si>
    <t>CLM-2025-002903</t>
  </si>
  <si>
    <t>CLM-2025-002904</t>
  </si>
  <si>
    <t>CLM-2025-002905</t>
  </si>
  <si>
    <t>CLM-2025-002906</t>
  </si>
  <si>
    <t>CLM-2025-002907</t>
  </si>
  <si>
    <t>CLM-2025-002908</t>
  </si>
  <si>
    <t>CLM-2025-002909</t>
  </si>
  <si>
    <t>CLM-2025-002911</t>
  </si>
  <si>
    <t>CLM-2025-002912</t>
  </si>
  <si>
    <t>CLM-2025-002913</t>
  </si>
  <si>
    <t>CLM-2025-002914</t>
  </si>
  <si>
    <t>CLM-2025-002915</t>
  </si>
  <si>
    <t>CLM-2025-002916</t>
  </si>
  <si>
    <t>CLM-2025-002917</t>
  </si>
  <si>
    <t>CLM-2025-002918</t>
  </si>
  <si>
    <t>CLM-2025-002919</t>
  </si>
  <si>
    <t>CLM-2025-002920</t>
  </si>
  <si>
    <t>CLM-2025-002921</t>
  </si>
  <si>
    <t>CLM-2025-002922</t>
  </si>
  <si>
    <t>CLM-2025-002925</t>
  </si>
  <si>
    <t>CLM-2025-002926</t>
  </si>
  <si>
    <t>CLM-2025-002927</t>
  </si>
  <si>
    <t>CLM-2025-002928</t>
  </si>
  <si>
    <t>CLM-2025-002929</t>
  </si>
  <si>
    <t>CLM-2025-002930</t>
  </si>
  <si>
    <t>CLM-2025-002931</t>
  </si>
  <si>
    <t>CLM-2025-002932</t>
  </si>
  <si>
    <t>CLM-2025-002934</t>
  </si>
  <si>
    <t>CLM-2025-002935</t>
  </si>
  <si>
    <t>CLM-2025-002936</t>
  </si>
  <si>
    <t>CLM-2025-002937</t>
  </si>
  <si>
    <t>CLM-2025-002939</t>
  </si>
  <si>
    <t>CLM-2025-002940</t>
  </si>
  <si>
    <t>CLM-2025-002941</t>
  </si>
  <si>
    <t>CLM-2025-002942</t>
  </si>
  <si>
    <t>CLM-2025-002943</t>
  </si>
  <si>
    <t>CLM-2025-002944</t>
  </si>
  <si>
    <t>CLM-2025-002945</t>
  </si>
  <si>
    <t>CLM-2025-002947</t>
  </si>
  <si>
    <t>CLM-2025-002949</t>
  </si>
  <si>
    <t>CLM-2025-002950</t>
  </si>
  <si>
    <t>CLM-2025-002952</t>
  </si>
  <si>
    <t>CLM-2025-002954</t>
  </si>
  <si>
    <t>CLM-2025-002955</t>
  </si>
  <si>
    <t>CLM-2025-002956</t>
  </si>
  <si>
    <t>CLM-2025-002957</t>
  </si>
  <si>
    <t>CLM-2025-002958</t>
  </si>
  <si>
    <t>CLM-2025-002960</t>
  </si>
  <si>
    <t>CLM-2025-002961</t>
  </si>
  <si>
    <t>CLM-2025-002962</t>
  </si>
  <si>
    <t>CLM-2025-002963</t>
  </si>
  <si>
    <t>CLM-2025-002964</t>
  </si>
  <si>
    <t>CLM-2025-002965</t>
  </si>
  <si>
    <t>CLM-2025-002966</t>
  </si>
  <si>
    <t>CLM-2025-002968</t>
  </si>
  <si>
    <t>CLM-2025-002970</t>
  </si>
  <si>
    <t>CLM-2025-002971</t>
  </si>
  <si>
    <t>CLM-2025-002972</t>
  </si>
  <si>
    <t>CLM-2025-002973</t>
  </si>
  <si>
    <t>CLM-2025-002974</t>
  </si>
  <si>
    <t>CLM-2025-002975</t>
  </si>
  <si>
    <t>CLM-2025-002976</t>
  </si>
  <si>
    <t>CLM-2025-002978</t>
  </si>
  <si>
    <t>CLM-2025-002979</t>
  </si>
  <si>
    <t>CLM-2025-002982</t>
  </si>
  <si>
    <t>CLM-2025-002985</t>
  </si>
  <si>
    <t>CLM-2025-002986</t>
  </si>
  <si>
    <t>CLM-2025-002987</t>
  </si>
  <si>
    <t>CLM-2025-002988</t>
  </si>
  <si>
    <t>CLM-2025-002989</t>
  </si>
  <si>
    <t>CLM-2025-002990</t>
  </si>
  <si>
    <t>CLM-2025-002991</t>
  </si>
  <si>
    <t>CLM-2025-002992</t>
  </si>
  <si>
    <t>CLM-2025-002993</t>
  </si>
  <si>
    <t>CLM-2025-002994</t>
  </si>
  <si>
    <t>CLM-2025-002995</t>
  </si>
  <si>
    <t>CLM-2025-002997</t>
  </si>
  <si>
    <t>CLM-2025-002998</t>
  </si>
  <si>
    <t>CLM-2025-002999</t>
  </si>
  <si>
    <t>CLM-2025-003000</t>
  </si>
  <si>
    <t>CLM-2025-003001</t>
  </si>
  <si>
    <t>CLM-2025-003002</t>
  </si>
  <si>
    <t>CLM-2025-003003</t>
  </si>
  <si>
    <t>CLM-2025-003004</t>
  </si>
  <si>
    <t>CLM-2025-003005</t>
  </si>
  <si>
    <t>CLM-2025-003007</t>
  </si>
  <si>
    <t>CLM-2025-003008</t>
  </si>
  <si>
    <t>CLM-2025-003009</t>
  </si>
  <si>
    <t>CLM-2025-003010</t>
  </si>
  <si>
    <t>CLM-2025-003011</t>
  </si>
  <si>
    <t>CLM-2025-003012</t>
  </si>
  <si>
    <t>CLM-2025-003014</t>
  </si>
  <si>
    <t>CLM-2025-003015</t>
  </si>
  <si>
    <t>CLM-2025-003017</t>
  </si>
  <si>
    <t>CLM-2025-003018</t>
  </si>
  <si>
    <t>CLM-2025-003019</t>
  </si>
  <si>
    <t>CLM-2025-003020</t>
  </si>
  <si>
    <t>CLM-2025-003021</t>
  </si>
  <si>
    <t>CLM-2025-003022</t>
  </si>
  <si>
    <t>CLM-2025-003023</t>
  </si>
  <si>
    <t>CLM-2025-003024</t>
  </si>
  <si>
    <t>CLM-2025-003025</t>
  </si>
  <si>
    <t>CLM-2025-003026</t>
  </si>
  <si>
    <t>CLM-2025-003027</t>
  </si>
  <si>
    <t>CLM-2025-003030</t>
  </si>
  <si>
    <t>CLM-2025-003032</t>
  </si>
  <si>
    <t>CLM-2025-003033</t>
  </si>
  <si>
    <t>CLM-2025-003034</t>
  </si>
  <si>
    <t>CLM-2025-003035</t>
  </si>
  <si>
    <t>CLM-2025-003036</t>
  </si>
  <si>
    <t>CLM-2025-003037</t>
  </si>
  <si>
    <t>CLM-2025-003038</t>
  </si>
  <si>
    <t>CLM-2025-003039</t>
  </si>
  <si>
    <t>CLM-2025-003040</t>
  </si>
  <si>
    <t>CLM-2025-003041</t>
  </si>
  <si>
    <t>CLM-2025-003042</t>
  </si>
  <si>
    <t>CLM-2025-003043</t>
  </si>
  <si>
    <t>CLM-2025-003045</t>
  </si>
  <si>
    <t>CLM-2025-003046</t>
  </si>
  <si>
    <t>CLM-2025-003047</t>
  </si>
  <si>
    <t>CLM-2025-003048</t>
  </si>
  <si>
    <t>CLM-2025-003049</t>
  </si>
  <si>
    <t>CLM-2025-003050</t>
  </si>
  <si>
    <t>CLM-2025-003052</t>
  </si>
  <si>
    <t>CLM-2025-003054</t>
  </si>
  <si>
    <t>CLM-2025-003055</t>
  </si>
  <si>
    <t>CLM-2025-003056</t>
  </si>
  <si>
    <t>CLM-2025-003057</t>
  </si>
  <si>
    <t>CLM-2025-003059</t>
  </si>
  <si>
    <t>CLM-2025-003060</t>
  </si>
  <si>
    <t>CLM-2025-003062</t>
  </si>
  <si>
    <t>CLM-2025-003063</t>
  </si>
  <si>
    <t>CLM-2025-003065</t>
  </si>
  <si>
    <t>CLM-2025-003066</t>
  </si>
  <si>
    <t>CLM-2025-003068</t>
  </si>
  <si>
    <t>CLM-2025-003069</t>
  </si>
  <si>
    <t>CLM-2025-003070</t>
  </si>
  <si>
    <t>CLM-2025-003071</t>
  </si>
  <si>
    <t>CLM-2025-003072</t>
  </si>
  <si>
    <t>CLM-2025-003074</t>
  </si>
  <si>
    <t>CLM-2025-003075</t>
  </si>
  <si>
    <t>CLM-2025-003078</t>
  </si>
  <si>
    <t>CLM-2025-003080</t>
  </si>
  <si>
    <t>CLM-2025-003081</t>
  </si>
  <si>
    <t>CLM-2025-003082</t>
  </si>
  <si>
    <t>CLM-2025-003085</t>
  </si>
  <si>
    <t>CLM-2025-003086</t>
  </si>
  <si>
    <t>CLM-2025-003087</t>
  </si>
  <si>
    <t>CLM-2025-003089</t>
  </si>
  <si>
    <t>CLM-2025-003090</t>
  </si>
  <si>
    <t>CLM-2025-003093</t>
  </si>
  <si>
    <t>CLM-2025-003094</t>
  </si>
  <si>
    <t>CLM-2025-003095</t>
  </si>
  <si>
    <t>CLM-2025-003096</t>
  </si>
  <si>
    <t>CLM-2025-003097</t>
  </si>
  <si>
    <t>CLM-2025-003098</t>
  </si>
  <si>
    <t>CLM-2025-003099</t>
  </si>
  <si>
    <t>CLM-2025-003101</t>
  </si>
  <si>
    <t>CLM-2025-003104</t>
  </si>
  <si>
    <t>CLM-2025-003105</t>
  </si>
  <si>
    <t>CLM-2025-003106</t>
  </si>
  <si>
    <t>CLM-2025-003107</t>
  </si>
  <si>
    <t>CLM-2025-003108</t>
  </si>
  <si>
    <t>CLM-2025-003109</t>
  </si>
  <si>
    <t>CLM-2025-003112</t>
  </si>
  <si>
    <t>CLM-2025-003113</t>
  </si>
  <si>
    <t>CLM-2025-003115</t>
  </si>
  <si>
    <t>CLM-2025-003118</t>
  </si>
  <si>
    <t>CLM-2025-003119</t>
  </si>
  <si>
    <t>CLM-2025-003120</t>
  </si>
  <si>
    <t>CLM-2025-003121</t>
  </si>
  <si>
    <t>CLM-2025-003122</t>
  </si>
  <si>
    <t>CLM-2025-003124</t>
  </si>
  <si>
    <t>CLM-2025-003125</t>
  </si>
  <si>
    <t>CLM-2025-003126</t>
  </si>
  <si>
    <t>CLM-2025-003127</t>
  </si>
  <si>
    <t>CLM-2025-003128</t>
  </si>
  <si>
    <t>CLM-2025-003129</t>
  </si>
  <si>
    <t>CLM-2025-003130</t>
  </si>
  <si>
    <t>CLM-2025-003131</t>
  </si>
  <si>
    <t>CLM-2025-003132</t>
  </si>
  <si>
    <t>CLM-2025-003134</t>
  </si>
  <si>
    <t>CLM-2025-003135</t>
  </si>
  <si>
    <t>CLM-2025-003136</t>
  </si>
  <si>
    <t>CLM-2025-003137</t>
  </si>
  <si>
    <t>CLM-2025-003138</t>
  </si>
  <si>
    <t>CLM-2025-003139</t>
  </si>
  <si>
    <t>CLM-2025-003140</t>
  </si>
  <si>
    <t>CLM-2025-003141</t>
  </si>
  <si>
    <t>CLM-2025-003142</t>
  </si>
  <si>
    <t>CLM-2025-003143</t>
  </si>
  <si>
    <t>CLM-2025-003144</t>
  </si>
  <si>
    <t>CLM-2025-003145</t>
  </si>
  <si>
    <t>CLM-2025-003146</t>
  </si>
  <si>
    <t>CLM-2025-003147</t>
  </si>
  <si>
    <t>CLM-2025-003148</t>
  </si>
  <si>
    <t>CLM-2025-003149</t>
  </si>
  <si>
    <t>CLM-2025-003150</t>
  </si>
  <si>
    <t>CLM-2025-003151</t>
  </si>
  <si>
    <t>CLM-2025-003152</t>
  </si>
  <si>
    <t>CLM-2025-003153</t>
  </si>
  <si>
    <t>CLM-2025-003154</t>
  </si>
  <si>
    <t>CLM-2025-003155</t>
  </si>
  <si>
    <t>CLM-2025-003156</t>
  </si>
  <si>
    <t>CLM-2025-003157</t>
  </si>
  <si>
    <t>CLM-2025-003159</t>
  </si>
  <si>
    <t>CLM-2025-003160</t>
  </si>
  <si>
    <t>CLM-2025-003161</t>
  </si>
  <si>
    <t>CLM-2025-003162</t>
  </si>
  <si>
    <t>CLM-2025-003163</t>
  </si>
  <si>
    <t>CLM-2025-003164</t>
  </si>
  <si>
    <t>CLM-2025-003165</t>
  </si>
  <si>
    <t>CLM-2025-003166</t>
  </si>
  <si>
    <t>CLM-2025-003168</t>
  </si>
  <si>
    <t>CLM-2025-003169</t>
  </si>
  <si>
    <t>CLM-2025-003170</t>
  </si>
  <si>
    <t>CLM-2025-003171</t>
  </si>
  <si>
    <t>CLM-2025-003172</t>
  </si>
  <si>
    <t>CLM-2025-003174</t>
  </si>
  <si>
    <t>CLM-2025-003175</t>
  </si>
  <si>
    <t>CLM-2025-003176</t>
  </si>
  <si>
    <t>CLM-2025-003177</t>
  </si>
  <si>
    <t>CLM-2025-003178</t>
  </si>
  <si>
    <t>CLM-2025-003179</t>
  </si>
  <si>
    <t>CLM-2025-003180</t>
  </si>
  <si>
    <t>CLM-2025-003181</t>
  </si>
  <si>
    <t>CLM-2025-003182</t>
  </si>
  <si>
    <t>CLM-2025-003183</t>
  </si>
  <si>
    <t>CLM-2025-003185</t>
  </si>
  <si>
    <t>CLM-2025-003187</t>
  </si>
  <si>
    <t>CLM-2025-003189</t>
  </si>
  <si>
    <t>CLM-2025-003190</t>
  </si>
  <si>
    <t>CLM-2025-003191</t>
  </si>
  <si>
    <t>CLM-2025-003192</t>
  </si>
  <si>
    <t>CLM-2025-003193</t>
  </si>
  <si>
    <t>CLM-2025-003194</t>
  </si>
  <si>
    <t>CLM-2025-003195</t>
  </si>
  <si>
    <t>CLM-2025-003196</t>
  </si>
  <si>
    <t>CLM-2025-003197</t>
  </si>
  <si>
    <t>CLM-2025-003198</t>
  </si>
  <si>
    <t>CLM-2025-003199</t>
  </si>
  <si>
    <t>CLM-2025-003200</t>
  </si>
  <si>
    <t>CLM-2025-003201</t>
  </si>
  <si>
    <t>CLM-2025-003202</t>
  </si>
  <si>
    <t>CLM-2025-003204</t>
  </si>
  <si>
    <t>CLM-2025-003205</t>
  </si>
  <si>
    <t>CLM-2025-003206</t>
  </si>
  <si>
    <t>CLM-2025-003207</t>
  </si>
  <si>
    <t>CLM-2025-003208</t>
  </si>
  <si>
    <t>CLM-2025-003209</t>
  </si>
  <si>
    <t>CLM-2025-003210</t>
  </si>
  <si>
    <t>CLM-2025-003211</t>
  </si>
  <si>
    <t>CLM-2025-003212</t>
  </si>
  <si>
    <t>CLM-2025-003213</t>
  </si>
  <si>
    <t>CLM-2025-003214</t>
  </si>
  <si>
    <t>CLM-2025-003215</t>
  </si>
  <si>
    <t>CLM-2025-003217</t>
  </si>
  <si>
    <t>CLM-2025-003218</t>
  </si>
  <si>
    <t>CLM-2025-003219</t>
  </si>
  <si>
    <t>CLM-2025-003221</t>
  </si>
  <si>
    <t>CLM-2025-003222</t>
  </si>
  <si>
    <t>CLM-2025-003223</t>
  </si>
  <si>
    <t>CLM-2025-003224</t>
  </si>
  <si>
    <t>CLM-2025-003225</t>
  </si>
  <si>
    <t>CLM-2025-003226</t>
  </si>
  <si>
    <t>CLM-2025-003227</t>
  </si>
  <si>
    <t>CLM-2025-003228</t>
  </si>
  <si>
    <t>CLM-2025-003229</t>
  </si>
  <si>
    <t>CLM-2025-003230</t>
  </si>
  <si>
    <t>CLM-2025-003231</t>
  </si>
  <si>
    <t>CLM-2025-003232</t>
  </si>
  <si>
    <t>CLM-2025-003233</t>
  </si>
  <si>
    <t>CLM-2025-003234</t>
  </si>
  <si>
    <t>CLM-2025-003235</t>
  </si>
  <si>
    <t>CLM-2025-003236</t>
  </si>
  <si>
    <t>CLM-2025-003237</t>
  </si>
  <si>
    <t>CLM-2025-003238</t>
  </si>
  <si>
    <t>CLM-2025-003239</t>
  </si>
  <si>
    <t>CLM-2025-003240</t>
  </si>
  <si>
    <t>CLM-2025-003241</t>
  </si>
  <si>
    <t>CLM-2025-003242</t>
  </si>
  <si>
    <t>CLM-2025-003243</t>
  </si>
  <si>
    <t>CLM-2025-003245</t>
  </si>
  <si>
    <t>CLM-2025-003246</t>
  </si>
  <si>
    <t>CLM-2025-003247</t>
  </si>
  <si>
    <t>CLM-2025-003248</t>
  </si>
  <si>
    <t>CLM-2025-003250</t>
  </si>
  <si>
    <t>CLM-2025-003251</t>
  </si>
  <si>
    <t>CLM-2025-003252</t>
  </si>
  <si>
    <t>CLM-2025-003253</t>
  </si>
  <si>
    <t>CLM-2025-003254</t>
  </si>
  <si>
    <t>CLM-2025-003255</t>
  </si>
  <si>
    <t>CLM-2025-003257</t>
  </si>
  <si>
    <t>CLM-2025-003258</t>
  </si>
  <si>
    <t>CLM-2025-003259</t>
  </si>
  <si>
    <t>CLM-2025-003260</t>
  </si>
  <si>
    <t>CLM-2025-003262</t>
  </si>
  <si>
    <t>CLM-2025-003263</t>
  </si>
  <si>
    <t>CLM-2025-003265</t>
  </si>
  <si>
    <t>CLM-2025-003266</t>
  </si>
  <si>
    <t>CLM-2025-003267</t>
  </si>
  <si>
    <t>CLM-2025-003268</t>
  </si>
  <si>
    <t>CLM-2025-003269</t>
  </si>
  <si>
    <t>CLM-2025-003270</t>
  </si>
  <si>
    <t>CLM-2025-003271</t>
  </si>
  <si>
    <t>CLM-2025-003272</t>
  </si>
  <si>
    <t>CLM-2025-003274</t>
  </si>
  <si>
    <t>CLM-2025-003275</t>
  </si>
  <si>
    <t>CLM-2025-003277</t>
  </si>
  <si>
    <t>CLM-2025-003278</t>
  </si>
  <si>
    <t>CLM-2025-003279</t>
  </si>
  <si>
    <t>CLM-2025-003280</t>
  </si>
  <si>
    <t>CLM-2025-003281</t>
  </si>
  <si>
    <t>CLM-2025-003282</t>
  </si>
  <si>
    <t>CLM-2025-003283</t>
  </si>
  <si>
    <t>CLM-2025-003285</t>
  </si>
  <si>
    <t>CLM-2025-003286</t>
  </si>
  <si>
    <t>CLM-2025-003287</t>
  </si>
  <si>
    <t>CLM-2025-003288</t>
  </si>
  <si>
    <t>CLM-2025-003289</t>
  </si>
  <si>
    <t>CLM-2025-003290</t>
  </si>
  <si>
    <t>CLM-2025-003291</t>
  </si>
  <si>
    <t>CLM-2025-003293</t>
  </si>
  <si>
    <t>CLM-2025-003294</t>
  </si>
  <si>
    <t>CLM-2025-003295</t>
  </si>
  <si>
    <t>CLM-2025-003296</t>
  </si>
  <si>
    <t>CLM-2025-003297</t>
  </si>
  <si>
    <t>CLM-2025-003298</t>
  </si>
  <si>
    <t>CLM-2025-003299</t>
  </si>
  <si>
    <t>CLM-2025-003300</t>
  </si>
  <si>
    <t>CLM-2025-003304</t>
  </si>
  <si>
    <t>CLM-2025-003306</t>
  </si>
  <si>
    <t>CLM-2025-003307</t>
  </si>
  <si>
    <t>CLM-2025-003309</t>
  </si>
  <si>
    <t>CLM-2025-003310</t>
  </si>
  <si>
    <t>CLM-2025-003311</t>
  </si>
  <si>
    <t>CLM-2025-003312</t>
  </si>
  <si>
    <t>CLM-2025-003313</t>
  </si>
  <si>
    <t>CLM-2025-003314</t>
  </si>
  <si>
    <t>CLM-2025-003315</t>
  </si>
  <si>
    <t>CLM-2025-003317</t>
  </si>
  <si>
    <t>CLM-2025-003318</t>
  </si>
  <si>
    <t>CLM-2025-003319</t>
  </si>
  <si>
    <t>CLM-2025-003320</t>
  </si>
  <si>
    <t>CLM-2025-003321</t>
  </si>
  <si>
    <t>CLM-2025-003322</t>
  </si>
  <si>
    <t>CLM-2025-003323</t>
  </si>
  <si>
    <t>CLM-2025-003324</t>
  </si>
  <si>
    <t>CLM-2025-003327</t>
  </si>
  <si>
    <t>CLM-2025-003328</t>
  </si>
  <si>
    <t>CLM-2025-003329</t>
  </si>
  <si>
    <t>CLM-2025-003330</t>
  </si>
  <si>
    <t>CLM-2025-003331</t>
  </si>
  <si>
    <t>CLM-2025-003332</t>
  </si>
  <si>
    <t>CLM-2025-003333</t>
  </si>
  <si>
    <t>CLM-2025-003334</t>
  </si>
  <si>
    <t>CLM-2025-003335</t>
  </si>
  <si>
    <t>CLM-2025-003336</t>
  </si>
  <si>
    <t>CLM-2025-003337</t>
  </si>
  <si>
    <t>CLM-2025-003338</t>
  </si>
  <si>
    <t>CLM-2025-003339</t>
  </si>
  <si>
    <t>CLM-2025-003340</t>
  </si>
  <si>
    <t>CLM-2025-003341</t>
  </si>
  <si>
    <t>CLM-2025-003342</t>
  </si>
  <si>
    <t>CLM-2025-003343</t>
  </si>
  <si>
    <t>CLM-2025-003344</t>
  </si>
  <si>
    <t>CLM-2025-003345</t>
  </si>
  <si>
    <t>CLM-2025-003346</t>
  </si>
  <si>
    <t>CLM-2025-003347</t>
  </si>
  <si>
    <t>CLM-2025-003348</t>
  </si>
  <si>
    <t>CLM-2025-003350</t>
  </si>
  <si>
    <t>CLM-2025-003352</t>
  </si>
  <si>
    <t>CLM-2025-003353</t>
  </si>
  <si>
    <t>CLM-2025-003355</t>
  </si>
  <si>
    <t>CLM-2025-003356</t>
  </si>
  <si>
    <t>CLM-2025-003357</t>
  </si>
  <si>
    <t>CLM-2025-003358</t>
  </si>
  <si>
    <t>CLM-2025-003359</t>
  </si>
  <si>
    <t>CLM-2025-003360</t>
  </si>
  <si>
    <t>CLM-2025-003361</t>
  </si>
  <si>
    <t>CLM-2025-003363</t>
  </si>
  <si>
    <t>CLM-2025-003364</t>
  </si>
  <si>
    <t>CLM-2025-003365</t>
  </si>
  <si>
    <t>CLM-2025-003367</t>
  </si>
  <si>
    <t>CLM-2025-003368</t>
  </si>
  <si>
    <t>CLM-2025-003369</t>
  </si>
  <si>
    <t>CLM-2025-003370</t>
  </si>
  <si>
    <t>CLM-2025-003371</t>
  </si>
  <si>
    <t>CLM-2025-003372</t>
  </si>
  <si>
    <t>CLM-2025-003373</t>
  </si>
  <si>
    <t>CLM-2025-003374</t>
  </si>
  <si>
    <t>CLM-2025-003375</t>
  </si>
  <si>
    <t>CLM-2025-003376</t>
  </si>
  <si>
    <t>CLM-2025-003377</t>
  </si>
  <si>
    <t>CLM-2025-003378</t>
  </si>
  <si>
    <t>CLM-2025-003379</t>
  </si>
  <si>
    <t>CLM-2025-003380</t>
  </si>
  <si>
    <t>CLM-2025-003382</t>
  </si>
  <si>
    <t>CLM-2025-003383</t>
  </si>
  <si>
    <t>CLM-2025-003384</t>
  </si>
  <si>
    <t>CLM-2025-003385</t>
  </si>
  <si>
    <t>CLM-2025-003386</t>
  </si>
  <si>
    <t>CLM-2025-003387</t>
  </si>
  <si>
    <t>CLM-2025-003388</t>
  </si>
  <si>
    <t>CLM-2025-003389</t>
  </si>
  <si>
    <t>CLM-2025-003391</t>
  </si>
  <si>
    <t>CLM-2025-003392</t>
  </si>
  <si>
    <t>CLM-2025-003393</t>
  </si>
  <si>
    <t>CLM-2025-003394</t>
  </si>
  <si>
    <t>CLM-2025-003396</t>
  </si>
  <si>
    <t>CLM-2025-003397</t>
  </si>
  <si>
    <t>CLM-2025-003398</t>
  </si>
  <si>
    <t>CLM-2025-003399</t>
  </si>
  <si>
    <t>CLM-2025-003400</t>
  </si>
  <si>
    <t>CLM-2025-003402</t>
  </si>
  <si>
    <t>CLM-2025-003302</t>
  </si>
  <si>
    <t>CLM-2025-003404</t>
  </si>
  <si>
    <t>CLM-2025-003405</t>
  </si>
  <si>
    <t>CLM-2025-003406</t>
  </si>
  <si>
    <t>CLM-2025-003407</t>
  </si>
  <si>
    <t>CLM-2025-003408</t>
  </si>
  <si>
    <t>CLM-2025-003409</t>
  </si>
  <si>
    <t>CLM-2025-003410</t>
  </si>
  <si>
    <t>CLM-2025-003411</t>
  </si>
  <si>
    <t>CLM-2025-003412</t>
  </si>
  <si>
    <t>CLM-2025-003413</t>
  </si>
  <si>
    <t>CLM-2025-003414</t>
  </si>
  <si>
    <t>CLM-2025-003415</t>
  </si>
  <si>
    <t>CLM-2025-003416</t>
  </si>
  <si>
    <t>CLM-2025-003417</t>
  </si>
  <si>
    <t>CLM-2025-003418</t>
  </si>
  <si>
    <t>CLM-2025-003419</t>
  </si>
  <si>
    <t>CLM-2025-003420</t>
  </si>
  <si>
    <t>CLM-2025-003421</t>
  </si>
  <si>
    <t>CLM-2025-003422</t>
  </si>
  <si>
    <t>CLM-2025-003423</t>
  </si>
  <si>
    <t>CLM-2025-003424</t>
  </si>
  <si>
    <t>CLM-2025-003425</t>
  </si>
  <si>
    <t>CLM-2025-003426</t>
  </si>
  <si>
    <t>CLM-2025-003427</t>
  </si>
  <si>
    <t>CLM-2025-003428</t>
  </si>
  <si>
    <t>CLM-2025-003429</t>
  </si>
  <si>
    <t>CLM-2025-003430</t>
  </si>
  <si>
    <t>CLM-2025-003431</t>
  </si>
  <si>
    <t>CLM-2025-003432</t>
  </si>
  <si>
    <t>CLM-2025-003433</t>
  </si>
  <si>
    <t>CLM-2025-003434</t>
  </si>
  <si>
    <t>CLM-2025-003435</t>
  </si>
  <si>
    <t>CLM-2025-003436</t>
  </si>
  <si>
    <t>CLM-2025-003438</t>
  </si>
  <si>
    <t>CLM-2025-003439</t>
  </si>
  <si>
    <t>CLM-2025-003440</t>
  </si>
  <si>
    <t>CLM-2025-003441</t>
  </si>
  <si>
    <t>CLM-2025-003442</t>
  </si>
  <si>
    <t>CLM-2025-003443</t>
  </si>
  <si>
    <t>CLM-2025-003444</t>
  </si>
  <si>
    <t>CLM-2025-003445</t>
  </si>
  <si>
    <t>CLM-2025-003446</t>
  </si>
  <si>
    <t>CLM-2025-003447</t>
  </si>
  <si>
    <t>CLM-2025-003448</t>
  </si>
  <si>
    <t>CLM-2025-003449</t>
  </si>
  <si>
    <t>CLM-2025-003450</t>
  </si>
  <si>
    <t>CLM-2025-003451</t>
  </si>
  <si>
    <t>CLM-2025-003452</t>
  </si>
  <si>
    <t>CLM-2025-003453</t>
  </si>
  <si>
    <t>CLM-2025-003454</t>
  </si>
  <si>
    <t>CLM-2025-003455</t>
  </si>
  <si>
    <t>CLM-2025-003456</t>
  </si>
  <si>
    <t>CLM-2025-003457</t>
  </si>
  <si>
    <t>CLM-2025-003458</t>
  </si>
  <si>
    <t>CLM-2025-003459</t>
  </si>
  <si>
    <t>CLM-2025-003460</t>
  </si>
  <si>
    <t>CLM-2025-003461</t>
  </si>
  <si>
    <t>CLM-2025-003462</t>
  </si>
  <si>
    <t>CLM-2025-003463</t>
  </si>
  <si>
    <t>CLM-2025-003464</t>
  </si>
  <si>
    <t>CLM-2025-003465</t>
  </si>
  <si>
    <t>CLM-2025-003466</t>
  </si>
  <si>
    <t>CLM-2025-003467</t>
  </si>
  <si>
    <t>CLM-2025-003468</t>
  </si>
  <si>
    <t>CLM-2025-003469</t>
  </si>
  <si>
    <t>CLM-2025-003470</t>
  </si>
  <si>
    <t>CLM-2025-003471</t>
  </si>
  <si>
    <t>CLM-2025-003472</t>
  </si>
  <si>
    <t>CLM-2025-003473</t>
  </si>
  <si>
    <t>CLM-2025-003474</t>
  </si>
  <si>
    <t>CLM-2025-003475</t>
  </si>
  <si>
    <t>CLM-2025-003476</t>
  </si>
  <si>
    <t>CLM-2025-003477</t>
  </si>
  <si>
    <t>CLM-2025-003478</t>
  </si>
  <si>
    <t>CLM-2025-003479</t>
  </si>
  <si>
    <t>CLM-2025-003480</t>
  </si>
  <si>
    <t>CLM-2025-003481</t>
  </si>
  <si>
    <t>CLM-2025-003482</t>
  </si>
  <si>
    <t>CLM-2025-003483</t>
  </si>
  <si>
    <t>CLM-2025-003484</t>
  </si>
  <si>
    <t>CLM-2025-003485</t>
  </si>
  <si>
    <t>CLM-2025-003486</t>
  </si>
  <si>
    <t>CLM-2025-003487</t>
  </si>
  <si>
    <t>CLM-2025-003488</t>
  </si>
  <si>
    <t>CLM-2025-003489</t>
  </si>
  <si>
    <t>CLM-2025-003490</t>
  </si>
  <si>
    <t>CLM-2025-003491</t>
  </si>
  <si>
    <t>CLM-2025-003492</t>
  </si>
  <si>
    <t>CLM-2025-003493</t>
  </si>
  <si>
    <t>CLM-2025-003494</t>
  </si>
  <si>
    <t>CLM-2025-003495</t>
  </si>
  <si>
    <t>CLM-2025-003496</t>
  </si>
  <si>
    <t>CLM-2025-003497</t>
  </si>
  <si>
    <t>CLM-2025-003498</t>
  </si>
  <si>
    <t>CLM-2025-003499</t>
  </si>
  <si>
    <t>CLM-2025-003503</t>
  </si>
  <si>
    <t>CLM-2025-003504</t>
  </si>
  <si>
    <t>CLM-2025-003505</t>
  </si>
  <si>
    <t>CLM-2025-003506</t>
  </si>
  <si>
    <t>CLM-2025-003509</t>
  </si>
  <si>
    <t>CLM-2025-003511</t>
  </si>
  <si>
    <t>CLM-2025-003512</t>
  </si>
  <si>
    <t>CLM-2025-003513</t>
  </si>
  <si>
    <t>CLM-2025-003514</t>
  </si>
  <si>
    <t>CLM-2025-003515</t>
  </si>
  <si>
    <t>CLM-2025-003516</t>
  </si>
  <si>
    <t>CLM-2025-003517</t>
  </si>
  <si>
    <t>CLM-2025-003518</t>
  </si>
  <si>
    <t>CLM-2025-003519</t>
  </si>
  <si>
    <t>CLM-2025-003520</t>
  </si>
  <si>
    <t>CLM-2025-003521</t>
  </si>
  <si>
    <t>CLM-2025-003522</t>
  </si>
  <si>
    <t>CLM-2025-003523</t>
  </si>
  <si>
    <t>CLM-2025-003524</t>
  </si>
  <si>
    <t>CLM-2025-003525</t>
  </si>
  <si>
    <t>CLM-2025-003526</t>
  </si>
  <si>
    <t>CLM-2025-003527</t>
  </si>
  <si>
    <t>CLM-2025-003528</t>
  </si>
  <si>
    <t>CLM-2025-003529</t>
  </si>
  <si>
    <t>CLM-2025-003530</t>
  </si>
  <si>
    <t>CLM-2025-003531</t>
  </si>
  <si>
    <t>CLM-2025-003532</t>
  </si>
  <si>
    <t>CLM-2025-003533</t>
  </si>
  <si>
    <t>CLM-2025-003534</t>
  </si>
  <si>
    <t>CLM-2025-003535</t>
  </si>
  <si>
    <t>CLM-2025-003536</t>
  </si>
  <si>
    <t>CLM-2025-003537</t>
  </si>
  <si>
    <t>CLM-2025-003538</t>
  </si>
  <si>
    <t>CLM-2025-003539</t>
  </si>
  <si>
    <t>CLM-2025-003540</t>
  </si>
  <si>
    <t>CLM-2025-003541</t>
  </si>
  <si>
    <t>CLM-2025-003542</t>
  </si>
  <si>
    <t>CLM-2025-003543</t>
  </si>
  <si>
    <t>CLM-2025-003544</t>
  </si>
  <si>
    <t>CLM-2025-003545</t>
  </si>
  <si>
    <t>CLM-2025-003546</t>
  </si>
  <si>
    <t>CLM-2025-003547</t>
  </si>
  <si>
    <t>CLM-2025-003548</t>
  </si>
  <si>
    <t>CLM-2025-003549</t>
  </si>
  <si>
    <t>CLM-2025-003550</t>
  </si>
  <si>
    <t>CLM-2025-003551</t>
  </si>
  <si>
    <t>CLM-2025-003552</t>
  </si>
  <si>
    <t>CLM-2025-003553</t>
  </si>
  <si>
    <t>CLM-2025-003554</t>
  </si>
  <si>
    <t>CLM-2025-003555</t>
  </si>
  <si>
    <t>CLM-2025-003556</t>
  </si>
  <si>
    <t>CLM-2025-003557</t>
  </si>
  <si>
    <t>CLM-2025-003558</t>
  </si>
  <si>
    <t>CLM-2025-003559</t>
  </si>
  <si>
    <t>CLM-2025-003560</t>
  </si>
  <si>
    <t>CLM-2025-003561</t>
  </si>
  <si>
    <t>CLM-2025-003563</t>
  </si>
  <si>
    <t>CLM-2025-003564</t>
  </si>
  <si>
    <t>CLM-2025-003565</t>
  </si>
  <si>
    <t>CLM-2025-003566</t>
  </si>
  <si>
    <t>CLM-2025-003567</t>
  </si>
  <si>
    <t>CLM-2025-003568</t>
  </si>
  <si>
    <t>CLM-2025-003569</t>
  </si>
  <si>
    <t>CLM-2025-003570</t>
  </si>
  <si>
    <t>CLM-2025-003571</t>
  </si>
  <si>
    <t>CLM-2025-003572</t>
  </si>
  <si>
    <t>CLM-2025-003574</t>
  </si>
  <si>
    <t>CLM-2025-003575</t>
  </si>
  <si>
    <t>CLM-2025-003576</t>
  </si>
  <si>
    <t>CLM-2025-003577</t>
  </si>
  <si>
    <t>CLM-2025-003578</t>
  </si>
  <si>
    <t>CLM-2025-003579</t>
  </si>
  <si>
    <t>CLM-2025-003580</t>
  </si>
  <si>
    <t>CLM-2025-003581</t>
  </si>
  <si>
    <t>CLM-2025-003582</t>
  </si>
  <si>
    <t>CLM-2025-003583</t>
  </si>
  <si>
    <t>CLM-2025-003584</t>
  </si>
  <si>
    <t>CLM-2025-003585</t>
  </si>
  <si>
    <t>CLM-2025-003586</t>
  </si>
  <si>
    <t>CLM-2025-003587</t>
  </si>
  <si>
    <t>CLM-2025-003588</t>
  </si>
  <si>
    <t>CLM-2025-003589</t>
  </si>
  <si>
    <t>CLM-2025-003590</t>
  </si>
  <si>
    <t>CLM-2025-003591</t>
  </si>
  <si>
    <t>CLM-2025-003592</t>
  </si>
  <si>
    <t>CLM-2025-003593</t>
  </si>
  <si>
    <t>CLM-2025-003594</t>
  </si>
  <si>
    <t>CLM-2025-003595</t>
  </si>
  <si>
    <t>CLM-2025-003596</t>
  </si>
  <si>
    <t>CLM-2025-003597</t>
  </si>
  <si>
    <t>CLM-2025-003598</t>
  </si>
  <si>
    <t>CLM-2025-003599</t>
  </si>
  <si>
    <t>CLM-2025-003600</t>
  </si>
  <si>
    <t>CLM-2025-003601</t>
  </si>
  <si>
    <t>CLM-2025-003602</t>
  </si>
  <si>
    <t>CLM-2025-003603</t>
  </si>
  <si>
    <t>CLM-2025-003604</t>
  </si>
  <si>
    <t>CLM-2025-003605</t>
  </si>
  <si>
    <t>CLM-2025-003606</t>
  </si>
  <si>
    <t>CLM-2025-003607</t>
  </si>
  <si>
    <t>CLM-2025-003608</t>
  </si>
  <si>
    <t>CLM-2025-003609</t>
  </si>
  <si>
    <t>CLM-2025-003610</t>
  </si>
  <si>
    <t>CLM-2025-003611</t>
  </si>
  <si>
    <t>CLM-2025-003612</t>
  </si>
  <si>
    <t>CLM-2025-003614</t>
  </si>
  <si>
    <t>CLM-2025-003615</t>
  </si>
  <si>
    <t>CLM-2025-003616</t>
  </si>
  <si>
    <t>CLM-2025-003617</t>
  </si>
  <si>
    <t>CLM-2025-003618</t>
  </si>
  <si>
    <t>CLM-2025-003619</t>
  </si>
  <si>
    <t>CLM-2025-003620</t>
  </si>
  <si>
    <t>CLM-2025-003621</t>
  </si>
  <si>
    <t>CLM-2025-003622</t>
  </si>
  <si>
    <t>CLM-2025-003623</t>
  </si>
  <si>
    <t>CLM-2025-003624</t>
  </si>
  <si>
    <t>CLM-2025-003625</t>
  </si>
  <si>
    <t>CLM-2025-003626</t>
  </si>
  <si>
    <t>CLM-2025-003627</t>
  </si>
  <si>
    <t>CLM-2025-003628</t>
  </si>
  <si>
    <t>CLM-2025-003629</t>
  </si>
  <si>
    <t>CLM-2025-003630</t>
  </si>
  <si>
    <t>CLM-2025-003631</t>
  </si>
  <si>
    <t>CLM-2025-003632</t>
  </si>
  <si>
    <t>CLM-2025-003633</t>
  </si>
  <si>
    <t>CLM-2025-003634</t>
  </si>
  <si>
    <t>CLM-2025-003635</t>
  </si>
  <si>
    <t>CLM-2025-003636</t>
  </si>
  <si>
    <t>CLM-2025-003637</t>
  </si>
  <si>
    <t>CLM-2025-003638</t>
  </si>
  <si>
    <t>CLM-2025-003639</t>
  </si>
  <si>
    <t>CLM-2025-003640</t>
  </si>
  <si>
    <t>CLM-2025-003641</t>
  </si>
  <si>
    <t>CLM-2025-003642</t>
  </si>
  <si>
    <t>CLM-2025-003643</t>
  </si>
  <si>
    <t>CLM-2025-003644</t>
  </si>
  <si>
    <t>CLM-2025-003645</t>
  </si>
  <si>
    <t>CLM-2025-003646</t>
  </si>
  <si>
    <t>CLM-2025-003647</t>
  </si>
  <si>
    <t>CLM-2025-003648</t>
  </si>
  <si>
    <t>CLM-2025-003649</t>
  </si>
  <si>
    <t>CLM-2025-003650</t>
  </si>
  <si>
    <t>CLM-2025-003652</t>
  </si>
  <si>
    <t>CLM-2025-003653</t>
  </si>
  <si>
    <t>CLM-2025-003654</t>
  </si>
  <si>
    <t>CLM-2025-003656</t>
  </si>
  <si>
    <t>CLM-2025-003657</t>
  </si>
  <si>
    <t>CLM-2025-003658</t>
  </si>
  <si>
    <t>CLM-2025-003659</t>
  </si>
  <si>
    <t>CLM-2025-003660</t>
  </si>
  <si>
    <t>CLM-2025-003661</t>
  </si>
  <si>
    <t>CLM-2025-003662</t>
  </si>
  <si>
    <t>CLM-2025-003663</t>
  </si>
  <si>
    <t>CLM-2025-003664</t>
  </si>
  <si>
    <t>CLM-2025-003665</t>
  </si>
  <si>
    <t>CLM-2025-003666</t>
  </si>
  <si>
    <t>CLM-2025-003667</t>
  </si>
  <si>
    <t>CLM-2025-003668</t>
  </si>
  <si>
    <t>CLM-2025-003669</t>
  </si>
  <si>
    <t>CLM-2025-003670</t>
  </si>
  <si>
    <t>CLM-2025-003671</t>
  </si>
  <si>
    <t>CLM-2025-003672</t>
  </si>
  <si>
    <t>CLM-2025-003673</t>
  </si>
  <si>
    <t>CLM-2025-003674</t>
  </si>
  <si>
    <t>CLM-2025-003675</t>
  </si>
  <si>
    <t>CLM-2025-003676</t>
  </si>
  <si>
    <t>CLM-2025-003677</t>
  </si>
  <si>
    <t>CLM-2025-003678</t>
  </si>
  <si>
    <t>CLM-2025-003679</t>
  </si>
  <si>
    <t>CLM-2025-003680</t>
  </si>
  <si>
    <t>CLM-2025-003681</t>
  </si>
  <si>
    <t>CLM-2025-003682</t>
  </si>
  <si>
    <t>CLM-2025-003683</t>
  </si>
  <si>
    <t>CLM-2025-003684</t>
  </si>
  <si>
    <t>CLM-2025-003685</t>
  </si>
  <si>
    <t>CLM-2025-003686</t>
  </si>
  <si>
    <t>CLM-2025-003687</t>
  </si>
  <si>
    <t>CLM-2025-003688</t>
  </si>
  <si>
    <t>CLM-2025-003689</t>
  </si>
  <si>
    <t>CLM-2025-003690</t>
  </si>
  <si>
    <t>CLM-2025-003691</t>
  </si>
  <si>
    <t>CLM-2025-003692</t>
  </si>
  <si>
    <t>CLM-2025-003693</t>
  </si>
  <si>
    <t>CLM-2025-003694</t>
  </si>
  <si>
    <t>CLM-2025-003695</t>
  </si>
  <si>
    <t>CLM-2025-003696</t>
  </si>
  <si>
    <t>CLM-2025-003697</t>
  </si>
  <si>
    <t>CLM-2025-003698</t>
  </si>
  <si>
    <t>CLM-2025-003699</t>
  </si>
  <si>
    <t>CLM-2025-003700</t>
  </si>
  <si>
    <t>CLM-2025-003701</t>
  </si>
  <si>
    <t>CLM-2025-003395</t>
  </si>
  <si>
    <t>CLM-2025-003703</t>
  </si>
  <si>
    <t>CLM-2025-003704</t>
  </si>
  <si>
    <t>CLM-2025-003705</t>
  </si>
  <si>
    <t>CLM-2025-003706</t>
  </si>
  <si>
    <t>CLM-2025-003707</t>
  </si>
  <si>
    <t>CLM-2025-003708</t>
  </si>
  <si>
    <t>CLM-2025-003709</t>
  </si>
  <si>
    <t>CLM-2025-003710</t>
  </si>
  <si>
    <t>CLM-2025-003711</t>
  </si>
  <si>
    <t>CLM-2025-003712</t>
  </si>
  <si>
    <t>CLM-2025-003713</t>
  </si>
  <si>
    <t>CLM-2025-003714</t>
  </si>
  <si>
    <t>CLM-2025-003715</t>
  </si>
  <si>
    <t>CLM-2025-003716</t>
  </si>
  <si>
    <t>CLM-2025-003717</t>
  </si>
  <si>
    <t>CLM-2025-003718</t>
  </si>
  <si>
    <t>CLM-2025-003719</t>
  </si>
  <si>
    <t>CLM-2025-003720</t>
  </si>
  <si>
    <t>CLM-2025-003721</t>
  </si>
  <si>
    <t>CLM-2025-003722</t>
  </si>
  <si>
    <t>CLM-2025-003723</t>
  </si>
  <si>
    <t>CLM-2025-003724</t>
  </si>
  <si>
    <t>CLM-2025-003725</t>
  </si>
  <si>
    <t>CLM-2025-003726</t>
  </si>
  <si>
    <t>CLM-2025-003727</t>
  </si>
  <si>
    <t>CLM-2025-003728</t>
  </si>
  <si>
    <t>CLM-2025-003729</t>
  </si>
  <si>
    <t>CLM-2025-003730</t>
  </si>
  <si>
    <t>CLM-2025-003732</t>
  </si>
  <si>
    <t>CLM-2025-003733</t>
  </si>
  <si>
    <t>CLM-2025-003735</t>
  </si>
  <si>
    <t>CLM-2025-003736</t>
  </si>
  <si>
    <t>CLM-2025-003737</t>
  </si>
  <si>
    <t>CLM-2025-003738</t>
  </si>
  <si>
    <t>CLM-2025-003739</t>
  </si>
  <si>
    <t>CLM-2025-003740</t>
  </si>
  <si>
    <t>CLM-2025-003741</t>
  </si>
  <si>
    <t>CLM-2025-003742</t>
  </si>
  <si>
    <t>CLM-2025-003743</t>
  </si>
  <si>
    <t>CLM-2025-003744</t>
  </si>
  <si>
    <t>CLM-2025-003745</t>
  </si>
  <si>
    <t>CLM-2025-003746</t>
  </si>
  <si>
    <t>CLM-2025-003747</t>
  </si>
  <si>
    <t>CLM-2025-003748</t>
  </si>
  <si>
    <t>CLM-2025-003749</t>
  </si>
  <si>
    <t>CLM-2025-003750</t>
  </si>
  <si>
    <t>CLM-2025-003751</t>
  </si>
  <si>
    <t>CLM-2025-003752</t>
  </si>
  <si>
    <t>CLM-2025-003753</t>
  </si>
  <si>
    <t>CLM-2025-003754</t>
  </si>
  <si>
    <t>CLM-2025-003755</t>
  </si>
  <si>
    <t>CLM-2025-003756</t>
  </si>
  <si>
    <t>CLM-2025-003757</t>
  </si>
  <si>
    <t>CLM-2025-003759</t>
  </si>
  <si>
    <t>CLM-2025-003760</t>
  </si>
  <si>
    <t>CLM-2025-003761</t>
  </si>
  <si>
    <t>CLM-2025-003763</t>
  </si>
  <si>
    <t>CLM-2025-003764</t>
  </si>
  <si>
    <t>CLM-2025-003765</t>
  </si>
  <si>
    <t>CLM-2025-003766</t>
  </si>
  <si>
    <t>CLM-2025-003767</t>
  </si>
  <si>
    <t>CLM-2025-003768</t>
  </si>
  <si>
    <t>CLM-2025-003769</t>
  </si>
  <si>
    <t>CLM-2025-003770</t>
  </si>
  <si>
    <t>CLM-2025-003771</t>
  </si>
  <si>
    <t>CLM-2025-003772</t>
  </si>
  <si>
    <t>CLM-2025-003773</t>
  </si>
  <si>
    <t>CLM-2025-003774</t>
  </si>
  <si>
    <t>CLM-2025-003775</t>
  </si>
  <si>
    <t>CLM-2025-003776</t>
  </si>
  <si>
    <t>CLM-2025-003777</t>
  </si>
  <si>
    <t>CLM-2025-003778</t>
  </si>
  <si>
    <t>CLM-2025-003779</t>
  </si>
  <si>
    <t>CLM-2025-003780</t>
  </si>
  <si>
    <t>CLM-2025-003781</t>
  </si>
  <si>
    <t>CLM-2025-003782</t>
  </si>
  <si>
    <t>CLM-2025-003783</t>
  </si>
  <si>
    <t>CLM-2025-003784</t>
  </si>
  <si>
    <t>CLM-2025-003785</t>
  </si>
  <si>
    <t>CLM-2025-003786</t>
  </si>
  <si>
    <t>CLM-2025-003787</t>
  </si>
  <si>
    <t>CLM-2025-003788</t>
  </si>
  <si>
    <t>CLM-2025-003789</t>
  </si>
  <si>
    <t>CLM-2025-003790</t>
  </si>
  <si>
    <t>CLM-2025-003791</t>
  </si>
  <si>
    <t>CLM-2025-003792</t>
  </si>
  <si>
    <t>CLM-2025-003793</t>
  </si>
  <si>
    <t>CLM-2025-003794</t>
  </si>
  <si>
    <t>CLM-2025-003795</t>
  </si>
  <si>
    <t>CLM-2025-003796</t>
  </si>
  <si>
    <t>CLM-2025-003797</t>
  </si>
  <si>
    <t>CLM-2025-003798</t>
  </si>
  <si>
    <t>CLM-2025-003799</t>
  </si>
  <si>
    <t>CLM-2025-003800</t>
  </si>
  <si>
    <t>CLM-2025-003801</t>
  </si>
  <si>
    <t>CLM-2025-003802</t>
  </si>
  <si>
    <t>CLM-2025-003804</t>
  </si>
  <si>
    <t>CLM-2025-003805</t>
  </si>
  <si>
    <t>CLM-2025-003806</t>
  </si>
  <si>
    <t>CLM-2025-003807</t>
  </si>
  <si>
    <t>CLM-2025-003808</t>
  </si>
  <si>
    <t>CLM-2025-003809</t>
  </si>
  <si>
    <t>CLM-2025-003810</t>
  </si>
  <si>
    <t>CLM-2025-003811</t>
  </si>
  <si>
    <t>CLM-2025-003812</t>
  </si>
  <si>
    <t>CLM-2025-003813</t>
  </si>
  <si>
    <t>CLM-2025-003814</t>
  </si>
  <si>
    <t>CLM-2025-003815</t>
  </si>
  <si>
    <t>CLM-2025-003816</t>
  </si>
  <si>
    <t>CLM-2025-003817</t>
  </si>
  <si>
    <t>CLM-2025-003818</t>
  </si>
  <si>
    <t>CLM-2025-003819</t>
  </si>
  <si>
    <t>CLM-2025-003820</t>
  </si>
  <si>
    <t>CLM-2025-003821</t>
  </si>
  <si>
    <t>CLM-2025-003822</t>
  </si>
  <si>
    <t>CLM-2025-003823</t>
  </si>
  <si>
    <t>CLM-2025-003824</t>
  </si>
  <si>
    <t>CLM-2025-003825</t>
  </si>
  <si>
    <t>CLM-2025-003826</t>
  </si>
  <si>
    <t>CLM-2025-003827</t>
  </si>
  <si>
    <t>CLM-2025-003828</t>
  </si>
  <si>
    <t>CLM-2025-003829</t>
  </si>
  <si>
    <t>CLM-2025-003830</t>
  </si>
  <si>
    <t>CLM-2025-003831</t>
  </si>
  <si>
    <t>CLM-2025-003832</t>
  </si>
  <si>
    <t>CLM-2025-003833</t>
  </si>
  <si>
    <t>CLM-2025-003834</t>
  </si>
  <si>
    <t>CLM-2025-003835</t>
  </si>
  <si>
    <t>CLM-2025-003836</t>
  </si>
  <si>
    <t>CLM-2025-003837</t>
  </si>
  <si>
    <t>CLM-2025-003838</t>
  </si>
  <si>
    <t>CLM-2025-003839</t>
  </si>
  <si>
    <t>CLM-2025-003840</t>
  </si>
  <si>
    <t>CLM-2025-003841</t>
  </si>
  <si>
    <t>CLM-2025-003842</t>
  </si>
  <si>
    <t>CLM-2025-003843</t>
  </si>
  <si>
    <t>CLM-2025-003844</t>
  </si>
  <si>
    <t>CLM-2025-003845</t>
  </si>
  <si>
    <t>CLM-2025-003846</t>
  </si>
  <si>
    <t>CLM-2025-003847</t>
  </si>
  <si>
    <t>CLM-2025-003848</t>
  </si>
  <si>
    <t>CLM-2025-003849</t>
  </si>
  <si>
    <t>CLM-2025-003850</t>
  </si>
  <si>
    <t>CLM-2025-003851</t>
  </si>
  <si>
    <t>CLM-2025-003852</t>
  </si>
  <si>
    <t>CLM-2025-003853</t>
  </si>
  <si>
    <t>CLM-2025-003854</t>
  </si>
  <si>
    <t>CLM-2025-003855</t>
  </si>
  <si>
    <t>CLM-2025-003856</t>
  </si>
  <si>
    <t>CLM-2025-003857</t>
  </si>
  <si>
    <t>CLM-2025-003858</t>
  </si>
  <si>
    <t>CLM-2025-003859</t>
  </si>
  <si>
    <t>CLM-2025-003860</t>
  </si>
  <si>
    <t>CLM-2025-003861</t>
  </si>
  <si>
    <t>CLM-2025-003862</t>
  </si>
  <si>
    <t>CLM-2025-003863</t>
  </si>
  <si>
    <t>CLM-2025-003864</t>
  </si>
  <si>
    <t>CLM-2025-003865</t>
  </si>
  <si>
    <t>CLM-2025-003866</t>
  </si>
  <si>
    <t>CLM-2025-003867</t>
  </si>
  <si>
    <t>CLM-2025-003868</t>
  </si>
  <si>
    <t>CLM-2025-003870</t>
  </si>
  <si>
    <t>CLM-2025-003871</t>
  </si>
  <si>
    <t>CLM-2025-003873</t>
  </si>
  <si>
    <t>CLM-2025-003874</t>
  </si>
  <si>
    <t>CLM-2025-003876</t>
  </si>
  <si>
    <t>CLM-2025-003877</t>
  </si>
  <si>
    <t>CLM-2025-003878</t>
  </si>
  <si>
    <t>CLM-2025-003880</t>
  </si>
  <si>
    <t>CLM-2025-003881</t>
  </si>
  <si>
    <t>CLM-2025-003882</t>
  </si>
  <si>
    <t>CLM-2025-003883</t>
  </si>
  <si>
    <t>CLM-2025-003884</t>
  </si>
  <si>
    <t>CLM-2025-003885</t>
  </si>
  <si>
    <t>CLM-2025-003886</t>
  </si>
  <si>
    <t>CLM-2025-003887</t>
  </si>
  <si>
    <t>CLM-2025-003888</t>
  </si>
  <si>
    <t>CLM-2025-003889</t>
  </si>
  <si>
    <t>CLM-2025-003890</t>
  </si>
  <si>
    <t>CLM-2025-003891</t>
  </si>
  <si>
    <t>CLM-2025-003892</t>
  </si>
  <si>
    <t>CLM-2025-003893</t>
  </si>
  <si>
    <t>CLM-2025-003894</t>
  </si>
  <si>
    <t>CLM-2025-003895</t>
  </si>
  <si>
    <t>CLM-2025-003896</t>
  </si>
  <si>
    <t>CLM-2025-003898</t>
  </si>
  <si>
    <t>CLM-2025-003899</t>
  </si>
  <si>
    <t>CLM-2025-003900</t>
  </si>
  <si>
    <t>CLM-2025-003901</t>
  </si>
  <si>
    <t>CLM-2025-003902</t>
  </si>
  <si>
    <t>CLM-2025-003903</t>
  </si>
  <si>
    <t>CLM-2025-003904</t>
  </si>
  <si>
    <t>CLM-2025-003905</t>
  </si>
  <si>
    <t>CLM-2025-003906</t>
  </si>
  <si>
    <t>CLM-2025-003907</t>
  </si>
  <si>
    <t>CLM-2025-003908</t>
  </si>
  <si>
    <t>CLM-2025-003909</t>
  </si>
  <si>
    <t>CLM-2025-003910</t>
  </si>
  <si>
    <t>CLM-2025-003911</t>
  </si>
  <si>
    <t>CLM-2025-003912</t>
  </si>
  <si>
    <t>CLM-2025-003913</t>
  </si>
  <si>
    <t>CLM-2025-003914</t>
  </si>
  <si>
    <t>CLM-2025-003915</t>
  </si>
  <si>
    <t>CLM-2025-003916</t>
  </si>
  <si>
    <t>CLM-2025-003917</t>
  </si>
  <si>
    <t>CLM-2025-003918</t>
  </si>
  <si>
    <t>CLM-2025-003919</t>
  </si>
  <si>
    <t>CLM-2025-003920</t>
  </si>
  <si>
    <t>CLM-2025-003921</t>
  </si>
  <si>
    <t>CLM-2025-003922</t>
  </si>
  <si>
    <t>CLM-2025-003923</t>
  </si>
  <si>
    <t>CLM-2025-003924</t>
  </si>
  <si>
    <t>CLM-2025-003925</t>
  </si>
  <si>
    <t>CLM-2025-003926</t>
  </si>
  <si>
    <t>CLM-2025-003927</t>
  </si>
  <si>
    <t>CLM-2025-003929</t>
  </si>
  <si>
    <t>CLM-2025-003930</t>
  </si>
  <si>
    <t>CLM-2025-003931</t>
  </si>
  <si>
    <t>CLM-2025-003932</t>
  </si>
  <si>
    <t>CLM-2025-003933</t>
  </si>
  <si>
    <t>CLM-2025-003934</t>
  </si>
  <si>
    <t>CLM-2025-003935</t>
  </si>
  <si>
    <t>CLM-2025-003936</t>
  </si>
  <si>
    <t>CLM-2025-003937</t>
  </si>
  <si>
    <t>CLM-2025-003938</t>
  </si>
  <si>
    <t>CLM-2025-003939</t>
  </si>
  <si>
    <t>CLM-2025-003940</t>
  </si>
  <si>
    <t>CLM-2025-003941</t>
  </si>
  <si>
    <t>CLM-2025-003942</t>
  </si>
  <si>
    <t>CLM-2025-003943</t>
  </si>
  <si>
    <t>CLM-2025-003944</t>
  </si>
  <si>
    <t>CLM-2025-003945</t>
  </si>
  <si>
    <t>CLM-2025-003946</t>
  </si>
  <si>
    <t>CLM-2025-003947</t>
  </si>
  <si>
    <t>CLM-2025-003948</t>
  </si>
  <si>
    <t>CLM-2025-003949</t>
  </si>
  <si>
    <t>CLM-2025-003951</t>
  </si>
  <si>
    <t>CLM-2025-003952</t>
  </si>
  <si>
    <t>CLM-2025-003953</t>
  </si>
  <si>
    <t>CLM-2025-003954</t>
  </si>
  <si>
    <t>CLM-2025-003955</t>
  </si>
  <si>
    <t>CLM-2025-003956</t>
  </si>
  <si>
    <t>CLM-2025-003957</t>
  </si>
  <si>
    <t>CLM-2025-003958</t>
  </si>
  <si>
    <t>CLM-2025-003959</t>
  </si>
  <si>
    <t>CLM-2025-003960</t>
  </si>
  <si>
    <t>CLM-2025-003961</t>
  </si>
  <si>
    <t>CLM-2025-003962</t>
  </si>
  <si>
    <t>CLM-2025-003963</t>
  </si>
  <si>
    <t>CLM-2025-003964</t>
  </si>
  <si>
    <t>CLM-2025-003965</t>
  </si>
  <si>
    <t>CLM-2025-003966</t>
  </si>
  <si>
    <t>CLM-2025-003967</t>
  </si>
  <si>
    <t>CLM-2025-003968</t>
  </si>
  <si>
    <t>CLM-2025-003969</t>
  </si>
  <si>
    <t>CLM-2025-003970</t>
  </si>
  <si>
    <t>CLM-2025-003971</t>
  </si>
  <si>
    <t>CLM-2025-003972</t>
  </si>
  <si>
    <t>CLM-2025-003973</t>
  </si>
  <si>
    <t>CLM-2025-003974</t>
  </si>
  <si>
    <t>CLM-2025-003975</t>
  </si>
  <si>
    <t>CLM-2025-003976</t>
  </si>
  <si>
    <t>CLM-2025-003977</t>
  </si>
  <si>
    <t>CLM-2025-003978</t>
  </si>
  <si>
    <t>CLM-2025-003979</t>
  </si>
  <si>
    <t>CLM-2025-003980</t>
  </si>
  <si>
    <t>CLM-2025-003981</t>
  </si>
  <si>
    <t>CLM-2025-003982</t>
  </si>
  <si>
    <t>CLM-2025-003983</t>
  </si>
  <si>
    <t>CLM-2025-003984</t>
  </si>
  <si>
    <t>CLM-2025-003985</t>
  </si>
  <si>
    <t>CLM-2025-003986</t>
  </si>
  <si>
    <t>CLM-2025-003987</t>
  </si>
  <si>
    <t>CLM-2025-003988</t>
  </si>
  <si>
    <t>CLM-2025-003989</t>
  </si>
  <si>
    <t>CLM-2025-003990</t>
  </si>
  <si>
    <t>CLM-2025-003991</t>
  </si>
  <si>
    <t>CLM-2025-003992</t>
  </si>
  <si>
    <t>CLM-2025-003993</t>
  </si>
  <si>
    <t>CLM-2025-003994</t>
  </si>
  <si>
    <t>CLM-2025-003995</t>
  </si>
  <si>
    <t>CLM-2025-003996</t>
  </si>
  <si>
    <t>CLM-2025-003997</t>
  </si>
  <si>
    <t>CLM-2025-003998</t>
  </si>
  <si>
    <t>CLM-2025-003999</t>
  </si>
  <si>
    <t>CLM-2025-004000</t>
  </si>
  <si>
    <t>CLM-2025-004001</t>
  </si>
  <si>
    <t>CLM-2025-004002</t>
  </si>
  <si>
    <t>CLM-2025-004003</t>
  </si>
  <si>
    <t>CLM-2025-004004</t>
  </si>
  <si>
    <t>CLM-2025-004005</t>
  </si>
  <si>
    <t>CLM-2025-004006</t>
  </si>
  <si>
    <t>CLM-2025-004007</t>
  </si>
  <si>
    <t>CLM-2025-004008</t>
  </si>
  <si>
    <t>CLM-2025-004009</t>
  </si>
  <si>
    <t>CLM-2025-004010</t>
  </si>
  <si>
    <t>CLM-2025-004011</t>
  </si>
  <si>
    <t>CLM-2025-004012</t>
  </si>
  <si>
    <t>CLM-2025-004014</t>
  </si>
  <si>
    <t>CLM-2025-004015</t>
  </si>
  <si>
    <t>CLM-2025-004016</t>
  </si>
  <si>
    <t>CLM-2025-004018</t>
  </si>
  <si>
    <t>CLM-2025-004019</t>
  </si>
  <si>
    <t>CLM-2025-004020</t>
  </si>
  <si>
    <t>CLM-2025-004021</t>
  </si>
  <si>
    <t>CLM-2025-004022</t>
  </si>
  <si>
    <t>CLM-2025-004023</t>
  </si>
  <si>
    <t>CLM-2025-004024</t>
  </si>
  <si>
    <t>CLM-2025-004026</t>
  </si>
  <si>
    <t>CLM-2025-004027</t>
  </si>
  <si>
    <t>CLM-2025-004028</t>
  </si>
  <si>
    <t>CLM-2025-004029</t>
  </si>
  <si>
    <t>CLM-2025-004030</t>
  </si>
  <si>
    <t>CLM-2025-004031</t>
  </si>
  <si>
    <t>CLM-2025-004032</t>
  </si>
  <si>
    <t>CLM-2025-004033</t>
  </si>
  <si>
    <t>CLM-2025-004034</t>
  </si>
  <si>
    <t>CLM-2025-004035</t>
  </si>
  <si>
    <t>CLM-2025-004036</t>
  </si>
  <si>
    <t>CLM-2025-004039</t>
  </si>
  <si>
    <t>CLM-2025-004040</t>
  </si>
  <si>
    <t>CLM-2025-004041</t>
  </si>
  <si>
    <t>CLM-2025-004042</t>
  </si>
  <si>
    <t>CLM-2025-004043</t>
  </si>
  <si>
    <t>CLM-2025-004044</t>
  </si>
  <si>
    <t>CLM-2025-004045</t>
  </si>
  <si>
    <t>CLM-2025-004046</t>
  </si>
  <si>
    <t>CLM-2025-004047</t>
  </si>
  <si>
    <t>CLM-2025-004048</t>
  </si>
  <si>
    <t>CLM-2025-004049</t>
  </si>
  <si>
    <t>CLM-2025-004050</t>
  </si>
  <si>
    <t>CLM-2025-004051</t>
  </si>
  <si>
    <t>CLM-2025-004053</t>
  </si>
  <si>
    <t>CLM-2025-004054</t>
  </si>
  <si>
    <t>CLM-2025-004055</t>
  </si>
  <si>
    <t>CLM-2025-004056</t>
  </si>
  <si>
    <t>CLM-2025-004058</t>
  </si>
  <si>
    <t>CLM-2025-004059</t>
  </si>
  <si>
    <t>CLM-2025-004060</t>
  </si>
  <si>
    <t>CLM-2025-004061</t>
  </si>
  <si>
    <t>CLM-2025-004062</t>
  </si>
  <si>
    <t>CLM-2025-004063</t>
  </si>
  <si>
    <t>CLM-2025-004064</t>
  </si>
  <si>
    <t>CLM-2025-004065</t>
  </si>
  <si>
    <t>CLM-2025-004066</t>
  </si>
  <si>
    <t>CLM-2025-004067</t>
  </si>
  <si>
    <t>CLM-2025-004068</t>
  </si>
  <si>
    <t>CLM-2025-004069</t>
  </si>
  <si>
    <t>CLM-2025-004070</t>
  </si>
  <si>
    <t>CLM-2025-004071</t>
  </si>
  <si>
    <t>CLM-2025-004072</t>
  </si>
  <si>
    <t>CLM-2025-004074</t>
  </si>
  <si>
    <t>CLM-2025-004075</t>
  </si>
  <si>
    <t>CLM-2025-004076</t>
  </si>
  <si>
    <t>CLM-2025-004077</t>
  </si>
  <si>
    <t>CLM-2025-004078</t>
  </si>
  <si>
    <t>CLM-2025-004079</t>
  </si>
  <si>
    <t>CLM-2025-004081</t>
  </si>
  <si>
    <t>CLM-2025-004082</t>
  </si>
  <si>
    <t>CLM-2025-004083</t>
  </si>
  <si>
    <t>CLM-2025-004084</t>
  </si>
  <si>
    <t>CLM-2025-004085</t>
  </si>
  <si>
    <t>CLM-2025-004087</t>
  </si>
  <si>
    <t>CLM-2025-004088</t>
  </si>
  <si>
    <t>CLM-2025-004089</t>
  </si>
  <si>
    <t>CLM-2025-004090</t>
  </si>
  <si>
    <t>CLM-2025-004091</t>
  </si>
  <si>
    <t>CLM-2025-004092</t>
  </si>
  <si>
    <t>CLM-2025-004093</t>
  </si>
  <si>
    <t>CLM-2025-004094</t>
  </si>
  <si>
    <t>CLM-2025-004095</t>
  </si>
  <si>
    <t>CLM-2025-004096</t>
  </si>
  <si>
    <t>CLM-2025-004097</t>
  </si>
  <si>
    <t>CLM-2025-004100</t>
  </si>
  <si>
    <t>CLM-2025-004101</t>
  </si>
  <si>
    <t>CLM-2025-004102</t>
  </si>
  <si>
    <t>CLM-2025-004103</t>
  </si>
  <si>
    <t>CLM-2025-004104</t>
  </si>
  <si>
    <t>CLM-2025-004105</t>
  </si>
  <si>
    <t>CLM-2025-004106</t>
  </si>
  <si>
    <t>CLM-2025-004107</t>
  </si>
  <si>
    <t>CLM-2025-004108</t>
  </si>
  <si>
    <t>CLM-2025-004109</t>
  </si>
  <si>
    <t>CLM-2025-004110</t>
  </si>
  <si>
    <t>CLM-2025-004111</t>
  </si>
  <si>
    <t>CLM-2025-004112</t>
  </si>
  <si>
    <t>CLM-2025-004113</t>
  </si>
  <si>
    <t>CLM-2025-004114</t>
  </si>
  <si>
    <t>CLM-2025-004115</t>
  </si>
  <si>
    <t>CLM-2025-004116</t>
  </si>
  <si>
    <t>CLM-2025-004117</t>
  </si>
  <si>
    <t>CLM-2025-004118</t>
  </si>
  <si>
    <t>CLM-2025-004119</t>
  </si>
  <si>
    <t>CLM-2025-004120</t>
  </si>
  <si>
    <t>CLM-2025-004121</t>
  </si>
  <si>
    <t>CLM-2025-004122</t>
  </si>
  <si>
    <t>CLM-2025-004123</t>
  </si>
  <si>
    <t>CLM-2025-004124</t>
  </si>
  <si>
    <t>CLM-2025-004125</t>
  </si>
  <si>
    <t>CLM-2025-004126</t>
  </si>
  <si>
    <t>CLM-2025-004128</t>
  </si>
  <si>
    <t>CLM-2025-004129</t>
  </si>
  <si>
    <t>CLM-2025-004130</t>
  </si>
  <si>
    <t>CLM-2025-004131</t>
  </si>
  <si>
    <t>CLM-2025-004132</t>
  </si>
  <si>
    <t>CLM-2025-004133</t>
  </si>
  <si>
    <t>CLM-2025-004134</t>
  </si>
  <si>
    <t>CLM-2025-004135</t>
  </si>
  <si>
    <t>CLM-2025-004136</t>
  </si>
  <si>
    <t>CLM-2025-004137</t>
  </si>
  <si>
    <t>CLM-2025-004138</t>
  </si>
  <si>
    <t>CLM-2025-004139</t>
  </si>
  <si>
    <t>CLM-2025-004140</t>
  </si>
  <si>
    <t>CLM-2025-004141</t>
  </si>
  <si>
    <t>CLM-2025-004143</t>
  </si>
  <si>
    <t>CLM-2025-004144</t>
  </si>
  <si>
    <t>CLM-2025-004146</t>
  </si>
  <si>
    <t>CLM-2025-004147</t>
  </si>
  <si>
    <t>CLM-2025-004148</t>
  </si>
  <si>
    <t>CLM-2025-004150</t>
  </si>
  <si>
    <t>CLM-2025-004151</t>
  </si>
  <si>
    <t>CLM-2025-004152</t>
  </si>
  <si>
    <t>CLM-2025-004153</t>
  </si>
  <si>
    <t>CLM-2025-004154</t>
  </si>
  <si>
    <t>CLM-2025-004155</t>
  </si>
  <si>
    <t>CLM-2025-004156</t>
  </si>
  <si>
    <t>CLM-2025-004158</t>
  </si>
  <si>
    <t>CLM-2025-004159</t>
  </si>
  <si>
    <t>CLM-2025-004160</t>
  </si>
  <si>
    <t>CLM-2025-004161</t>
  </si>
  <si>
    <t>CLM-2025-004163</t>
  </si>
  <si>
    <t>CLM-2025-004164</t>
  </si>
  <si>
    <t>CLM-2025-004165</t>
  </si>
  <si>
    <t>CLM-2025-004166</t>
  </si>
  <si>
    <t>CLM-2025-004167</t>
  </si>
  <si>
    <t>CLM-2025-004168</t>
  </si>
  <si>
    <t>CLM-2025-004169</t>
  </si>
  <si>
    <t>CLM-2025-004170</t>
  </si>
  <si>
    <t>CLM-2025-004171</t>
  </si>
  <si>
    <t>CLM-2025-004172</t>
  </si>
  <si>
    <t>CLM-2025-004173</t>
  </si>
  <si>
    <t>CLM-2025-004174</t>
  </si>
  <si>
    <t>CLM-2025-004175</t>
  </si>
  <si>
    <t>CLM-2025-004176</t>
  </si>
  <si>
    <t>CLM-2025-004177</t>
  </si>
  <si>
    <t>CLM-2025-004178</t>
  </si>
  <si>
    <t>CLM-2025-004179</t>
  </si>
  <si>
    <t>CLM-2025-004180</t>
  </si>
  <si>
    <t>CLM-2025-004181</t>
  </si>
  <si>
    <t>CLM-2025-004182</t>
  </si>
  <si>
    <t>CLM-2025-004183</t>
  </si>
  <si>
    <t>CLM-2025-004184</t>
  </si>
  <si>
    <t>CLM-2025-004185</t>
  </si>
  <si>
    <t>CLM-2025-004186</t>
  </si>
  <si>
    <t>CLM-2025-004187</t>
  </si>
  <si>
    <t>CLM-2025-004188</t>
  </si>
  <si>
    <t>CLM-2025-004189</t>
  </si>
  <si>
    <t>CLM-2025-004190</t>
  </si>
  <si>
    <t>CLM-2025-004191</t>
  </si>
  <si>
    <t>CLM-2025-004192</t>
  </si>
  <si>
    <t>CLM-2025-004193</t>
  </si>
  <si>
    <t>CLM-2025-004194</t>
  </si>
  <si>
    <t>CLM-2025-004195</t>
  </si>
  <si>
    <t>CLM-2025-004196</t>
  </si>
  <si>
    <t>CLM-2025-004197</t>
  </si>
  <si>
    <t>CLM-2025-004198</t>
  </si>
  <si>
    <t>CLM-2025-004199</t>
  </si>
  <si>
    <t>CLM-2025-004200</t>
  </si>
  <si>
    <t>CLM-2025-004201</t>
  </si>
  <si>
    <t>CLM-2025-004202</t>
  </si>
  <si>
    <t>CLM-2025-004203</t>
  </si>
  <si>
    <t>CLM-2025-004204</t>
  </si>
  <si>
    <t>CLM-2025-004205</t>
  </si>
  <si>
    <t>CLM-2025-004206</t>
  </si>
  <si>
    <t>CLM-2025-004207</t>
  </si>
  <si>
    <t>CLM-2025-004208</t>
  </si>
  <si>
    <t>CLM-2025-004209</t>
  </si>
  <si>
    <t>CLM-2025-004210</t>
  </si>
  <si>
    <t>CLM-2025-004211</t>
  </si>
  <si>
    <t>CLM-2025-004212</t>
  </si>
  <si>
    <t>CLM-2025-004213</t>
  </si>
  <si>
    <t>CLM-2025-004214</t>
  </si>
  <si>
    <t>CLM-2025-004215</t>
  </si>
  <si>
    <t>CLM-2025-004216</t>
  </si>
  <si>
    <t>CLM-2025-004217</t>
  </si>
  <si>
    <t>CLM-2025-004218</t>
  </si>
  <si>
    <t>CLM-2025-004219</t>
  </si>
  <si>
    <t>CLM-2025-004220</t>
  </si>
  <si>
    <t>CLM-2025-004221</t>
  </si>
  <si>
    <t>CLM-2025-004222</t>
  </si>
  <si>
    <t>CLM-2025-004223</t>
  </si>
  <si>
    <t>CLM-2025-004224</t>
  </si>
  <si>
    <t>CLM-2025-004225</t>
  </si>
  <si>
    <t>CLM-2025-004226</t>
  </si>
  <si>
    <t>CLM-2025-004227</t>
  </si>
  <si>
    <t>CLM-2025-004228</t>
  </si>
  <si>
    <t>CLM-2025-004229</t>
  </si>
  <si>
    <t>CLM-2025-004230</t>
  </si>
  <si>
    <t>CLM-2025-004231</t>
  </si>
  <si>
    <t>CLM-2025-004232</t>
  </si>
  <si>
    <t>CLM-2025-004233</t>
  </si>
  <si>
    <t>CLM-2025-004234</t>
  </si>
  <si>
    <t>CLM-2025-004235</t>
  </si>
  <si>
    <t>CLM-2025-004236</t>
  </si>
  <si>
    <t>CLM-2025-004237</t>
  </si>
  <si>
    <t>CLM-2025-004238</t>
  </si>
  <si>
    <t>CLM-2025-004239</t>
  </si>
  <si>
    <t>CLM-2025-004240</t>
  </si>
  <si>
    <t>CLM-2025-004241</t>
  </si>
  <si>
    <t>CLM-2025-004242</t>
  </si>
  <si>
    <t>CLM-2025-004243</t>
  </si>
  <si>
    <t>CLM-2025-004244</t>
  </si>
  <si>
    <t>CLM-2025-004245</t>
  </si>
  <si>
    <t>CLM-2025-004246</t>
  </si>
  <si>
    <t>CLM-2025-004247</t>
  </si>
  <si>
    <t>CLM-2025-004248</t>
  </si>
  <si>
    <t>CLM-2025-004249</t>
  </si>
  <si>
    <t>CLM-2025-004250</t>
  </si>
  <si>
    <t>CLM-2025-004251</t>
  </si>
  <si>
    <t>CLM-2025-004252</t>
  </si>
  <si>
    <t>CLM-2025-004253</t>
  </si>
  <si>
    <t>CLM-2025-004254</t>
  </si>
  <si>
    <t>CLM-2025-004255</t>
  </si>
  <si>
    <t>CLM-2025-004256</t>
  </si>
  <si>
    <t>CLM-2025-004257</t>
  </si>
  <si>
    <t>CLM-2025-004259</t>
  </si>
  <si>
    <t>CLM-2025-004260</t>
  </si>
  <si>
    <t>CLM-2025-004261</t>
  </si>
  <si>
    <t>CLM-2025-004262</t>
  </si>
  <si>
    <t>CLM-2025-004263</t>
  </si>
  <si>
    <t>CLM-2025-004264</t>
  </si>
  <si>
    <t>CLM-2025-004266</t>
  </si>
  <si>
    <t>CLM-2025-004267</t>
  </si>
  <si>
    <t>CLM-2025-004269</t>
  </si>
  <si>
    <t>CLM-2025-004270</t>
  </si>
  <si>
    <t>CLM-2025-004271</t>
  </si>
  <si>
    <t>CLM-2025-004272</t>
  </si>
  <si>
    <t>CLM-2025-004274</t>
  </si>
  <si>
    <t>CLM-2025-004275</t>
  </si>
  <si>
    <t>CLM-2025-004276</t>
  </si>
  <si>
    <t>CLM-2025-004277</t>
  </si>
  <si>
    <t>CLM-2025-004278</t>
  </si>
  <si>
    <t>CLM-2025-004279</t>
  </si>
  <si>
    <t>CLM-2025-004280</t>
  </si>
  <si>
    <t>CLM-2025-004281</t>
  </si>
  <si>
    <t>CLM-2025-004282</t>
  </si>
  <si>
    <t>CLM-2025-004283</t>
  </si>
  <si>
    <t>CLM-2025-004284</t>
  </si>
  <si>
    <t>CLM-2025-004285</t>
  </si>
  <si>
    <t>CLM-2025-004286</t>
  </si>
  <si>
    <t>CLM-2025-004288</t>
  </si>
  <si>
    <t>CLM-2025-004289</t>
  </si>
  <si>
    <t>CLM-2025-004290</t>
  </si>
  <si>
    <t>CLM-2025-004291</t>
  </si>
  <si>
    <t>CLM-2025-004292</t>
  </si>
  <si>
    <t>CLM-2025-004295</t>
  </si>
  <si>
    <t>CLM-2025-004297</t>
  </si>
  <si>
    <t>CLM-2025-004299</t>
  </si>
  <si>
    <t>CLM-2025-004300</t>
  </si>
  <si>
    <t>CLM-2025-004301</t>
  </si>
  <si>
    <t>CLM-2025-004302</t>
  </si>
  <si>
    <t>CLM-2025-004303</t>
  </si>
  <si>
    <t>CLM-2025-004304</t>
  </si>
  <si>
    <t>CLM-2025-004305</t>
  </si>
  <si>
    <t>CLM-2025-004306</t>
  </si>
  <si>
    <t>CLM-2025-004308</t>
  </si>
  <si>
    <t>CLM-2025-004310</t>
  </si>
  <si>
    <t>CLM-2025-004311</t>
  </si>
  <si>
    <t>CLM-2025-004312</t>
  </si>
  <si>
    <t>CLM-2025-004313</t>
  </si>
  <si>
    <t>CLM-2025-004314</t>
  </si>
  <si>
    <t>CLM-2025-004316</t>
  </si>
  <si>
    <t>CLM-2025-004317</t>
  </si>
  <si>
    <t>CLM-2025-004318</t>
  </si>
  <si>
    <t>CLM-2025-004319</t>
  </si>
  <si>
    <t>CLM-2025-004320</t>
  </si>
  <si>
    <t>CLM-2025-004324</t>
  </si>
  <si>
    <t>CLM-2025-004325</t>
  </si>
  <si>
    <t>CLM-2025-004326</t>
  </si>
  <si>
    <t>CLM-2025-004327</t>
  </si>
  <si>
    <t>CLM-2025-004328</t>
  </si>
  <si>
    <t>CLM-2025-004329</t>
  </si>
  <si>
    <t>CLM-2025-004330</t>
  </si>
  <si>
    <t>CLM-2025-004331</t>
  </si>
  <si>
    <t>CLM-2025-004332</t>
  </si>
  <si>
    <t>CLM-2025-004333</t>
  </si>
  <si>
    <t>CLM-2025-004335</t>
  </si>
  <si>
    <t>CLM-2025-004336</t>
  </si>
  <si>
    <t>CLM-2025-004337</t>
  </si>
  <si>
    <t>CLM-2025-004338</t>
  </si>
  <si>
    <t>CLM-2025-004339</t>
  </si>
  <si>
    <t>CLM-2025-004340</t>
  </si>
  <si>
    <t>CLM-2025-004341</t>
  </si>
  <si>
    <t>CLM-2025-004342</t>
  </si>
  <si>
    <t>CLM-2025-004343</t>
  </si>
  <si>
    <t>CLM-2025-004344</t>
  </si>
  <si>
    <t>CLM-2025-004345</t>
  </si>
  <si>
    <t>CLM-2025-004347</t>
  </si>
  <si>
    <t>CLM-2025-004349</t>
  </si>
  <si>
    <t>CLM-2025-004350</t>
  </si>
  <si>
    <t>CLM-2025-004352</t>
  </si>
  <si>
    <t>CLM-2025-004354</t>
  </si>
  <si>
    <t>CLM-2025-004355</t>
  </si>
  <si>
    <t>CLM-2025-004356</t>
  </si>
  <si>
    <t>CLM-2025-004357</t>
  </si>
  <si>
    <t>CLM-2025-004358</t>
  </si>
  <si>
    <t>CLM-2025-004359</t>
  </si>
  <si>
    <t>CLM-2025-004360</t>
  </si>
  <si>
    <t>CLM-2025-004361</t>
  </si>
  <si>
    <t>CLM-2025-004362</t>
  </si>
  <si>
    <t>CLM-2025-004364</t>
  </si>
  <si>
    <t>CLM-2025-004366</t>
  </si>
  <si>
    <t>CLM-2025-004367</t>
  </si>
  <si>
    <t>CLM-2025-004368</t>
  </si>
  <si>
    <t>CLM-2025-004370</t>
  </si>
  <si>
    <t>CLM-2025-004371</t>
  </si>
  <si>
    <t>CLM-2025-004372</t>
  </si>
  <si>
    <t>CLM-2025-004373</t>
  </si>
  <si>
    <t>CLM-2025-004374</t>
  </si>
  <si>
    <t>CLM-2025-004375</t>
  </si>
  <si>
    <t>CLM-2025-004376</t>
  </si>
  <si>
    <t>CLM-2025-004377</t>
  </si>
  <si>
    <t>CLM-2025-004378</t>
  </si>
  <si>
    <t>CLM-2025-004379</t>
  </si>
  <si>
    <t>CLM-2025-004380</t>
  </si>
  <si>
    <t>CLM-2025-004381</t>
  </si>
  <si>
    <t>CLM-2025-004382</t>
  </si>
  <si>
    <t>CLM-2025-004383</t>
  </si>
  <si>
    <t>CLM-2025-004384</t>
  </si>
  <si>
    <t>CLM-2025-004385</t>
  </si>
  <si>
    <t>CLM-2025-004388</t>
  </si>
  <si>
    <t>CLM-2025-004389</t>
  </si>
  <si>
    <t>CLM-2025-004390</t>
  </si>
  <si>
    <t>CLM-2025-004391</t>
  </si>
  <si>
    <t>CLM-2025-004392</t>
  </si>
  <si>
    <t>CLM-2025-004393</t>
  </si>
  <si>
    <t>CLM-2025-004394</t>
  </si>
  <si>
    <t>CLM-2025-004395</t>
  </si>
  <si>
    <t>CLM-2025-004397</t>
  </si>
  <si>
    <t>CLM-2025-004399</t>
  </si>
  <si>
    <t>CLM-2025-004400</t>
  </si>
  <si>
    <t>CLM-2025-004401</t>
  </si>
  <si>
    <t>CLM-2025-004402</t>
  </si>
  <si>
    <t>CLM-2025-004403</t>
  </si>
  <si>
    <t>CLM-2025-004404</t>
  </si>
  <si>
    <t>CLM-2025-004405</t>
  </si>
  <si>
    <t>CLM-2025-004406</t>
  </si>
  <si>
    <t>CLM-2025-004407</t>
  </si>
  <si>
    <t>CLM-2025-004408</t>
  </si>
  <si>
    <t>CLM-2025-004409</t>
  </si>
  <si>
    <t>CLM-2025-004411</t>
  </si>
  <si>
    <t>CLM-2025-004412</t>
  </si>
  <si>
    <t>CLM-2025-004413</t>
  </si>
  <si>
    <t>CLM-2025-004414</t>
  </si>
  <si>
    <t>CLM-2025-004415</t>
  </si>
  <si>
    <t>CLM-2025-004416</t>
  </si>
  <si>
    <t>CLM-2025-004417</t>
  </si>
  <si>
    <t>CLM-2025-004418</t>
  </si>
  <si>
    <t>CLM-2025-004419</t>
  </si>
  <si>
    <t>CLM-2025-004420</t>
  </si>
  <si>
    <t>CLM-2025-004421</t>
  </si>
  <si>
    <t>CLM-2025-004422</t>
  </si>
  <si>
    <t>CLM-2025-004423</t>
  </si>
  <si>
    <t>CLM-2025-004424</t>
  </si>
  <si>
    <t>CLM-2025-004425</t>
  </si>
  <si>
    <t>CLM-2025-004426</t>
  </si>
  <si>
    <t>CLM-2025-004427</t>
  </si>
  <si>
    <t>CLM-2025-004428</t>
  </si>
  <si>
    <t>CLM-2025-004429</t>
  </si>
  <si>
    <t>CLM-2025-004430</t>
  </si>
  <si>
    <t>CLM-2025-004431</t>
  </si>
  <si>
    <t>CLM-2025-004432</t>
  </si>
  <si>
    <t>CLM-2025-004435</t>
  </si>
  <si>
    <t>CLM-2025-004436</t>
  </si>
  <si>
    <t>CLM-2025-004437</t>
  </si>
  <si>
    <t>CLM-2025-004438</t>
  </si>
  <si>
    <t>CLM-2025-004439</t>
  </si>
  <si>
    <t>CLM-2025-004440</t>
  </si>
  <si>
    <t>CLM-2025-004441</t>
  </si>
  <si>
    <t>CLM-2025-004442</t>
  </si>
  <si>
    <t>CLM-2025-004443</t>
  </si>
  <si>
    <t>CLM-2025-004444</t>
  </si>
  <si>
    <t>CLM-2025-004445</t>
  </si>
  <si>
    <t>CLM-2025-004446</t>
  </si>
  <si>
    <t>CLM-2025-004447</t>
  </si>
  <si>
    <t>CLM-2025-004449</t>
  </si>
  <si>
    <t>CLM-2025-004450</t>
  </si>
  <si>
    <t>CLM-2025-004451</t>
  </si>
  <si>
    <t>CLM-2025-004452</t>
  </si>
  <si>
    <t>CLM-2025-004453</t>
  </si>
  <si>
    <t>CLM-2025-004454</t>
  </si>
  <si>
    <t>CLM-2025-004455</t>
  </si>
  <si>
    <t>CLM-2025-004456</t>
  </si>
  <si>
    <t>CLM-2025-004457</t>
  </si>
  <si>
    <t>CLM-2025-004458</t>
  </si>
  <si>
    <t>CLM-2025-004459</t>
  </si>
  <si>
    <t>CLM-2025-004460</t>
  </si>
  <si>
    <t>CLM-2025-004461</t>
  </si>
  <si>
    <t>CLM-2025-004462</t>
  </si>
  <si>
    <t>CLM-2025-004463</t>
  </si>
  <si>
    <t>CLM-2025-004464</t>
  </si>
  <si>
    <t>CLM-2025-004465</t>
  </si>
  <si>
    <t>CLM-2025-004466</t>
  </si>
  <si>
    <t>CLM-2025-004467</t>
  </si>
  <si>
    <t>CLM-2025-004468</t>
  </si>
  <si>
    <t>CLM-2025-004469</t>
  </si>
  <si>
    <t>CLM-2025-004470</t>
  </si>
  <si>
    <t>CLM-2025-004471</t>
  </si>
  <si>
    <t>CLM-2025-004492</t>
  </si>
  <si>
    <t>CLM-2025-004493</t>
  </si>
  <si>
    <t>CLM-2025-004495</t>
  </si>
  <si>
    <t>CLM-2025-004496</t>
  </si>
  <si>
    <t>CLM-2025-004497</t>
  </si>
  <si>
    <t>CLM-2025-004498</t>
  </si>
  <si>
    <t>CLM-2025-004499</t>
  </si>
  <si>
    <t>CLM-2025-004500</t>
  </si>
  <si>
    <t>CLM-2025-004501</t>
  </si>
  <si>
    <t>CLM-2025-004502</t>
  </si>
  <si>
    <t>CLM-2025-004503</t>
  </si>
  <si>
    <t>CLM-2025-004505</t>
  </si>
  <si>
    <t>CLM-2025-004506</t>
  </si>
  <si>
    <t>CLM-2025-004507</t>
  </si>
  <si>
    <t>CLM-2025-004508</t>
  </si>
  <si>
    <t>CLM-2025-004511</t>
  </si>
  <si>
    <t>CLM-2025-004513</t>
  </si>
  <si>
    <t>CLM-2025-004514</t>
  </si>
  <si>
    <t>CLM-2025-004515</t>
  </si>
  <si>
    <t>CLM-2025-004516</t>
  </si>
  <si>
    <t>CLM-2025-004517</t>
  </si>
  <si>
    <t>CLM-2025-004518</t>
  </si>
  <si>
    <t>CLM-2025-004519</t>
  </si>
  <si>
    <t>CLM-2025-004520</t>
  </si>
  <si>
    <t>CLM-2025-004522</t>
  </si>
  <si>
    <t>CLM-2025-004524</t>
  </si>
  <si>
    <t>CLM-2025-004525</t>
  </si>
  <si>
    <t>CLM-2025-004527</t>
  </si>
  <si>
    <t>CLM-2025-004528</t>
  </si>
  <si>
    <t>CLM-2025-004529</t>
  </si>
  <si>
    <t>CLM-2025-004530</t>
  </si>
  <si>
    <t>CLM-2025-004531</t>
  </si>
  <si>
    <t>CLM-2025-004532</t>
  </si>
  <si>
    <t>CLM-2025-004533</t>
  </si>
  <si>
    <t>CLM-2025-004534</t>
  </si>
  <si>
    <t>CLM-2025-004535</t>
  </si>
  <si>
    <t>CLM-2025-004536</t>
  </si>
  <si>
    <t>CLM-2025-004537</t>
  </si>
  <si>
    <t>CLM-2025-004538</t>
  </si>
  <si>
    <t>CLM-2025-004539</t>
  </si>
  <si>
    <t>CLM-2025-004540</t>
  </si>
  <si>
    <t>CLM-2025-004543</t>
  </si>
  <si>
    <t>CLM-2025-004544</t>
  </si>
  <si>
    <t>CLM-2025-004545</t>
  </si>
  <si>
    <t>CLM-2025-004546</t>
  </si>
  <si>
    <t>CLM-2025-004547</t>
  </si>
  <si>
    <t>CLM-2025-004548</t>
  </si>
  <si>
    <t>CLM-2025-004550</t>
  </si>
  <si>
    <t>CLM-2025-004551</t>
  </si>
  <si>
    <t>CLM-2025-004552</t>
  </si>
  <si>
    <t>CLM-2025-004553</t>
  </si>
  <si>
    <t>CLM-2025-004554</t>
  </si>
  <si>
    <t>CLM-2025-004555</t>
  </si>
  <si>
    <t>CLM-2025-004556</t>
  </si>
  <si>
    <t>CLM-2025-004558</t>
  </si>
  <si>
    <t>CLM-2025-004559</t>
  </si>
  <si>
    <t>CLM-2025-004560</t>
  </si>
  <si>
    <t>CLM-2025-004562</t>
  </si>
  <si>
    <t>CLM-2025-004563</t>
  </si>
  <si>
    <t>CLM-2025-004564</t>
  </si>
  <si>
    <t>CLM-2025-004565</t>
  </si>
  <si>
    <t>CLM-2025-004566</t>
  </si>
  <si>
    <t>CLM-2025-004567</t>
  </si>
  <si>
    <t>CLM-2025-004568</t>
  </si>
  <si>
    <t>CLM-2025-004569</t>
  </si>
  <si>
    <t>CLM-2025-004570</t>
  </si>
  <si>
    <t>CLM-2025-004571</t>
  </si>
  <si>
    <t>CLM-2025-004572</t>
  </si>
  <si>
    <t>CLM-2025-004573</t>
  </si>
  <si>
    <t>CLM-2025-004574</t>
  </si>
  <si>
    <t>CLM-2025-004577</t>
  </si>
  <si>
    <t>CLM-2025-004578</t>
  </si>
  <si>
    <t>CLM-2025-004579</t>
  </si>
  <si>
    <t>CLM-2025-004580</t>
  </si>
  <si>
    <t>CLM-2025-004581</t>
  </si>
  <si>
    <t>CLM-2025-004582</t>
  </si>
  <si>
    <t>CLM-2025-004583</t>
  </si>
  <si>
    <t>CLM-2025-004584</t>
  </si>
  <si>
    <t>CLM-2025-004585</t>
  </si>
  <si>
    <t>CLM-2025-004586</t>
  </si>
  <si>
    <t>CLM-2025-004587</t>
  </si>
  <si>
    <t>CLM-2025-004588</t>
  </si>
  <si>
    <t>CLM-2025-004589</t>
  </si>
  <si>
    <t>CLM-2025-004591</t>
  </si>
  <si>
    <t>CLM-2025-004592</t>
  </si>
  <si>
    <t>CLM-2025-004594</t>
  </si>
  <si>
    <t>CLM-2025-004595</t>
  </si>
  <si>
    <t>CLM-2025-004596</t>
  </si>
  <si>
    <t>CLM-2025-004597</t>
  </si>
  <si>
    <t>CLM-2025-004598</t>
  </si>
  <si>
    <t>CLM-2025-004600</t>
  </si>
  <si>
    <t>CLM-2025-004601</t>
  </si>
  <si>
    <t>CLM-2025-004602</t>
  </si>
  <si>
    <t>CLM-2025-004603</t>
  </si>
  <si>
    <t>CLM-2025-004605</t>
  </si>
  <si>
    <t>CLM-2025-004606</t>
  </si>
  <si>
    <t>CLM-2025-004607</t>
  </si>
  <si>
    <t>CLM-2025-004608</t>
  </si>
  <si>
    <t>CLM-2025-004609</t>
  </si>
  <si>
    <t>CLM-2025-004610</t>
  </si>
  <si>
    <t>CLM-2025-004611</t>
  </si>
  <si>
    <t>CLM-2025-004612</t>
  </si>
  <si>
    <t>CLM-2025-004613</t>
  </si>
  <si>
    <t>CLM-2025-004614</t>
  </si>
  <si>
    <t>CLM-2025-004616</t>
  </si>
  <si>
    <t>CLM-2025-004617</t>
  </si>
  <si>
    <t>CLM-2025-004618</t>
  </si>
  <si>
    <t>CLM-2025-004620</t>
  </si>
  <si>
    <t>CLM-2025-004622</t>
  </si>
  <si>
    <t>CLM-2025-004623</t>
  </si>
  <si>
    <t>CLM-2025-004624</t>
  </si>
  <si>
    <t>CLM-2025-004626</t>
  </si>
  <si>
    <t>CLM-2025-004627</t>
  </si>
  <si>
    <t>CLM-2025-004629</t>
  </si>
  <si>
    <t>CLM-2025-004630</t>
  </si>
  <si>
    <t>CLM-2025-004632</t>
  </si>
  <si>
    <t>CLM-2025-004633</t>
  </si>
  <si>
    <t>CLM-2025-004634</t>
  </si>
  <si>
    <t>CLM-2025-004636</t>
  </si>
  <si>
    <t>CLM-2025-004637</t>
  </si>
  <si>
    <t>CLM-2025-004639</t>
  </si>
  <si>
    <t>CLM-2025-004640</t>
  </si>
  <si>
    <t>CLM-2025-004641</t>
  </si>
  <si>
    <t>CLM-2025-004642</t>
  </si>
  <si>
    <t>CLM-2025-004643</t>
  </si>
  <si>
    <t>CLM-2025-004645</t>
  </si>
  <si>
    <t>CLM-2025-004646</t>
  </si>
  <si>
    <t>CLM-2025-004647</t>
  </si>
  <si>
    <t>CLM-2025-004648</t>
  </si>
  <si>
    <t>CLM-2025-004649</t>
  </si>
  <si>
    <t>CLM-2025-004651</t>
  </si>
  <si>
    <t>CLM-2025-004652</t>
  </si>
  <si>
    <t>CLM-2025-004653</t>
  </si>
  <si>
    <t>CLM-2025-004654</t>
  </si>
  <si>
    <t>CLM-2025-004655</t>
  </si>
  <si>
    <t>CLM-2025-004656</t>
  </si>
  <si>
    <t>CLM-2025-004657</t>
  </si>
  <si>
    <t>CLM-2025-004658</t>
  </si>
  <si>
    <t>CLM-2025-004659</t>
  </si>
  <si>
    <t>CLM-2025-004660</t>
  </si>
  <si>
    <t>CLM-2025-004661</t>
  </si>
  <si>
    <t>CLM-2025-004662</t>
  </si>
  <si>
    <t>CLM-2025-004663</t>
  </si>
  <si>
    <t>CLM-2025-004665</t>
  </si>
  <si>
    <t>CLM-2025-004666</t>
  </si>
  <si>
    <t>CLM-2025-004667</t>
  </si>
  <si>
    <t>CLM-2025-004668</t>
  </si>
  <si>
    <t>CLM-2025-004669</t>
  </si>
  <si>
    <t>CLM-2025-004670</t>
  </si>
  <si>
    <t>CLM-2025-004671</t>
  </si>
  <si>
    <t>CLM-2025-004672</t>
  </si>
  <si>
    <t>CLM-2025-004675</t>
  </si>
  <si>
    <t>CLM-2025-004676</t>
  </si>
  <si>
    <t>CLM-2025-004677</t>
  </si>
  <si>
    <t>CLM-2025-004678</t>
  </si>
  <si>
    <t>CLM-2025-004679</t>
  </si>
  <si>
    <t>CLM-2025-004681</t>
  </si>
  <si>
    <t>CLM-2025-004682</t>
  </si>
  <si>
    <t>CLM-2025-004684</t>
  </si>
  <si>
    <t>CLM-2025-004685</t>
  </si>
  <si>
    <t>CLM-2025-004686</t>
  </si>
  <si>
    <t>CLM-2025-004688</t>
  </si>
  <si>
    <t>CLM-2025-004689</t>
  </si>
  <si>
    <t>CLM-2025-004690</t>
  </si>
  <si>
    <t>CLM-2025-004691</t>
  </si>
  <si>
    <t>CLM-2025-004693</t>
  </si>
  <si>
    <t>CLM-2025-004694</t>
  </si>
  <si>
    <t>CLM-2025-004696</t>
  </si>
  <si>
    <t>CLM-2025-004697</t>
  </si>
  <si>
    <t>CLM-2025-004698</t>
  </si>
  <si>
    <t>CLM-2025-004699</t>
  </si>
  <si>
    <t>CLM-2025-004700</t>
  </si>
  <si>
    <t>CLM-2025-004701</t>
  </si>
  <si>
    <t>CLM-2025-004702</t>
  </si>
  <si>
    <t>CLM-2025-004703</t>
  </si>
  <si>
    <t>CLM-2025-004704</t>
  </si>
  <si>
    <t>CLM-2025-004705</t>
  </si>
  <si>
    <t>CLM-2025-004706</t>
  </si>
  <si>
    <t>CLM-2025-004707</t>
  </si>
  <si>
    <t>CLM-2025-004708</t>
  </si>
  <si>
    <t>CLM-2025-004709</t>
  </si>
  <si>
    <t>CLM-2025-004712</t>
  </si>
  <si>
    <t>CLM-2025-004713</t>
  </si>
  <si>
    <t>CLM-2025-004714</t>
  </si>
  <si>
    <t>CLM-2025-004715</t>
  </si>
  <si>
    <t>CLM-2025-004716</t>
  </si>
  <si>
    <t>CLM-2025-004717</t>
  </si>
  <si>
    <t>CLM-2025-004719</t>
  </si>
  <si>
    <t>CLM-2025-004720</t>
  </si>
  <si>
    <t>CLM-2025-004721</t>
  </si>
  <si>
    <t>CLM-2025-004722</t>
  </si>
  <si>
    <t>CLM-2025-004724</t>
  </si>
  <si>
    <t>CLM-2025-004725</t>
  </si>
  <si>
    <t>CLM-2025-004727</t>
  </si>
  <si>
    <t>CLM-2025-004728</t>
  </si>
  <si>
    <t>CLM-2025-004730</t>
  </si>
  <si>
    <t>CLM-2025-004731</t>
  </si>
  <si>
    <t>CLM-2025-004733</t>
  </si>
  <si>
    <t>CLM-2025-004734</t>
  </si>
  <si>
    <t>CLM-2025-004735</t>
  </si>
  <si>
    <t>CLM-2025-004738</t>
  </si>
  <si>
    <t>CLM-2025-004739</t>
  </si>
  <si>
    <t>CLM-2025-004741</t>
  </si>
  <si>
    <t>CLM-2025-004742</t>
  </si>
  <si>
    <t>CLM-2025-004743</t>
  </si>
  <si>
    <t>CLM-2025-004744</t>
  </si>
  <si>
    <t>CLM-2025-004746</t>
  </si>
  <si>
    <t>CLM-2025-004747</t>
  </si>
  <si>
    <t>CLM-2025-004748</t>
  </si>
  <si>
    <t>CLM-2025-004750</t>
  </si>
  <si>
    <t>CLM-2025-004751</t>
  </si>
  <si>
    <t>CLM-2025-004752</t>
  </si>
  <si>
    <t>CLM-2025-004754</t>
  </si>
  <si>
    <t>CLM-2025-004755</t>
  </si>
  <si>
    <t>CLM-2025-004756</t>
  </si>
  <si>
    <t>CLM-2025-004757</t>
  </si>
  <si>
    <t>CLM-2025-004758</t>
  </si>
  <si>
    <t>CLM-2025-004759</t>
  </si>
  <si>
    <t>CLM-2025-004761</t>
  </si>
  <si>
    <t>CLM-2025-004762</t>
  </si>
  <si>
    <t>CLM-2025-004763</t>
  </si>
  <si>
    <t>CLM-2025-004764</t>
  </si>
  <si>
    <t>CLM-2025-004765</t>
  </si>
  <si>
    <t>CLM-2025-004784</t>
  </si>
  <si>
    <t>CLM-2025-004785</t>
  </si>
  <si>
    <t>CLM-2025-004786</t>
  </si>
  <si>
    <t>CLM-2025-004787</t>
  </si>
  <si>
    <t>CLM-2025-004788</t>
  </si>
  <si>
    <t>CLM-2025-004789</t>
  </si>
  <si>
    <t>CLM-2025-004790</t>
  </si>
  <si>
    <t>CLM-2025-004791</t>
  </si>
  <si>
    <t>CLM-2025-004792</t>
  </si>
  <si>
    <t>CLM-2025-004793</t>
  </si>
  <si>
    <t>CLM-2025-004794</t>
  </si>
  <si>
    <t>CLM-2025-004795</t>
  </si>
  <si>
    <t>CLM-2025-004796</t>
  </si>
  <si>
    <t>CLM-2025-004797</t>
  </si>
  <si>
    <t>CLM-2025-004799</t>
  </si>
  <si>
    <t>CLM-2025-004800</t>
  </si>
  <si>
    <t>CLM-2025-004801</t>
  </si>
  <si>
    <t>CLM-2025-004802</t>
  </si>
  <si>
    <t>CLM-2025-004803</t>
  </si>
  <si>
    <t>CLM-2025-004804</t>
  </si>
  <si>
    <t>CLM-2025-004805</t>
  </si>
  <si>
    <t>CLM-2025-004806</t>
  </si>
  <si>
    <t>CLM-2025-004807</t>
  </si>
  <si>
    <t>CLM-2025-004808</t>
  </si>
  <si>
    <t>CLM-2025-004809</t>
  </si>
  <si>
    <t>CLM-2025-004810</t>
  </si>
  <si>
    <t>CLM-2025-004811</t>
  </si>
  <si>
    <t>CLM-2025-004813</t>
  </si>
  <si>
    <t>CLM-2025-004814</t>
  </si>
  <si>
    <t>CLM-2025-004815</t>
  </si>
  <si>
    <t>CLM-2025-004818</t>
  </si>
  <si>
    <t>CLM-2025-004819</t>
  </si>
  <si>
    <t>CLM-2025-004820</t>
  </si>
  <si>
    <t>CLM-2025-004822</t>
  </si>
  <si>
    <t>CLM-2025-004823</t>
  </si>
  <si>
    <t>CLM-2025-004824</t>
  </si>
  <si>
    <t>CLM-2025-004825</t>
  </si>
  <si>
    <t>CLM-2025-004826</t>
  </si>
  <si>
    <t>CLM-2025-004827</t>
  </si>
  <si>
    <t>CLM-2025-004828</t>
  </si>
  <si>
    <t>CLM-2025-004829</t>
  </si>
  <si>
    <t>CLM-2025-004830</t>
  </si>
  <si>
    <t>CLM-2025-004831</t>
  </si>
  <si>
    <t>CLM-2025-004832</t>
  </si>
  <si>
    <t>CLM-2025-004833</t>
  </si>
  <si>
    <t>CLM-2025-004834</t>
  </si>
  <si>
    <t>CLM-2025-004836</t>
  </si>
  <si>
    <t>CLM-2025-004837</t>
  </si>
  <si>
    <t>CLM-2025-004838</t>
  </si>
  <si>
    <t>CLM-2025-004839</t>
  </si>
  <si>
    <t>CLM-2025-004841</t>
  </si>
  <si>
    <t>CLM-2025-004843</t>
  </si>
  <si>
    <t>CLM-2025-004844</t>
  </si>
  <si>
    <t>CLM-2025-004845</t>
  </si>
  <si>
    <t>CLM-2025-004846</t>
  </si>
  <si>
    <t>CLM-2025-004848</t>
  </si>
  <si>
    <t>CLM-2025-004849</t>
  </si>
  <si>
    <t>CLM-2025-004850</t>
  </si>
  <si>
    <t>CLM-2025-004851</t>
  </si>
  <si>
    <t>CLM-2025-004852</t>
  </si>
  <si>
    <t>CLM-2025-004853</t>
  </si>
  <si>
    <t>CLM-2025-004854</t>
  </si>
  <si>
    <t>CLM-2025-004855</t>
  </si>
  <si>
    <t>CLM-2025-004857</t>
  </si>
  <si>
    <t>CLM-2025-004859</t>
  </si>
  <si>
    <t>CLM-2025-004860</t>
  </si>
  <si>
    <t>CLM-2025-004861</t>
  </si>
  <si>
    <t>CLM-2025-004863</t>
  </si>
  <si>
    <t>CLM-2025-004865</t>
  </si>
  <si>
    <t>CLM-2025-004866</t>
  </si>
  <si>
    <t>CLM-2025-004867</t>
  </si>
  <si>
    <t>CLM-2025-004869</t>
  </si>
  <si>
    <t>CLM-2025-004872</t>
  </si>
  <si>
    <t>CLM-2025-004873</t>
  </si>
  <si>
    <t>CLM-2025-004874</t>
  </si>
  <si>
    <t>CLM-2025-004875</t>
  </si>
  <si>
    <t>CLM-2025-004877</t>
  </si>
  <si>
    <t>CLM-2025-004878</t>
  </si>
  <si>
    <t>CLM-2025-004879</t>
  </si>
  <si>
    <t>CLM-2025-004880</t>
  </si>
  <si>
    <t>CLM-2025-004881</t>
  </si>
  <si>
    <t>CLM-2025-004882</t>
  </si>
  <si>
    <t>CLM-2025-004884</t>
  </si>
  <si>
    <t>CLM-2025-004885</t>
  </si>
  <si>
    <t>CLM-2025-004889</t>
  </si>
  <si>
    <t>CLM-2025-004890</t>
  </si>
  <si>
    <t>CLM-2025-004891</t>
  </si>
  <si>
    <t>CLM-2025-004892</t>
  </si>
  <si>
    <t>CLM-2025-004893</t>
  </si>
  <si>
    <t>CLM-2025-004894</t>
  </si>
  <si>
    <t>CLM-2025-004895</t>
  </si>
  <si>
    <t>CLM-2025-004897</t>
  </si>
  <si>
    <t>CLM-2025-004899</t>
  </si>
  <si>
    <t>CLM-2025-004901</t>
  </si>
  <si>
    <t>CLM-2025-004903</t>
  </si>
  <si>
    <t>CLM-2025-004904</t>
  </si>
  <si>
    <t>CLM-2025-004905</t>
  </si>
  <si>
    <t>CLM-2025-004906</t>
  </si>
  <si>
    <t>CLM-2025-004907</t>
  </si>
  <si>
    <t>CLM-2025-004908</t>
  </si>
  <si>
    <t>CLM-2025-004909</t>
  </si>
  <si>
    <t>CLM-2025-004910</t>
  </si>
  <si>
    <t>CLM-2025-004911</t>
  </si>
  <si>
    <t>CLM-2025-004913</t>
  </si>
  <si>
    <t>CLM-2025-004915</t>
  </si>
  <si>
    <t>CLM-2025-004916</t>
  </si>
  <si>
    <t>CLM-2025-004917</t>
  </si>
  <si>
    <t>CLM-2025-004918</t>
  </si>
  <si>
    <t>CLM-2025-004919</t>
  </si>
  <si>
    <t>CLM-2025-004920</t>
  </si>
  <si>
    <t>CLM-2025-004922</t>
  </si>
  <si>
    <t>CLM-2025-004923</t>
  </si>
  <si>
    <t>CLM-2025-004924</t>
  </si>
  <si>
    <t>CLM-2025-004925</t>
  </si>
  <si>
    <t>CLM-2025-004926</t>
  </si>
  <si>
    <t>CLM-2025-004927</t>
  </si>
  <si>
    <t>CLM-2025-004928</t>
  </si>
  <si>
    <t>CLM-2025-004929</t>
  </si>
  <si>
    <t>CLM-2025-004931</t>
  </si>
  <si>
    <t>CLM-2025-004932</t>
  </si>
  <si>
    <t>CLM-2025-004933</t>
  </si>
  <si>
    <t>CLM-2025-004935</t>
  </si>
  <si>
    <t>CLM-2025-004936</t>
  </si>
  <si>
    <t>CLM-2025-004937</t>
  </si>
  <si>
    <t>CLM-2025-004938</t>
  </si>
  <si>
    <t>CLM-2025-004939</t>
  </si>
  <si>
    <t>CLM-2025-004940</t>
  </si>
  <si>
    <t>CLM-2025-004941</t>
  </si>
  <si>
    <t>CLM-2025-004942</t>
  </si>
  <si>
    <t>CLM-2025-004943</t>
  </si>
  <si>
    <t>CLM-2025-004944</t>
  </si>
  <si>
    <t>CLM-2025-004945</t>
  </si>
  <si>
    <t>CLM-2025-004946</t>
  </si>
  <si>
    <t>CLM-2025-004947</t>
  </si>
  <si>
    <t>CLM-2025-004948</t>
  </si>
  <si>
    <t>CLM-2025-004949</t>
  </si>
  <si>
    <t>CLM-2025-004950</t>
  </si>
  <si>
    <t>CLM-2025-004951</t>
  </si>
  <si>
    <t>CLM-2025-004952</t>
  </si>
  <si>
    <t>CLM-2025-004955</t>
  </si>
  <si>
    <t>CLM-2025-004956</t>
  </si>
  <si>
    <t>CLM-2025-004959</t>
  </si>
  <si>
    <t>CLM-2025-004960</t>
  </si>
  <si>
    <t>CLM-2025-004961</t>
  </si>
  <si>
    <t>CLM-2025-004962</t>
  </si>
  <si>
    <t>CLM-2025-004963</t>
  </si>
  <si>
    <t>CLM-2025-004964</t>
  </si>
  <si>
    <t>CLM-2025-004965</t>
  </si>
  <si>
    <t>CLM-2025-004966</t>
  </si>
  <si>
    <t>CLM-2025-004968</t>
  </si>
  <si>
    <t>CLM-2025-004969</t>
  </si>
  <si>
    <t>CLM-2025-004984</t>
  </si>
  <si>
    <t>CLM-2025-004986</t>
  </si>
  <si>
    <t>CLM-2025-004987</t>
  </si>
  <si>
    <t>CLM-2025-004989</t>
  </si>
  <si>
    <t>CLM-2025-004992</t>
  </si>
  <si>
    <t>CLM-2025-004993</t>
  </si>
  <si>
    <t>CLM-2025-004994</t>
  </si>
  <si>
    <t>CLM-2025-004995</t>
  </si>
  <si>
    <t>CLM-2025-004996</t>
  </si>
  <si>
    <t>CLM-2025-004997</t>
  </si>
  <si>
    <t>CLM-2025-004999</t>
  </si>
  <si>
    <t>CLM-2025-005000</t>
  </si>
  <si>
    <t>OS Data&gt;&gt;</t>
  </si>
  <si>
    <t>OS Data</t>
  </si>
  <si>
    <t>OCLM-2025-000001</t>
  </si>
  <si>
    <t>OCLM-2025-000002</t>
  </si>
  <si>
    <t>OCLM-2025-000003</t>
  </si>
  <si>
    <t>OCLM-2025-000004</t>
  </si>
  <si>
    <t>OCLM-2025-000006</t>
  </si>
  <si>
    <t>OCLM-2025-000007</t>
  </si>
  <si>
    <t>OCLM-2025-000008</t>
  </si>
  <si>
    <t>OCLM-2025-000010</t>
  </si>
  <si>
    <t>OCLM-2025-000011</t>
  </si>
  <si>
    <t>OCLM-2025-000012</t>
  </si>
  <si>
    <t>OCLM-2025-000013</t>
  </si>
  <si>
    <t>OCLM-2025-000014</t>
  </si>
  <si>
    <t>OCLM-2025-000015</t>
  </si>
  <si>
    <t>OCLM-2025-000017</t>
  </si>
  <si>
    <t>OCLM-2025-000018</t>
  </si>
  <si>
    <t>OCLM-2025-000019</t>
  </si>
  <si>
    <t>OCLM-2025-000020</t>
  </si>
  <si>
    <t>OCLM-2025-000021</t>
  </si>
  <si>
    <t>OCLM-2025-000023</t>
  </si>
  <si>
    <t>OCLM-2025-000024</t>
  </si>
  <si>
    <t>OCLM-2025-000026</t>
  </si>
  <si>
    <t>OCLM-2025-000027</t>
  </si>
  <si>
    <t>OCLM-2025-000028</t>
  </si>
  <si>
    <t>OCLM-2025-000029</t>
  </si>
  <si>
    <t>OCLM-2025-000030</t>
  </si>
  <si>
    <t>OCLM-2025-000032</t>
  </si>
  <si>
    <t>OCLM-2025-000034</t>
  </si>
  <si>
    <t>OCLM-2025-000035</t>
  </si>
  <si>
    <t>OCLM-2025-000037</t>
  </si>
  <si>
    <t>OCLM-2025-000039</t>
  </si>
  <si>
    <t>OCLM-2025-000040</t>
  </si>
  <si>
    <t>OCLM-2025-000041</t>
  </si>
  <si>
    <t>OCLM-2025-000042</t>
  </si>
  <si>
    <t>OCLM-2025-000044</t>
  </si>
  <si>
    <t>OCLM-2025-000045</t>
  </si>
  <si>
    <t>OCLM-2025-000047</t>
  </si>
  <si>
    <t>OCLM-2025-000049</t>
  </si>
  <si>
    <t>OCLM-2025-000051</t>
  </si>
  <si>
    <t>OCLM-2025-000052</t>
  </si>
  <si>
    <t>OCLM-2025-000053</t>
  </si>
  <si>
    <t>OCLM-2025-000054</t>
  </si>
  <si>
    <t>OCLM-2025-000055</t>
  </si>
  <si>
    <t>OCLM-2025-000056</t>
  </si>
  <si>
    <t>OCLM-2025-000057</t>
  </si>
  <si>
    <t>OCLM-2025-000060</t>
  </si>
  <si>
    <t>OCLM-2025-000061</t>
  </si>
  <si>
    <t>OCLM-2025-000062</t>
  </si>
  <si>
    <t>OCLM-2025-000063</t>
  </si>
  <si>
    <t>OCLM-2025-000064</t>
  </si>
  <si>
    <t>OCLM-2025-000065</t>
  </si>
  <si>
    <t>OCLM-2025-000066</t>
  </si>
  <si>
    <t>OCLM-2025-000068</t>
  </si>
  <si>
    <t>OCLM-2025-000069</t>
  </si>
  <si>
    <t>OCLM-2025-000070</t>
  </si>
  <si>
    <t>OCLM-2025-000072</t>
  </si>
  <si>
    <t>OCLM-2025-000073</t>
  </si>
  <si>
    <t>OCLM-2025-000074</t>
  </si>
  <si>
    <t>OCLM-2025-000075</t>
  </si>
  <si>
    <t>OCLM-2025-000076</t>
  </si>
  <si>
    <t>OCLM-2025-000077</t>
  </si>
  <si>
    <t>OCLM-2025-000078</t>
  </si>
  <si>
    <t>OCLM-2025-000079</t>
  </si>
  <si>
    <t>OCLM-2025-000083</t>
  </si>
  <si>
    <t>OCLM-2025-000084</t>
  </si>
  <si>
    <t>OCLM-2025-000085</t>
  </si>
  <si>
    <t>OCLM-2025-000086</t>
  </si>
  <si>
    <t>OCLM-2025-000087</t>
  </si>
  <si>
    <t>OCLM-2025-000089</t>
  </si>
  <si>
    <t>OCLM-2025-000090</t>
  </si>
  <si>
    <t>OCLM-2025-000091</t>
  </si>
  <si>
    <t>OCLM-2025-000094</t>
  </si>
  <si>
    <t>OCLM-2025-000095</t>
  </si>
  <si>
    <t>OCLM-2025-000098</t>
  </si>
  <si>
    <t>OCLM-2025-000099</t>
  </si>
  <si>
    <t>OCLM-2025-000100</t>
  </si>
  <si>
    <t>OCLM-2025-000102</t>
  </si>
  <si>
    <t>OCLM-2025-000103</t>
  </si>
  <si>
    <t>OCLM-2025-000104</t>
  </si>
  <si>
    <t>OCLM-2025-000105</t>
  </si>
  <si>
    <t>OCLM-2025-000106</t>
  </si>
  <si>
    <t>OCLM-2025-000107</t>
  </si>
  <si>
    <t>OCLM-2025-000108</t>
  </si>
  <si>
    <t>OCLM-2025-000109</t>
  </si>
  <si>
    <t>OCLM-2025-000110</t>
  </si>
  <si>
    <t>OCLM-2025-000111</t>
  </si>
  <si>
    <t>OCLM-2025-000113</t>
  </si>
  <si>
    <t>OCLM-2025-000116</t>
  </si>
  <si>
    <t>OCLM-2025-000118</t>
  </si>
  <si>
    <t>OCLM-2025-000121</t>
  </si>
  <si>
    <t>OCLM-2025-000122</t>
  </si>
  <si>
    <t>OCLM-2025-000123</t>
  </si>
  <si>
    <t>OCLM-2025-000124</t>
  </si>
  <si>
    <t>OCLM-2025-000125</t>
  </si>
  <si>
    <t>OCLM-2025-000127</t>
  </si>
  <si>
    <t>OCLM-2025-000128</t>
  </si>
  <si>
    <t>OCLM-2025-000129</t>
  </si>
  <si>
    <t>OCLM-2025-000130</t>
  </si>
  <si>
    <t>OCLM-2025-000131</t>
  </si>
  <si>
    <t>OCLM-2025-000132</t>
  </si>
  <si>
    <t>OCLM-2025-000133</t>
  </si>
  <si>
    <t>OCLM-2025-000134</t>
  </si>
  <si>
    <t>OCLM-2025-000135</t>
  </si>
  <si>
    <t>OCLM-2025-000136</t>
  </si>
  <si>
    <t>OCLM-2025-000137</t>
  </si>
  <si>
    <t>OCLM-2025-000138</t>
  </si>
  <si>
    <t>OCLM-2025-000139</t>
  </si>
  <si>
    <t>OCLM-2025-000140</t>
  </si>
  <si>
    <t>OCLM-2025-000141</t>
  </si>
  <si>
    <t>OCLM-2025-000143</t>
  </si>
  <si>
    <t>OCLM-2025-000144</t>
  </si>
  <si>
    <t>OCLM-2025-000145</t>
  </si>
  <si>
    <t>OCLM-2025-000146</t>
  </si>
  <si>
    <t>OCLM-2025-000147</t>
  </si>
  <si>
    <t>OCLM-2025-000150</t>
  </si>
  <si>
    <t>OCLM-2025-000152</t>
  </si>
  <si>
    <t>OCLM-2025-000154</t>
  </si>
  <si>
    <t>OCLM-2025-000155</t>
  </si>
  <si>
    <t>OCLM-2025-000156</t>
  </si>
  <si>
    <t>OCLM-2025-000157</t>
  </si>
  <si>
    <t>OCLM-2025-000158</t>
  </si>
  <si>
    <t>OCLM-2025-000159</t>
  </si>
  <si>
    <t>OCLM-2025-000160</t>
  </si>
  <si>
    <t>OCLM-2025-000161</t>
  </si>
  <si>
    <t>OCLM-2025-000162</t>
  </si>
  <si>
    <t>OCLM-2025-000163</t>
  </si>
  <si>
    <t>OCLM-2025-000164</t>
  </si>
  <si>
    <t>OCLM-2025-000166</t>
  </si>
  <si>
    <t>OCLM-2025-000167</t>
  </si>
  <si>
    <t>OCLM-2025-000168</t>
  </si>
  <si>
    <t>OCLM-2025-000169</t>
  </si>
  <si>
    <t>OCLM-2025-000170</t>
  </si>
  <si>
    <t>OCLM-2025-000171</t>
  </si>
  <si>
    <t>OCLM-2025-000172</t>
  </si>
  <si>
    <t>OCLM-2025-000173</t>
  </si>
  <si>
    <t>OCLM-2025-000174</t>
  </si>
  <si>
    <t>OCLM-2025-000175</t>
  </si>
  <si>
    <t>OCLM-2025-000176</t>
  </si>
  <si>
    <t>OCLM-2025-000177</t>
  </si>
  <si>
    <t>OCLM-2025-000178</t>
  </si>
  <si>
    <t>OCLM-2025-000180</t>
  </si>
  <si>
    <t>OCLM-2025-000181</t>
  </si>
  <si>
    <t>OCLM-2025-000182</t>
  </si>
  <si>
    <t>OCLM-2025-000183</t>
  </si>
  <si>
    <t>OCLM-2025-000184</t>
  </si>
  <si>
    <t>OCLM-2025-000185</t>
  </si>
  <si>
    <t>OCLM-2025-000186</t>
  </si>
  <si>
    <t>OCLM-2025-000187</t>
  </si>
  <si>
    <t>OCLM-2025-000188</t>
  </si>
  <si>
    <t>OCLM-2025-000189</t>
  </si>
  <si>
    <t>OCLM-2025-000190</t>
  </si>
  <si>
    <t>OCLM-2025-000191</t>
  </si>
  <si>
    <t>OCLM-2025-000192</t>
  </si>
  <si>
    <t>OCLM-2025-000194</t>
  </si>
  <si>
    <t>OCLM-2025-000195</t>
  </si>
  <si>
    <t>OCLM-2025-000196</t>
  </si>
  <si>
    <t>OCLM-2025-000197</t>
  </si>
  <si>
    <t>OCLM-2025-000199</t>
  </si>
  <si>
    <t>OCLM-2025-000201</t>
  </si>
  <si>
    <t>OCLM-2025-000202</t>
  </si>
  <si>
    <t>OCLM-2025-000203</t>
  </si>
  <si>
    <t>OCLM-2025-000205</t>
  </si>
  <si>
    <t>OCLM-2025-000206</t>
  </si>
  <si>
    <t>OCLM-2025-000207</t>
  </si>
  <si>
    <t>OCLM-2025-000208</t>
  </si>
  <si>
    <t>OCLM-2025-000209</t>
  </si>
  <si>
    <t>OCLM-2025-000210</t>
  </si>
  <si>
    <t>OCLM-2025-000211</t>
  </si>
  <si>
    <t>OCLM-2025-000212</t>
  </si>
  <si>
    <t>OCLM-2025-000213</t>
  </si>
  <si>
    <t>OCLM-2025-000214</t>
  </si>
  <si>
    <t>OCLM-2025-000215</t>
  </si>
  <si>
    <t>OCLM-2025-000216</t>
  </si>
  <si>
    <t>OCLM-2025-000217</t>
  </si>
  <si>
    <t>OCLM-2025-000218</t>
  </si>
  <si>
    <t>OCLM-2025-000219</t>
  </si>
  <si>
    <t>OCLM-2025-000220</t>
  </si>
  <si>
    <t>OCLM-2025-000222</t>
  </si>
  <si>
    <t>OCLM-2025-000223</t>
  </si>
  <si>
    <t>OCLM-2025-000224</t>
  </si>
  <si>
    <t>OCLM-2025-000225</t>
  </si>
  <si>
    <t>OCLM-2025-000226</t>
  </si>
  <si>
    <t>OCLM-2025-000227</t>
  </si>
  <si>
    <t>OCLM-2025-000228</t>
  </si>
  <si>
    <t>OCLM-2025-000229</t>
  </si>
  <si>
    <t>OCLM-2025-000230</t>
  </si>
  <si>
    <t>OCLM-2025-000231</t>
  </si>
  <si>
    <t>OCLM-2025-000232</t>
  </si>
  <si>
    <t>OCLM-2025-000233</t>
  </si>
  <si>
    <t>OCLM-2025-000236</t>
  </si>
  <si>
    <t>OCLM-2025-000238</t>
  </si>
  <si>
    <t>OCLM-2025-000239</t>
  </si>
  <si>
    <t>OCLM-2025-000240</t>
  </si>
  <si>
    <t>OCLM-2025-000242</t>
  </si>
  <si>
    <t>OCLM-2025-000243</t>
  </si>
  <si>
    <t>OCLM-2025-000244</t>
  </si>
  <si>
    <t>OCLM-2025-000245</t>
  </si>
  <si>
    <t>OCLM-2025-000246</t>
  </si>
  <si>
    <t>OCLM-2025-000247</t>
  </si>
  <si>
    <t>OCLM-2025-000248</t>
  </si>
  <si>
    <t>OCLM-2025-000249</t>
  </si>
  <si>
    <t>OCLM-2025-000250</t>
  </si>
  <si>
    <t>OCLM-2025-000251</t>
  </si>
  <si>
    <t>OCLM-2025-000252</t>
  </si>
  <si>
    <t>OCLM-2025-000254</t>
  </si>
  <si>
    <t>OCLM-2025-000255</t>
  </si>
  <si>
    <t>OCLM-2025-000256</t>
  </si>
  <si>
    <t>OCLM-2025-000258</t>
  </si>
  <si>
    <t>OCLM-2025-000260</t>
  </si>
  <si>
    <t>OCLM-2025-000261</t>
  </si>
  <si>
    <t>OCLM-2025-000263</t>
  </si>
  <si>
    <t>OCLM-2025-000265</t>
  </si>
  <si>
    <t>OCLM-2025-000266</t>
  </si>
  <si>
    <t>OCLM-2025-000267</t>
  </si>
  <si>
    <t>OCLM-2025-000268</t>
  </si>
  <si>
    <t>OCLM-2025-000269</t>
  </si>
  <si>
    <t>OCLM-2025-000270</t>
  </si>
  <si>
    <t>OCLM-2025-000271</t>
  </si>
  <si>
    <t>OCLM-2025-000273</t>
  </si>
  <si>
    <t>OCLM-2025-000274</t>
  </si>
  <si>
    <t>OCLM-2025-000276</t>
  </si>
  <si>
    <t>OCLM-2025-000277</t>
  </si>
  <si>
    <t>OCLM-2025-000278</t>
  </si>
  <si>
    <t>OCLM-2025-000279</t>
  </si>
  <si>
    <t>OCLM-2025-000280</t>
  </si>
  <si>
    <t>OCLM-2025-000281</t>
  </si>
  <si>
    <t>OCLM-2025-000282</t>
  </si>
  <si>
    <t>OCLM-2025-000283</t>
  </si>
  <si>
    <t>OCLM-2025-000285</t>
  </si>
  <si>
    <t>OCLM-2025-000286</t>
  </si>
  <si>
    <t>OCLM-2025-000287</t>
  </si>
  <si>
    <t>OCLM-2025-000288</t>
  </si>
  <si>
    <t>OCLM-2025-000289</t>
  </si>
  <si>
    <t>OCLM-2025-000290</t>
  </si>
  <si>
    <t>OCLM-2025-000291</t>
  </si>
  <si>
    <t>OCLM-2025-000293</t>
  </si>
  <si>
    <t>OCLM-2025-000294</t>
  </si>
  <si>
    <t>OCLM-2025-000295</t>
  </si>
  <si>
    <t>OCLM-2025-000296</t>
  </si>
  <si>
    <t>OCLM-2025-000297</t>
  </si>
  <si>
    <t>OCLM-2025-000298</t>
  </si>
  <si>
    <t>OCLM-2025-000299</t>
  </si>
  <si>
    <t>OCLM-2025-000300</t>
  </si>
  <si>
    <t>OCLM-2025-000301</t>
  </si>
  <si>
    <t>OCLM-2025-000302</t>
  </si>
  <si>
    <t>OCLM-2025-000303</t>
  </si>
  <si>
    <t>OCLM-2025-000304</t>
  </si>
  <si>
    <t>OCLM-2025-000306</t>
  </si>
  <si>
    <t>OCLM-2025-000307</t>
  </si>
  <si>
    <t>OCLM-2025-000309</t>
  </si>
  <si>
    <t>OCLM-2025-000311</t>
  </si>
  <si>
    <t>OCLM-2025-000312</t>
  </si>
  <si>
    <t>OCLM-2025-000313</t>
  </si>
  <si>
    <t>OCLM-2025-000314</t>
  </si>
  <si>
    <t>OCLM-2025-000315</t>
  </si>
  <si>
    <t>OCLM-2025-000317</t>
  </si>
  <si>
    <t>OCLM-2025-000318</t>
  </si>
  <si>
    <t>OCLM-2025-000319</t>
  </si>
  <si>
    <t>OCLM-2025-000320</t>
  </si>
  <si>
    <t>OCLM-2025-000321</t>
  </si>
  <si>
    <t>OCLM-2025-000323</t>
  </si>
  <si>
    <t>OCLM-2025-000324</t>
  </si>
  <si>
    <t>OCLM-2025-000327</t>
  </si>
  <si>
    <t>OCLM-2025-000328</t>
  </si>
  <si>
    <t>OCLM-2025-000331</t>
  </si>
  <si>
    <t>OCLM-2025-000332</t>
  </si>
  <si>
    <t>OCLM-2025-000333</t>
  </si>
  <si>
    <t>OCLM-2025-000335</t>
  </si>
  <si>
    <t>OCLM-2025-000338</t>
  </si>
  <si>
    <t>OCLM-2025-000339</t>
  </si>
  <si>
    <t>OCLM-2025-000342</t>
  </si>
  <si>
    <t>OCLM-2025-000343</t>
  </si>
  <si>
    <t>OCLM-2025-000344</t>
  </si>
  <si>
    <t>OCLM-2025-000345</t>
  </si>
  <si>
    <t>OCLM-2025-000346</t>
  </si>
  <si>
    <t>OCLM-2025-000347</t>
  </si>
  <si>
    <t>OCLM-2025-000348</t>
  </si>
  <si>
    <t>OCLM-2025-000349</t>
  </si>
  <si>
    <t>OCLM-2025-000351</t>
  </si>
  <si>
    <t>OCLM-2025-000352</t>
  </si>
  <si>
    <t>OCLM-2025-000353</t>
  </si>
  <si>
    <t>OCLM-2025-000354</t>
  </si>
  <si>
    <t>OCLM-2025-000355</t>
  </si>
  <si>
    <t>OCLM-2025-000356</t>
  </si>
  <si>
    <t>OCLM-2025-000358</t>
  </si>
  <si>
    <t>OCLM-2025-000360</t>
  </si>
  <si>
    <t>OCLM-2025-000361</t>
  </si>
  <si>
    <t>OCLM-2025-000362</t>
  </si>
  <si>
    <t>OCLM-2025-000363</t>
  </si>
  <si>
    <t>OCLM-2025-000364</t>
  </si>
  <si>
    <t>OCLM-2025-000365</t>
  </si>
  <si>
    <t>OCLM-2025-000366</t>
  </si>
  <si>
    <t>OCLM-2025-000367</t>
  </si>
  <si>
    <t>OCLM-2025-000368</t>
  </si>
  <si>
    <t>OCLM-2025-000369</t>
  </si>
  <si>
    <t>OCLM-2025-000371</t>
  </si>
  <si>
    <t>OCLM-2025-000372</t>
  </si>
  <si>
    <t>OCLM-2025-000373</t>
  </si>
  <si>
    <t>OCLM-2025-000374</t>
  </si>
  <si>
    <t>OCLM-2025-000375</t>
  </si>
  <si>
    <t>OCLM-2025-000376</t>
  </si>
  <si>
    <t>OCLM-2025-000377</t>
  </si>
  <si>
    <t>OCLM-2025-000378</t>
  </si>
  <si>
    <t>OCLM-2025-000380</t>
  </si>
  <si>
    <t>OCLM-2025-000381</t>
  </si>
  <si>
    <t>OCLM-2025-000382</t>
  </si>
  <si>
    <t>OCLM-2025-000383</t>
  </si>
  <si>
    <t>OCLM-2025-000384</t>
  </si>
  <si>
    <t>OCLM-2025-000385</t>
  </si>
  <si>
    <t>OCLM-2025-000386</t>
  </si>
  <si>
    <t>OCLM-2025-000387</t>
  </si>
  <si>
    <t>OCLM-2025-000388</t>
  </si>
  <si>
    <t>OCLM-2025-000389</t>
  </si>
  <si>
    <t>OCLM-2025-000390</t>
  </si>
  <si>
    <t>OCLM-2025-000391</t>
  </si>
  <si>
    <t>OCLM-2025-000392</t>
  </si>
  <si>
    <t>OCLM-2025-000393</t>
  </si>
  <si>
    <t>OCLM-2025-000394</t>
  </si>
  <si>
    <t>OCLM-2025-000395</t>
  </si>
  <si>
    <t>OCLM-2025-000396</t>
  </si>
  <si>
    <t>OCLM-2025-000397</t>
  </si>
  <si>
    <t>OCLM-2025-000398</t>
  </si>
  <si>
    <t>OCLM-2025-000399</t>
  </si>
  <si>
    <t>OCLM-2025-000400</t>
  </si>
  <si>
    <t>OCLM-2025-000401</t>
  </si>
  <si>
    <t>OCLM-2025-000402</t>
  </si>
  <si>
    <t>OCLM-2025-000403</t>
  </si>
  <si>
    <t>OCLM-2025-000404</t>
  </si>
  <si>
    <t>OCLM-2025-000405</t>
  </si>
  <si>
    <t>OCLM-2025-000406</t>
  </si>
  <si>
    <t>OCLM-2025-000407</t>
  </si>
  <si>
    <t>OCLM-2025-000408</t>
  </si>
  <si>
    <t>OCLM-2025-000409</t>
  </si>
  <si>
    <t>OCLM-2025-000410</t>
  </si>
  <si>
    <t>OCLM-2025-000411</t>
  </si>
  <si>
    <t>OCLM-2025-000412</t>
  </si>
  <si>
    <t>OCLM-2025-000413</t>
  </si>
  <si>
    <t>OCLM-2025-000414</t>
  </si>
  <si>
    <t>OCLM-2025-000415</t>
  </si>
  <si>
    <t>OCLM-2025-000416</t>
  </si>
  <si>
    <t>OCLM-2025-000417</t>
  </si>
  <si>
    <t>OCLM-2025-000418</t>
  </si>
  <si>
    <t>OCLM-2025-000419</t>
  </si>
  <si>
    <t>OCLM-2025-000420</t>
  </si>
  <si>
    <t>OCLM-2025-000421</t>
  </si>
  <si>
    <t>OCLM-2025-000422</t>
  </si>
  <si>
    <t>OCLM-2025-000423</t>
  </si>
  <si>
    <t>OCLM-2025-000424</t>
  </si>
  <si>
    <t>OCLM-2025-000425</t>
  </si>
  <si>
    <t>OCLM-2025-000426</t>
  </si>
  <si>
    <t>OCLM-2025-000427</t>
  </si>
  <si>
    <t>OCLM-2025-000428</t>
  </si>
  <si>
    <t>OCLM-2025-000429</t>
  </si>
  <si>
    <t>OCLM-2025-000430</t>
  </si>
  <si>
    <t>OCLM-2025-000431</t>
  </si>
  <si>
    <t>OCLM-2025-000432</t>
  </si>
  <si>
    <t>OCLM-2025-000433</t>
  </si>
  <si>
    <t>OCLM-2025-000434</t>
  </si>
  <si>
    <t>OCLM-2025-000435</t>
  </si>
  <si>
    <t>OCLM-2025-000436</t>
  </si>
  <si>
    <t>OCLM-2025-000437</t>
  </si>
  <si>
    <t>OCLM-2025-000438</t>
  </si>
  <si>
    <t>OCLM-2025-000439</t>
  </si>
  <si>
    <t>OCLM-2025-000440</t>
  </si>
  <si>
    <t>OCLM-2025-000441</t>
  </si>
  <si>
    <t>OCLM-2025-000442</t>
  </si>
  <si>
    <t>OCLM-2025-000443</t>
  </si>
  <si>
    <t>OCLM-2025-000444</t>
  </si>
  <si>
    <t>OCLM-2025-000445</t>
  </si>
  <si>
    <t>OCLM-2025-000446</t>
  </si>
  <si>
    <t>OCLM-2025-000447</t>
  </si>
  <si>
    <t>OCLM-2025-000448</t>
  </si>
  <si>
    <t>OCLM-2025-000449</t>
  </si>
  <si>
    <t>OCLM-2025-000450</t>
  </si>
  <si>
    <t>OCLM-2025-000451</t>
  </si>
  <si>
    <t>OCLM-2025-000452</t>
  </si>
  <si>
    <t>OCLM-2025-000453</t>
  </si>
  <si>
    <t>OCLM-2025-000455</t>
  </si>
  <si>
    <t>OCLM-2025-000456</t>
  </si>
  <si>
    <t>OCLM-2025-000457</t>
  </si>
  <si>
    <t>OCLM-2025-000458</t>
  </si>
  <si>
    <t>OCLM-2025-000459</t>
  </si>
  <si>
    <t>OCLM-2025-000460</t>
  </si>
  <si>
    <t>OCLM-2025-000461</t>
  </si>
  <si>
    <t>OCLM-2025-000462</t>
  </si>
  <si>
    <t>OCLM-2025-000463</t>
  </si>
  <si>
    <t>OCLM-2025-000464</t>
  </si>
  <si>
    <t>OCLM-2025-000465</t>
  </si>
  <si>
    <t>OCLM-2025-000467</t>
  </si>
  <si>
    <t>OCLM-2025-000468</t>
  </si>
  <si>
    <t>OCLM-2025-000469</t>
  </si>
  <si>
    <t>OCLM-2025-000470</t>
  </si>
  <si>
    <t>OCLM-2025-000471</t>
  </si>
  <si>
    <t>OCLM-2025-000472</t>
  </si>
  <si>
    <t>OCLM-2025-000474</t>
  </si>
  <si>
    <t>OCLM-2025-000475</t>
  </si>
  <si>
    <t>OCLM-2025-000476</t>
  </si>
  <si>
    <t>OCLM-2025-000477</t>
  </si>
  <si>
    <t>OCLM-2025-000478</t>
  </si>
  <si>
    <t>OCLM-2025-000479</t>
  </si>
  <si>
    <t>OCLM-2025-000480</t>
  </si>
  <si>
    <t>OCLM-2025-000481</t>
  </si>
  <si>
    <t>OCLM-2025-000482</t>
  </si>
  <si>
    <t>OCLM-2025-000483</t>
  </si>
  <si>
    <t>OCLM-2025-000484</t>
  </si>
  <si>
    <t>OCLM-2025-000485</t>
  </si>
  <si>
    <t>OCLM-2025-000486</t>
  </si>
  <si>
    <t>OCLM-2025-000487</t>
  </si>
  <si>
    <t>OCLM-2025-000488</t>
  </si>
  <si>
    <t>OCLM-2025-000489</t>
  </si>
  <si>
    <t>OCLM-2025-000490</t>
  </si>
  <si>
    <t>OCLM-2025-000491</t>
  </si>
  <si>
    <t>OCLM-2025-000493</t>
  </si>
  <si>
    <t>OCLM-2025-000494</t>
  </si>
  <si>
    <t>OCLM-2025-000495</t>
  </si>
  <si>
    <t>OCLM-2025-000496</t>
  </si>
  <si>
    <t>OCLM-2025-000498</t>
  </si>
  <si>
    <t>OCLM-2025-000499</t>
  </si>
  <si>
    <t>OCLM-2025-000500</t>
  </si>
  <si>
    <t>OCLM-2025-000501</t>
  </si>
  <si>
    <t>OCLM-2025-000502</t>
  </si>
  <si>
    <t>OCLM-2025-000503</t>
  </si>
  <si>
    <t>OCLM-2025-000504</t>
  </si>
  <si>
    <t>OCLM-2025-000505</t>
  </si>
  <si>
    <t>OCLM-2025-000506</t>
  </si>
  <si>
    <t>OCLM-2025-000507</t>
  </si>
  <si>
    <t>OCLM-2025-000509</t>
  </si>
  <si>
    <t>OCLM-2025-000510</t>
  </si>
  <si>
    <t>OCLM-2025-000511</t>
  </si>
  <si>
    <t>OCLM-2025-000512</t>
  </si>
  <si>
    <t>OCLM-2025-000513</t>
  </si>
  <si>
    <t>OCLM-2025-000514</t>
  </si>
  <si>
    <t>OCLM-2025-000515</t>
  </si>
  <si>
    <t>OCLM-2025-000516</t>
  </si>
  <si>
    <t>OCLM-2025-000517</t>
  </si>
  <si>
    <t>OCLM-2025-000518</t>
  </si>
  <si>
    <t>OCLM-2025-000519</t>
  </si>
  <si>
    <t>OCLM-2025-000520</t>
  </si>
  <si>
    <t>OCLM-2025-000521</t>
  </si>
  <si>
    <t>OCLM-2025-000522</t>
  </si>
  <si>
    <t>OCLM-2025-000524</t>
  </si>
  <si>
    <t>OCLM-2025-000525</t>
  </si>
  <si>
    <t>OCLM-2025-000527</t>
  </si>
  <si>
    <t>OCLM-2025-000528</t>
  </si>
  <si>
    <t>OCLM-2025-000529</t>
  </si>
  <si>
    <t>OCLM-2025-000530</t>
  </si>
  <si>
    <t>OCLM-2025-000531</t>
  </si>
  <si>
    <t>OCLM-2025-000533</t>
  </si>
  <si>
    <t>OCLM-2025-000535</t>
  </si>
  <si>
    <t>OCLM-2025-000536</t>
  </si>
  <si>
    <t>OCLM-2025-000537</t>
  </si>
  <si>
    <t>OCLM-2025-000538</t>
  </si>
  <si>
    <t>OCLM-2025-000539</t>
  </si>
  <si>
    <t>OCLM-2025-000540</t>
  </si>
  <si>
    <t>OCLM-2025-000541</t>
  </si>
  <si>
    <t>OCLM-2025-000542</t>
  </si>
  <si>
    <t>OCLM-2025-000543</t>
  </si>
  <si>
    <t>OCLM-2025-000545</t>
  </si>
  <si>
    <t>OCLM-2025-000546</t>
  </si>
  <si>
    <t>OCLM-2025-000547</t>
  </si>
  <si>
    <t>OCLM-2025-000548</t>
  </si>
  <si>
    <t>OCLM-2025-000549</t>
  </si>
  <si>
    <t>OCLM-2025-000550</t>
  </si>
  <si>
    <t>OCLM-2025-000553</t>
  </si>
  <si>
    <t>OCLM-2025-000554</t>
  </si>
  <si>
    <t>OCLM-2025-000555</t>
  </si>
  <si>
    <t>OCLM-2025-000556</t>
  </si>
  <si>
    <t>OCLM-2025-000557</t>
  </si>
  <si>
    <t>OCLM-2025-000558</t>
  </si>
  <si>
    <t>OCLM-2025-000559</t>
  </si>
  <si>
    <t>OCLM-2025-000560</t>
  </si>
  <si>
    <t>OCLM-2025-000561</t>
  </si>
  <si>
    <t>OCLM-2025-000562</t>
  </si>
  <si>
    <t>OCLM-2025-000563</t>
  </si>
  <si>
    <t>OCLM-2025-000564</t>
  </si>
  <si>
    <t>OCLM-2025-000565</t>
  </si>
  <si>
    <t>OCLM-2025-000566</t>
  </si>
  <si>
    <t>OCLM-2025-000568</t>
  </si>
  <si>
    <t>OCLM-2025-000569</t>
  </si>
  <si>
    <t>OCLM-2025-000570</t>
  </si>
  <si>
    <t>OCLM-2025-000571</t>
  </si>
  <si>
    <t>OCLM-2025-000572</t>
  </si>
  <si>
    <t>OCLM-2025-000573</t>
  </si>
  <si>
    <t>OCLM-2025-000574</t>
  </si>
  <si>
    <t>OCLM-2025-000575</t>
  </si>
  <si>
    <t>OCLM-2025-000576</t>
  </si>
  <si>
    <t>OCLM-2025-000577</t>
  </si>
  <si>
    <t>OCLM-2025-000578</t>
  </si>
  <si>
    <t>OCLM-2025-000579</t>
  </si>
  <si>
    <t>OCLM-2025-000581</t>
  </si>
  <si>
    <t>OCLM-2025-000582</t>
  </si>
  <si>
    <t>OCLM-2025-000583</t>
  </si>
  <si>
    <t>OCLM-2025-000584</t>
  </si>
  <si>
    <t>OCLM-2025-000585</t>
  </si>
  <si>
    <t>OCLM-2025-000586</t>
  </si>
  <si>
    <t>OCLM-2025-000587</t>
  </si>
  <si>
    <t>OCLM-2025-000588</t>
  </si>
  <si>
    <t>OCLM-2025-000589</t>
  </si>
  <si>
    <t>OCLM-2025-000590</t>
  </si>
  <si>
    <t>OCLM-2025-000593</t>
  </si>
  <si>
    <t>OCLM-2025-000594</t>
  </si>
  <si>
    <t>OCLM-2025-000595</t>
  </si>
  <si>
    <t>OCLM-2025-000596</t>
  </si>
  <si>
    <t>OCLM-2025-000597</t>
  </si>
  <si>
    <t>OCLM-2025-000598</t>
  </si>
  <si>
    <t>OCLM-2025-000599</t>
  </si>
  <si>
    <t>OCLM-2025-000600</t>
  </si>
  <si>
    <t>OCLM-2025-000601</t>
  </si>
  <si>
    <t>OCLM-2025-000602</t>
  </si>
  <si>
    <t>OCLM-2025-000603</t>
  </si>
  <si>
    <t>OCLM-2025-000604</t>
  </si>
  <si>
    <t>OCLM-2025-000605</t>
  </si>
  <si>
    <t>OCLM-2025-000606</t>
  </si>
  <si>
    <t>OCLM-2025-000607</t>
  </si>
  <si>
    <t>OCLM-2025-000608</t>
  </si>
  <si>
    <t>OCLM-2025-000609</t>
  </si>
  <si>
    <t>OCLM-2025-000610</t>
  </si>
  <si>
    <t>OCLM-2025-000611</t>
  </si>
  <si>
    <t>OCLM-2025-000612</t>
  </si>
  <si>
    <t>OCLM-2025-000613</t>
  </si>
  <si>
    <t>OCLM-2025-000614</t>
  </si>
  <si>
    <t>OCLM-2025-000616</t>
  </si>
  <si>
    <t>OCLM-2025-000617</t>
  </si>
  <si>
    <t>OCLM-2025-000618</t>
  </si>
  <si>
    <t>OCLM-2025-000619</t>
  </si>
  <si>
    <t>OCLM-2025-000620</t>
  </si>
  <si>
    <t>OCLM-2025-000621</t>
  </si>
  <si>
    <t>OCLM-2025-000622</t>
  </si>
  <si>
    <t>OCLM-2025-000623</t>
  </si>
  <si>
    <t>OCLM-2025-000624</t>
  </si>
  <si>
    <t>OCLM-2025-000625</t>
  </si>
  <si>
    <t>OCLM-2025-000626</t>
  </si>
  <si>
    <t>OCLM-2025-000627</t>
  </si>
  <si>
    <t>OCLM-2025-000628</t>
  </si>
  <si>
    <t>OCLM-2025-000629</t>
  </si>
  <si>
    <t>OCLM-2025-000630</t>
  </si>
  <si>
    <t>OCLM-2025-000631</t>
  </si>
  <si>
    <t>OCLM-2025-000632</t>
  </si>
  <si>
    <t>OCLM-2025-000633</t>
  </si>
  <si>
    <t>OCLM-2025-000634</t>
  </si>
  <si>
    <t>OCLM-2025-000635</t>
  </si>
  <si>
    <t>OCLM-2025-000636</t>
  </si>
  <si>
    <t>OCLM-2025-000638</t>
  </si>
  <si>
    <t>OCLM-2025-000639</t>
  </si>
  <si>
    <t>OCLM-2025-000640</t>
  </si>
  <si>
    <t>OCLM-2025-000641</t>
  </si>
  <si>
    <t>OCLM-2025-000642</t>
  </si>
  <si>
    <t>OCLM-2025-000643</t>
  </si>
  <si>
    <t>OCLM-2025-000644</t>
  </si>
  <si>
    <t>OCLM-2025-000645</t>
  </si>
  <si>
    <t>OCLM-2025-000647</t>
  </si>
  <si>
    <t>OCLM-2025-000648</t>
  </si>
  <si>
    <t>OCLM-2025-000649</t>
  </si>
  <si>
    <t>OCLM-2025-000650</t>
  </si>
  <si>
    <t>OCLM-2025-000652</t>
  </si>
  <si>
    <t>OCLM-2025-000653</t>
  </si>
  <si>
    <t>OCLM-2025-000654</t>
  </si>
  <si>
    <t>OCLM-2025-000656</t>
  </si>
  <si>
    <t>OCLM-2025-000657</t>
  </si>
  <si>
    <t>OCLM-2025-000658</t>
  </si>
  <si>
    <t>OCLM-2025-000659</t>
  </si>
  <si>
    <t>OCLM-2025-000660</t>
  </si>
  <si>
    <t>OCLM-2025-000661</t>
  </si>
  <si>
    <t>OCLM-2025-000664</t>
  </si>
  <si>
    <t>OCLM-2025-000665</t>
  </si>
  <si>
    <t>OCLM-2025-000666</t>
  </si>
  <si>
    <t>OCLM-2025-000667</t>
  </si>
  <si>
    <t>OCLM-2025-000668</t>
  </si>
  <si>
    <t>OCLM-2025-000669</t>
  </si>
  <si>
    <t>OCLM-2025-000670</t>
  </si>
  <si>
    <t>OCLM-2025-000671</t>
  </si>
  <si>
    <t>OCLM-2025-000672</t>
  </si>
  <si>
    <t>OCLM-2025-000673</t>
  </si>
  <si>
    <t>OCLM-2025-000674</t>
  </si>
  <si>
    <t>OCLM-2025-000675</t>
  </si>
  <si>
    <t>OCLM-2025-000676</t>
  </si>
  <si>
    <t>OCLM-2025-000677</t>
  </si>
  <si>
    <t>OCLM-2025-000678</t>
  </si>
  <si>
    <t>OCLM-2025-000679</t>
  </si>
  <si>
    <t>OCLM-2025-000680</t>
  </si>
  <si>
    <t>OCLM-2025-000681</t>
  </si>
  <si>
    <t>OCLM-2025-000682</t>
  </si>
  <si>
    <t>OCLM-2025-000683</t>
  </si>
  <si>
    <t>OCLM-2025-000684</t>
  </si>
  <si>
    <t>OCLM-2025-000685</t>
  </si>
  <si>
    <t>OCLM-2025-000686</t>
  </si>
  <si>
    <t>OCLM-2025-000687</t>
  </si>
  <si>
    <t>OCLM-2025-000688</t>
  </si>
  <si>
    <t>OCLM-2025-000689</t>
  </si>
  <si>
    <t>OCLM-2025-000690</t>
  </si>
  <si>
    <t>OCLM-2025-000691</t>
  </si>
  <si>
    <t>OCLM-2025-000692</t>
  </si>
  <si>
    <t>OCLM-2025-000693</t>
  </si>
  <si>
    <t>OCLM-2025-000694</t>
  </si>
  <si>
    <t>OCLM-2025-000695</t>
  </si>
  <si>
    <t>OCLM-2025-000696</t>
  </si>
  <si>
    <t>OCLM-2025-000697</t>
  </si>
  <si>
    <t>OCLM-2025-000698</t>
  </si>
  <si>
    <t>OCLM-2025-000699</t>
  </si>
  <si>
    <t>OCLM-2025-000700</t>
  </si>
  <si>
    <t>OCLM-2025-000701</t>
  </si>
  <si>
    <t>OCLM-2025-000702</t>
  </si>
  <si>
    <t>OCLM-2025-000703</t>
  </si>
  <si>
    <t>OCLM-2025-000704</t>
  </si>
  <si>
    <t>OCLM-2025-000705</t>
  </si>
  <si>
    <t>OCLM-2025-000706</t>
  </si>
  <si>
    <t>OCLM-2025-000708</t>
  </si>
  <si>
    <t>OCLM-2025-000709</t>
  </si>
  <si>
    <t>OCLM-2025-000710</t>
  </si>
  <si>
    <t>OCLM-2025-000711</t>
  </si>
  <si>
    <t>OCLM-2025-000712</t>
  </si>
  <si>
    <t>OCLM-2025-000713</t>
  </si>
  <si>
    <t>OCLM-2025-000714</t>
  </si>
  <si>
    <t>OCLM-2025-000715</t>
  </si>
  <si>
    <t>OCLM-2025-000716</t>
  </si>
  <si>
    <t>OCLM-2025-000717</t>
  </si>
  <si>
    <t>OCLM-2025-000718</t>
  </si>
  <si>
    <t>OCLM-2025-000719</t>
  </si>
  <si>
    <t>OCLM-2025-000720</t>
  </si>
  <si>
    <t>OCLM-2025-000721</t>
  </si>
  <si>
    <t>OCLM-2025-000722</t>
  </si>
  <si>
    <t>OCLM-2025-000723</t>
  </si>
  <si>
    <t>OCLM-2025-000724</t>
  </si>
  <si>
    <t>OCLM-2025-000725</t>
  </si>
  <si>
    <t>OCLM-2025-000726</t>
  </si>
  <si>
    <t>OCLM-2025-000727</t>
  </si>
  <si>
    <t>OCLM-2025-000728</t>
  </si>
  <si>
    <t>OCLM-2025-000729</t>
  </si>
  <si>
    <t>OCLM-2025-000730</t>
  </si>
  <si>
    <t>OCLM-2025-000731</t>
  </si>
  <si>
    <t>OCLM-2025-000732</t>
  </si>
  <si>
    <t>OCLM-2025-000733</t>
  </si>
  <si>
    <t>OCLM-2025-000736</t>
  </si>
  <si>
    <t>OCLM-2025-000737</t>
  </si>
  <si>
    <t>OCLM-2025-000738</t>
  </si>
  <si>
    <t>OCLM-2025-000739</t>
  </si>
  <si>
    <t>OCLM-2025-000740</t>
  </si>
  <si>
    <t>OCLM-2025-000741</t>
  </si>
  <si>
    <t>OCLM-2025-000742</t>
  </si>
  <si>
    <t>OCLM-2025-000743</t>
  </si>
  <si>
    <t>OCLM-2025-000744</t>
  </si>
  <si>
    <t>OCLM-2025-000745</t>
  </si>
  <si>
    <t>OCLM-2025-000746</t>
  </si>
  <si>
    <t>OCLM-2025-000747</t>
  </si>
  <si>
    <t>OCLM-2025-000748</t>
  </si>
  <si>
    <t>OCLM-2025-000749</t>
  </si>
  <si>
    <t>OCLM-2025-000750</t>
  </si>
  <si>
    <t>OCLM-2025-000751</t>
  </si>
  <si>
    <t>OCLM-2025-000752</t>
  </si>
  <si>
    <t>OCLM-2025-000753</t>
  </si>
  <si>
    <t>OCLM-2025-000754</t>
  </si>
  <si>
    <t>OCLM-2025-000755</t>
  </si>
  <si>
    <t>OCLM-2025-000756</t>
  </si>
  <si>
    <t>OCLM-2025-000757</t>
  </si>
  <si>
    <t>OCLM-2025-000758</t>
  </si>
  <si>
    <t>OCLM-2025-000759</t>
  </si>
  <si>
    <t>OCLM-2025-000760</t>
  </si>
  <si>
    <t>OCLM-2025-000761</t>
  </si>
  <si>
    <t>OCLM-2025-000763</t>
  </si>
  <si>
    <t>OCLM-2025-000764</t>
  </si>
  <si>
    <t>OCLM-2025-000765</t>
  </si>
  <si>
    <t>OCLM-2025-000766</t>
  </si>
  <si>
    <t>OCLM-2025-000767</t>
  </si>
  <si>
    <t>OCLM-2025-000768</t>
  </si>
  <si>
    <t>OCLM-2025-000769</t>
  </si>
  <si>
    <t>OCLM-2025-000770</t>
  </si>
  <si>
    <t>OCLM-2025-000771</t>
  </si>
  <si>
    <t>OCLM-2025-000772</t>
  </si>
  <si>
    <t>OCLM-2025-000773</t>
  </si>
  <si>
    <t>OCLM-2025-000774</t>
  </si>
  <si>
    <t>OCLM-2025-000775</t>
  </si>
  <si>
    <t>OCLM-2025-000776</t>
  </si>
  <si>
    <t>OCLM-2025-000777</t>
  </si>
  <si>
    <t>OCLM-2025-000778</t>
  </si>
  <si>
    <t>OCLM-2025-000779</t>
  </si>
  <si>
    <t>OCLM-2025-000781</t>
  </si>
  <si>
    <t>OCLM-2025-000782</t>
  </si>
  <si>
    <t>OCLM-2025-000784</t>
  </si>
  <si>
    <t>OCLM-2025-000785</t>
  </si>
  <si>
    <t>OCLM-2025-000786</t>
  </si>
  <si>
    <t>OCLM-2025-000787</t>
  </si>
  <si>
    <t>OCLM-2025-000788</t>
  </si>
  <si>
    <t>OCLM-2025-000789</t>
  </si>
  <si>
    <t>OCLM-2025-000790</t>
  </si>
  <si>
    <t>OCLM-2025-000791</t>
  </si>
  <si>
    <t>OCLM-2025-000792</t>
  </si>
  <si>
    <t>OCLM-2025-000793</t>
  </si>
  <si>
    <t>OCLM-2025-000794</t>
  </si>
  <si>
    <t>OCLM-2025-000796</t>
  </si>
  <si>
    <t>OCLM-2025-000797</t>
  </si>
  <si>
    <t>OCLM-2025-000798</t>
  </si>
  <si>
    <t>OCLM-2025-000799</t>
  </si>
  <si>
    <t>OCLM-2025-000800</t>
  </si>
  <si>
    <t>OCLM-2025-000801</t>
  </si>
  <si>
    <t>OCLM-2025-000803</t>
  </si>
  <si>
    <t>OCLM-2025-000804</t>
  </si>
  <si>
    <t>OCLM-2025-000805</t>
  </si>
  <si>
    <t>OCLM-2025-000806</t>
  </si>
  <si>
    <t>OCLM-2025-000807</t>
  </si>
  <si>
    <t>OCLM-2025-000809</t>
  </si>
  <si>
    <t>OCLM-2025-000810</t>
  </si>
  <si>
    <t>OCLM-2025-000811</t>
  </si>
  <si>
    <t>OCLM-2025-000812</t>
  </si>
  <si>
    <t>OCLM-2025-000813</t>
  </si>
  <si>
    <t>OCLM-2025-000814</t>
  </si>
  <si>
    <t>OCLM-2025-000815</t>
  </si>
  <si>
    <t>OCLM-2025-000816</t>
  </si>
  <si>
    <t>OCLM-2025-000817</t>
  </si>
  <si>
    <t>OCLM-2025-000818</t>
  </si>
  <si>
    <t>OCLM-2025-000819</t>
  </si>
  <si>
    <t>OCLM-2025-000820</t>
  </si>
  <si>
    <t>OCLM-2025-000822</t>
  </si>
  <si>
    <t>OCLM-2025-000823</t>
  </si>
  <si>
    <t>OCLM-2025-000824</t>
  </si>
  <si>
    <t>OCLM-2025-000825</t>
  </si>
  <si>
    <t>OCLM-2025-000826</t>
  </si>
  <si>
    <t>OCLM-2025-000828</t>
  </si>
  <si>
    <t>OCLM-2025-000829</t>
  </si>
  <si>
    <t>OCLM-2025-000830</t>
  </si>
  <si>
    <t>OCLM-2025-000831</t>
  </si>
  <si>
    <t>OCLM-2025-000832</t>
  </si>
  <si>
    <t>OCLM-2025-000833</t>
  </si>
  <si>
    <t>OCLM-2025-000834</t>
  </si>
  <si>
    <t>OCLM-2025-000836</t>
  </si>
  <si>
    <t>OCLM-2025-000837</t>
  </si>
  <si>
    <t>OCLM-2025-000838</t>
  </si>
  <si>
    <t>OCLM-2025-000839</t>
  </si>
  <si>
    <t>OCLM-2025-000840</t>
  </si>
  <si>
    <t>OCLM-2025-000841</t>
  </si>
  <si>
    <t>OCLM-2025-000842</t>
  </si>
  <si>
    <t>OCLM-2025-000734</t>
  </si>
  <si>
    <t>OCLM-2025-000845</t>
  </si>
  <si>
    <t>OCLM-2025-000846</t>
  </si>
  <si>
    <t>OCLM-2025-000847</t>
  </si>
  <si>
    <t>OCLM-2025-000848</t>
  </si>
  <si>
    <t>OCLM-2025-000849</t>
  </si>
  <si>
    <t>OCLM-2025-000850</t>
  </si>
  <si>
    <t>OCLM-2025-000851</t>
  </si>
  <si>
    <t>OCLM-2025-000852</t>
  </si>
  <si>
    <t>OCLM-2025-000853</t>
  </si>
  <si>
    <t>OCLM-2025-000854</t>
  </si>
  <si>
    <t>OCLM-2025-000855</t>
  </si>
  <si>
    <t>OCLM-2025-000856</t>
  </si>
  <si>
    <t>OCLM-2025-000857</t>
  </si>
  <si>
    <t>OCLM-2025-000858</t>
  </si>
  <si>
    <t>OCLM-2025-000859</t>
  </si>
  <si>
    <t>OCLM-2025-000860</t>
  </si>
  <si>
    <t>OCLM-2025-000862</t>
  </si>
  <si>
    <t>OCLM-2025-000863</t>
  </si>
  <si>
    <t>OCLM-2025-000864</t>
  </si>
  <si>
    <t>OCLM-2025-000865</t>
  </si>
  <si>
    <t>OCLM-2025-000866</t>
  </si>
  <si>
    <t>OCLM-2025-000867</t>
  </si>
  <si>
    <t>OCLM-2025-000868</t>
  </si>
  <si>
    <t>OCLM-2025-000869</t>
  </si>
  <si>
    <t>OCLM-2025-000870</t>
  </si>
  <si>
    <t>OCLM-2025-000871</t>
  </si>
  <si>
    <t>OCLM-2025-000872</t>
  </si>
  <si>
    <t>OCLM-2025-000873</t>
  </si>
  <si>
    <t>OCLM-2025-000874</t>
  </si>
  <si>
    <t>OCLM-2025-000875</t>
  </si>
  <si>
    <t>OCLM-2025-000876</t>
  </si>
  <si>
    <t>OCLM-2025-000877</t>
  </si>
  <si>
    <t>OCLM-2025-000878</t>
  </si>
  <si>
    <t>OCLM-2025-000879</t>
  </si>
  <si>
    <t>OCLM-2025-000880</t>
  </si>
  <si>
    <t>OCLM-2025-000881</t>
  </si>
  <si>
    <t>OCLM-2025-000882</t>
  </si>
  <si>
    <t>OCLM-2025-000883</t>
  </si>
  <si>
    <t>OCLM-2025-000885</t>
  </si>
  <si>
    <t>OCLM-2025-000886</t>
  </si>
  <si>
    <t>OCLM-2025-000887</t>
  </si>
  <si>
    <t>OCLM-2025-000888</t>
  </si>
  <si>
    <t>OCLM-2025-000889</t>
  </si>
  <si>
    <t>OCLM-2025-000890</t>
  </si>
  <si>
    <t>OCLM-2025-000891</t>
  </si>
  <si>
    <t>OCLM-2025-000892</t>
  </si>
  <si>
    <t>OCLM-2025-000893</t>
  </si>
  <si>
    <t>OCLM-2025-000894</t>
  </si>
  <si>
    <t>OCLM-2025-000895</t>
  </si>
  <si>
    <t>OCLM-2025-000896</t>
  </si>
  <si>
    <t>OCLM-2025-000897</t>
  </si>
  <si>
    <t>OCLM-2025-000899</t>
  </si>
  <si>
    <t>OCLM-2025-000900</t>
  </si>
  <si>
    <t>OCLM-2025-000901</t>
  </si>
  <si>
    <t>OCLM-2025-000903</t>
  </si>
  <si>
    <t>OCLM-2025-000904</t>
  </si>
  <si>
    <t>OCLM-2025-000906</t>
  </si>
  <si>
    <t>OCLM-2025-000907</t>
  </si>
  <si>
    <t>OCLM-2025-000908</t>
  </si>
  <si>
    <t>OCLM-2025-000909</t>
  </si>
  <si>
    <t>OCLM-2025-000910</t>
  </si>
  <si>
    <t>OCLM-2025-000911</t>
  </si>
  <si>
    <t>OCLM-2025-000912</t>
  </si>
  <si>
    <t>OCLM-2025-000914</t>
  </si>
  <si>
    <t>OCLM-2025-000915</t>
  </si>
  <si>
    <t>OCLM-2025-000916</t>
  </si>
  <si>
    <t>OCLM-2025-000917</t>
  </si>
  <si>
    <t>OCLM-2025-000918</t>
  </si>
  <si>
    <t>OCLM-2025-000919</t>
  </si>
  <si>
    <t>OCLM-2025-000921</t>
  </si>
  <si>
    <t>OCLM-2025-000922</t>
  </si>
  <si>
    <t>OCLM-2025-000923</t>
  </si>
  <si>
    <t>OCLM-2025-000924</t>
  </si>
  <si>
    <t>OCLM-2025-000925</t>
  </si>
  <si>
    <t>OCLM-2025-000926</t>
  </si>
  <si>
    <t>OCLM-2025-000927</t>
  </si>
  <si>
    <t>OCLM-2025-000928</t>
  </si>
  <si>
    <t>OCLM-2025-000929</t>
  </si>
  <si>
    <t>OCLM-2025-000930</t>
  </si>
  <si>
    <t>OCLM-2025-000931</t>
  </si>
  <si>
    <t>OCLM-2025-000932</t>
  </si>
  <si>
    <t>OCLM-2025-000933</t>
  </si>
  <si>
    <t>OCLM-2025-000935</t>
  </si>
  <si>
    <t>OCLM-2025-000937</t>
  </si>
  <si>
    <t>OCLM-2025-000938</t>
  </si>
  <si>
    <t>OCLM-2025-000939</t>
  </si>
  <si>
    <t>OCLM-2025-000941</t>
  </si>
  <si>
    <t>OCLM-2025-000942</t>
  </si>
  <si>
    <t>OCLM-2025-000943</t>
  </si>
  <si>
    <t>OCLM-2025-000944</t>
  </si>
  <si>
    <t>OCLM-2025-000945</t>
  </si>
  <si>
    <t>OCLM-2025-000946</t>
  </si>
  <si>
    <t>OCLM-2025-000947</t>
  </si>
  <si>
    <t>OCLM-2025-000948</t>
  </si>
  <si>
    <t>OCLM-2025-000949</t>
  </si>
  <si>
    <t>OCLM-2025-000950</t>
  </si>
  <si>
    <t>OCLM-2025-000951</t>
  </si>
  <si>
    <t>OCLM-2025-000952</t>
  </si>
  <si>
    <t>OCLM-2025-000953</t>
  </si>
  <si>
    <t>OCLM-2025-000954</t>
  </si>
  <si>
    <t>OCLM-2025-000955</t>
  </si>
  <si>
    <t>OCLM-2025-000956</t>
  </si>
  <si>
    <t>OCLM-2025-000957</t>
  </si>
  <si>
    <t>OCLM-2025-000958</t>
  </si>
  <si>
    <t>OCLM-2025-000959</t>
  </si>
  <si>
    <t>OCLM-2025-000960</t>
  </si>
  <si>
    <t>OCLM-2025-000962</t>
  </si>
  <si>
    <t>OCLM-2025-000963</t>
  </si>
  <si>
    <t>OCLM-2025-000964</t>
  </si>
  <si>
    <t>OCLM-2025-000965</t>
  </si>
  <si>
    <t>OCLM-2025-000966</t>
  </si>
  <si>
    <t>OCLM-2025-000968</t>
  </si>
  <si>
    <t>OCLM-2025-000969</t>
  </si>
  <si>
    <t>OCLM-2025-000970</t>
  </si>
  <si>
    <t>OCLM-2025-000971</t>
  </si>
  <si>
    <t>OCLM-2025-000972</t>
  </si>
  <si>
    <t>OCLM-2025-000973</t>
  </si>
  <si>
    <t>OCLM-2025-000974</t>
  </si>
  <si>
    <t>OCLM-2025-000975</t>
  </si>
  <si>
    <t>OCLM-2025-000976</t>
  </si>
  <si>
    <t>OCLM-2025-000977</t>
  </si>
  <si>
    <t>OCLM-2025-000978</t>
  </si>
  <si>
    <t>OCLM-2025-000979</t>
  </si>
  <si>
    <t>OCLM-2025-000980</t>
  </si>
  <si>
    <t>OCLM-2025-000982</t>
  </si>
  <si>
    <t>OCLM-2025-000983</t>
  </si>
  <si>
    <t>OCLM-2025-000984</t>
  </si>
  <si>
    <t>OCLM-2025-000985</t>
  </si>
  <si>
    <t>OCLM-2025-000986</t>
  </si>
  <si>
    <t>OCLM-2025-000987</t>
  </si>
  <si>
    <t>OCLM-2025-000988</t>
  </si>
  <si>
    <t>OCLM-2025-000989</t>
  </si>
  <si>
    <t>OCLM-2025-000990</t>
  </si>
  <si>
    <t>OCLM-2025-000991</t>
  </si>
  <si>
    <t>OCLM-2025-000992</t>
  </si>
  <si>
    <t>OCLM-2025-000993</t>
  </si>
  <si>
    <t>OCLM-2025-000994</t>
  </si>
  <si>
    <t>OCLM-2025-000996</t>
  </si>
  <si>
    <t>OCLM-2025-000997</t>
  </si>
  <si>
    <t>OCLM-2025-000998</t>
  </si>
  <si>
    <t>OCLM-2025-000999</t>
  </si>
  <si>
    <t>OCLM-2025-001000</t>
  </si>
  <si>
    <t>OCLM-2025-001001</t>
  </si>
  <si>
    <t>OCLM-2025-001002</t>
  </si>
  <si>
    <t>OCLM-2025-001003</t>
  </si>
  <si>
    <t>OCLM-2025-001004</t>
  </si>
  <si>
    <t>OCLM-2025-001005</t>
  </si>
  <si>
    <t>OCLM-2025-001006</t>
  </si>
  <si>
    <t>OCLM-2025-001007</t>
  </si>
  <si>
    <t>OCLM-2025-001008</t>
  </si>
  <si>
    <t>OCLM-2025-001009</t>
  </si>
  <si>
    <t>OCLM-2025-001010</t>
  </si>
  <si>
    <t>OCLM-2025-001011</t>
  </si>
  <si>
    <t>OCLM-2025-001012</t>
  </si>
  <si>
    <t>OCLM-2025-001013</t>
  </si>
  <si>
    <t>OCLM-2025-001014</t>
  </si>
  <si>
    <t>OCLM-2025-001015</t>
  </si>
  <si>
    <t>OCLM-2025-001016</t>
  </si>
  <si>
    <t>OCLM-2025-001017</t>
  </si>
  <si>
    <t>OCLM-2025-001018</t>
  </si>
  <si>
    <t>OCLM-2025-001019</t>
  </si>
  <si>
    <t>OCLM-2025-001020</t>
  </si>
  <si>
    <t>OCLM-2025-001021</t>
  </si>
  <si>
    <t>OCLM-2025-001022</t>
  </si>
  <si>
    <t>OCLM-2025-001023</t>
  </si>
  <si>
    <t>OCLM-2025-001024</t>
  </si>
  <si>
    <t>OCLM-2025-001025</t>
  </si>
  <si>
    <t>OCLM-2025-001026</t>
  </si>
  <si>
    <t>OCLM-2025-001027</t>
  </si>
  <si>
    <t>OCLM-2025-001028</t>
  </si>
  <si>
    <t>OCLM-2025-001029</t>
  </si>
  <si>
    <t>OCLM-2025-001030</t>
  </si>
  <si>
    <t>OCLM-2025-001031</t>
  </si>
  <si>
    <t>OCLM-2025-001032</t>
  </si>
  <si>
    <t>OCLM-2025-001033</t>
  </si>
  <si>
    <t>OCLM-2025-001034</t>
  </si>
  <si>
    <t>OCLM-2025-001035</t>
  </si>
  <si>
    <t>OCLM-2025-001036</t>
  </si>
  <si>
    <t>OCLM-2025-001037</t>
  </si>
  <si>
    <t>OCLM-2025-001038</t>
  </si>
  <si>
    <t>OCLM-2025-001039</t>
  </si>
  <si>
    <t>OCLM-2025-001040</t>
  </si>
  <si>
    <t>OCLM-2025-001041</t>
  </si>
  <si>
    <t>OCLM-2025-001042</t>
  </si>
  <si>
    <t>OCLM-2025-001043</t>
  </si>
  <si>
    <t>OCLM-2025-001044</t>
  </si>
  <si>
    <t>OCLM-2025-001045</t>
  </si>
  <si>
    <t>OCLM-2025-001046</t>
  </si>
  <si>
    <t>OCLM-2025-001047</t>
  </si>
  <si>
    <t>OCLM-2025-001048</t>
  </si>
  <si>
    <t>OCLM-2025-001049</t>
  </si>
  <si>
    <t>OCLM-2025-001050</t>
  </si>
  <si>
    <t>OCLM-2025-001051</t>
  </si>
  <si>
    <t>OCLM-2025-001052</t>
  </si>
  <si>
    <t>OCLM-2025-001053</t>
  </si>
  <si>
    <t>OCLM-2025-001054</t>
  </si>
  <si>
    <t>OCLM-2025-001055</t>
  </si>
  <si>
    <t>OCLM-2025-001056</t>
  </si>
  <si>
    <t>OCLM-2025-001057</t>
  </si>
  <si>
    <t>OCLM-2025-001058</t>
  </si>
  <si>
    <t>OCLM-2025-001059</t>
  </si>
  <si>
    <t>OCLM-2025-001060</t>
  </si>
  <si>
    <t>OCLM-2025-001061</t>
  </si>
  <si>
    <t>OCLM-2025-001062</t>
  </si>
  <si>
    <t>OCLM-2025-001063</t>
  </si>
  <si>
    <t>OCLM-2025-001064</t>
  </si>
  <si>
    <t>OCLM-2025-001065</t>
  </si>
  <si>
    <t>OCLM-2025-001066</t>
  </si>
  <si>
    <t>OCLM-2025-001067</t>
  </si>
  <si>
    <t>OCLM-2025-001068</t>
  </si>
  <si>
    <t>OCLM-2025-001069</t>
  </si>
  <si>
    <t>OCLM-2025-001070</t>
  </si>
  <si>
    <t>OCLM-2025-001071</t>
  </si>
  <si>
    <t>OCLM-2025-001072</t>
  </si>
  <si>
    <t>OCLM-2025-001073</t>
  </si>
  <si>
    <t>OCLM-2025-001074</t>
  </si>
  <si>
    <t>OCLM-2025-001075</t>
  </si>
  <si>
    <t>OCLM-2025-001076</t>
  </si>
  <si>
    <t>OCLM-2025-001077</t>
  </si>
  <si>
    <t>OCLM-2025-001078</t>
  </si>
  <si>
    <t>OCLM-2025-001079</t>
  </si>
  <si>
    <t>OCLM-2025-001080</t>
  </si>
  <si>
    <t>OCLM-2025-001081</t>
  </si>
  <si>
    <t>OCLM-2025-001082</t>
  </si>
  <si>
    <t>OCLM-2025-001083</t>
  </si>
  <si>
    <t>OCLM-2025-001084</t>
  </si>
  <si>
    <t>OCLM-2025-001085</t>
  </si>
  <si>
    <t>OCLM-2025-001086</t>
  </si>
  <si>
    <t>OCLM-2025-001087</t>
  </si>
  <si>
    <t>OCLM-2025-001088</t>
  </si>
  <si>
    <t>OCLM-2025-001089</t>
  </si>
  <si>
    <t>OCLM-2025-001090</t>
  </si>
  <si>
    <t>OCLM-2025-001091</t>
  </si>
  <si>
    <t>OCLM-2025-001092</t>
  </si>
  <si>
    <t>OCLM-2025-001093</t>
  </si>
  <si>
    <t>OCLM-2025-001094</t>
  </si>
  <si>
    <t>OCLM-2025-001095</t>
  </si>
  <si>
    <t>OCLM-2025-001096</t>
  </si>
  <si>
    <t>OCLM-2025-001097</t>
  </si>
  <si>
    <t>OCLM-2025-001098</t>
  </si>
  <si>
    <t>OCLM-2025-001099</t>
  </si>
  <si>
    <t>OCLM-2025-001100</t>
  </si>
  <si>
    <t>OCLM-2025-001101</t>
  </si>
  <si>
    <t>OCLM-2025-001102</t>
  </si>
  <si>
    <t>OCLM-2025-001103</t>
  </si>
  <si>
    <t>OCLM-2025-001104</t>
  </si>
  <si>
    <t>OCLM-2025-001105</t>
  </si>
  <si>
    <t>OCLM-2025-001106</t>
  </si>
  <si>
    <t>OCLM-2025-001107</t>
  </si>
  <si>
    <t>OCLM-2025-001108</t>
  </si>
  <si>
    <t>OCLM-2025-001109</t>
  </si>
  <si>
    <t>OCLM-2025-001110</t>
  </si>
  <si>
    <t>OCLM-2025-001111</t>
  </si>
  <si>
    <t>OCLM-2025-001112</t>
  </si>
  <si>
    <t>OCLM-2025-001113</t>
  </si>
  <si>
    <t>OCLM-2025-001114</t>
  </si>
  <si>
    <t>OCLM-2025-001115</t>
  </si>
  <si>
    <t>OCLM-2025-001116</t>
  </si>
  <si>
    <t>OCLM-2025-001117</t>
  </si>
  <si>
    <t>OCLM-2025-001118</t>
  </si>
  <si>
    <t>OCLM-2025-001119</t>
  </si>
  <si>
    <t>OCLM-2025-001120</t>
  </si>
  <si>
    <t>OCLM-2025-001121</t>
  </si>
  <si>
    <t>OCLM-2025-001122</t>
  </si>
  <si>
    <t>OCLM-2025-001123</t>
  </si>
  <si>
    <t>OCLM-2025-001124</t>
  </si>
  <si>
    <t>OCLM-2025-001125</t>
  </si>
  <si>
    <t>OCLM-2025-001126</t>
  </si>
  <si>
    <t>OCLM-2025-001127</t>
  </si>
  <si>
    <t>OCLM-2025-001128</t>
  </si>
  <si>
    <t>OCLM-2025-001129</t>
  </si>
  <si>
    <t>OCLM-2025-001130</t>
  </si>
  <si>
    <t>OCLM-2025-001131</t>
  </si>
  <si>
    <t>OCLM-2025-001132</t>
  </si>
  <si>
    <t>OCLM-2025-001133</t>
  </si>
  <si>
    <t>OCLM-2025-001134</t>
  </si>
  <si>
    <t>OCLM-2025-001135</t>
  </si>
  <si>
    <t>OCLM-2025-001136</t>
  </si>
  <si>
    <t>OCLM-2025-001137</t>
  </si>
  <si>
    <t>OCLM-2025-001138</t>
  </si>
  <si>
    <t>OCLM-2025-001139</t>
  </si>
  <si>
    <t>OCLM-2025-001140</t>
  </si>
  <si>
    <t>OCLM-2025-001141</t>
  </si>
  <si>
    <t>OCLM-2025-001142</t>
  </si>
  <si>
    <t>OCLM-2025-001143</t>
  </si>
  <si>
    <t>OCLM-2025-001144</t>
  </si>
  <si>
    <t>OCLM-2025-001145</t>
  </si>
  <si>
    <t>OCLM-2025-001146</t>
  </si>
  <si>
    <t>OCLM-2025-001147</t>
  </si>
  <si>
    <t>OCLM-2025-001148</t>
  </si>
  <si>
    <t>OCLM-2025-001149</t>
  </si>
  <si>
    <t>OCLM-2025-001151</t>
  </si>
  <si>
    <t>OCLM-2025-001152</t>
  </si>
  <si>
    <t>OCLM-2025-001153</t>
  </si>
  <si>
    <t>OCLM-2025-001154</t>
  </si>
  <si>
    <t>OCLM-2025-001155</t>
  </si>
  <si>
    <t>OCLM-2025-001156</t>
  </si>
  <si>
    <t>OCLM-2025-001157</t>
  </si>
  <si>
    <t>OCLM-2025-001158</t>
  </si>
  <si>
    <t>OCLM-2025-001159</t>
  </si>
  <si>
    <t>OCLM-2025-001160</t>
  </si>
  <si>
    <t>OCLM-2025-001161</t>
  </si>
  <si>
    <t>OCLM-2025-001162</t>
  </si>
  <si>
    <t>OCLM-2025-001163</t>
  </si>
  <si>
    <t>OCLM-2025-001164</t>
  </si>
  <si>
    <t>OCLM-2025-001166</t>
  </si>
  <si>
    <t>OCLM-2025-001167</t>
  </si>
  <si>
    <t>OCLM-2025-001168</t>
  </si>
  <si>
    <t>OCLM-2025-001169</t>
  </si>
  <si>
    <t>OCLM-2025-001170</t>
  </si>
  <si>
    <t>OCLM-2025-001172</t>
  </si>
  <si>
    <t>OCLM-2025-001173</t>
  </si>
  <si>
    <t>OCLM-2025-001174</t>
  </si>
  <si>
    <t>OCLM-2025-001175</t>
  </si>
  <si>
    <t>OCLM-2025-001176</t>
  </si>
  <si>
    <t>OCLM-2025-001177</t>
  </si>
  <si>
    <t>OCLM-2025-001178</t>
  </si>
  <si>
    <t>OCLM-2025-001179</t>
  </si>
  <si>
    <t>OCLM-2025-001180</t>
  </si>
  <si>
    <t>OCLM-2025-001181</t>
  </si>
  <si>
    <t>OCLM-2025-001183</t>
  </si>
  <si>
    <t>OCLM-2025-001185</t>
  </si>
  <si>
    <t>OCLM-2025-001186</t>
  </si>
  <si>
    <t>OCLM-2025-001187</t>
  </si>
  <si>
    <t>OCLM-2025-001188</t>
  </si>
  <si>
    <t>OCLM-2025-001190</t>
  </si>
  <si>
    <t>OCLM-2025-001191</t>
  </si>
  <si>
    <t>OCLM-2025-001192</t>
  </si>
  <si>
    <t>OCLM-2025-001193</t>
  </si>
  <si>
    <t>OCLM-2025-001194</t>
  </si>
  <si>
    <t>OCLM-2025-001195</t>
  </si>
  <si>
    <t>OCLM-2025-001196</t>
  </si>
  <si>
    <t>OCLM-2025-001197</t>
  </si>
  <si>
    <t>OCLM-2025-001198</t>
  </si>
  <si>
    <t>OCLM-2025-001199</t>
  </si>
  <si>
    <t>OCLM-2025-001200</t>
  </si>
  <si>
    <t>OCLM-2025-001202</t>
  </si>
  <si>
    <t>OCLM-2025-001203</t>
  </si>
  <si>
    <t>OCLM-2025-001204</t>
  </si>
  <si>
    <t>OCLM-2025-001206</t>
  </si>
  <si>
    <t>OCLM-2025-001207</t>
  </si>
  <si>
    <t>OCLM-2025-001208</t>
  </si>
  <si>
    <t>OCLM-2025-001209</t>
  </si>
  <si>
    <t>OCLM-2025-001210</t>
  </si>
  <si>
    <t>OCLM-2025-001211</t>
  </si>
  <si>
    <t>OCLM-2025-001212</t>
  </si>
  <si>
    <t>OCLM-2025-001213</t>
  </si>
  <si>
    <t>OCLM-2025-001214</t>
  </si>
  <si>
    <t>OCLM-2025-001215</t>
  </si>
  <si>
    <t>OCLM-2025-001216</t>
  </si>
  <si>
    <t>OCLM-2025-001217</t>
  </si>
  <si>
    <t>OCLM-2025-001218</t>
  </si>
  <si>
    <t>OCLM-2025-001219</t>
  </si>
  <si>
    <t>OCLM-2025-001220</t>
  </si>
  <si>
    <t>OCLM-2025-001221</t>
  </si>
  <si>
    <t>OCLM-2025-001222</t>
  </si>
  <si>
    <t>OCLM-2025-001223</t>
  </si>
  <si>
    <t>OCLM-2025-001224</t>
  </si>
  <si>
    <t>OCLM-2025-001225</t>
  </si>
  <si>
    <t>OCLM-2025-001226</t>
  </si>
  <si>
    <t>OCLM-2025-001227</t>
  </si>
  <si>
    <t>OCLM-2025-001228</t>
  </si>
  <si>
    <t>OCLM-2025-001229</t>
  </si>
  <si>
    <t>OCLM-2025-001230</t>
  </si>
  <si>
    <t>OCLM-2025-001231</t>
  </si>
  <si>
    <t>OCLM-2025-001232</t>
  </si>
  <si>
    <t>OCLM-2025-001233</t>
  </si>
  <si>
    <t>OCLM-2025-001234</t>
  </si>
  <si>
    <t>OCLM-2025-001235</t>
  </si>
  <si>
    <t>OCLM-2025-001236</t>
  </si>
  <si>
    <t>OCLM-2025-001237</t>
  </si>
  <si>
    <t>OCLM-2025-001238</t>
  </si>
  <si>
    <t>OCLM-2025-001239</t>
  </si>
  <si>
    <t>OCLM-2025-001240</t>
  </si>
  <si>
    <t>OCLM-2025-001243</t>
  </si>
  <si>
    <t>OCLM-2025-001244</t>
  </si>
  <si>
    <t>OCLM-2025-001246</t>
  </si>
  <si>
    <t>OCLM-2025-001247</t>
  </si>
  <si>
    <t>OCLM-2025-001248</t>
  </si>
  <si>
    <t>OCLM-2025-001250</t>
  </si>
  <si>
    <t>OCLM-2025-001251</t>
  </si>
  <si>
    <t>OCLM-2025-001252</t>
  </si>
  <si>
    <t>OCLM-2025-001254</t>
  </si>
  <si>
    <t>OCLM-2025-001255</t>
  </si>
  <si>
    <t>OCLM-2025-001256</t>
  </si>
  <si>
    <t>OCLM-2025-001257</t>
  </si>
  <si>
    <t>OCLM-2025-001258</t>
  </si>
  <si>
    <t>OCLM-2025-001259</t>
  </si>
  <si>
    <t>OCLM-2025-001260</t>
  </si>
  <si>
    <t>OCLM-2025-001261</t>
  </si>
  <si>
    <t>OCLM-2025-001262</t>
  </si>
  <si>
    <t>OCLM-2025-001264</t>
  </si>
  <si>
    <t>OCLM-2025-001265</t>
  </si>
  <si>
    <t>OCLM-2025-001267</t>
  </si>
  <si>
    <t>OCLM-2025-001268</t>
  </si>
  <si>
    <t>OCLM-2025-001269</t>
  </si>
  <si>
    <t>OCLM-2025-001270</t>
  </si>
  <si>
    <t>OCLM-2025-001271</t>
  </si>
  <si>
    <t>OCLM-2025-001272</t>
  </si>
  <si>
    <t>OCLM-2025-001274</t>
  </si>
  <si>
    <t>OCLM-2025-001275</t>
  </si>
  <si>
    <t>OCLM-2025-001276</t>
  </si>
  <si>
    <t>OCLM-2025-001277</t>
  </si>
  <si>
    <t>OCLM-2025-001279</t>
  </si>
  <si>
    <t>OCLM-2025-001280</t>
  </si>
  <si>
    <t>OCLM-2025-001281</t>
  </si>
  <si>
    <t>OCLM-2025-001282</t>
  </si>
  <si>
    <t>OCLM-2025-001283</t>
  </si>
  <si>
    <t>OCLM-2025-001285</t>
  </si>
  <si>
    <t>OCLM-2025-001286</t>
  </si>
  <si>
    <t>OCLM-2025-001288</t>
  </si>
  <si>
    <t>OCLM-2025-001289</t>
  </si>
  <si>
    <t>OCLM-2025-001291</t>
  </si>
  <si>
    <t>OCLM-2025-001292</t>
  </si>
  <si>
    <t>OCLM-2025-001293</t>
  </si>
  <si>
    <t>OCLM-2025-001295</t>
  </si>
  <si>
    <t>OCLM-2025-001296</t>
  </si>
  <si>
    <t>OCLM-2025-001297</t>
  </si>
  <si>
    <t>OCLM-2025-001299</t>
  </si>
  <si>
    <t>OCLM-2025-001300</t>
  </si>
  <si>
    <t>OCLM-2025-001301</t>
  </si>
  <si>
    <t>OCLM-2025-001302</t>
  </si>
  <si>
    <t>OCLM-2025-001303</t>
  </si>
  <si>
    <t>OCLM-2025-001305</t>
  </si>
  <si>
    <t>OCLM-2025-001307</t>
  </si>
  <si>
    <t>OCLM-2025-001308</t>
  </si>
  <si>
    <t>OCLM-2025-001309</t>
  </si>
  <si>
    <t>OCLM-2025-001310</t>
  </si>
  <si>
    <t>OCLM-2025-001311</t>
  </si>
  <si>
    <t>OCLM-2025-001312</t>
  </si>
  <si>
    <t>OCLM-2025-001313</t>
  </si>
  <si>
    <t>OCLM-2025-001314</t>
  </si>
  <si>
    <t>OCLM-2025-001315</t>
  </si>
  <si>
    <t>OCLM-2025-001316</t>
  </si>
  <si>
    <t>OCLM-2025-001318</t>
  </si>
  <si>
    <t>OCLM-2025-001319</t>
  </si>
  <si>
    <t>OCLM-2025-001320</t>
  </si>
  <si>
    <t>OCLM-2025-001322</t>
  </si>
  <si>
    <t>OCLM-2025-001323</t>
  </si>
  <si>
    <t>OCLM-2025-001324</t>
  </si>
  <si>
    <t>OCLM-2025-001326</t>
  </si>
  <si>
    <t>OCLM-2025-001328</t>
  </si>
  <si>
    <t>OCLM-2025-001329</t>
  </si>
  <si>
    <t>OCLM-2025-001331</t>
  </si>
  <si>
    <t>OCLM-2025-001332</t>
  </si>
  <si>
    <t>OCLM-2025-001333</t>
  </si>
  <si>
    <t>OCLM-2025-001334</t>
  </si>
  <si>
    <t>OCLM-2025-001335</t>
  </si>
  <si>
    <t>OCLM-2025-001336</t>
  </si>
  <si>
    <t>OCLM-2025-001338</t>
  </si>
  <si>
    <t>OCLM-2025-001340</t>
  </si>
  <si>
    <t>OCLM-2025-001341</t>
  </si>
  <si>
    <t>OCLM-2025-001342</t>
  </si>
  <si>
    <t>OCLM-2025-001343</t>
  </si>
  <si>
    <t>OCLM-2025-001345</t>
  </si>
  <si>
    <t>OCLM-2025-001346</t>
  </si>
  <si>
    <t>OCLM-2025-001347</t>
  </si>
  <si>
    <t>OCLM-2025-001348</t>
  </si>
  <si>
    <t>OCLM-2025-001349</t>
  </si>
  <si>
    <t>OCLM-2025-001350</t>
  </si>
  <si>
    <t>OCLM-2025-001352</t>
  </si>
  <si>
    <t>OCLM-2025-001353</t>
  </si>
  <si>
    <t>OCLM-2025-001354</t>
  </si>
  <si>
    <t>OCLM-2025-001355</t>
  </si>
  <si>
    <t>OCLM-2025-001357</t>
  </si>
  <si>
    <t>OCLM-2025-001358</t>
  </si>
  <si>
    <t>OCLM-2025-001359</t>
  </si>
  <si>
    <t>OCLM-2025-001360</t>
  </si>
  <si>
    <t>OCLM-2025-001361</t>
  </si>
  <si>
    <t>OCLM-2025-001362</t>
  </si>
  <si>
    <t>OCLM-2025-001363</t>
  </si>
  <si>
    <t>OCLM-2025-001364</t>
  </si>
  <si>
    <t>OCLM-2025-001365</t>
  </si>
  <si>
    <t>OCLM-2025-001367</t>
  </si>
  <si>
    <t>OCLM-2025-001368</t>
  </si>
  <si>
    <t>OCLM-2025-001369</t>
  </si>
  <si>
    <t>OCLM-2025-001370</t>
  </si>
  <si>
    <t>OCLM-2025-001371</t>
  </si>
  <si>
    <t>OCLM-2025-001372</t>
  </si>
  <si>
    <t>OCLM-2025-001373</t>
  </si>
  <si>
    <t>OCLM-2025-001374</t>
  </si>
  <si>
    <t>OCLM-2025-001375</t>
  </si>
  <si>
    <t>OCLM-2025-001376</t>
  </si>
  <si>
    <t>OCLM-2025-001378</t>
  </si>
  <si>
    <t>OCLM-2025-001379</t>
  </si>
  <si>
    <t>OCLM-2025-001380</t>
  </si>
  <si>
    <t>OCLM-2025-001381</t>
  </si>
  <si>
    <t>OCLM-2025-001383</t>
  </si>
  <si>
    <t>OCLM-2025-001384</t>
  </si>
  <si>
    <t>OCLM-2025-001385</t>
  </si>
  <si>
    <t>OCLM-2025-001386</t>
  </si>
  <si>
    <t>OCLM-2025-001387</t>
  </si>
  <si>
    <t>OCLM-2025-001388</t>
  </si>
  <si>
    <t>OCLM-2025-001389</t>
  </si>
  <si>
    <t>OCLM-2025-001390</t>
  </si>
  <si>
    <t>OCLM-2025-001391</t>
  </si>
  <si>
    <t>OCLM-2025-001392</t>
  </si>
  <si>
    <t>OCLM-2025-001393</t>
  </si>
  <si>
    <t>OCLM-2025-001395</t>
  </si>
  <si>
    <t>OCLM-2025-001396</t>
  </si>
  <si>
    <t>OCLM-2025-001397</t>
  </si>
  <si>
    <t>OCLM-2025-001399</t>
  </si>
  <si>
    <t>OCLM-2025-001400</t>
  </si>
  <si>
    <t>OCLM-2025-001401</t>
  </si>
  <si>
    <t>OCLM-2025-001403</t>
  </si>
  <si>
    <t>OCLM-2025-001405</t>
  </si>
  <si>
    <t>OCLM-2025-001407</t>
  </si>
  <si>
    <t>OCLM-2025-001408</t>
  </si>
  <si>
    <t>OCLM-2025-001410</t>
  </si>
  <si>
    <t>OCLM-2025-001411</t>
  </si>
  <si>
    <t>OCLM-2025-001412</t>
  </si>
  <si>
    <t>OCLM-2025-001413</t>
  </si>
  <si>
    <t>OCLM-2025-001414</t>
  </si>
  <si>
    <t>OCLM-2025-001416</t>
  </si>
  <si>
    <t>OCLM-2025-001418</t>
  </si>
  <si>
    <t>OCLM-2025-001419</t>
  </si>
  <si>
    <t>OCLM-2025-001420</t>
  </si>
  <si>
    <t>OCLM-2025-001422</t>
  </si>
  <si>
    <t>OCLM-2025-001423</t>
  </si>
  <si>
    <t>OCLM-2025-001424</t>
  </si>
  <si>
    <t>OCLM-2025-001425</t>
  </si>
  <si>
    <t>OCLM-2025-001426</t>
  </si>
  <si>
    <t>OCLM-2025-001427</t>
  </si>
  <si>
    <t>OCLM-2025-001428</t>
  </si>
  <si>
    <t>OCLM-2025-001430</t>
  </si>
  <si>
    <t>OCLM-2025-001431</t>
  </si>
  <si>
    <t>OCLM-2025-001432</t>
  </si>
  <si>
    <t>OCLM-2025-001433</t>
  </si>
  <si>
    <t>OCLM-2025-001434</t>
  </si>
  <si>
    <t>OCLM-2025-001435</t>
  </si>
  <si>
    <t>OCLM-2025-001436</t>
  </si>
  <si>
    <t>OCLM-2025-001438</t>
  </si>
  <si>
    <t>OCLM-2025-001439</t>
  </si>
  <si>
    <t>OCLM-2025-001440</t>
  </si>
  <si>
    <t>OCLM-2025-001442</t>
  </si>
  <si>
    <t>OCLM-2025-001443</t>
  </si>
  <si>
    <t>OCLM-2025-001444</t>
  </si>
  <si>
    <t>OCLM-2025-001445</t>
  </si>
  <si>
    <t>OCLM-2025-001447</t>
  </si>
  <si>
    <t>OCLM-2025-001449</t>
  </si>
  <si>
    <t>OCLM-2025-001450</t>
  </si>
  <si>
    <t>OCLM-2025-001451</t>
  </si>
  <si>
    <t>OCLM-2025-001452</t>
  </si>
  <si>
    <t>OCLM-2025-001453</t>
  </si>
  <si>
    <t>OCLM-2025-001455</t>
  </si>
  <si>
    <t>OCLM-2025-001456</t>
  </si>
  <si>
    <t>OCLM-2025-001457</t>
  </si>
  <si>
    <t>OCLM-2025-001458</t>
  </si>
  <si>
    <t>OCLM-2025-001459</t>
  </si>
  <si>
    <t>OCLM-2025-001460</t>
  </si>
  <si>
    <t>OCLM-2025-001461</t>
  </si>
  <si>
    <t>OCLM-2025-001462</t>
  </si>
  <si>
    <t>OCLM-2025-001463</t>
  </si>
  <si>
    <t>OCLM-2025-001464</t>
  </si>
  <si>
    <t>OCLM-2025-001465</t>
  </si>
  <si>
    <t>OCLM-2025-001466</t>
  </si>
  <si>
    <t>OCLM-2025-001467</t>
  </si>
  <si>
    <t>OCLM-2025-001468</t>
  </si>
  <si>
    <t>OCLM-2025-001469</t>
  </si>
  <si>
    <t>OCLM-2025-001470</t>
  </si>
  <si>
    <t>OCLM-2025-001472</t>
  </si>
  <si>
    <t>OCLM-2025-001473</t>
  </si>
  <si>
    <t>OCLM-2025-001474</t>
  </si>
  <si>
    <t>OCLM-2025-001475</t>
  </si>
  <si>
    <t>OCLM-2025-001476</t>
  </si>
  <si>
    <t>OCLM-2025-001477</t>
  </si>
  <si>
    <t>OCLM-2025-001478</t>
  </si>
  <si>
    <t>OCLM-2025-001479</t>
  </si>
  <si>
    <t>OCLM-2025-001480</t>
  </si>
  <si>
    <t>OCLM-2025-001481</t>
  </si>
  <si>
    <t>OCLM-2025-001482</t>
  </si>
  <si>
    <t>OCLM-2025-001483</t>
  </si>
  <si>
    <t>OCLM-2025-001484</t>
  </si>
  <si>
    <t>OCLM-2025-001487</t>
  </si>
  <si>
    <t>OCLM-2025-001488</t>
  </si>
  <si>
    <t>OCLM-2025-001489</t>
  </si>
  <si>
    <t>OCLM-2025-001490</t>
  </si>
  <si>
    <t>OCLM-2025-001491</t>
  </si>
  <si>
    <t>OCLM-2025-001492</t>
  </si>
  <si>
    <t>OCLM-2025-001494</t>
  </si>
  <si>
    <t>OCLM-2025-001495</t>
  </si>
  <si>
    <t>OCLM-2025-001496</t>
  </si>
  <si>
    <t>OCLM-2025-001497</t>
  </si>
  <si>
    <t>OCLM-2025-001498</t>
  </si>
  <si>
    <t>OCLM-2025-001499</t>
  </si>
  <si>
    <t>OCLM-2025-001500</t>
  </si>
  <si>
    <t>OCLM-2025-001501</t>
  </si>
  <si>
    <t>OCLM-2025-001503</t>
  </si>
  <si>
    <t>OCLM-2025-001504</t>
  </si>
  <si>
    <t>OCLM-2025-001505</t>
  </si>
  <si>
    <t>OCLM-2025-001506</t>
  </si>
  <si>
    <t>OCLM-2025-001507</t>
  </si>
  <si>
    <t>OCLM-2025-001509</t>
  </si>
  <si>
    <t>OCLM-2025-001511</t>
  </si>
  <si>
    <t>OCLM-2025-001512</t>
  </si>
  <si>
    <t>OCLM-2025-001513</t>
  </si>
  <si>
    <t>OCLM-2025-001514</t>
  </si>
  <si>
    <t>OCLM-2025-001515</t>
  </si>
  <si>
    <t>OCLM-2025-001516</t>
  </si>
  <si>
    <t>OCLM-2025-001517</t>
  </si>
  <si>
    <t>OCLM-2025-001518</t>
  </si>
  <si>
    <t>OCLM-2025-001519</t>
  </si>
  <si>
    <t>OCLM-2025-001520</t>
  </si>
  <si>
    <t>OCLM-2025-001521</t>
  </si>
  <si>
    <t>OCLM-2025-001522</t>
  </si>
  <si>
    <t>OCLM-2025-001523</t>
  </si>
  <si>
    <t>OCLM-2025-001524</t>
  </si>
  <si>
    <t>OCLM-2025-001525</t>
  </si>
  <si>
    <t>OCLM-2025-001526</t>
  </si>
  <si>
    <t>OCLM-2025-001527</t>
  </si>
  <si>
    <t>OCLM-2025-001528</t>
  </si>
  <si>
    <t>OCLM-2025-001529</t>
  </si>
  <si>
    <t>OCLM-2025-001530</t>
  </si>
  <si>
    <t>OCLM-2025-001531</t>
  </si>
  <si>
    <t>OCLM-2025-001532</t>
  </si>
  <si>
    <t>OCLM-2025-001533</t>
  </si>
  <si>
    <t>OCLM-2025-001534</t>
  </si>
  <si>
    <t>OCLM-2025-001535</t>
  </si>
  <si>
    <t>OCLM-2025-001536</t>
  </si>
  <si>
    <t>OCLM-2025-001537</t>
  </si>
  <si>
    <t>OCLM-2025-001538</t>
  </si>
  <si>
    <t>OCLM-2025-001539</t>
  </si>
  <si>
    <t>OCLM-2025-001540</t>
  </si>
  <si>
    <t>OCLM-2025-001541</t>
  </si>
  <si>
    <t>OCLM-2025-001542</t>
  </si>
  <si>
    <t>OCLM-2025-001543</t>
  </si>
  <si>
    <t>OCLM-2025-001544</t>
  </si>
  <si>
    <t>OCLM-2025-001545</t>
  </si>
  <si>
    <t>OCLM-2025-001546</t>
  </si>
  <si>
    <t>OCLM-2025-001547</t>
  </si>
  <si>
    <t>OCLM-2025-001548</t>
  </si>
  <si>
    <t>OCLM-2025-001549</t>
  </si>
  <si>
    <t>OCLM-2025-001550</t>
  </si>
  <si>
    <t>OCLM-2025-001551</t>
  </si>
  <si>
    <t>OCLM-2025-001552</t>
  </si>
  <si>
    <t>OCLM-2025-001553</t>
  </si>
  <si>
    <t>OCLM-2025-001554</t>
  </si>
  <si>
    <t>OCLM-2025-001555</t>
  </si>
  <si>
    <t>OCLM-2025-001556</t>
  </si>
  <si>
    <t>OCLM-2025-001557</t>
  </si>
  <si>
    <t>OCLM-2025-001558</t>
  </si>
  <si>
    <t>OCLM-2025-001559</t>
  </si>
  <si>
    <t>OCLM-2025-001560</t>
  </si>
  <si>
    <t>OCLM-2025-001561</t>
  </si>
  <si>
    <t>OCLM-2025-001562</t>
  </si>
  <si>
    <t>OCLM-2025-001563</t>
  </si>
  <si>
    <t>OCLM-2025-001564</t>
  </si>
  <si>
    <t>OCLM-2025-001565</t>
  </si>
  <si>
    <t>OCLM-2025-001566</t>
  </si>
  <si>
    <t>OCLM-2025-001567</t>
  </si>
  <si>
    <t>OCLM-2025-001568</t>
  </si>
  <si>
    <t>OCLM-2025-001569</t>
  </si>
  <si>
    <t>OCLM-2025-001570</t>
  </si>
  <si>
    <t>OCLM-2025-001571</t>
  </si>
  <si>
    <t>OCLM-2025-001572</t>
  </si>
  <si>
    <t>OCLM-2025-001573</t>
  </si>
  <si>
    <t>OCLM-2025-001574</t>
  </si>
  <si>
    <t>OCLM-2025-001575</t>
  </si>
  <si>
    <t>OCLM-2025-001576</t>
  </si>
  <si>
    <t>OCLM-2025-001577</t>
  </si>
  <si>
    <t>OCLM-2025-001578</t>
  </si>
  <si>
    <t>OCLM-2025-001579</t>
  </si>
  <si>
    <t>OCLM-2025-001580</t>
  </si>
  <si>
    <t>OCLM-2025-001581</t>
  </si>
  <si>
    <t>OCLM-2025-001582</t>
  </si>
  <si>
    <t>OCLM-2025-001583</t>
  </si>
  <si>
    <t>OCLM-2025-001585</t>
  </si>
  <si>
    <t>OCLM-2025-001586</t>
  </si>
  <si>
    <t>OCLM-2025-001587</t>
  </si>
  <si>
    <t>OCLM-2025-001588</t>
  </si>
  <si>
    <t>OCLM-2025-001589</t>
  </si>
  <si>
    <t>OCLM-2025-001590</t>
  </si>
  <si>
    <t>OCLM-2025-001591</t>
  </si>
  <si>
    <t>OCLM-2025-001592</t>
  </si>
  <si>
    <t>OCLM-2025-001593</t>
  </si>
  <si>
    <t>OCLM-2025-001594</t>
  </si>
  <si>
    <t>OCLM-2025-001595</t>
  </si>
  <si>
    <t>OCLM-2025-001596</t>
  </si>
  <si>
    <t>OCLM-2025-001597</t>
  </si>
  <si>
    <t>OCLM-2025-001598</t>
  </si>
  <si>
    <t>OCLM-2025-001599</t>
  </si>
  <si>
    <t>OCLM-2025-001600</t>
  </si>
  <si>
    <t>OCLM-2025-001601</t>
  </si>
  <si>
    <t>OCLM-2025-001602</t>
  </si>
  <si>
    <t>OCLM-2025-001603</t>
  </si>
  <si>
    <t>OCLM-2025-001604</t>
  </si>
  <si>
    <t>OCLM-2025-001605</t>
  </si>
  <si>
    <t>OCLM-2025-001606</t>
  </si>
  <si>
    <t>OCLM-2025-001607</t>
  </si>
  <si>
    <t>OCLM-2025-001608</t>
  </si>
  <si>
    <t>OCLM-2025-001609</t>
  </si>
  <si>
    <t>OCLM-2025-001610</t>
  </si>
  <si>
    <t>OCLM-2025-001611</t>
  </si>
  <si>
    <t>OCLM-2025-001612</t>
  </si>
  <si>
    <t>OCLM-2025-001613</t>
  </si>
  <si>
    <t>OCLM-2025-001614</t>
  </si>
  <si>
    <t>OCLM-2025-001615</t>
  </si>
  <si>
    <t>OCLM-2025-001616</t>
  </si>
  <si>
    <t>OCLM-2025-001617</t>
  </si>
  <si>
    <t>OCLM-2025-001618</t>
  </si>
  <si>
    <t>OCLM-2025-001620</t>
  </si>
  <si>
    <t>OCLM-2025-001621</t>
  </si>
  <si>
    <t>OCLM-2025-001622</t>
  </si>
  <si>
    <t>OCLM-2025-001623</t>
  </si>
  <si>
    <t>OCLM-2025-001624</t>
  </si>
  <si>
    <t>OCLM-2025-001625</t>
  </si>
  <si>
    <t>OCLM-2025-001626</t>
  </si>
  <si>
    <t>OCLM-2025-001627</t>
  </si>
  <si>
    <t>OCLM-2025-001628</t>
  </si>
  <si>
    <t>OCLM-2025-001629</t>
  </si>
  <si>
    <t>OCLM-2025-001630</t>
  </si>
  <si>
    <t>OCLM-2025-001631</t>
  </si>
  <si>
    <t>OCLM-2025-001632</t>
  </si>
  <si>
    <t>OCLM-2025-001633</t>
  </si>
  <si>
    <t>OCLM-2025-001634</t>
  </si>
  <si>
    <t>OCLM-2025-001635</t>
  </si>
  <si>
    <t>OCLM-2025-001636</t>
  </si>
  <si>
    <t>OCLM-2025-001637</t>
  </si>
  <si>
    <t>OCLM-2025-001638</t>
  </si>
  <si>
    <t>OCLM-2025-001639</t>
  </si>
  <si>
    <t>OCLM-2025-001640</t>
  </si>
  <si>
    <t>OCLM-2025-001641</t>
  </si>
  <si>
    <t>OCLM-2025-001642</t>
  </si>
  <si>
    <t>OCLM-2025-001643</t>
  </si>
  <si>
    <t>OCLM-2025-001644</t>
  </si>
  <si>
    <t>OCLM-2025-001645</t>
  </si>
  <si>
    <t>OCLM-2025-001646</t>
  </si>
  <si>
    <t>OCLM-2025-001647</t>
  </si>
  <si>
    <t>OCLM-2025-001648</t>
  </si>
  <si>
    <t>OCLM-2025-001649</t>
  </si>
  <si>
    <t>OCLM-2025-001650</t>
  </si>
  <si>
    <t>OCLM-2025-001651</t>
  </si>
  <si>
    <t>OCLM-2025-001652</t>
  </si>
  <si>
    <t>OCLM-2025-001653</t>
  </si>
  <si>
    <t>OCLM-2025-001654</t>
  </si>
  <si>
    <t>OCLM-2025-001655</t>
  </si>
  <si>
    <t>OCLM-2025-001656</t>
  </si>
  <si>
    <t>OCLM-2025-001657</t>
  </si>
  <si>
    <t>OCLM-2025-001658</t>
  </si>
  <si>
    <t>OCLM-2025-001659</t>
  </si>
  <si>
    <t>OCLM-2025-001660</t>
  </si>
  <si>
    <t>OCLM-2025-001661</t>
  </si>
  <si>
    <t>OCLM-2025-001662</t>
  </si>
  <si>
    <t>OCLM-2025-001663</t>
  </si>
  <si>
    <t>OCLM-2025-001664</t>
  </si>
  <si>
    <t>OCLM-2025-001665</t>
  </si>
  <si>
    <t>OCLM-2025-001666</t>
  </si>
  <si>
    <t>OCLM-2025-001667</t>
  </si>
  <si>
    <t>OCLM-2025-001668</t>
  </si>
  <si>
    <t>OCLM-2025-001669</t>
  </si>
  <si>
    <t>OCLM-2025-001670</t>
  </si>
  <si>
    <t>OCLM-2025-001671</t>
  </si>
  <si>
    <t>OCLM-2025-001672</t>
  </si>
  <si>
    <t>OCLM-2025-001673</t>
  </si>
  <si>
    <t>OCLM-2025-001674</t>
  </si>
  <si>
    <t>OCLM-2025-001675</t>
  </si>
  <si>
    <t>OCLM-2025-001676</t>
  </si>
  <si>
    <t>OCLM-2025-001677</t>
  </si>
  <si>
    <t>OCLM-2025-001678</t>
  </si>
  <si>
    <t>OCLM-2025-001679</t>
  </si>
  <si>
    <t>OCLM-2025-001680</t>
  </si>
  <si>
    <t>OCLM-2025-001681</t>
  </si>
  <si>
    <t>OCLM-2025-001682</t>
  </si>
  <si>
    <t>OCLM-2025-001683</t>
  </si>
  <si>
    <t>OCLM-2025-001684</t>
  </si>
  <si>
    <t>OCLM-2025-001685</t>
  </si>
  <si>
    <t>OCLM-2025-001686</t>
  </si>
  <si>
    <t>OCLM-2025-001687</t>
  </si>
  <si>
    <t>OCLM-2025-001688</t>
  </si>
  <si>
    <t>OCLM-2025-001689</t>
  </si>
  <si>
    <t>OCLM-2025-001691</t>
  </si>
  <si>
    <t>OCLM-2025-001692</t>
  </si>
  <si>
    <t>OCLM-2025-001693</t>
  </si>
  <si>
    <t>OCLM-2025-001694</t>
  </si>
  <si>
    <t>OCLM-2025-001695</t>
  </si>
  <si>
    <t>OCLM-2025-001697</t>
  </si>
  <si>
    <t>OCLM-2025-001698</t>
  </si>
  <si>
    <t>OCLM-2025-001699</t>
  </si>
  <si>
    <t>OCLM-2025-001700</t>
  </si>
  <si>
    <t>OCLM-2025-001701</t>
  </si>
  <si>
    <t>OCLM-2025-001702</t>
  </si>
  <si>
    <t>OCLM-2025-001703</t>
  </si>
  <si>
    <t>OCLM-2025-001704</t>
  </si>
  <si>
    <t>OCLM-2025-001705</t>
  </si>
  <si>
    <t>OCLM-2025-001706</t>
  </si>
  <si>
    <t>OCLM-2025-001707</t>
  </si>
  <si>
    <t>OCLM-2025-001708</t>
  </si>
  <si>
    <t>OCLM-2025-001709</t>
  </si>
  <si>
    <t>OCLM-2025-001711</t>
  </si>
  <si>
    <t>OCLM-2025-001712</t>
  </si>
  <si>
    <t>OCLM-2025-001713</t>
  </si>
  <si>
    <t>OCLM-2025-001714</t>
  </si>
  <si>
    <t>OCLM-2025-001715</t>
  </si>
  <si>
    <t>OCLM-2025-001716</t>
  </si>
  <si>
    <t>OCLM-2025-001717</t>
  </si>
  <si>
    <t>OCLM-2025-001718</t>
  </si>
  <si>
    <t>OCLM-2025-001719</t>
  </si>
  <si>
    <t>OCLM-2025-001720</t>
  </si>
  <si>
    <t>OCLM-2025-001721</t>
  </si>
  <si>
    <t>OCLM-2025-001722</t>
  </si>
  <si>
    <t>OCLM-2025-001723</t>
  </si>
  <si>
    <t>OCLM-2025-001737</t>
  </si>
  <si>
    <t>OCLM-2025-001738</t>
  </si>
  <si>
    <t>OCLM-2025-001739</t>
  </si>
  <si>
    <t>OCLM-2025-001740</t>
  </si>
  <si>
    <t>OCLM-2025-001741</t>
  </si>
  <si>
    <t>OCLM-2025-001742</t>
  </si>
  <si>
    <t>OCLM-2025-001743</t>
  </si>
  <si>
    <t>OCLM-2025-001744</t>
  </si>
  <si>
    <t>OCLM-2025-001746</t>
  </si>
  <si>
    <t>OCLM-2025-001747</t>
  </si>
  <si>
    <t>OCLM-2025-001748</t>
  </si>
  <si>
    <t>OCLM-2025-001749</t>
  </si>
  <si>
    <t>OCLM-2025-001768</t>
  </si>
  <si>
    <t>OCLM-2025-001769</t>
  </si>
  <si>
    <t>OCLM-2025-001770</t>
  </si>
  <si>
    <t>OCLM-2025-001771</t>
  </si>
  <si>
    <t>OCLM-2025-001772</t>
  </si>
  <si>
    <t>OCLM-2025-001773</t>
  </si>
  <si>
    <t>OCLM-2025-001774</t>
  </si>
  <si>
    <t>OCLM-2025-001775</t>
  </si>
  <si>
    <t>OCLM-2025-001776</t>
  </si>
  <si>
    <t>OCLM-2025-001777</t>
  </si>
  <si>
    <t>OCLM-2025-001778</t>
  </si>
  <si>
    <t>OCLM-2025-001779</t>
  </si>
  <si>
    <t>OCLM-2025-001780</t>
  </si>
  <si>
    <t>OCLM-2025-001781</t>
  </si>
  <si>
    <t>OCLM-2025-001783</t>
  </si>
  <si>
    <t>OCLM-2025-001784</t>
  </si>
  <si>
    <t>OCLM-2025-001785</t>
  </si>
  <si>
    <t>OCLM-2025-001786</t>
  </si>
  <si>
    <t>OCLM-2025-001787</t>
  </si>
  <si>
    <t>OCLM-2025-001788</t>
  </si>
  <si>
    <t>OCLM-2025-001789</t>
  </si>
  <si>
    <t>OCLM-2025-001790</t>
  </si>
  <si>
    <t>OCLM-2025-001791</t>
  </si>
  <si>
    <t>OCLM-2025-001792</t>
  </si>
  <si>
    <t>OCLM-2025-001793</t>
  </si>
  <si>
    <t>OCLM-2025-001794</t>
  </si>
  <si>
    <t>OCLM-2025-001795</t>
  </si>
  <si>
    <t>OCLM-2025-001796</t>
  </si>
  <si>
    <t>OCLM-2025-001797</t>
  </si>
  <si>
    <t>OCLM-2025-001798</t>
  </si>
  <si>
    <t>OCLM-2025-001799</t>
  </si>
  <si>
    <t>OCLM-2025-001800</t>
  </si>
  <si>
    <t>OCLM-2025-001801</t>
  </si>
  <si>
    <t>OCLM-2025-001802</t>
  </si>
  <si>
    <t>OCLM-2025-001805</t>
  </si>
  <si>
    <t>OCLM-2025-001806</t>
  </si>
  <si>
    <t>OCLM-2025-001807</t>
  </si>
  <si>
    <t>OCLM-2025-001808</t>
  </si>
  <si>
    <t>OCLM-2025-001809</t>
  </si>
  <si>
    <t>OCLM-2025-001814</t>
  </si>
  <si>
    <t>OCLM-2025-001815</t>
  </si>
  <si>
    <t>OCLM-2025-001816</t>
  </si>
  <si>
    <t>OCLM-2025-001817</t>
  </si>
  <si>
    <t>OCLM-2025-001818</t>
  </si>
  <si>
    <t>OCLM-2025-001819</t>
  </si>
  <si>
    <t>OCLM-2025-001820</t>
  </si>
  <si>
    <t>OCLM-2025-001821</t>
  </si>
  <si>
    <t>OCLM-2025-001822</t>
  </si>
  <si>
    <t>OCLM-2025-001823</t>
  </si>
  <si>
    <t>OCLM-2025-001824</t>
  </si>
  <si>
    <t>OCLM-2025-001825</t>
  </si>
  <si>
    <t>OCLM-2025-001826</t>
  </si>
  <si>
    <t>OCLM-2025-001827</t>
  </si>
  <si>
    <t>OCLM-2025-001828</t>
  </si>
  <si>
    <t>OCLM-2025-001829</t>
  </si>
  <si>
    <t>OCLM-2025-001830</t>
  </si>
  <si>
    <t>OCLM-2025-001831</t>
  </si>
  <si>
    <t>OCLM-2025-001832</t>
  </si>
  <si>
    <t>OCLM-2025-001833</t>
  </si>
  <si>
    <t>OCLM-2025-001834</t>
  </si>
  <si>
    <t>OCLM-2025-001835</t>
  </si>
  <si>
    <t>OCLM-2025-001837</t>
  </si>
  <si>
    <t>OCLM-2025-001838</t>
  </si>
  <si>
    <t>OCLM-2025-001839</t>
  </si>
  <si>
    <t>OCLM-2025-001840</t>
  </si>
  <si>
    <t>OCLM-2025-001841</t>
  </si>
  <si>
    <t>OCLM-2025-001843</t>
  </si>
  <si>
    <t>OCLM-2025-001844</t>
  </si>
  <si>
    <t>OCLM-2025-001845</t>
  </si>
  <si>
    <t>OCLM-2025-001846</t>
  </si>
  <si>
    <t>OCLM-2025-001847</t>
  </si>
  <si>
    <t>OCLM-2025-001848</t>
  </si>
  <si>
    <t>OCLM-2025-001849</t>
  </si>
  <si>
    <t>OCLM-2025-001850</t>
  </si>
  <si>
    <t>OCLM-2025-001851</t>
  </si>
  <si>
    <t>OCLM-2025-001852</t>
  </si>
  <si>
    <t>OCLM-2025-001853</t>
  </si>
  <si>
    <t>OCLM-2025-001854</t>
  </si>
  <si>
    <t>OCLM-2025-001855</t>
  </si>
  <si>
    <t>OCLM-2025-001856</t>
  </si>
  <si>
    <t>OCLM-2025-001857</t>
  </si>
  <si>
    <t>OCLM-2025-001858</t>
  </si>
  <si>
    <t>OCLM-2025-001860</t>
  </si>
  <si>
    <t>OCLM-2025-001861</t>
  </si>
  <si>
    <t>OCLM-2025-001862</t>
  </si>
  <si>
    <t>OCLM-2025-001863</t>
  </si>
  <si>
    <t>OCLM-2025-001864</t>
  </si>
  <si>
    <t>OCLM-2025-001865</t>
  </si>
  <si>
    <t>OCLM-2025-001866</t>
  </si>
  <si>
    <t>OCLM-2025-001868</t>
  </si>
  <si>
    <t>OCLM-2025-001869</t>
  </si>
  <si>
    <t>OCLM-2025-001871</t>
  </si>
  <si>
    <t>OCLM-2025-001874</t>
  </si>
  <si>
    <t>OCLM-2025-001875</t>
  </si>
  <si>
    <t>OCLM-2025-001876</t>
  </si>
  <si>
    <t>OCLM-2025-001877</t>
  </si>
  <si>
    <t>OCLM-2025-001879</t>
  </si>
  <si>
    <t>OCLM-2025-001880</t>
  </si>
  <si>
    <t>OCLM-2025-001886</t>
  </si>
  <si>
    <t>OCLM-2025-001887</t>
  </si>
  <si>
    <t>OCLM-2025-001888</t>
  </si>
  <si>
    <t>OCLM-2025-001889</t>
  </si>
  <si>
    <t>OCLM-2025-001892</t>
  </si>
  <si>
    <t>OCLM-2025-001893</t>
  </si>
  <si>
    <t>OCLM-2025-001895</t>
  </si>
  <si>
    <t>OCLM-2025-001896</t>
  </si>
  <si>
    <t>OCLM-2025-001897</t>
  </si>
  <si>
    <t>OCLM-2025-001898</t>
  </si>
  <si>
    <t>OCLM-2025-001899</t>
  </si>
  <si>
    <t>OCLM-2025-001900</t>
  </si>
  <si>
    <t>OCLM-2025-001902</t>
  </si>
  <si>
    <t>OCLM-2025-001903</t>
  </si>
  <si>
    <t>OCLM-2025-001905</t>
  </si>
  <si>
    <t>OCLM-2025-001906</t>
  </si>
  <si>
    <t>OCLM-2025-001907</t>
  </si>
  <si>
    <t>OCLM-2025-001909</t>
  </si>
  <si>
    <t>OCLM-2025-001910</t>
  </si>
  <si>
    <t>OCLM-2025-001911</t>
  </si>
  <si>
    <t>OCLM-2025-001912</t>
  </si>
  <si>
    <t>OCLM-2025-001913</t>
  </si>
  <si>
    <t>OCLM-2025-001915</t>
  </si>
  <si>
    <t>OCLM-2025-001918</t>
  </si>
  <si>
    <t>OCLM-2025-001919</t>
  </si>
  <si>
    <t>OCLM-2025-001921</t>
  </si>
  <si>
    <t>OCLM-2025-001922</t>
  </si>
  <si>
    <t>OCLM-2025-001956</t>
  </si>
  <si>
    <t>OCLM-2025-001925</t>
  </si>
  <si>
    <t>OCLM-2025-001926</t>
  </si>
  <si>
    <t>OCLM-2025-001927</t>
  </si>
  <si>
    <t>OCLM-2025-001928</t>
  </si>
  <si>
    <t>OCLM-2025-001929</t>
  </si>
  <si>
    <t>OCLM-2025-001930</t>
  </si>
  <si>
    <t>OCLM-2025-001931</t>
  </si>
  <si>
    <t>OCLM-2025-001932</t>
  </si>
  <si>
    <t>OCLM-2025-001933</t>
  </si>
  <si>
    <t>OCLM-2025-001935</t>
  </si>
  <si>
    <t>OCLM-2025-001936</t>
  </si>
  <si>
    <t>OCLM-2025-001937</t>
  </si>
  <si>
    <t>OCLM-2025-001938</t>
  </si>
  <si>
    <t>OCLM-2025-001939</t>
  </si>
  <si>
    <t>OCLM-2025-001940</t>
  </si>
  <si>
    <t>OCLM-2025-001941</t>
  </si>
  <si>
    <t>OCLM-2025-001942</t>
  </si>
  <si>
    <t>OCLM-2025-001943</t>
  </si>
  <si>
    <t>OCLM-2025-001944</t>
  </si>
  <si>
    <t>OCLM-2025-001945</t>
  </si>
  <si>
    <t>OCLM-2025-001946</t>
  </si>
  <si>
    <t>OCLM-2025-001947</t>
  </si>
  <si>
    <t>OCLM-2025-001736</t>
  </si>
  <si>
    <t>OCLM-2025-001949</t>
  </si>
  <si>
    <t>OCLM-2025-001950</t>
  </si>
  <si>
    <t>OCLM-2025-001951</t>
  </si>
  <si>
    <t>OCLM-2025-001952</t>
  </si>
  <si>
    <t>OCLM-2025-001953</t>
  </si>
  <si>
    <t>OCLM-2025-001954</t>
  </si>
  <si>
    <t>OCLM-2025-001955</t>
  </si>
  <si>
    <t>OCLM-2025-001957</t>
  </si>
  <si>
    <t>OCLM-2025-001958</t>
  </si>
  <si>
    <t>OCLM-2025-001959</t>
  </si>
  <si>
    <t>OCLM-2025-001960</t>
  </si>
  <si>
    <t>OCLM-2025-001961</t>
  </si>
  <si>
    <t>OCLM-2025-001962</t>
  </si>
  <si>
    <t>OCLM-2025-001963</t>
  </si>
  <si>
    <t>OCLM-2025-001964</t>
  </si>
  <si>
    <t>OCLM-2025-001965</t>
  </si>
  <si>
    <t>OCLM-2025-001966</t>
  </si>
  <si>
    <t>OCLM-2025-001967</t>
  </si>
  <si>
    <t>OCLM-2025-001969</t>
  </si>
  <si>
    <t>OCLM-2025-001970</t>
  </si>
  <si>
    <t>OCLM-2025-001971</t>
  </si>
  <si>
    <t>OCLM-2025-001972</t>
  </si>
  <si>
    <t>OCLM-2025-001973</t>
  </si>
  <si>
    <t>OCLM-2025-001974</t>
  </si>
  <si>
    <t>OCLM-2025-001976</t>
  </si>
  <si>
    <t>OCLM-2025-001978</t>
  </si>
  <si>
    <t>OCLM-2025-001979</t>
  </si>
  <si>
    <t>OCLM-2025-001981</t>
  </si>
  <si>
    <t>OCLM-2025-001996</t>
  </si>
  <si>
    <t>OCLM-2025-001997</t>
  </si>
  <si>
    <t>End&gt;&gt;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</si>
</sst>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_);_(* \(#,##0\);_(* &quot;-&quot;??_);_(@_)"/>
    <numFmt numFmtId="166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Nunito Sans"/>
    </font>
    <font>
      <b/>
      <sz val="9"/>
      <color theme="0"/>
      <name val="Nunito Sans"/>
    </font>
    <font>
      <b/>
      <sz val="9"/>
      <color theme="0"/>
      <name val="Nunito"/>
    </font>
  </fonts>
  <fills count="5">
    <fill>
      <patternFill patternType="none"/>
    </fill>
    <fill>
      <patternFill patternType="gray125"/>
    </fill>
    <fill>
      <patternFill patternType="solid">
        <fgColor rgb="FF0137A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2F5BA6"/>
      </left>
      <right style="thin">
        <color rgb="FF2F5BA6"/>
      </right>
      <top style="thin">
        <color rgb="FF2F5BA6"/>
      </top>
      <bottom style="thick">
        <color rgb="FF2F5BA6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2" borderId="1" xfId="0" applyFont="1" applyFill="1" applyBorder="1" applyAlignment="1">
      <alignment horizontal="right" vertical="center"/>
    </xf>
    <xf numFmtId="166" fontId="3" fillId="2" borderId="1" xfId="1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4" fillId="4" borderId="0" xfId="0" applyFont="1" applyFill="1" applyAlignment="1">
      <alignment horizontal="right"/>
    </xf>
    <xf numFmtId="14" fontId="2" fillId="0" borderId="0" xfId="0" applyNumberFormat="1" applyFont="1"/>
    <xf numFmtId="164" fontId="2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646C-9EE3-47D8-8258-2F2A05573FD8}">
  <dimension ref="A2:K5790"/>
  <sheetViews>
    <sheetView tabSelected="1" workbookViewId="0">
      <selection sqref="A1:XFD1048576"/>
    </sheetView>
  </sheetViews>
  <sheetFormatPr defaultColWidth="9.7265625" defaultRowHeight="14.5" x14ac:dyDescent="0.45"/>
  <cols>
    <col min="1" max="1" width="9.7265625" style="1"/>
    <col min="2" max="2" width="17.36328125" style="1" customWidth="1"/>
    <col min="3" max="3" width="18.54296875" style="1" customWidth="1"/>
    <col min="4" max="4" width="14.6328125" style="1" customWidth="1"/>
    <col min="5" max="5" width="15.36328125" style="1" customWidth="1"/>
    <col min="6" max="6" width="15.54296875" style="1" customWidth="1"/>
    <col min="7" max="7" width="18.81640625" style="1" customWidth="1"/>
    <col min="8" max="8" width="19" style="1" customWidth="1"/>
    <col min="9" max="9" width="17.90625" style="1" customWidth="1"/>
    <col min="10" max="10" width="12.54296875" style="1" customWidth="1"/>
    <col min="11" max="11" width="15.36328125" style="1" customWidth="1"/>
    <col min="12" max="16384" width="9.7265625" style="1"/>
  </cols>
  <sheetData>
    <row r="2" spans="1:11" x14ac:dyDescent="0.45">
      <c r="H2" s="2">
        <f>SUM(H4:H5790)</f>
        <v>121670429492.07979</v>
      </c>
      <c r="I2" s="2">
        <f>SUM(I4:I5790)</f>
        <v>69654478052.870117</v>
      </c>
    </row>
    <row r="3" spans="1:11" ht="15" thickBot="1" x14ac:dyDescent="0.5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4" t="s">
        <v>6</v>
      </c>
      <c r="I3" s="4" t="s">
        <v>7</v>
      </c>
      <c r="J3" s="5" t="s">
        <v>8</v>
      </c>
      <c r="K3" s="6" t="s">
        <v>9</v>
      </c>
    </row>
    <row r="4" spans="1:11" ht="15" thickTop="1" x14ac:dyDescent="0.45">
      <c r="A4" s="1" t="s">
        <v>10</v>
      </c>
      <c r="B4" s="1" t="s">
        <v>11</v>
      </c>
      <c r="C4" s="1" t="s">
        <v>12</v>
      </c>
      <c r="D4" s="7">
        <v>45844</v>
      </c>
      <c r="E4" s="7">
        <v>45861</v>
      </c>
      <c r="F4" s="7">
        <v>45951</v>
      </c>
      <c r="G4" s="1" t="s">
        <v>13</v>
      </c>
      <c r="H4" s="8">
        <v>755129.72</v>
      </c>
      <c r="I4" s="8">
        <v>598388.43000000005</v>
      </c>
      <c r="J4" s="1">
        <f>IF(COUNTIF($C$4:C4,C4)=1,1,0)</f>
        <v>1</v>
      </c>
      <c r="K4" s="1">
        <f>YEAR(D4)</f>
        <v>2025</v>
      </c>
    </row>
    <row r="5" spans="1:11" x14ac:dyDescent="0.45">
      <c r="B5" s="1" t="s">
        <v>11</v>
      </c>
      <c r="C5" s="1" t="s">
        <v>14</v>
      </c>
      <c r="D5" s="7">
        <v>44627</v>
      </c>
      <c r="E5" s="7">
        <v>44643</v>
      </c>
      <c r="F5" s="7">
        <v>44718</v>
      </c>
      <c r="G5" s="1" t="s">
        <v>13</v>
      </c>
      <c r="H5" s="8">
        <v>6674472.6600000001</v>
      </c>
      <c r="I5" s="8">
        <v>4504076.41</v>
      </c>
      <c r="J5" s="1">
        <f>IF(COUNTIF($C$4:C5,C5)=1,1,0)</f>
        <v>1</v>
      </c>
      <c r="K5" s="1">
        <f t="shared" ref="K5:K68" si="0">YEAR(D5)</f>
        <v>2022</v>
      </c>
    </row>
    <row r="6" spans="1:11" x14ac:dyDescent="0.45">
      <c r="B6" s="1" t="s">
        <v>11</v>
      </c>
      <c r="C6" s="1" t="s">
        <v>15</v>
      </c>
      <c r="D6" s="7">
        <v>43416</v>
      </c>
      <c r="E6" s="7">
        <v>43422</v>
      </c>
      <c r="F6" s="7">
        <v>43526</v>
      </c>
      <c r="G6" s="1" t="s">
        <v>16</v>
      </c>
      <c r="H6" s="8">
        <v>501145.71</v>
      </c>
      <c r="I6" s="8">
        <v>298692.93</v>
      </c>
      <c r="J6" s="1">
        <f>IF(COUNTIF($C$4:C6,C6)=1,1,0)</f>
        <v>1</v>
      </c>
      <c r="K6" s="1">
        <f t="shared" si="0"/>
        <v>2018</v>
      </c>
    </row>
    <row r="7" spans="1:11" x14ac:dyDescent="0.45">
      <c r="B7" s="1" t="s">
        <v>11</v>
      </c>
      <c r="C7" s="1" t="s">
        <v>17</v>
      </c>
      <c r="D7" s="7">
        <v>45768</v>
      </c>
      <c r="E7" s="7">
        <v>45779</v>
      </c>
      <c r="F7" s="7">
        <v>45941</v>
      </c>
      <c r="G7" s="1" t="s">
        <v>18</v>
      </c>
      <c r="H7" s="8">
        <v>90056653.659999996</v>
      </c>
      <c r="I7" s="8">
        <v>50564212.990000002</v>
      </c>
      <c r="J7" s="1">
        <f>IF(COUNTIF($C$4:C7,C7)=1,1,0)</f>
        <v>1</v>
      </c>
      <c r="K7" s="1">
        <f t="shared" si="0"/>
        <v>2025</v>
      </c>
    </row>
    <row r="8" spans="1:11" x14ac:dyDescent="0.45">
      <c r="B8" s="1" t="s">
        <v>11</v>
      </c>
      <c r="C8" s="1" t="s">
        <v>19</v>
      </c>
      <c r="D8" s="7">
        <v>45780</v>
      </c>
      <c r="E8" s="7">
        <v>45802</v>
      </c>
      <c r="F8" s="7">
        <v>45887</v>
      </c>
      <c r="G8" s="1" t="s">
        <v>20</v>
      </c>
      <c r="H8" s="8">
        <v>18913561.789999999</v>
      </c>
      <c r="I8" s="8">
        <v>13148455.689999999</v>
      </c>
      <c r="J8" s="1">
        <f>IF(COUNTIF($C$4:C8,C8)=1,1,0)</f>
        <v>1</v>
      </c>
      <c r="K8" s="1">
        <f t="shared" si="0"/>
        <v>2025</v>
      </c>
    </row>
    <row r="9" spans="1:11" x14ac:dyDescent="0.45">
      <c r="B9" s="1" t="s">
        <v>11</v>
      </c>
      <c r="C9" s="1" t="s">
        <v>21</v>
      </c>
      <c r="D9" s="7">
        <v>45294</v>
      </c>
      <c r="E9" s="7">
        <v>45317</v>
      </c>
      <c r="F9" s="7">
        <v>45532</v>
      </c>
      <c r="G9" s="1" t="s">
        <v>22</v>
      </c>
      <c r="H9" s="8">
        <v>40626997.829999998</v>
      </c>
      <c r="I9" s="8">
        <v>13847138.720000001</v>
      </c>
      <c r="J9" s="1">
        <f>IF(COUNTIF($C$4:C9,C9)=1,1,0)</f>
        <v>1</v>
      </c>
      <c r="K9" s="1">
        <f t="shared" si="0"/>
        <v>2024</v>
      </c>
    </row>
    <row r="10" spans="1:11" x14ac:dyDescent="0.45">
      <c r="B10" s="1" t="s">
        <v>11</v>
      </c>
      <c r="C10" s="1" t="s">
        <v>23</v>
      </c>
      <c r="D10" s="7">
        <v>45343</v>
      </c>
      <c r="E10" s="7">
        <v>45372</v>
      </c>
      <c r="F10" s="7">
        <v>45503</v>
      </c>
      <c r="G10" s="1" t="s">
        <v>13</v>
      </c>
      <c r="H10" s="8">
        <v>621540.22</v>
      </c>
      <c r="I10" s="8">
        <v>433118.19</v>
      </c>
      <c r="J10" s="1">
        <f>IF(COUNTIF($C$4:C10,C10)=1,1,0)</f>
        <v>1</v>
      </c>
      <c r="K10" s="1">
        <f t="shared" si="0"/>
        <v>2024</v>
      </c>
    </row>
    <row r="11" spans="1:11" x14ac:dyDescent="0.45">
      <c r="B11" s="1" t="s">
        <v>11</v>
      </c>
      <c r="C11" s="1" t="s">
        <v>24</v>
      </c>
      <c r="D11" s="7">
        <v>45775</v>
      </c>
      <c r="E11" s="7">
        <v>45775</v>
      </c>
      <c r="F11" s="7">
        <v>45886</v>
      </c>
      <c r="G11" s="1" t="s">
        <v>18</v>
      </c>
      <c r="H11" s="8">
        <v>569424.67000000004</v>
      </c>
      <c r="I11" s="8">
        <v>472209.75</v>
      </c>
      <c r="J11" s="1">
        <f>IF(COUNTIF($C$4:C11,C11)=1,1,0)</f>
        <v>1</v>
      </c>
      <c r="K11" s="1">
        <f t="shared" si="0"/>
        <v>2025</v>
      </c>
    </row>
    <row r="12" spans="1:11" x14ac:dyDescent="0.45">
      <c r="B12" s="1" t="s">
        <v>11</v>
      </c>
      <c r="C12" s="1" t="s">
        <v>25</v>
      </c>
      <c r="D12" s="7">
        <v>44357</v>
      </c>
      <c r="E12" s="7">
        <v>44387</v>
      </c>
      <c r="F12" s="7">
        <v>44397</v>
      </c>
      <c r="G12" s="1" t="s">
        <v>16</v>
      </c>
      <c r="H12" s="8">
        <v>8947581.5399999991</v>
      </c>
      <c r="I12" s="8">
        <v>4387428.1399999997</v>
      </c>
      <c r="J12" s="1">
        <f>IF(COUNTIF($C$4:C12,C12)=1,1,0)</f>
        <v>1</v>
      </c>
      <c r="K12" s="1">
        <f t="shared" si="0"/>
        <v>2021</v>
      </c>
    </row>
    <row r="13" spans="1:11" x14ac:dyDescent="0.45">
      <c r="B13" s="1" t="s">
        <v>11</v>
      </c>
      <c r="C13" s="1" t="s">
        <v>26</v>
      </c>
      <c r="D13" s="7">
        <v>45549</v>
      </c>
      <c r="E13" s="7">
        <v>45549</v>
      </c>
      <c r="F13" s="7">
        <v>45691</v>
      </c>
      <c r="G13" s="1" t="s">
        <v>13</v>
      </c>
      <c r="H13" s="8">
        <v>63332.87</v>
      </c>
      <c r="I13" s="8">
        <v>47253.84</v>
      </c>
      <c r="J13" s="1">
        <f>IF(COUNTIF($C$4:C13,C13)=1,1,0)</f>
        <v>1</v>
      </c>
      <c r="K13" s="1">
        <f t="shared" si="0"/>
        <v>2024</v>
      </c>
    </row>
    <row r="14" spans="1:11" x14ac:dyDescent="0.45">
      <c r="B14" s="1" t="s">
        <v>11</v>
      </c>
      <c r="C14" s="1" t="s">
        <v>27</v>
      </c>
      <c r="D14" s="7">
        <v>44720</v>
      </c>
      <c r="E14" s="7">
        <v>44737</v>
      </c>
      <c r="F14" s="7">
        <v>44886</v>
      </c>
      <c r="G14" s="1" t="s">
        <v>18</v>
      </c>
      <c r="H14" s="8">
        <v>6403392.3099999996</v>
      </c>
      <c r="I14" s="8">
        <v>5150589.3499999996</v>
      </c>
      <c r="J14" s="1">
        <f>IF(COUNTIF($C$4:C14,C14)=1,1,0)</f>
        <v>1</v>
      </c>
      <c r="K14" s="1">
        <f t="shared" si="0"/>
        <v>2022</v>
      </c>
    </row>
    <row r="15" spans="1:11" x14ac:dyDescent="0.45">
      <c r="B15" s="1" t="s">
        <v>11</v>
      </c>
      <c r="C15" s="1" t="s">
        <v>28</v>
      </c>
      <c r="D15" s="7">
        <v>44920</v>
      </c>
      <c r="E15" s="7">
        <v>44931</v>
      </c>
      <c r="F15" s="7">
        <v>44977</v>
      </c>
      <c r="G15" s="1" t="s">
        <v>13</v>
      </c>
      <c r="H15" s="8">
        <v>55919545.689999998</v>
      </c>
      <c r="I15" s="8">
        <v>30034098.18</v>
      </c>
      <c r="J15" s="1">
        <f>IF(COUNTIF($C$4:C15,C15)=1,1,0)</f>
        <v>1</v>
      </c>
      <c r="K15" s="1">
        <f t="shared" si="0"/>
        <v>2022</v>
      </c>
    </row>
    <row r="16" spans="1:11" x14ac:dyDescent="0.45">
      <c r="B16" s="1" t="s">
        <v>11</v>
      </c>
      <c r="C16" s="1" t="s">
        <v>29</v>
      </c>
      <c r="D16" s="7">
        <v>44209</v>
      </c>
      <c r="E16" s="7">
        <v>44238</v>
      </c>
      <c r="F16" s="7">
        <v>44446</v>
      </c>
      <c r="G16" s="1" t="s">
        <v>20</v>
      </c>
      <c r="H16" s="8">
        <v>1720956.32</v>
      </c>
      <c r="I16" s="8">
        <v>1196479.43</v>
      </c>
      <c r="J16" s="1">
        <f>IF(COUNTIF($C$4:C16,C16)=1,1,0)</f>
        <v>1</v>
      </c>
      <c r="K16" s="1">
        <f t="shared" si="0"/>
        <v>2021</v>
      </c>
    </row>
    <row r="17" spans="2:11" x14ac:dyDescent="0.45">
      <c r="B17" s="1" t="s">
        <v>11</v>
      </c>
      <c r="C17" s="1" t="s">
        <v>30</v>
      </c>
      <c r="D17" s="7">
        <v>44518</v>
      </c>
      <c r="E17" s="7">
        <v>44545</v>
      </c>
      <c r="F17" s="7">
        <v>44556</v>
      </c>
      <c r="G17" s="1" t="s">
        <v>20</v>
      </c>
      <c r="H17" s="8">
        <v>122348597.15000001</v>
      </c>
      <c r="I17" s="8">
        <v>93730157.599999994</v>
      </c>
      <c r="J17" s="1">
        <f>IF(COUNTIF($C$4:C17,C17)=1,1,0)</f>
        <v>1</v>
      </c>
      <c r="K17" s="1">
        <f t="shared" si="0"/>
        <v>2021</v>
      </c>
    </row>
    <row r="18" spans="2:11" x14ac:dyDescent="0.45">
      <c r="B18" s="1" t="s">
        <v>11</v>
      </c>
      <c r="C18" s="1" t="s">
        <v>31</v>
      </c>
      <c r="D18" s="7">
        <v>45921</v>
      </c>
      <c r="E18" s="7">
        <v>45937</v>
      </c>
      <c r="F18" s="7">
        <v>46118</v>
      </c>
      <c r="G18" s="1" t="s">
        <v>20</v>
      </c>
      <c r="H18" s="8">
        <v>37802731.850000001</v>
      </c>
      <c r="I18" s="8">
        <v>27129926.859999999</v>
      </c>
      <c r="J18" s="1">
        <f>IF(COUNTIF($C$4:C18,C18)=1,1,0)</f>
        <v>1</v>
      </c>
      <c r="K18" s="1">
        <f t="shared" si="0"/>
        <v>2025</v>
      </c>
    </row>
    <row r="19" spans="2:11" x14ac:dyDescent="0.45">
      <c r="B19" s="1" t="s">
        <v>11</v>
      </c>
      <c r="C19" s="1" t="s">
        <v>32</v>
      </c>
      <c r="D19" s="7">
        <v>45246</v>
      </c>
      <c r="E19" s="7">
        <v>45276</v>
      </c>
      <c r="F19" s="7">
        <v>45332</v>
      </c>
      <c r="G19" s="1" t="s">
        <v>20</v>
      </c>
      <c r="H19" s="8">
        <v>53398406.5</v>
      </c>
      <c r="I19" s="8">
        <v>32144301.539999999</v>
      </c>
      <c r="J19" s="1">
        <f>IF(COUNTIF($C$4:C19,C19)=1,1,0)</f>
        <v>1</v>
      </c>
      <c r="K19" s="1">
        <f t="shared" si="0"/>
        <v>2023</v>
      </c>
    </row>
    <row r="20" spans="2:11" x14ac:dyDescent="0.45">
      <c r="B20" s="1" t="s">
        <v>11</v>
      </c>
      <c r="C20" s="1" t="s">
        <v>33</v>
      </c>
      <c r="D20" s="7">
        <v>45958</v>
      </c>
      <c r="E20" s="7">
        <v>45982</v>
      </c>
      <c r="F20" s="7">
        <v>46133</v>
      </c>
      <c r="G20" s="1" t="s">
        <v>20</v>
      </c>
      <c r="H20" s="8">
        <v>21139666.420000002</v>
      </c>
      <c r="I20" s="8">
        <v>15796918.220000001</v>
      </c>
      <c r="J20" s="1">
        <f>IF(COUNTIF($C$4:C20,C20)=1,1,0)</f>
        <v>1</v>
      </c>
      <c r="K20" s="1">
        <f t="shared" si="0"/>
        <v>2025</v>
      </c>
    </row>
    <row r="21" spans="2:11" x14ac:dyDescent="0.45">
      <c r="B21" s="1" t="s">
        <v>11</v>
      </c>
      <c r="C21" s="1" t="s">
        <v>34</v>
      </c>
      <c r="D21" s="7">
        <v>45443</v>
      </c>
      <c r="E21" s="7">
        <v>45452</v>
      </c>
      <c r="F21" s="7">
        <v>45590</v>
      </c>
      <c r="G21" s="1" t="s">
        <v>13</v>
      </c>
      <c r="H21" s="8">
        <v>557932.06000000006</v>
      </c>
      <c r="I21" s="8">
        <v>370345.51</v>
      </c>
      <c r="J21" s="1">
        <f>IF(COUNTIF($C$4:C21,C21)=1,1,0)</f>
        <v>1</v>
      </c>
      <c r="K21" s="1">
        <f t="shared" si="0"/>
        <v>2024</v>
      </c>
    </row>
    <row r="22" spans="2:11" x14ac:dyDescent="0.45">
      <c r="B22" s="1" t="s">
        <v>11</v>
      </c>
      <c r="C22" s="1" t="s">
        <v>35</v>
      </c>
      <c r="D22" s="7">
        <v>43309</v>
      </c>
      <c r="E22" s="7">
        <v>43331</v>
      </c>
      <c r="F22" s="7">
        <v>43450</v>
      </c>
      <c r="G22" s="1" t="s">
        <v>20</v>
      </c>
      <c r="H22" s="8">
        <v>953658.7</v>
      </c>
      <c r="I22" s="8">
        <v>643725.86</v>
      </c>
      <c r="J22" s="1">
        <f>IF(COUNTIF($C$4:C22,C22)=1,1,0)</f>
        <v>1</v>
      </c>
      <c r="K22" s="1">
        <f t="shared" si="0"/>
        <v>2018</v>
      </c>
    </row>
    <row r="23" spans="2:11" x14ac:dyDescent="0.45">
      <c r="B23" s="1" t="s">
        <v>11</v>
      </c>
      <c r="C23" s="1" t="s">
        <v>36</v>
      </c>
      <c r="D23" s="7">
        <v>44219</v>
      </c>
      <c r="E23" s="7">
        <v>44247</v>
      </c>
      <c r="F23" s="7">
        <v>44310</v>
      </c>
      <c r="G23" s="1" t="s">
        <v>16</v>
      </c>
      <c r="H23" s="8">
        <v>3494235.4</v>
      </c>
      <c r="I23" s="8">
        <v>2695372.32</v>
      </c>
      <c r="J23" s="1">
        <f>IF(COUNTIF($C$4:C23,C23)=1,1,0)</f>
        <v>1</v>
      </c>
      <c r="K23" s="1">
        <f t="shared" si="0"/>
        <v>2021</v>
      </c>
    </row>
    <row r="24" spans="2:11" x14ac:dyDescent="0.45">
      <c r="B24" s="1" t="s">
        <v>11</v>
      </c>
      <c r="C24" s="1" t="s">
        <v>37</v>
      </c>
      <c r="D24" s="7">
        <v>44957</v>
      </c>
      <c r="E24" s="7">
        <v>44980</v>
      </c>
      <c r="F24" s="7">
        <v>45021</v>
      </c>
      <c r="G24" s="1" t="s">
        <v>38</v>
      </c>
      <c r="H24" s="8">
        <v>320175.03000000003</v>
      </c>
      <c r="I24" s="8">
        <v>236970.63</v>
      </c>
      <c r="J24" s="1">
        <f>IF(COUNTIF($C$4:C24,C24)=1,1,0)</f>
        <v>1</v>
      </c>
      <c r="K24" s="1">
        <f t="shared" si="0"/>
        <v>2023</v>
      </c>
    </row>
    <row r="25" spans="2:11" x14ac:dyDescent="0.45">
      <c r="B25" s="1" t="s">
        <v>11</v>
      </c>
      <c r="C25" s="1" t="s">
        <v>39</v>
      </c>
      <c r="D25" s="7">
        <v>45939</v>
      </c>
      <c r="E25" s="7">
        <v>45953</v>
      </c>
      <c r="F25" s="7">
        <v>46105</v>
      </c>
      <c r="G25" s="1" t="s">
        <v>38</v>
      </c>
      <c r="H25" s="8">
        <v>974601.62</v>
      </c>
      <c r="I25" s="8">
        <v>776521.32</v>
      </c>
      <c r="J25" s="1">
        <f>IF(COUNTIF($C$4:C25,C25)=1,1,0)</f>
        <v>1</v>
      </c>
      <c r="K25" s="1">
        <f t="shared" si="0"/>
        <v>2025</v>
      </c>
    </row>
    <row r="26" spans="2:11" x14ac:dyDescent="0.45">
      <c r="B26" s="1" t="s">
        <v>11</v>
      </c>
      <c r="C26" s="1" t="s">
        <v>40</v>
      </c>
      <c r="D26" s="7">
        <v>43401</v>
      </c>
      <c r="E26" s="7">
        <v>43415</v>
      </c>
      <c r="F26" s="7">
        <v>43622</v>
      </c>
      <c r="G26" s="1" t="s">
        <v>41</v>
      </c>
      <c r="H26" s="8">
        <v>995167.96</v>
      </c>
      <c r="I26" s="8">
        <v>861820.79</v>
      </c>
      <c r="J26" s="1">
        <f>IF(COUNTIF($C$4:C26,C26)=1,1,0)</f>
        <v>1</v>
      </c>
      <c r="K26" s="1">
        <f t="shared" si="0"/>
        <v>2018</v>
      </c>
    </row>
    <row r="27" spans="2:11" x14ac:dyDescent="0.45">
      <c r="B27" s="1" t="s">
        <v>11</v>
      </c>
      <c r="C27" s="1" t="s">
        <v>42</v>
      </c>
      <c r="D27" s="7">
        <v>45036</v>
      </c>
      <c r="E27" s="7">
        <v>45045</v>
      </c>
      <c r="F27" s="7">
        <v>45244</v>
      </c>
      <c r="G27" s="1" t="s">
        <v>16</v>
      </c>
      <c r="H27" s="8">
        <v>2281174.6800000002</v>
      </c>
      <c r="I27" s="8">
        <v>1259737.82</v>
      </c>
      <c r="J27" s="1">
        <f>IF(COUNTIF($C$4:C27,C27)=1,1,0)</f>
        <v>1</v>
      </c>
      <c r="K27" s="1">
        <f t="shared" si="0"/>
        <v>2023</v>
      </c>
    </row>
    <row r="28" spans="2:11" x14ac:dyDescent="0.45">
      <c r="B28" s="1" t="s">
        <v>11</v>
      </c>
      <c r="C28" s="1" t="s">
        <v>43</v>
      </c>
      <c r="D28" s="7">
        <v>43447</v>
      </c>
      <c r="E28" s="7">
        <v>43471</v>
      </c>
      <c r="F28" s="7">
        <v>43636</v>
      </c>
      <c r="G28" s="1" t="s">
        <v>44</v>
      </c>
      <c r="H28" s="8">
        <v>9473124.9299999997</v>
      </c>
      <c r="I28" s="8">
        <v>4057021.53</v>
      </c>
      <c r="J28" s="1">
        <f>IF(COUNTIF($C$4:C28,C28)=1,1,0)</f>
        <v>1</v>
      </c>
      <c r="K28" s="1">
        <f t="shared" si="0"/>
        <v>2018</v>
      </c>
    </row>
    <row r="29" spans="2:11" x14ac:dyDescent="0.45">
      <c r="B29" s="1" t="s">
        <v>11</v>
      </c>
      <c r="C29" s="1" t="s">
        <v>45</v>
      </c>
      <c r="D29" s="7">
        <v>44091</v>
      </c>
      <c r="E29" s="7">
        <v>44106</v>
      </c>
      <c r="F29" s="7">
        <v>44208</v>
      </c>
      <c r="G29" s="1" t="s">
        <v>38</v>
      </c>
      <c r="H29" s="8">
        <v>1958760.84</v>
      </c>
      <c r="I29" s="8">
        <v>1437642.39</v>
      </c>
      <c r="J29" s="1">
        <f>IF(COUNTIF($C$4:C29,C29)=1,1,0)</f>
        <v>1</v>
      </c>
      <c r="K29" s="1">
        <f t="shared" si="0"/>
        <v>2020</v>
      </c>
    </row>
    <row r="30" spans="2:11" x14ac:dyDescent="0.45">
      <c r="B30" s="1" t="s">
        <v>11</v>
      </c>
      <c r="C30" s="1" t="s">
        <v>46</v>
      </c>
      <c r="D30" s="7">
        <v>44622</v>
      </c>
      <c r="E30" s="7">
        <v>44642</v>
      </c>
      <c r="F30" s="7">
        <v>44863</v>
      </c>
      <c r="G30" s="1" t="s">
        <v>20</v>
      </c>
      <c r="H30" s="8">
        <v>50272659.710000001</v>
      </c>
      <c r="I30" s="8">
        <v>30614909.699999999</v>
      </c>
      <c r="J30" s="1">
        <f>IF(COUNTIF($C$4:C30,C30)=1,1,0)</f>
        <v>1</v>
      </c>
      <c r="K30" s="1">
        <f t="shared" si="0"/>
        <v>2022</v>
      </c>
    </row>
    <row r="31" spans="2:11" x14ac:dyDescent="0.45">
      <c r="B31" s="1" t="s">
        <v>11</v>
      </c>
      <c r="C31" s="1" t="s">
        <v>47</v>
      </c>
      <c r="D31" s="7">
        <v>45420</v>
      </c>
      <c r="E31" s="7">
        <v>45447</v>
      </c>
      <c r="F31" s="7">
        <v>45552</v>
      </c>
      <c r="G31" s="1" t="s">
        <v>38</v>
      </c>
      <c r="H31" s="8">
        <v>2187094.41</v>
      </c>
      <c r="I31" s="8">
        <v>1632310.91</v>
      </c>
      <c r="J31" s="1">
        <f>IF(COUNTIF($C$4:C31,C31)=1,1,0)</f>
        <v>1</v>
      </c>
      <c r="K31" s="1">
        <f t="shared" si="0"/>
        <v>2024</v>
      </c>
    </row>
    <row r="32" spans="2:11" x14ac:dyDescent="0.45">
      <c r="B32" s="1" t="s">
        <v>11</v>
      </c>
      <c r="C32" s="1" t="s">
        <v>48</v>
      </c>
      <c r="D32" s="7">
        <v>43773</v>
      </c>
      <c r="E32" s="7">
        <v>43784</v>
      </c>
      <c r="F32" s="7">
        <v>43996</v>
      </c>
      <c r="G32" s="1" t="s">
        <v>20</v>
      </c>
      <c r="H32" s="8">
        <v>915078.3</v>
      </c>
      <c r="I32" s="8">
        <v>649229.14</v>
      </c>
      <c r="J32" s="1">
        <f>IF(COUNTIF($C$4:C32,C32)=1,1,0)</f>
        <v>1</v>
      </c>
      <c r="K32" s="1">
        <f t="shared" si="0"/>
        <v>2019</v>
      </c>
    </row>
    <row r="33" spans="2:11" x14ac:dyDescent="0.45">
      <c r="B33" s="1" t="s">
        <v>11</v>
      </c>
      <c r="C33" s="1" t="s">
        <v>49</v>
      </c>
      <c r="D33" s="7">
        <v>44335</v>
      </c>
      <c r="E33" s="7">
        <v>44363</v>
      </c>
      <c r="F33" s="7">
        <v>44397</v>
      </c>
      <c r="G33" s="1" t="s">
        <v>22</v>
      </c>
      <c r="H33" s="8">
        <v>6944265.6399999997</v>
      </c>
      <c r="I33" s="8">
        <v>4925746.01</v>
      </c>
      <c r="J33" s="1">
        <f>IF(COUNTIF($C$4:C33,C33)=1,1,0)</f>
        <v>1</v>
      </c>
      <c r="K33" s="1">
        <f t="shared" si="0"/>
        <v>2021</v>
      </c>
    </row>
    <row r="34" spans="2:11" x14ac:dyDescent="0.45">
      <c r="B34" s="1" t="s">
        <v>11</v>
      </c>
      <c r="C34" s="1" t="s">
        <v>50</v>
      </c>
      <c r="D34" s="7">
        <v>44116</v>
      </c>
      <c r="E34" s="7">
        <v>44143</v>
      </c>
      <c r="F34" s="7">
        <v>44342</v>
      </c>
      <c r="G34" s="1" t="s">
        <v>41</v>
      </c>
      <c r="H34" s="8">
        <v>51663.47</v>
      </c>
      <c r="I34" s="8">
        <v>37000.720000000001</v>
      </c>
      <c r="J34" s="1">
        <f>IF(COUNTIF($C$4:C34,C34)=1,1,0)</f>
        <v>1</v>
      </c>
      <c r="K34" s="1">
        <f t="shared" si="0"/>
        <v>2020</v>
      </c>
    </row>
    <row r="35" spans="2:11" x14ac:dyDescent="0.45">
      <c r="B35" s="1" t="s">
        <v>11</v>
      </c>
      <c r="C35" s="1" t="s">
        <v>51</v>
      </c>
      <c r="D35" s="7">
        <v>44890</v>
      </c>
      <c r="E35" s="7">
        <v>44906</v>
      </c>
      <c r="F35" s="7">
        <v>45033</v>
      </c>
      <c r="G35" s="1" t="s">
        <v>16</v>
      </c>
      <c r="H35" s="8">
        <v>6819640.1399999997</v>
      </c>
      <c r="I35" s="8">
        <v>4468619.76</v>
      </c>
      <c r="J35" s="1">
        <f>IF(COUNTIF($C$4:C35,C35)=1,1,0)</f>
        <v>1</v>
      </c>
      <c r="K35" s="1">
        <f t="shared" si="0"/>
        <v>2022</v>
      </c>
    </row>
    <row r="36" spans="2:11" x14ac:dyDescent="0.45">
      <c r="B36" s="1" t="s">
        <v>11</v>
      </c>
      <c r="C36" s="1" t="s">
        <v>52</v>
      </c>
      <c r="D36" s="7">
        <v>43549</v>
      </c>
      <c r="E36" s="7">
        <v>43576</v>
      </c>
      <c r="F36" s="7">
        <v>43694</v>
      </c>
      <c r="G36" s="1" t="s">
        <v>38</v>
      </c>
      <c r="H36" s="8">
        <v>1688190.2</v>
      </c>
      <c r="I36" s="8">
        <v>1212944.97</v>
      </c>
      <c r="J36" s="1">
        <f>IF(COUNTIF($C$4:C36,C36)=1,1,0)</f>
        <v>1</v>
      </c>
      <c r="K36" s="1">
        <f t="shared" si="0"/>
        <v>2019</v>
      </c>
    </row>
    <row r="37" spans="2:11" x14ac:dyDescent="0.45">
      <c r="B37" s="1" t="s">
        <v>11</v>
      </c>
      <c r="C37" s="1" t="s">
        <v>53</v>
      </c>
      <c r="D37" s="7">
        <v>44704</v>
      </c>
      <c r="E37" s="7">
        <v>44718</v>
      </c>
      <c r="F37" s="7">
        <v>44759</v>
      </c>
      <c r="G37" s="1" t="s">
        <v>20</v>
      </c>
      <c r="H37" s="8">
        <v>2650273.73</v>
      </c>
      <c r="I37" s="8">
        <v>1872173.94</v>
      </c>
      <c r="J37" s="1">
        <f>IF(COUNTIF($C$4:C37,C37)=1,1,0)</f>
        <v>1</v>
      </c>
      <c r="K37" s="1">
        <f t="shared" si="0"/>
        <v>2022</v>
      </c>
    </row>
    <row r="38" spans="2:11" x14ac:dyDescent="0.45">
      <c r="B38" s="1" t="s">
        <v>11</v>
      </c>
      <c r="C38" s="1" t="s">
        <v>54</v>
      </c>
      <c r="D38" s="7">
        <v>44749</v>
      </c>
      <c r="E38" s="7">
        <v>44769</v>
      </c>
      <c r="F38" s="7">
        <v>44821</v>
      </c>
      <c r="G38" s="1" t="s">
        <v>38</v>
      </c>
      <c r="H38" s="8">
        <v>580824.99</v>
      </c>
      <c r="I38" s="8">
        <v>457115.53</v>
      </c>
      <c r="J38" s="1">
        <f>IF(COUNTIF($C$4:C38,C38)=1,1,0)</f>
        <v>1</v>
      </c>
      <c r="K38" s="1">
        <f t="shared" si="0"/>
        <v>2022</v>
      </c>
    </row>
    <row r="39" spans="2:11" x14ac:dyDescent="0.45">
      <c r="B39" s="1" t="s">
        <v>11</v>
      </c>
      <c r="C39" s="1" t="s">
        <v>55</v>
      </c>
      <c r="D39" s="7">
        <v>43876</v>
      </c>
      <c r="E39" s="7">
        <v>43878</v>
      </c>
      <c r="F39" s="7">
        <v>44047</v>
      </c>
      <c r="G39" s="1" t="s">
        <v>22</v>
      </c>
      <c r="H39" s="8">
        <v>22936135.829999998</v>
      </c>
      <c r="I39" s="8">
        <v>10589195.57</v>
      </c>
      <c r="J39" s="1">
        <f>IF(COUNTIF($C$4:C39,C39)=1,1,0)</f>
        <v>1</v>
      </c>
      <c r="K39" s="1">
        <f t="shared" si="0"/>
        <v>2020</v>
      </c>
    </row>
    <row r="40" spans="2:11" x14ac:dyDescent="0.45">
      <c r="B40" s="1" t="s">
        <v>11</v>
      </c>
      <c r="C40" s="1" t="s">
        <v>56</v>
      </c>
      <c r="D40" s="7">
        <v>44697</v>
      </c>
      <c r="E40" s="7">
        <v>44700</v>
      </c>
      <c r="F40" s="7">
        <v>44912</v>
      </c>
      <c r="G40" s="1" t="s">
        <v>20</v>
      </c>
      <c r="H40" s="8">
        <v>111209018.66</v>
      </c>
      <c r="I40" s="8">
        <v>82348996.310000002</v>
      </c>
      <c r="J40" s="1">
        <f>IF(COUNTIF($C$4:C40,C40)=1,1,0)</f>
        <v>1</v>
      </c>
      <c r="K40" s="1">
        <f t="shared" si="0"/>
        <v>2022</v>
      </c>
    </row>
    <row r="41" spans="2:11" x14ac:dyDescent="0.45">
      <c r="B41" s="1" t="s">
        <v>11</v>
      </c>
      <c r="C41" s="1" t="s">
        <v>57</v>
      </c>
      <c r="D41" s="7">
        <v>43859</v>
      </c>
      <c r="E41" s="7">
        <v>43867</v>
      </c>
      <c r="F41" s="7">
        <v>43877</v>
      </c>
      <c r="G41" s="1" t="s">
        <v>20</v>
      </c>
      <c r="H41" s="8">
        <v>102557798.38</v>
      </c>
      <c r="I41" s="8">
        <v>60422895.710000001</v>
      </c>
      <c r="J41" s="1">
        <f>IF(COUNTIF($C$4:C41,C41)=1,1,0)</f>
        <v>1</v>
      </c>
      <c r="K41" s="1">
        <f t="shared" si="0"/>
        <v>2020</v>
      </c>
    </row>
    <row r="42" spans="2:11" x14ac:dyDescent="0.45">
      <c r="B42" s="1" t="s">
        <v>11</v>
      </c>
      <c r="C42" s="1" t="s">
        <v>58</v>
      </c>
      <c r="D42" s="7">
        <v>43832</v>
      </c>
      <c r="E42" s="7">
        <v>43854</v>
      </c>
      <c r="F42" s="7">
        <v>44077</v>
      </c>
      <c r="G42" s="1" t="s">
        <v>38</v>
      </c>
      <c r="H42" s="8">
        <v>1072483.5900000001</v>
      </c>
      <c r="I42" s="8">
        <v>705273.65</v>
      </c>
      <c r="J42" s="1">
        <f>IF(COUNTIF($C$4:C42,C42)=1,1,0)</f>
        <v>1</v>
      </c>
      <c r="K42" s="1">
        <f t="shared" si="0"/>
        <v>2020</v>
      </c>
    </row>
    <row r="43" spans="2:11" x14ac:dyDescent="0.45">
      <c r="B43" s="1" t="s">
        <v>11</v>
      </c>
      <c r="C43" s="1" t="s">
        <v>59</v>
      </c>
      <c r="D43" s="7">
        <v>43735</v>
      </c>
      <c r="E43" s="7">
        <v>43738</v>
      </c>
      <c r="F43" s="7">
        <v>43964</v>
      </c>
      <c r="G43" s="1" t="s">
        <v>16</v>
      </c>
      <c r="H43" s="8">
        <v>10238264.880000001</v>
      </c>
      <c r="I43" s="8">
        <v>6301749.4299999997</v>
      </c>
      <c r="J43" s="1">
        <f>IF(COUNTIF($C$4:C43,C43)=1,1,0)</f>
        <v>1</v>
      </c>
      <c r="K43" s="1">
        <f t="shared" si="0"/>
        <v>2019</v>
      </c>
    </row>
    <row r="44" spans="2:11" x14ac:dyDescent="0.45">
      <c r="B44" s="1" t="s">
        <v>11</v>
      </c>
      <c r="C44" s="1" t="s">
        <v>60</v>
      </c>
      <c r="D44" s="7">
        <v>44525</v>
      </c>
      <c r="E44" s="7">
        <v>44547</v>
      </c>
      <c r="F44" s="7">
        <v>44556</v>
      </c>
      <c r="G44" s="1" t="s">
        <v>20</v>
      </c>
      <c r="H44" s="8">
        <v>829633.34</v>
      </c>
      <c r="I44" s="8">
        <v>608948.09</v>
      </c>
      <c r="J44" s="1">
        <f>IF(COUNTIF($C$4:C44,C44)=1,1,0)</f>
        <v>1</v>
      </c>
      <c r="K44" s="1">
        <f t="shared" si="0"/>
        <v>2021</v>
      </c>
    </row>
    <row r="45" spans="2:11" x14ac:dyDescent="0.45">
      <c r="B45" s="1" t="s">
        <v>11</v>
      </c>
      <c r="C45" s="1" t="s">
        <v>61</v>
      </c>
      <c r="D45" s="7">
        <v>44231</v>
      </c>
      <c r="E45" s="7">
        <v>44243</v>
      </c>
      <c r="F45" s="7">
        <v>44371</v>
      </c>
      <c r="G45" s="1" t="s">
        <v>20</v>
      </c>
      <c r="H45" s="8">
        <v>3428520.89</v>
      </c>
      <c r="I45" s="8">
        <v>2423088.87</v>
      </c>
      <c r="J45" s="1">
        <f>IF(COUNTIF($C$4:C45,C45)=1,1,0)</f>
        <v>1</v>
      </c>
      <c r="K45" s="1">
        <f t="shared" si="0"/>
        <v>2021</v>
      </c>
    </row>
    <row r="46" spans="2:11" x14ac:dyDescent="0.45">
      <c r="B46" s="1" t="s">
        <v>11</v>
      </c>
      <c r="C46" s="1" t="s">
        <v>62</v>
      </c>
      <c r="D46" s="7">
        <v>43802</v>
      </c>
      <c r="E46" s="7">
        <v>43811</v>
      </c>
      <c r="F46" s="7">
        <v>44048</v>
      </c>
      <c r="G46" s="1" t="s">
        <v>16</v>
      </c>
      <c r="H46" s="8">
        <v>6977295.5199999996</v>
      </c>
      <c r="I46" s="8">
        <v>4225640.99</v>
      </c>
      <c r="J46" s="1">
        <f>IF(COUNTIF($C$4:C46,C46)=1,1,0)</f>
        <v>1</v>
      </c>
      <c r="K46" s="1">
        <f t="shared" si="0"/>
        <v>2019</v>
      </c>
    </row>
    <row r="47" spans="2:11" x14ac:dyDescent="0.45">
      <c r="B47" s="1" t="s">
        <v>11</v>
      </c>
      <c r="C47" s="1" t="s">
        <v>63</v>
      </c>
      <c r="D47" s="7">
        <v>44033</v>
      </c>
      <c r="E47" s="7">
        <v>44033</v>
      </c>
      <c r="F47" s="7">
        <v>44112</v>
      </c>
      <c r="G47" s="1" t="s">
        <v>16</v>
      </c>
      <c r="H47" s="8">
        <v>4449671.97</v>
      </c>
      <c r="I47" s="8">
        <v>2616839.8199999998</v>
      </c>
      <c r="J47" s="1">
        <f>IF(COUNTIF($C$4:C47,C47)=1,1,0)</f>
        <v>1</v>
      </c>
      <c r="K47" s="1">
        <f t="shared" si="0"/>
        <v>2020</v>
      </c>
    </row>
    <row r="48" spans="2:11" x14ac:dyDescent="0.45">
      <c r="B48" s="1" t="s">
        <v>11</v>
      </c>
      <c r="C48" s="1" t="s">
        <v>64</v>
      </c>
      <c r="D48" s="7">
        <v>43348</v>
      </c>
      <c r="E48" s="7">
        <v>43352</v>
      </c>
      <c r="F48" s="7">
        <v>43477</v>
      </c>
      <c r="G48" s="1" t="s">
        <v>20</v>
      </c>
      <c r="H48" s="8">
        <v>282633048.66000003</v>
      </c>
      <c r="I48" s="8">
        <v>147903029.00999999</v>
      </c>
      <c r="J48" s="1">
        <f>IF(COUNTIF($C$4:C48,C48)=1,1,0)</f>
        <v>1</v>
      </c>
      <c r="K48" s="1">
        <f t="shared" si="0"/>
        <v>2018</v>
      </c>
    </row>
    <row r="49" spans="2:11" x14ac:dyDescent="0.45">
      <c r="B49" s="1" t="s">
        <v>11</v>
      </c>
      <c r="C49" s="1" t="s">
        <v>65</v>
      </c>
      <c r="D49" s="7">
        <v>45825</v>
      </c>
      <c r="E49" s="7">
        <v>45854</v>
      </c>
      <c r="F49" s="7">
        <v>46034</v>
      </c>
      <c r="G49" s="1" t="s">
        <v>22</v>
      </c>
      <c r="H49" s="8">
        <v>14925264.199999999</v>
      </c>
      <c r="I49" s="8">
        <v>8306869.5099999998</v>
      </c>
      <c r="J49" s="1">
        <f>IF(COUNTIF($C$4:C49,C49)=1,1,0)</f>
        <v>1</v>
      </c>
      <c r="K49" s="1">
        <f t="shared" si="0"/>
        <v>2025</v>
      </c>
    </row>
    <row r="50" spans="2:11" x14ac:dyDescent="0.45">
      <c r="B50" s="1" t="s">
        <v>11</v>
      </c>
      <c r="C50" s="1" t="s">
        <v>66</v>
      </c>
      <c r="D50" s="7">
        <v>45253</v>
      </c>
      <c r="E50" s="7">
        <v>45259</v>
      </c>
      <c r="F50" s="7">
        <v>45371</v>
      </c>
      <c r="G50" s="1" t="s">
        <v>38</v>
      </c>
      <c r="H50" s="8">
        <v>88846.47</v>
      </c>
      <c r="I50" s="8">
        <v>60155.34</v>
      </c>
      <c r="J50" s="1">
        <f>IF(COUNTIF($C$4:C50,C50)=1,1,0)</f>
        <v>1</v>
      </c>
      <c r="K50" s="1">
        <f t="shared" si="0"/>
        <v>2023</v>
      </c>
    </row>
    <row r="51" spans="2:11" x14ac:dyDescent="0.45">
      <c r="B51" s="1" t="s">
        <v>11</v>
      </c>
      <c r="C51" s="1" t="s">
        <v>67</v>
      </c>
      <c r="D51" s="7">
        <v>46142</v>
      </c>
      <c r="E51" s="7">
        <v>46165</v>
      </c>
      <c r="F51" s="7">
        <v>46190</v>
      </c>
      <c r="G51" s="1" t="s">
        <v>20</v>
      </c>
      <c r="H51" s="8">
        <v>5165590.45</v>
      </c>
      <c r="I51" s="8">
        <v>3778228.99</v>
      </c>
      <c r="J51" s="1">
        <f>IF(COUNTIF($C$4:C51,C51)=1,1,0)</f>
        <v>1</v>
      </c>
      <c r="K51" s="1">
        <f t="shared" si="0"/>
        <v>2026</v>
      </c>
    </row>
    <row r="52" spans="2:11" x14ac:dyDescent="0.45">
      <c r="B52" s="1" t="s">
        <v>11</v>
      </c>
      <c r="C52" s="1" t="s">
        <v>68</v>
      </c>
      <c r="D52" s="7">
        <v>43264</v>
      </c>
      <c r="E52" s="7">
        <v>43265</v>
      </c>
      <c r="F52" s="7">
        <v>43282</v>
      </c>
      <c r="G52" s="1" t="s">
        <v>44</v>
      </c>
      <c r="H52" s="8">
        <v>476657966.50999999</v>
      </c>
      <c r="I52" s="8">
        <v>203183761.22</v>
      </c>
      <c r="J52" s="1">
        <f>IF(COUNTIF($C$4:C52,C52)=1,1,0)</f>
        <v>1</v>
      </c>
      <c r="K52" s="1">
        <f t="shared" si="0"/>
        <v>2018</v>
      </c>
    </row>
    <row r="53" spans="2:11" x14ac:dyDescent="0.45">
      <c r="B53" s="1" t="s">
        <v>11</v>
      </c>
      <c r="C53" s="1" t="s">
        <v>69</v>
      </c>
      <c r="D53" s="7">
        <v>44304</v>
      </c>
      <c r="E53" s="7">
        <v>44323</v>
      </c>
      <c r="F53" s="7">
        <v>44480</v>
      </c>
      <c r="G53" s="1" t="s">
        <v>18</v>
      </c>
      <c r="H53" s="8">
        <v>24750810.390000001</v>
      </c>
      <c r="I53" s="8">
        <v>15867597.130000001</v>
      </c>
      <c r="J53" s="1">
        <f>IF(COUNTIF($C$4:C53,C53)=1,1,0)</f>
        <v>1</v>
      </c>
      <c r="K53" s="1">
        <f t="shared" si="0"/>
        <v>2021</v>
      </c>
    </row>
    <row r="54" spans="2:11" x14ac:dyDescent="0.45">
      <c r="B54" s="1" t="s">
        <v>11</v>
      </c>
      <c r="C54" s="1" t="s">
        <v>70</v>
      </c>
      <c r="D54" s="7">
        <v>44578</v>
      </c>
      <c r="E54" s="7">
        <v>44594</v>
      </c>
      <c r="F54" s="7">
        <v>44756</v>
      </c>
      <c r="G54" s="1" t="s">
        <v>18</v>
      </c>
      <c r="H54" s="8">
        <v>53178917.609999999</v>
      </c>
      <c r="I54" s="8">
        <v>28339420.739999998</v>
      </c>
      <c r="J54" s="1">
        <f>IF(COUNTIF($C$4:C54,C54)=1,1,0)</f>
        <v>1</v>
      </c>
      <c r="K54" s="1">
        <f t="shared" si="0"/>
        <v>2022</v>
      </c>
    </row>
    <row r="55" spans="2:11" x14ac:dyDescent="0.45">
      <c r="B55" s="1" t="s">
        <v>11</v>
      </c>
      <c r="C55" s="1" t="s">
        <v>71</v>
      </c>
      <c r="D55" s="7">
        <v>45044</v>
      </c>
      <c r="E55" s="7">
        <v>45046</v>
      </c>
      <c r="F55" s="7">
        <v>45267</v>
      </c>
      <c r="G55" s="1" t="s">
        <v>20</v>
      </c>
      <c r="H55" s="8">
        <v>1543706.7</v>
      </c>
      <c r="I55" s="8">
        <v>1000053.7</v>
      </c>
      <c r="J55" s="1">
        <f>IF(COUNTIF($C$4:C55,C55)=1,1,0)</f>
        <v>1</v>
      </c>
      <c r="K55" s="1">
        <f t="shared" si="0"/>
        <v>2023</v>
      </c>
    </row>
    <row r="56" spans="2:11" x14ac:dyDescent="0.45">
      <c r="B56" s="1" t="s">
        <v>11</v>
      </c>
      <c r="C56" s="1" t="s">
        <v>72</v>
      </c>
      <c r="D56" s="7">
        <v>45841</v>
      </c>
      <c r="E56" s="7">
        <v>45858</v>
      </c>
      <c r="F56" s="7">
        <v>45968</v>
      </c>
      <c r="G56" s="1" t="s">
        <v>22</v>
      </c>
      <c r="H56" s="8">
        <v>3764325.27</v>
      </c>
      <c r="I56" s="8">
        <v>2528417.7799999998</v>
      </c>
      <c r="J56" s="1">
        <f>IF(COUNTIF($C$4:C56,C56)=1,1,0)</f>
        <v>1</v>
      </c>
      <c r="K56" s="1">
        <f t="shared" si="0"/>
        <v>2025</v>
      </c>
    </row>
    <row r="57" spans="2:11" x14ac:dyDescent="0.45">
      <c r="B57" s="1" t="s">
        <v>11</v>
      </c>
      <c r="C57" s="1" t="s">
        <v>73</v>
      </c>
      <c r="D57" s="7">
        <v>46079</v>
      </c>
      <c r="E57" s="7">
        <v>46096</v>
      </c>
      <c r="F57" s="7">
        <v>46110</v>
      </c>
      <c r="G57" s="1" t="s">
        <v>41</v>
      </c>
      <c r="H57" s="8">
        <v>1175853.6200000001</v>
      </c>
      <c r="I57" s="8">
        <v>951456.55</v>
      </c>
      <c r="J57" s="1">
        <f>IF(COUNTIF($C$4:C57,C57)=1,1,0)</f>
        <v>1</v>
      </c>
      <c r="K57" s="1">
        <f t="shared" si="0"/>
        <v>2026</v>
      </c>
    </row>
    <row r="58" spans="2:11" x14ac:dyDescent="0.45">
      <c r="B58" s="1" t="s">
        <v>11</v>
      </c>
      <c r="C58" s="1" t="s">
        <v>74</v>
      </c>
      <c r="D58" s="7">
        <v>45738</v>
      </c>
      <c r="E58" s="7">
        <v>45757</v>
      </c>
      <c r="F58" s="7">
        <v>45919</v>
      </c>
      <c r="G58" s="1" t="s">
        <v>20</v>
      </c>
      <c r="H58" s="8">
        <v>130882515.11</v>
      </c>
      <c r="I58" s="8">
        <v>69463992.079999998</v>
      </c>
      <c r="J58" s="1">
        <f>IF(COUNTIF($C$4:C58,C58)=1,1,0)</f>
        <v>1</v>
      </c>
      <c r="K58" s="1">
        <f t="shared" si="0"/>
        <v>2025</v>
      </c>
    </row>
    <row r="59" spans="2:11" x14ac:dyDescent="0.45">
      <c r="B59" s="1" t="s">
        <v>11</v>
      </c>
      <c r="C59" s="1" t="s">
        <v>75</v>
      </c>
      <c r="D59" s="7">
        <v>45803</v>
      </c>
      <c r="E59" s="7">
        <v>45827</v>
      </c>
      <c r="F59" s="7">
        <v>45840</v>
      </c>
      <c r="G59" s="1" t="s">
        <v>41</v>
      </c>
      <c r="H59" s="8">
        <v>90619.36</v>
      </c>
      <c r="I59" s="8">
        <v>78650.759999999995</v>
      </c>
      <c r="J59" s="1">
        <f>IF(COUNTIF($C$4:C59,C59)=1,1,0)</f>
        <v>1</v>
      </c>
      <c r="K59" s="1">
        <f t="shared" si="0"/>
        <v>2025</v>
      </c>
    </row>
    <row r="60" spans="2:11" x14ac:dyDescent="0.45">
      <c r="B60" s="1" t="s">
        <v>11</v>
      </c>
      <c r="C60" s="1" t="s">
        <v>76</v>
      </c>
      <c r="D60" s="7">
        <v>43288</v>
      </c>
      <c r="E60" s="7">
        <v>43288</v>
      </c>
      <c r="F60" s="7">
        <v>43367</v>
      </c>
      <c r="G60" s="1" t="s">
        <v>41</v>
      </c>
      <c r="H60" s="8">
        <v>466245.21</v>
      </c>
      <c r="I60" s="8">
        <v>319588.87</v>
      </c>
      <c r="J60" s="1">
        <f>IF(COUNTIF($C$4:C60,C60)=1,1,0)</f>
        <v>1</v>
      </c>
      <c r="K60" s="1">
        <f t="shared" si="0"/>
        <v>2018</v>
      </c>
    </row>
    <row r="61" spans="2:11" x14ac:dyDescent="0.45">
      <c r="B61" s="1" t="s">
        <v>11</v>
      </c>
      <c r="C61" s="1" t="s">
        <v>77</v>
      </c>
      <c r="D61" s="7">
        <v>45189</v>
      </c>
      <c r="E61" s="7">
        <v>45203</v>
      </c>
      <c r="F61" s="7">
        <v>45301</v>
      </c>
      <c r="G61" s="1" t="s">
        <v>38</v>
      </c>
      <c r="H61" s="8">
        <v>202356.52</v>
      </c>
      <c r="I61" s="8">
        <v>139384.04999999999</v>
      </c>
      <c r="J61" s="1">
        <f>IF(COUNTIF($C$4:C61,C61)=1,1,0)</f>
        <v>1</v>
      </c>
      <c r="K61" s="1">
        <f t="shared" si="0"/>
        <v>2023</v>
      </c>
    </row>
    <row r="62" spans="2:11" x14ac:dyDescent="0.45">
      <c r="B62" s="1" t="s">
        <v>11</v>
      </c>
      <c r="C62" s="1" t="s">
        <v>78</v>
      </c>
      <c r="D62" s="7">
        <v>44794</v>
      </c>
      <c r="E62" s="7">
        <v>44811</v>
      </c>
      <c r="F62" s="7">
        <v>44996</v>
      </c>
      <c r="G62" s="1" t="s">
        <v>16</v>
      </c>
      <c r="H62" s="8">
        <v>9344381.9299999997</v>
      </c>
      <c r="I62" s="8">
        <v>5744057.3700000001</v>
      </c>
      <c r="J62" s="1">
        <f>IF(COUNTIF($C$4:C62,C62)=1,1,0)</f>
        <v>1</v>
      </c>
      <c r="K62" s="1">
        <f t="shared" si="0"/>
        <v>2022</v>
      </c>
    </row>
    <row r="63" spans="2:11" x14ac:dyDescent="0.45">
      <c r="B63" s="1" t="s">
        <v>11</v>
      </c>
      <c r="C63" s="1" t="s">
        <v>79</v>
      </c>
      <c r="D63" s="7">
        <v>43377</v>
      </c>
      <c r="E63" s="7">
        <v>43400</v>
      </c>
      <c r="F63" s="7">
        <v>43410</v>
      </c>
      <c r="G63" s="1" t="s">
        <v>44</v>
      </c>
      <c r="H63" s="8">
        <v>77342590.109999999</v>
      </c>
      <c r="I63" s="8">
        <v>44956925.100000001</v>
      </c>
      <c r="J63" s="1">
        <f>IF(COUNTIF($C$4:C63,C63)=1,1,0)</f>
        <v>1</v>
      </c>
      <c r="K63" s="1">
        <f t="shared" si="0"/>
        <v>2018</v>
      </c>
    </row>
    <row r="64" spans="2:11" x14ac:dyDescent="0.45">
      <c r="B64" s="1" t="s">
        <v>11</v>
      </c>
      <c r="C64" s="1" t="s">
        <v>80</v>
      </c>
      <c r="D64" s="7">
        <v>45125</v>
      </c>
      <c r="E64" s="7">
        <v>45129</v>
      </c>
      <c r="F64" s="7">
        <v>45281</v>
      </c>
      <c r="G64" s="1" t="s">
        <v>20</v>
      </c>
      <c r="H64" s="8">
        <v>2317125.63</v>
      </c>
      <c r="I64" s="8">
        <v>1540962.44</v>
      </c>
      <c r="J64" s="1">
        <f>IF(COUNTIF($C$4:C64,C64)=1,1,0)</f>
        <v>1</v>
      </c>
      <c r="K64" s="1">
        <f t="shared" si="0"/>
        <v>2023</v>
      </c>
    </row>
    <row r="65" spans="2:11" x14ac:dyDescent="0.45">
      <c r="B65" s="1" t="s">
        <v>11</v>
      </c>
      <c r="C65" s="1" t="s">
        <v>81</v>
      </c>
      <c r="D65" s="7">
        <v>44686</v>
      </c>
      <c r="E65" s="7">
        <v>44716</v>
      </c>
      <c r="F65" s="7">
        <v>44772</v>
      </c>
      <c r="G65" s="1" t="s">
        <v>20</v>
      </c>
      <c r="H65" s="8">
        <v>72265583.150000006</v>
      </c>
      <c r="I65" s="8">
        <v>47633365.329999998</v>
      </c>
      <c r="J65" s="1">
        <f>IF(COUNTIF($C$4:C65,C65)=1,1,0)</f>
        <v>1</v>
      </c>
      <c r="K65" s="1">
        <f t="shared" si="0"/>
        <v>2022</v>
      </c>
    </row>
    <row r="66" spans="2:11" x14ac:dyDescent="0.45">
      <c r="B66" s="1" t="s">
        <v>11</v>
      </c>
      <c r="C66" s="1" t="s">
        <v>82</v>
      </c>
      <c r="D66" s="7">
        <v>44520</v>
      </c>
      <c r="E66" s="7">
        <v>44550</v>
      </c>
      <c r="F66" s="7">
        <v>44650</v>
      </c>
      <c r="G66" s="1" t="s">
        <v>20</v>
      </c>
      <c r="H66" s="8">
        <v>1357628.16</v>
      </c>
      <c r="I66" s="8">
        <v>885756.26</v>
      </c>
      <c r="J66" s="1">
        <f>IF(COUNTIF($C$4:C66,C66)=1,1,0)</f>
        <v>1</v>
      </c>
      <c r="K66" s="1">
        <f t="shared" si="0"/>
        <v>2021</v>
      </c>
    </row>
    <row r="67" spans="2:11" x14ac:dyDescent="0.45">
      <c r="B67" s="1" t="s">
        <v>11</v>
      </c>
      <c r="C67" s="1" t="s">
        <v>83</v>
      </c>
      <c r="D67" s="7">
        <v>45322</v>
      </c>
      <c r="E67" s="7">
        <v>45350</v>
      </c>
      <c r="F67" s="7">
        <v>45457</v>
      </c>
      <c r="G67" s="1" t="s">
        <v>16</v>
      </c>
      <c r="H67" s="8">
        <v>1150751.42</v>
      </c>
      <c r="I67" s="8">
        <v>697616.16</v>
      </c>
      <c r="J67" s="1">
        <f>IF(COUNTIF($C$4:C67,C67)=1,1,0)</f>
        <v>1</v>
      </c>
      <c r="K67" s="1">
        <f t="shared" si="0"/>
        <v>2024</v>
      </c>
    </row>
    <row r="68" spans="2:11" x14ac:dyDescent="0.45">
      <c r="B68" s="1" t="s">
        <v>11</v>
      </c>
      <c r="C68" s="1" t="s">
        <v>84</v>
      </c>
      <c r="D68" s="7">
        <v>43602</v>
      </c>
      <c r="E68" s="7">
        <v>43631</v>
      </c>
      <c r="F68" s="7">
        <v>43654</v>
      </c>
      <c r="G68" s="1" t="s">
        <v>20</v>
      </c>
      <c r="H68" s="8">
        <v>2232055.98</v>
      </c>
      <c r="I68" s="8">
        <v>1549603.04</v>
      </c>
      <c r="J68" s="1">
        <f>IF(COUNTIF($C$4:C68,C68)=1,1,0)</f>
        <v>1</v>
      </c>
      <c r="K68" s="1">
        <f t="shared" si="0"/>
        <v>2019</v>
      </c>
    </row>
    <row r="69" spans="2:11" x14ac:dyDescent="0.45">
      <c r="B69" s="1" t="s">
        <v>11</v>
      </c>
      <c r="C69" s="1" t="s">
        <v>85</v>
      </c>
      <c r="D69" s="7">
        <v>43357</v>
      </c>
      <c r="E69" s="7">
        <v>43385</v>
      </c>
      <c r="F69" s="7">
        <v>43478</v>
      </c>
      <c r="G69" s="1" t="s">
        <v>38</v>
      </c>
      <c r="H69" s="8">
        <v>494218.41</v>
      </c>
      <c r="I69" s="8">
        <v>359344.33</v>
      </c>
      <c r="J69" s="1">
        <f>IF(COUNTIF($C$4:C69,C69)=1,1,0)</f>
        <v>1</v>
      </c>
      <c r="K69" s="1">
        <f t="shared" ref="K69:K132" si="1">YEAR(D69)</f>
        <v>2018</v>
      </c>
    </row>
    <row r="70" spans="2:11" x14ac:dyDescent="0.45">
      <c r="B70" s="1" t="s">
        <v>11</v>
      </c>
      <c r="C70" s="1" t="s">
        <v>86</v>
      </c>
      <c r="D70" s="7">
        <v>45339</v>
      </c>
      <c r="E70" s="7">
        <v>45351</v>
      </c>
      <c r="F70" s="7">
        <v>45369</v>
      </c>
      <c r="G70" s="1" t="s">
        <v>44</v>
      </c>
      <c r="H70" s="8">
        <v>69634578.700000003</v>
      </c>
      <c r="I70" s="8">
        <v>47171308.060000002</v>
      </c>
      <c r="J70" s="1">
        <f>IF(COUNTIF($C$4:C70,C70)=1,1,0)</f>
        <v>1</v>
      </c>
      <c r="K70" s="1">
        <f t="shared" si="1"/>
        <v>2024</v>
      </c>
    </row>
    <row r="71" spans="2:11" x14ac:dyDescent="0.45">
      <c r="B71" s="1" t="s">
        <v>11</v>
      </c>
      <c r="C71" s="1" t="s">
        <v>87</v>
      </c>
      <c r="D71" s="7">
        <v>43721</v>
      </c>
      <c r="E71" s="7">
        <v>43724</v>
      </c>
      <c r="F71" s="7">
        <v>43767</v>
      </c>
      <c r="G71" s="1" t="s">
        <v>22</v>
      </c>
      <c r="H71" s="8">
        <v>6633451.25</v>
      </c>
      <c r="I71" s="8">
        <v>3807405.6</v>
      </c>
      <c r="J71" s="1">
        <f>IF(COUNTIF($C$4:C71,C71)=1,1,0)</f>
        <v>1</v>
      </c>
      <c r="K71" s="1">
        <f t="shared" si="1"/>
        <v>2019</v>
      </c>
    </row>
    <row r="72" spans="2:11" x14ac:dyDescent="0.45">
      <c r="B72" s="1" t="s">
        <v>11</v>
      </c>
      <c r="C72" s="1" t="s">
        <v>88</v>
      </c>
      <c r="D72" s="7">
        <v>45442</v>
      </c>
      <c r="E72" s="7">
        <v>45452</v>
      </c>
      <c r="F72" s="7">
        <v>45632</v>
      </c>
      <c r="G72" s="1" t="s">
        <v>22</v>
      </c>
      <c r="H72" s="8">
        <v>46782307.009999998</v>
      </c>
      <c r="I72" s="8">
        <v>21516934.960000001</v>
      </c>
      <c r="J72" s="1">
        <f>IF(COUNTIF($C$4:C72,C72)=1,1,0)</f>
        <v>1</v>
      </c>
      <c r="K72" s="1">
        <f t="shared" si="1"/>
        <v>2024</v>
      </c>
    </row>
    <row r="73" spans="2:11" x14ac:dyDescent="0.45">
      <c r="B73" s="1" t="s">
        <v>11</v>
      </c>
      <c r="C73" s="1" t="s">
        <v>15</v>
      </c>
      <c r="D73" s="7">
        <v>43696</v>
      </c>
      <c r="E73" s="7">
        <v>43704</v>
      </c>
      <c r="F73" s="7">
        <v>43763</v>
      </c>
      <c r="G73" s="1" t="s">
        <v>16</v>
      </c>
      <c r="H73" s="8">
        <v>8996862.7300000004</v>
      </c>
      <c r="I73" s="8">
        <v>4507076.5199999996</v>
      </c>
      <c r="J73" s="1">
        <f>IF(COUNTIF($C$4:C73,C73)=1,1,0)</f>
        <v>0</v>
      </c>
      <c r="K73" s="1">
        <f t="shared" si="1"/>
        <v>2019</v>
      </c>
    </row>
    <row r="74" spans="2:11" x14ac:dyDescent="0.45">
      <c r="B74" s="1" t="s">
        <v>11</v>
      </c>
      <c r="C74" s="1" t="s">
        <v>89</v>
      </c>
      <c r="D74" s="7">
        <v>45066</v>
      </c>
      <c r="E74" s="7">
        <v>45068</v>
      </c>
      <c r="F74" s="7">
        <v>45123</v>
      </c>
      <c r="G74" s="1" t="s">
        <v>22</v>
      </c>
      <c r="H74" s="8">
        <v>29493996.239999998</v>
      </c>
      <c r="I74" s="8">
        <v>19084288.379999999</v>
      </c>
      <c r="J74" s="1">
        <f>IF(COUNTIF($C$4:C74,C74)=1,1,0)</f>
        <v>1</v>
      </c>
      <c r="K74" s="1">
        <f t="shared" si="1"/>
        <v>2023</v>
      </c>
    </row>
    <row r="75" spans="2:11" x14ac:dyDescent="0.45">
      <c r="B75" s="1" t="s">
        <v>11</v>
      </c>
      <c r="C75" s="1" t="s">
        <v>90</v>
      </c>
      <c r="D75" s="7">
        <v>44133</v>
      </c>
      <c r="E75" s="7">
        <v>44157</v>
      </c>
      <c r="F75" s="7">
        <v>44347</v>
      </c>
      <c r="G75" s="1" t="s">
        <v>20</v>
      </c>
      <c r="H75" s="8">
        <v>401806.9</v>
      </c>
      <c r="I75" s="8">
        <v>315982.69</v>
      </c>
      <c r="J75" s="1">
        <f>IF(COUNTIF($C$4:C75,C75)=1,1,0)</f>
        <v>1</v>
      </c>
      <c r="K75" s="1">
        <f t="shared" si="1"/>
        <v>2020</v>
      </c>
    </row>
    <row r="76" spans="2:11" x14ac:dyDescent="0.45">
      <c r="B76" s="1" t="s">
        <v>11</v>
      </c>
      <c r="C76" s="1" t="s">
        <v>91</v>
      </c>
      <c r="D76" s="7">
        <v>43931</v>
      </c>
      <c r="E76" s="7">
        <v>43937</v>
      </c>
      <c r="F76" s="7">
        <v>44109</v>
      </c>
      <c r="G76" s="1" t="s">
        <v>16</v>
      </c>
      <c r="H76" s="8">
        <v>9323938.9399999995</v>
      </c>
      <c r="I76" s="8">
        <v>6369186.9900000002</v>
      </c>
      <c r="J76" s="1">
        <f>IF(COUNTIF($C$4:C76,C76)=1,1,0)</f>
        <v>1</v>
      </c>
      <c r="K76" s="1">
        <f t="shared" si="1"/>
        <v>2020</v>
      </c>
    </row>
    <row r="77" spans="2:11" x14ac:dyDescent="0.45">
      <c r="B77" s="1" t="s">
        <v>11</v>
      </c>
      <c r="C77" s="1" t="s">
        <v>92</v>
      </c>
      <c r="D77" s="7">
        <v>44876</v>
      </c>
      <c r="E77" s="7">
        <v>44880</v>
      </c>
      <c r="F77" s="7">
        <v>45084</v>
      </c>
      <c r="G77" s="1" t="s">
        <v>41</v>
      </c>
      <c r="H77" s="8">
        <v>54085.78</v>
      </c>
      <c r="I77" s="8">
        <v>39478.17</v>
      </c>
      <c r="J77" s="1">
        <f>IF(COUNTIF($C$4:C77,C77)=1,1,0)</f>
        <v>1</v>
      </c>
      <c r="K77" s="1">
        <f t="shared" si="1"/>
        <v>2022</v>
      </c>
    </row>
    <row r="78" spans="2:11" x14ac:dyDescent="0.45">
      <c r="B78" s="1" t="s">
        <v>11</v>
      </c>
      <c r="C78" s="1" t="s">
        <v>93</v>
      </c>
      <c r="D78" s="7">
        <v>43700</v>
      </c>
      <c r="E78" s="7">
        <v>43720</v>
      </c>
      <c r="F78" s="7">
        <v>43903</v>
      </c>
      <c r="G78" s="1" t="s">
        <v>20</v>
      </c>
      <c r="H78" s="8">
        <v>557659.96</v>
      </c>
      <c r="I78" s="8">
        <v>454055.82</v>
      </c>
      <c r="J78" s="1">
        <f>IF(COUNTIF($C$4:C78,C78)=1,1,0)</f>
        <v>1</v>
      </c>
      <c r="K78" s="1">
        <f t="shared" si="1"/>
        <v>2019</v>
      </c>
    </row>
    <row r="79" spans="2:11" x14ac:dyDescent="0.45">
      <c r="B79" s="1" t="s">
        <v>11</v>
      </c>
      <c r="C79" s="1" t="s">
        <v>94</v>
      </c>
      <c r="D79" s="7">
        <v>43691</v>
      </c>
      <c r="E79" s="7">
        <v>43706</v>
      </c>
      <c r="F79" s="7">
        <v>43823</v>
      </c>
      <c r="G79" s="1" t="s">
        <v>16</v>
      </c>
      <c r="H79" s="8">
        <v>3503644.31</v>
      </c>
      <c r="I79" s="8">
        <v>2555342.7200000002</v>
      </c>
      <c r="J79" s="1">
        <f>IF(COUNTIF($C$4:C79,C79)=1,1,0)</f>
        <v>1</v>
      </c>
      <c r="K79" s="1">
        <f t="shared" si="1"/>
        <v>2019</v>
      </c>
    </row>
    <row r="80" spans="2:11" x14ac:dyDescent="0.45">
      <c r="B80" s="1" t="s">
        <v>11</v>
      </c>
      <c r="C80" s="1" t="s">
        <v>95</v>
      </c>
      <c r="D80" s="7">
        <v>45430</v>
      </c>
      <c r="E80" s="7">
        <v>45449</v>
      </c>
      <c r="F80" s="7">
        <v>45502</v>
      </c>
      <c r="G80" s="1" t="s">
        <v>41</v>
      </c>
      <c r="H80" s="8">
        <v>425128.34</v>
      </c>
      <c r="I80" s="8">
        <v>343302.75</v>
      </c>
      <c r="J80" s="1">
        <f>IF(COUNTIF($C$4:C80,C80)=1,1,0)</f>
        <v>1</v>
      </c>
      <c r="K80" s="1">
        <f t="shared" si="1"/>
        <v>2024</v>
      </c>
    </row>
    <row r="81" spans="2:11" x14ac:dyDescent="0.45">
      <c r="B81" s="1" t="s">
        <v>11</v>
      </c>
      <c r="C81" s="1" t="s">
        <v>96</v>
      </c>
      <c r="D81" s="7">
        <v>43267</v>
      </c>
      <c r="E81" s="7">
        <v>43296</v>
      </c>
      <c r="F81" s="7">
        <v>43498</v>
      </c>
      <c r="G81" s="1" t="s">
        <v>16</v>
      </c>
      <c r="H81" s="8">
        <v>811249.17</v>
      </c>
      <c r="I81" s="8">
        <v>542970.56999999995</v>
      </c>
      <c r="J81" s="1">
        <f>IF(COUNTIF($C$4:C81,C81)=1,1,0)</f>
        <v>1</v>
      </c>
      <c r="K81" s="1">
        <f t="shared" si="1"/>
        <v>2018</v>
      </c>
    </row>
    <row r="82" spans="2:11" x14ac:dyDescent="0.45">
      <c r="B82" s="1" t="s">
        <v>11</v>
      </c>
      <c r="C82" s="1" t="s">
        <v>97</v>
      </c>
      <c r="D82" s="7">
        <v>43865</v>
      </c>
      <c r="E82" s="7">
        <v>43866</v>
      </c>
      <c r="F82" s="7">
        <v>44033</v>
      </c>
      <c r="G82" s="1" t="s">
        <v>20</v>
      </c>
      <c r="H82" s="8">
        <v>1499920.94</v>
      </c>
      <c r="I82" s="8">
        <v>966877.85</v>
      </c>
      <c r="J82" s="1">
        <f>IF(COUNTIF($C$4:C82,C82)=1,1,0)</f>
        <v>1</v>
      </c>
      <c r="K82" s="1">
        <f t="shared" si="1"/>
        <v>2020</v>
      </c>
    </row>
    <row r="83" spans="2:11" x14ac:dyDescent="0.45">
      <c r="B83" s="1" t="s">
        <v>11</v>
      </c>
      <c r="C83" s="1" t="s">
        <v>98</v>
      </c>
      <c r="D83" s="7">
        <v>45581</v>
      </c>
      <c r="E83" s="7">
        <v>45594</v>
      </c>
      <c r="F83" s="7">
        <v>45799</v>
      </c>
      <c r="G83" s="1" t="s">
        <v>16</v>
      </c>
      <c r="H83" s="8">
        <v>2749204.47</v>
      </c>
      <c r="I83" s="8">
        <v>1347981.56</v>
      </c>
      <c r="J83" s="1">
        <f>IF(COUNTIF($C$4:C83,C83)=1,1,0)</f>
        <v>1</v>
      </c>
      <c r="K83" s="1">
        <f t="shared" si="1"/>
        <v>2024</v>
      </c>
    </row>
    <row r="84" spans="2:11" x14ac:dyDescent="0.45">
      <c r="B84" s="1" t="s">
        <v>11</v>
      </c>
      <c r="C84" s="1" t="s">
        <v>99</v>
      </c>
      <c r="D84" s="7">
        <v>43975</v>
      </c>
      <c r="E84" s="7">
        <v>44005</v>
      </c>
      <c r="F84" s="7">
        <v>44140</v>
      </c>
      <c r="G84" s="1" t="s">
        <v>22</v>
      </c>
      <c r="H84" s="8">
        <v>32184609.300000001</v>
      </c>
      <c r="I84" s="8">
        <v>19103895.059999999</v>
      </c>
      <c r="J84" s="1">
        <f>IF(COUNTIF($C$4:C84,C84)=1,1,0)</f>
        <v>1</v>
      </c>
      <c r="K84" s="1">
        <f t="shared" si="1"/>
        <v>2020</v>
      </c>
    </row>
    <row r="85" spans="2:11" x14ac:dyDescent="0.45">
      <c r="B85" s="1" t="s">
        <v>11</v>
      </c>
      <c r="C85" s="1" t="s">
        <v>100</v>
      </c>
      <c r="D85" s="7">
        <v>43164</v>
      </c>
      <c r="E85" s="7">
        <v>43164</v>
      </c>
      <c r="F85" s="7">
        <v>43317</v>
      </c>
      <c r="G85" s="1" t="s">
        <v>22</v>
      </c>
      <c r="H85" s="8">
        <v>8721672.1999999993</v>
      </c>
      <c r="I85" s="8">
        <v>6406598.1500000004</v>
      </c>
      <c r="J85" s="1">
        <f>IF(COUNTIF($C$4:C85,C85)=1,1,0)</f>
        <v>1</v>
      </c>
      <c r="K85" s="1">
        <f t="shared" si="1"/>
        <v>2018</v>
      </c>
    </row>
    <row r="86" spans="2:11" x14ac:dyDescent="0.45">
      <c r="B86" s="1" t="s">
        <v>11</v>
      </c>
      <c r="C86" s="1" t="s">
        <v>101</v>
      </c>
      <c r="D86" s="7">
        <v>44856</v>
      </c>
      <c r="E86" s="7">
        <v>44868</v>
      </c>
      <c r="F86" s="7">
        <v>44958</v>
      </c>
      <c r="G86" s="1" t="s">
        <v>22</v>
      </c>
      <c r="H86" s="8">
        <v>53325475.329999998</v>
      </c>
      <c r="I86" s="8">
        <v>34567970.840000004</v>
      </c>
      <c r="J86" s="1">
        <f>IF(COUNTIF($C$4:C86,C86)=1,1,0)</f>
        <v>1</v>
      </c>
      <c r="K86" s="1">
        <f t="shared" si="1"/>
        <v>2022</v>
      </c>
    </row>
    <row r="87" spans="2:11" x14ac:dyDescent="0.45">
      <c r="B87" s="1" t="s">
        <v>11</v>
      </c>
      <c r="C87" s="1" t="s">
        <v>102</v>
      </c>
      <c r="D87" s="7">
        <v>44325</v>
      </c>
      <c r="E87" s="7">
        <v>44339</v>
      </c>
      <c r="F87" s="7">
        <v>44570</v>
      </c>
      <c r="G87" s="1" t="s">
        <v>20</v>
      </c>
      <c r="H87" s="8">
        <v>308851.07</v>
      </c>
      <c r="I87" s="8">
        <v>229669.42</v>
      </c>
      <c r="J87" s="1">
        <f>IF(COUNTIF($C$4:C87,C87)=1,1,0)</f>
        <v>1</v>
      </c>
      <c r="K87" s="1">
        <f t="shared" si="1"/>
        <v>2021</v>
      </c>
    </row>
    <row r="88" spans="2:11" x14ac:dyDescent="0.45">
      <c r="B88" s="1" t="s">
        <v>11</v>
      </c>
      <c r="C88" s="1" t="s">
        <v>103</v>
      </c>
      <c r="D88" s="7">
        <v>43262</v>
      </c>
      <c r="E88" s="7">
        <v>43289</v>
      </c>
      <c r="F88" s="7">
        <v>43517</v>
      </c>
      <c r="G88" s="1" t="s">
        <v>18</v>
      </c>
      <c r="H88" s="8">
        <v>9039372.1999999993</v>
      </c>
      <c r="I88" s="8">
        <v>5336894.8</v>
      </c>
      <c r="J88" s="1">
        <f>IF(COUNTIF($C$4:C88,C88)=1,1,0)</f>
        <v>1</v>
      </c>
      <c r="K88" s="1">
        <f t="shared" si="1"/>
        <v>2018</v>
      </c>
    </row>
    <row r="89" spans="2:11" x14ac:dyDescent="0.45">
      <c r="B89" s="1" t="s">
        <v>11</v>
      </c>
      <c r="C89" s="1" t="s">
        <v>104</v>
      </c>
      <c r="D89" s="7">
        <v>46008</v>
      </c>
      <c r="E89" s="7">
        <v>46029</v>
      </c>
      <c r="F89" s="7">
        <v>46255</v>
      </c>
      <c r="G89" s="1" t="s">
        <v>16</v>
      </c>
      <c r="H89" s="8">
        <v>2364168.6</v>
      </c>
      <c r="I89" s="8">
        <v>1322110.8899999999</v>
      </c>
      <c r="J89" s="1">
        <f>IF(COUNTIF($C$4:C89,C89)=1,1,0)</f>
        <v>1</v>
      </c>
      <c r="K89" s="1">
        <f t="shared" si="1"/>
        <v>2025</v>
      </c>
    </row>
    <row r="90" spans="2:11" x14ac:dyDescent="0.45">
      <c r="B90" s="1" t="s">
        <v>11</v>
      </c>
      <c r="C90" s="1" t="s">
        <v>105</v>
      </c>
      <c r="D90" s="7">
        <v>45169</v>
      </c>
      <c r="E90" s="7">
        <v>45190</v>
      </c>
      <c r="F90" s="7">
        <v>45269</v>
      </c>
      <c r="G90" s="1" t="s">
        <v>41</v>
      </c>
      <c r="H90" s="8">
        <v>60400.71</v>
      </c>
      <c r="I90" s="8">
        <v>48167.51</v>
      </c>
      <c r="J90" s="1">
        <f>IF(COUNTIF($C$4:C90,C90)=1,1,0)</f>
        <v>1</v>
      </c>
      <c r="K90" s="1">
        <f t="shared" si="1"/>
        <v>2023</v>
      </c>
    </row>
    <row r="91" spans="2:11" x14ac:dyDescent="0.45">
      <c r="B91" s="1" t="s">
        <v>11</v>
      </c>
      <c r="C91" s="1" t="s">
        <v>106</v>
      </c>
      <c r="D91" s="7">
        <v>44199</v>
      </c>
      <c r="E91" s="7">
        <v>44222</v>
      </c>
      <c r="F91" s="7">
        <v>44368</v>
      </c>
      <c r="G91" s="1" t="s">
        <v>16</v>
      </c>
      <c r="H91" s="8">
        <v>1129573.54</v>
      </c>
      <c r="I91" s="8">
        <v>716543.9</v>
      </c>
      <c r="J91" s="1">
        <f>IF(COUNTIF($C$4:C91,C91)=1,1,0)</f>
        <v>1</v>
      </c>
      <c r="K91" s="1">
        <f t="shared" si="1"/>
        <v>2021</v>
      </c>
    </row>
    <row r="92" spans="2:11" x14ac:dyDescent="0.45">
      <c r="B92" s="1" t="s">
        <v>11</v>
      </c>
      <c r="C92" s="1" t="s">
        <v>107</v>
      </c>
      <c r="D92" s="7">
        <v>43542</v>
      </c>
      <c r="E92" s="7">
        <v>43554</v>
      </c>
      <c r="F92" s="7">
        <v>43611</v>
      </c>
      <c r="G92" s="1" t="s">
        <v>16</v>
      </c>
      <c r="H92" s="8">
        <v>1664135.79</v>
      </c>
      <c r="I92" s="8">
        <v>1129263.8500000001</v>
      </c>
      <c r="J92" s="1">
        <f>IF(COUNTIF($C$4:C92,C92)=1,1,0)</f>
        <v>1</v>
      </c>
      <c r="K92" s="1">
        <f t="shared" si="1"/>
        <v>2019</v>
      </c>
    </row>
    <row r="93" spans="2:11" x14ac:dyDescent="0.45">
      <c r="B93" s="1" t="s">
        <v>11</v>
      </c>
      <c r="C93" s="1" t="s">
        <v>108</v>
      </c>
      <c r="D93" s="7">
        <v>44051</v>
      </c>
      <c r="E93" s="7">
        <v>44067</v>
      </c>
      <c r="F93" s="7">
        <v>44225</v>
      </c>
      <c r="G93" s="1" t="s">
        <v>20</v>
      </c>
      <c r="H93" s="8">
        <v>455473.83</v>
      </c>
      <c r="I93" s="8">
        <v>323713.55</v>
      </c>
      <c r="J93" s="1">
        <f>IF(COUNTIF($C$4:C93,C93)=1,1,0)</f>
        <v>1</v>
      </c>
      <c r="K93" s="1">
        <f t="shared" si="1"/>
        <v>2020</v>
      </c>
    </row>
    <row r="94" spans="2:11" x14ac:dyDescent="0.45">
      <c r="B94" s="1" t="s">
        <v>11</v>
      </c>
      <c r="C94" s="1" t="s">
        <v>109</v>
      </c>
      <c r="D94" s="7">
        <v>44169</v>
      </c>
      <c r="E94" s="7">
        <v>44180</v>
      </c>
      <c r="F94" s="7">
        <v>44312</v>
      </c>
      <c r="G94" s="1" t="s">
        <v>18</v>
      </c>
      <c r="H94" s="8">
        <v>35110989.32</v>
      </c>
      <c r="I94" s="8">
        <v>12168144.34</v>
      </c>
      <c r="J94" s="1">
        <f>IF(COUNTIF($C$4:C94,C94)=1,1,0)</f>
        <v>1</v>
      </c>
      <c r="K94" s="1">
        <f t="shared" si="1"/>
        <v>2020</v>
      </c>
    </row>
    <row r="95" spans="2:11" x14ac:dyDescent="0.45">
      <c r="B95" s="1" t="s">
        <v>11</v>
      </c>
      <c r="C95" s="1" t="s">
        <v>110</v>
      </c>
      <c r="D95" s="7">
        <v>43496</v>
      </c>
      <c r="E95" s="7">
        <v>43498</v>
      </c>
      <c r="F95" s="7">
        <v>43623</v>
      </c>
      <c r="G95" s="1" t="s">
        <v>41</v>
      </c>
      <c r="H95" s="8">
        <v>574472.29</v>
      </c>
      <c r="I95" s="8">
        <v>443137.57</v>
      </c>
      <c r="J95" s="1">
        <f>IF(COUNTIF($C$4:C95,C95)=1,1,0)</f>
        <v>1</v>
      </c>
      <c r="K95" s="1">
        <f t="shared" si="1"/>
        <v>2019</v>
      </c>
    </row>
    <row r="96" spans="2:11" x14ac:dyDescent="0.45">
      <c r="B96" s="1" t="s">
        <v>11</v>
      </c>
      <c r="C96" s="1" t="s">
        <v>111</v>
      </c>
      <c r="D96" s="7">
        <v>45430</v>
      </c>
      <c r="E96" s="7">
        <v>45436</v>
      </c>
      <c r="F96" s="7">
        <v>45480</v>
      </c>
      <c r="G96" s="1" t="s">
        <v>38</v>
      </c>
      <c r="H96" s="8">
        <v>816414.27</v>
      </c>
      <c r="I96" s="8">
        <v>559322.34</v>
      </c>
      <c r="J96" s="1">
        <f>IF(COUNTIF($C$4:C96,C96)=1,1,0)</f>
        <v>1</v>
      </c>
      <c r="K96" s="1">
        <f t="shared" si="1"/>
        <v>2024</v>
      </c>
    </row>
    <row r="97" spans="2:11" x14ac:dyDescent="0.45">
      <c r="B97" s="1" t="s">
        <v>11</v>
      </c>
      <c r="C97" s="1" t="s">
        <v>112</v>
      </c>
      <c r="D97" s="7">
        <v>44796</v>
      </c>
      <c r="E97" s="7">
        <v>44807</v>
      </c>
      <c r="F97" s="7">
        <v>44888</v>
      </c>
      <c r="G97" s="1" t="s">
        <v>38</v>
      </c>
      <c r="H97" s="8">
        <v>1379597.29</v>
      </c>
      <c r="I97" s="8">
        <v>1096661.8899999999</v>
      </c>
      <c r="J97" s="1">
        <f>IF(COUNTIF($C$4:C97,C97)=1,1,0)</f>
        <v>1</v>
      </c>
      <c r="K97" s="1">
        <f t="shared" si="1"/>
        <v>2022</v>
      </c>
    </row>
    <row r="98" spans="2:11" x14ac:dyDescent="0.45">
      <c r="B98" s="1" t="s">
        <v>11</v>
      </c>
      <c r="C98" s="1" t="s">
        <v>113</v>
      </c>
      <c r="D98" s="7">
        <v>44725</v>
      </c>
      <c r="E98" s="7">
        <v>44749</v>
      </c>
      <c r="F98" s="7">
        <v>44941</v>
      </c>
      <c r="G98" s="1" t="s">
        <v>22</v>
      </c>
      <c r="H98" s="8">
        <v>32770002.649999999</v>
      </c>
      <c r="I98" s="8">
        <v>19874603.68</v>
      </c>
      <c r="J98" s="1">
        <f>IF(COUNTIF($C$4:C98,C98)=1,1,0)</f>
        <v>1</v>
      </c>
      <c r="K98" s="1">
        <f t="shared" si="1"/>
        <v>2022</v>
      </c>
    </row>
    <row r="99" spans="2:11" x14ac:dyDescent="0.45">
      <c r="B99" s="1" t="s">
        <v>11</v>
      </c>
      <c r="C99" s="1" t="s">
        <v>114</v>
      </c>
      <c r="D99" s="7">
        <v>43317</v>
      </c>
      <c r="E99" s="7">
        <v>43325</v>
      </c>
      <c r="F99" s="7">
        <v>43470</v>
      </c>
      <c r="G99" s="1" t="s">
        <v>38</v>
      </c>
      <c r="H99" s="8">
        <v>354326.29</v>
      </c>
      <c r="I99" s="8">
        <v>271555.26</v>
      </c>
      <c r="J99" s="1">
        <f>IF(COUNTIF($C$4:C99,C99)=1,1,0)</f>
        <v>1</v>
      </c>
      <c r="K99" s="1">
        <f t="shared" si="1"/>
        <v>2018</v>
      </c>
    </row>
    <row r="100" spans="2:11" x14ac:dyDescent="0.45">
      <c r="B100" s="1" t="s">
        <v>11</v>
      </c>
      <c r="C100" s="1" t="s">
        <v>115</v>
      </c>
      <c r="D100" s="7">
        <v>43854</v>
      </c>
      <c r="E100" s="7">
        <v>43874</v>
      </c>
      <c r="F100" s="7">
        <v>44111</v>
      </c>
      <c r="G100" s="1" t="s">
        <v>16</v>
      </c>
      <c r="H100" s="8">
        <v>8812688.6699999999</v>
      </c>
      <c r="I100" s="8">
        <v>5143989.05</v>
      </c>
      <c r="J100" s="1">
        <f>IF(COUNTIF($C$4:C100,C100)=1,1,0)</f>
        <v>1</v>
      </c>
      <c r="K100" s="1">
        <f t="shared" si="1"/>
        <v>2020</v>
      </c>
    </row>
    <row r="101" spans="2:11" x14ac:dyDescent="0.45">
      <c r="B101" s="1" t="s">
        <v>11</v>
      </c>
      <c r="C101" s="1" t="s">
        <v>116</v>
      </c>
      <c r="D101" s="7">
        <v>43986</v>
      </c>
      <c r="E101" s="7">
        <v>44011</v>
      </c>
      <c r="F101" s="7">
        <v>44115</v>
      </c>
      <c r="G101" s="1" t="s">
        <v>20</v>
      </c>
      <c r="H101" s="8">
        <v>2387220.5699999998</v>
      </c>
      <c r="I101" s="8">
        <v>1536699.45</v>
      </c>
      <c r="J101" s="1">
        <f>IF(COUNTIF($C$4:C101,C101)=1,1,0)</f>
        <v>1</v>
      </c>
      <c r="K101" s="1">
        <f t="shared" si="1"/>
        <v>2020</v>
      </c>
    </row>
    <row r="102" spans="2:11" x14ac:dyDescent="0.45">
      <c r="B102" s="1" t="s">
        <v>11</v>
      </c>
      <c r="C102" s="1" t="s">
        <v>117</v>
      </c>
      <c r="D102" s="7">
        <v>45462</v>
      </c>
      <c r="E102" s="7">
        <v>45486</v>
      </c>
      <c r="F102" s="7">
        <v>45572</v>
      </c>
      <c r="G102" s="1" t="s">
        <v>20</v>
      </c>
      <c r="H102" s="8">
        <v>51817165.719999999</v>
      </c>
      <c r="I102" s="8">
        <v>34525656.619999997</v>
      </c>
      <c r="J102" s="1">
        <f>IF(COUNTIF($C$4:C102,C102)=1,1,0)</f>
        <v>1</v>
      </c>
      <c r="K102" s="1">
        <f t="shared" si="1"/>
        <v>2024</v>
      </c>
    </row>
    <row r="103" spans="2:11" x14ac:dyDescent="0.45">
      <c r="B103" s="1" t="s">
        <v>11</v>
      </c>
      <c r="C103" s="1" t="s">
        <v>118</v>
      </c>
      <c r="D103" s="7">
        <v>45581</v>
      </c>
      <c r="E103" s="7">
        <v>45597</v>
      </c>
      <c r="F103" s="7">
        <v>45731</v>
      </c>
      <c r="G103" s="1" t="s">
        <v>20</v>
      </c>
      <c r="H103" s="8">
        <v>1023569.07</v>
      </c>
      <c r="I103" s="8">
        <v>731275.78</v>
      </c>
      <c r="J103" s="1">
        <f>IF(COUNTIF($C$4:C103,C103)=1,1,0)</f>
        <v>1</v>
      </c>
      <c r="K103" s="1">
        <f t="shared" si="1"/>
        <v>2024</v>
      </c>
    </row>
    <row r="104" spans="2:11" x14ac:dyDescent="0.45">
      <c r="B104" s="1" t="s">
        <v>11</v>
      </c>
      <c r="C104" s="1" t="s">
        <v>119</v>
      </c>
      <c r="D104" s="7">
        <v>43789</v>
      </c>
      <c r="E104" s="7">
        <v>43796</v>
      </c>
      <c r="F104" s="7">
        <v>43826</v>
      </c>
      <c r="G104" s="1" t="s">
        <v>20</v>
      </c>
      <c r="H104" s="8">
        <v>95317224.659999996</v>
      </c>
      <c r="I104" s="8">
        <v>32970032.739999998</v>
      </c>
      <c r="J104" s="1">
        <f>IF(COUNTIF($C$4:C104,C104)=1,1,0)</f>
        <v>1</v>
      </c>
      <c r="K104" s="1">
        <f t="shared" si="1"/>
        <v>2019</v>
      </c>
    </row>
    <row r="105" spans="2:11" x14ac:dyDescent="0.45">
      <c r="B105" s="1" t="s">
        <v>11</v>
      </c>
      <c r="C105" s="1" t="s">
        <v>120</v>
      </c>
      <c r="D105" s="7">
        <v>45974</v>
      </c>
      <c r="E105" s="7">
        <v>46000</v>
      </c>
      <c r="F105" s="7">
        <v>46083</v>
      </c>
      <c r="G105" s="1" t="s">
        <v>16</v>
      </c>
      <c r="H105" s="8">
        <v>2406442.39</v>
      </c>
      <c r="I105" s="8">
        <v>1188826.74</v>
      </c>
      <c r="J105" s="1">
        <f>IF(COUNTIF($C$4:C105,C105)=1,1,0)</f>
        <v>1</v>
      </c>
      <c r="K105" s="1">
        <f t="shared" si="1"/>
        <v>2025</v>
      </c>
    </row>
    <row r="106" spans="2:11" x14ac:dyDescent="0.45">
      <c r="B106" s="1" t="s">
        <v>11</v>
      </c>
      <c r="C106" s="1" t="s">
        <v>121</v>
      </c>
      <c r="D106" s="7">
        <v>45070</v>
      </c>
      <c r="E106" s="7">
        <v>45072</v>
      </c>
      <c r="F106" s="7">
        <v>45122</v>
      </c>
      <c r="G106" s="1" t="s">
        <v>20</v>
      </c>
      <c r="H106" s="8">
        <v>266158424.59999999</v>
      </c>
      <c r="I106" s="8">
        <v>171780973.13</v>
      </c>
      <c r="J106" s="1">
        <f>IF(COUNTIF($C$4:C106,C106)=1,1,0)</f>
        <v>1</v>
      </c>
      <c r="K106" s="1">
        <f t="shared" si="1"/>
        <v>2023</v>
      </c>
    </row>
    <row r="107" spans="2:11" x14ac:dyDescent="0.45">
      <c r="B107" s="1" t="s">
        <v>11</v>
      </c>
      <c r="C107" s="1" t="s">
        <v>122</v>
      </c>
      <c r="D107" s="7">
        <v>45737</v>
      </c>
      <c r="E107" s="7">
        <v>45752</v>
      </c>
      <c r="F107" s="7">
        <v>45807</v>
      </c>
      <c r="G107" s="1" t="s">
        <v>38</v>
      </c>
      <c r="H107" s="8">
        <v>2579261.2400000002</v>
      </c>
      <c r="I107" s="8">
        <v>2043402.02</v>
      </c>
      <c r="J107" s="1">
        <f>IF(COUNTIF($C$4:C107,C107)=1,1,0)</f>
        <v>1</v>
      </c>
      <c r="K107" s="1">
        <f t="shared" si="1"/>
        <v>2025</v>
      </c>
    </row>
    <row r="108" spans="2:11" x14ac:dyDescent="0.45">
      <c r="B108" s="1" t="s">
        <v>11</v>
      </c>
      <c r="C108" s="1" t="s">
        <v>123</v>
      </c>
      <c r="D108" s="7">
        <v>43604</v>
      </c>
      <c r="E108" s="7">
        <v>43631</v>
      </c>
      <c r="F108" s="7">
        <v>43700</v>
      </c>
      <c r="G108" s="1" t="s">
        <v>20</v>
      </c>
      <c r="H108" s="8">
        <v>257313551.16</v>
      </c>
      <c r="I108" s="8">
        <v>71754318.819999993</v>
      </c>
      <c r="J108" s="1">
        <f>IF(COUNTIF($C$4:C108,C108)=1,1,0)</f>
        <v>1</v>
      </c>
      <c r="K108" s="1">
        <f t="shared" si="1"/>
        <v>2019</v>
      </c>
    </row>
    <row r="109" spans="2:11" x14ac:dyDescent="0.45">
      <c r="B109" s="1" t="s">
        <v>11</v>
      </c>
      <c r="C109" s="1" t="s">
        <v>124</v>
      </c>
      <c r="D109" s="7">
        <v>44781</v>
      </c>
      <c r="E109" s="7">
        <v>44783</v>
      </c>
      <c r="F109" s="7">
        <v>44881</v>
      </c>
      <c r="G109" s="1" t="s">
        <v>20</v>
      </c>
      <c r="H109" s="8">
        <v>15149286.880000001</v>
      </c>
      <c r="I109" s="8">
        <v>4534757.07</v>
      </c>
      <c r="J109" s="1">
        <f>IF(COUNTIF($C$4:C109,C109)=1,1,0)</f>
        <v>1</v>
      </c>
      <c r="K109" s="1">
        <f t="shared" si="1"/>
        <v>2022</v>
      </c>
    </row>
    <row r="110" spans="2:11" x14ac:dyDescent="0.45">
      <c r="B110" s="1" t="s">
        <v>11</v>
      </c>
      <c r="C110" s="1" t="s">
        <v>125</v>
      </c>
      <c r="D110" s="7">
        <v>44775</v>
      </c>
      <c r="E110" s="7">
        <v>44784</v>
      </c>
      <c r="F110" s="7">
        <v>45019</v>
      </c>
      <c r="G110" s="1" t="s">
        <v>20</v>
      </c>
      <c r="H110" s="8">
        <v>34333904.390000001</v>
      </c>
      <c r="I110" s="8">
        <v>19282527.640000001</v>
      </c>
      <c r="J110" s="1">
        <f>IF(COUNTIF($C$4:C110,C110)=1,1,0)</f>
        <v>1</v>
      </c>
      <c r="K110" s="1">
        <f t="shared" si="1"/>
        <v>2022</v>
      </c>
    </row>
    <row r="111" spans="2:11" x14ac:dyDescent="0.45">
      <c r="B111" s="1" t="s">
        <v>11</v>
      </c>
      <c r="C111" s="1" t="s">
        <v>126</v>
      </c>
      <c r="D111" s="7">
        <v>44741</v>
      </c>
      <c r="E111" s="7">
        <v>44754</v>
      </c>
      <c r="F111" s="7">
        <v>44957</v>
      </c>
      <c r="G111" s="1" t="s">
        <v>16</v>
      </c>
      <c r="H111" s="8">
        <v>1096648.53</v>
      </c>
      <c r="I111" s="8">
        <v>734961.03</v>
      </c>
      <c r="J111" s="1">
        <f>IF(COUNTIF($C$4:C111,C111)=1,1,0)</f>
        <v>1</v>
      </c>
      <c r="K111" s="1">
        <f t="shared" si="1"/>
        <v>2022</v>
      </c>
    </row>
    <row r="112" spans="2:11" x14ac:dyDescent="0.45">
      <c r="B112" s="1" t="s">
        <v>11</v>
      </c>
      <c r="C112" s="1" t="s">
        <v>127</v>
      </c>
      <c r="D112" s="7">
        <v>44739</v>
      </c>
      <c r="E112" s="7">
        <v>44764</v>
      </c>
      <c r="F112" s="7">
        <v>44790</v>
      </c>
      <c r="G112" s="1" t="s">
        <v>41</v>
      </c>
      <c r="H112" s="8">
        <v>303396.86</v>
      </c>
      <c r="I112" s="8">
        <v>218662.74</v>
      </c>
      <c r="J112" s="1">
        <f>IF(COUNTIF($C$4:C112,C112)=1,1,0)</f>
        <v>1</v>
      </c>
      <c r="K112" s="1">
        <f t="shared" si="1"/>
        <v>2022</v>
      </c>
    </row>
    <row r="113" spans="2:11" x14ac:dyDescent="0.45">
      <c r="B113" s="1" t="s">
        <v>11</v>
      </c>
      <c r="C113" s="1" t="s">
        <v>128</v>
      </c>
      <c r="D113" s="7">
        <v>46146</v>
      </c>
      <c r="E113" s="7">
        <v>46175</v>
      </c>
      <c r="F113" s="7">
        <v>46198</v>
      </c>
      <c r="G113" s="1" t="s">
        <v>22</v>
      </c>
      <c r="H113" s="8">
        <v>39227235.189999998</v>
      </c>
      <c r="I113" s="8">
        <v>27339120.710000001</v>
      </c>
      <c r="J113" s="1">
        <f>IF(COUNTIF($C$4:C113,C113)=1,1,0)</f>
        <v>1</v>
      </c>
      <c r="K113" s="1">
        <f t="shared" si="1"/>
        <v>2026</v>
      </c>
    </row>
    <row r="114" spans="2:11" x14ac:dyDescent="0.45">
      <c r="B114" s="1" t="s">
        <v>11</v>
      </c>
      <c r="C114" s="1" t="s">
        <v>129</v>
      </c>
      <c r="D114" s="7">
        <v>45808</v>
      </c>
      <c r="E114" s="7">
        <v>45810</v>
      </c>
      <c r="F114" s="7">
        <v>46013</v>
      </c>
      <c r="G114" s="1" t="s">
        <v>20</v>
      </c>
      <c r="H114" s="8">
        <v>96278342.280000001</v>
      </c>
      <c r="I114" s="8">
        <v>43123467.82</v>
      </c>
      <c r="J114" s="1">
        <f>IF(COUNTIF($C$4:C114,C114)=1,1,0)</f>
        <v>1</v>
      </c>
      <c r="K114" s="1">
        <f t="shared" si="1"/>
        <v>2025</v>
      </c>
    </row>
    <row r="115" spans="2:11" x14ac:dyDescent="0.45">
      <c r="B115" s="1" t="s">
        <v>11</v>
      </c>
      <c r="C115" s="1" t="s">
        <v>130</v>
      </c>
      <c r="D115" s="7">
        <v>43401</v>
      </c>
      <c r="E115" s="7">
        <v>43425</v>
      </c>
      <c r="F115" s="7">
        <v>43602</v>
      </c>
      <c r="G115" s="1" t="s">
        <v>20</v>
      </c>
      <c r="H115" s="8">
        <v>581277.99</v>
      </c>
      <c r="I115" s="8">
        <v>376623.86</v>
      </c>
      <c r="J115" s="1">
        <f>IF(COUNTIF($C$4:C115,C115)=1,1,0)</f>
        <v>1</v>
      </c>
      <c r="K115" s="1">
        <f t="shared" si="1"/>
        <v>2018</v>
      </c>
    </row>
    <row r="116" spans="2:11" x14ac:dyDescent="0.45">
      <c r="B116" s="1" t="s">
        <v>11</v>
      </c>
      <c r="C116" s="1" t="s">
        <v>131</v>
      </c>
      <c r="D116" s="7">
        <v>44903</v>
      </c>
      <c r="E116" s="7">
        <v>44921</v>
      </c>
      <c r="F116" s="7">
        <v>44972</v>
      </c>
      <c r="G116" s="1" t="s">
        <v>16</v>
      </c>
      <c r="H116" s="8">
        <v>3956703.57</v>
      </c>
      <c r="I116" s="8">
        <v>1958683.81</v>
      </c>
      <c r="J116" s="1">
        <f>IF(COUNTIF($C$4:C116,C116)=1,1,0)</f>
        <v>1</v>
      </c>
      <c r="K116" s="1">
        <f t="shared" si="1"/>
        <v>2022</v>
      </c>
    </row>
    <row r="117" spans="2:11" x14ac:dyDescent="0.45">
      <c r="B117" s="1" t="s">
        <v>11</v>
      </c>
      <c r="C117" s="1" t="s">
        <v>132</v>
      </c>
      <c r="D117" s="7">
        <v>45610</v>
      </c>
      <c r="E117" s="7">
        <v>45620</v>
      </c>
      <c r="F117" s="7">
        <v>45657</v>
      </c>
      <c r="G117" s="1" t="s">
        <v>22</v>
      </c>
      <c r="H117" s="8">
        <v>83105546.950000003</v>
      </c>
      <c r="I117" s="8">
        <v>61254202.450000003</v>
      </c>
      <c r="J117" s="1">
        <f>IF(COUNTIF($C$4:C117,C117)=1,1,0)</f>
        <v>1</v>
      </c>
      <c r="K117" s="1">
        <f t="shared" si="1"/>
        <v>2024</v>
      </c>
    </row>
    <row r="118" spans="2:11" x14ac:dyDescent="0.45">
      <c r="B118" s="1" t="s">
        <v>11</v>
      </c>
      <c r="C118" s="1" t="s">
        <v>133</v>
      </c>
      <c r="D118" s="7">
        <v>45177</v>
      </c>
      <c r="E118" s="7">
        <v>45195</v>
      </c>
      <c r="F118" s="7">
        <v>45231</v>
      </c>
      <c r="G118" s="1" t="s">
        <v>22</v>
      </c>
      <c r="H118" s="8">
        <v>2486791.58</v>
      </c>
      <c r="I118" s="8">
        <v>1366078.95</v>
      </c>
      <c r="J118" s="1">
        <f>IF(COUNTIF($C$4:C118,C118)=1,1,0)</f>
        <v>1</v>
      </c>
      <c r="K118" s="1">
        <f t="shared" si="1"/>
        <v>2023</v>
      </c>
    </row>
    <row r="119" spans="2:11" x14ac:dyDescent="0.45">
      <c r="B119" s="1" t="s">
        <v>11</v>
      </c>
      <c r="C119" s="1" t="s">
        <v>134</v>
      </c>
      <c r="D119" s="7">
        <v>44070</v>
      </c>
      <c r="E119" s="7">
        <v>44072</v>
      </c>
      <c r="F119" s="7">
        <v>44251</v>
      </c>
      <c r="G119" s="1" t="s">
        <v>22</v>
      </c>
      <c r="H119" s="8">
        <v>49226580.719999999</v>
      </c>
      <c r="I119" s="8">
        <v>26765980.190000001</v>
      </c>
      <c r="J119" s="1">
        <f>IF(COUNTIF($C$4:C119,C119)=1,1,0)</f>
        <v>1</v>
      </c>
      <c r="K119" s="1">
        <f t="shared" si="1"/>
        <v>2020</v>
      </c>
    </row>
    <row r="120" spans="2:11" x14ac:dyDescent="0.45">
      <c r="B120" s="1" t="s">
        <v>11</v>
      </c>
      <c r="C120" s="1" t="s">
        <v>135</v>
      </c>
      <c r="D120" s="7">
        <v>45975</v>
      </c>
      <c r="E120" s="7">
        <v>45977</v>
      </c>
      <c r="F120" s="7">
        <v>46125</v>
      </c>
      <c r="G120" s="1" t="s">
        <v>16</v>
      </c>
      <c r="H120" s="8">
        <v>2410272.34</v>
      </c>
      <c r="I120" s="8">
        <v>1746562.39</v>
      </c>
      <c r="J120" s="1">
        <f>IF(COUNTIF($C$4:C120,C120)=1,1,0)</f>
        <v>1</v>
      </c>
      <c r="K120" s="1">
        <f t="shared" si="1"/>
        <v>2025</v>
      </c>
    </row>
    <row r="121" spans="2:11" x14ac:dyDescent="0.45">
      <c r="B121" s="1" t="s">
        <v>11</v>
      </c>
      <c r="C121" s="1" t="s">
        <v>136</v>
      </c>
      <c r="D121" s="7">
        <v>44843</v>
      </c>
      <c r="E121" s="7">
        <v>44868</v>
      </c>
      <c r="F121" s="7">
        <v>45031</v>
      </c>
      <c r="G121" s="1" t="s">
        <v>20</v>
      </c>
      <c r="H121" s="8">
        <v>45942698.280000001</v>
      </c>
      <c r="I121" s="8">
        <v>26263091.239999998</v>
      </c>
      <c r="J121" s="1">
        <f>IF(COUNTIF($C$4:C121,C121)=1,1,0)</f>
        <v>1</v>
      </c>
      <c r="K121" s="1">
        <f t="shared" si="1"/>
        <v>2022</v>
      </c>
    </row>
    <row r="122" spans="2:11" x14ac:dyDescent="0.45">
      <c r="B122" s="1" t="s">
        <v>11</v>
      </c>
      <c r="C122" s="1" t="s">
        <v>137</v>
      </c>
      <c r="D122" s="7">
        <v>44381</v>
      </c>
      <c r="E122" s="7">
        <v>44409</v>
      </c>
      <c r="F122" s="7">
        <v>44647</v>
      </c>
      <c r="G122" s="1" t="s">
        <v>20</v>
      </c>
      <c r="H122" s="8">
        <v>10240204.529999999</v>
      </c>
      <c r="I122" s="8">
        <v>7015653.54</v>
      </c>
      <c r="J122" s="1">
        <f>IF(COUNTIF($C$4:C122,C122)=1,1,0)</f>
        <v>1</v>
      </c>
      <c r="K122" s="1">
        <f t="shared" si="1"/>
        <v>2021</v>
      </c>
    </row>
    <row r="123" spans="2:11" x14ac:dyDescent="0.45">
      <c r="B123" s="1" t="s">
        <v>11</v>
      </c>
      <c r="C123" s="1" t="s">
        <v>138</v>
      </c>
      <c r="D123" s="7">
        <v>44135</v>
      </c>
      <c r="E123" s="7">
        <v>44159</v>
      </c>
      <c r="F123" s="7">
        <v>44367</v>
      </c>
      <c r="G123" s="1" t="s">
        <v>20</v>
      </c>
      <c r="H123" s="8">
        <v>10686885.91</v>
      </c>
      <c r="I123" s="8">
        <v>8192920.9699999997</v>
      </c>
      <c r="J123" s="1">
        <f>IF(COUNTIF($C$4:C123,C123)=1,1,0)</f>
        <v>1</v>
      </c>
      <c r="K123" s="1">
        <f t="shared" si="1"/>
        <v>2020</v>
      </c>
    </row>
    <row r="124" spans="2:11" x14ac:dyDescent="0.45">
      <c r="B124" s="1" t="s">
        <v>11</v>
      </c>
      <c r="C124" s="1" t="s">
        <v>46</v>
      </c>
      <c r="D124" s="7">
        <v>44042</v>
      </c>
      <c r="E124" s="7">
        <v>44070</v>
      </c>
      <c r="F124" s="7">
        <v>44224</v>
      </c>
      <c r="G124" s="1" t="s">
        <v>20</v>
      </c>
      <c r="H124" s="8">
        <v>120275741.72</v>
      </c>
      <c r="I124" s="8">
        <v>69506892.879999995</v>
      </c>
      <c r="J124" s="1">
        <f>IF(COUNTIF($C$4:C124,C124)=1,1,0)</f>
        <v>0</v>
      </c>
      <c r="K124" s="1">
        <f t="shared" si="1"/>
        <v>2020</v>
      </c>
    </row>
    <row r="125" spans="2:11" x14ac:dyDescent="0.45">
      <c r="B125" s="1" t="s">
        <v>11</v>
      </c>
      <c r="C125" s="1" t="s">
        <v>139</v>
      </c>
      <c r="D125" s="7">
        <v>43150</v>
      </c>
      <c r="E125" s="7">
        <v>43176</v>
      </c>
      <c r="F125" s="7">
        <v>43310</v>
      </c>
      <c r="G125" s="1" t="s">
        <v>20</v>
      </c>
      <c r="H125" s="8">
        <v>1889638.43</v>
      </c>
      <c r="I125" s="8">
        <v>1098167.94</v>
      </c>
      <c r="J125" s="1">
        <f>IF(COUNTIF($C$4:C125,C125)=1,1,0)</f>
        <v>1</v>
      </c>
      <c r="K125" s="1">
        <f t="shared" si="1"/>
        <v>2018</v>
      </c>
    </row>
    <row r="126" spans="2:11" x14ac:dyDescent="0.45">
      <c r="B126" s="1" t="s">
        <v>11</v>
      </c>
      <c r="C126" s="1" t="s">
        <v>140</v>
      </c>
      <c r="D126" s="7">
        <v>43928</v>
      </c>
      <c r="E126" s="7">
        <v>43929</v>
      </c>
      <c r="F126" s="7">
        <v>44005</v>
      </c>
      <c r="G126" s="1" t="s">
        <v>16</v>
      </c>
      <c r="H126" s="8">
        <v>717184.36</v>
      </c>
      <c r="I126" s="8">
        <v>602781.17000000004</v>
      </c>
      <c r="J126" s="1">
        <f>IF(COUNTIF($C$4:C126,C126)=1,1,0)</f>
        <v>1</v>
      </c>
      <c r="K126" s="1">
        <f t="shared" si="1"/>
        <v>2020</v>
      </c>
    </row>
    <row r="127" spans="2:11" x14ac:dyDescent="0.45">
      <c r="B127" s="1" t="s">
        <v>11</v>
      </c>
      <c r="C127" s="1" t="s">
        <v>141</v>
      </c>
      <c r="D127" s="7">
        <v>44695</v>
      </c>
      <c r="E127" s="7">
        <v>44707</v>
      </c>
      <c r="F127" s="7">
        <v>44848</v>
      </c>
      <c r="G127" s="1" t="s">
        <v>38</v>
      </c>
      <c r="H127" s="8">
        <v>984646.57</v>
      </c>
      <c r="I127" s="8">
        <v>850006.4</v>
      </c>
      <c r="J127" s="1">
        <f>IF(COUNTIF($C$4:C127,C127)=1,1,0)</f>
        <v>1</v>
      </c>
      <c r="K127" s="1">
        <f t="shared" si="1"/>
        <v>2022</v>
      </c>
    </row>
    <row r="128" spans="2:11" x14ac:dyDescent="0.45">
      <c r="B128" s="1" t="s">
        <v>11</v>
      </c>
      <c r="C128" s="1" t="s">
        <v>142</v>
      </c>
      <c r="D128" s="7">
        <v>44863</v>
      </c>
      <c r="E128" s="7">
        <v>44886</v>
      </c>
      <c r="F128" s="7">
        <v>45123</v>
      </c>
      <c r="G128" s="1" t="s">
        <v>22</v>
      </c>
      <c r="H128" s="8">
        <v>21799232.649999999</v>
      </c>
      <c r="I128" s="8">
        <v>11049247.91</v>
      </c>
      <c r="J128" s="1">
        <f>IF(COUNTIF($C$4:C128,C128)=1,1,0)</f>
        <v>1</v>
      </c>
      <c r="K128" s="1">
        <f t="shared" si="1"/>
        <v>2022</v>
      </c>
    </row>
    <row r="129" spans="2:11" x14ac:dyDescent="0.45">
      <c r="B129" s="1" t="s">
        <v>11</v>
      </c>
      <c r="C129" s="1" t="s">
        <v>143</v>
      </c>
      <c r="D129" s="7">
        <v>45222</v>
      </c>
      <c r="E129" s="7">
        <v>45227</v>
      </c>
      <c r="F129" s="7">
        <v>45313</v>
      </c>
      <c r="G129" s="1" t="s">
        <v>22</v>
      </c>
      <c r="H129" s="8">
        <v>22017084.68</v>
      </c>
      <c r="I129" s="8">
        <v>11566074.32</v>
      </c>
      <c r="J129" s="1">
        <f>IF(COUNTIF($C$4:C129,C129)=1,1,0)</f>
        <v>1</v>
      </c>
      <c r="K129" s="1">
        <f t="shared" si="1"/>
        <v>2023</v>
      </c>
    </row>
    <row r="130" spans="2:11" x14ac:dyDescent="0.45">
      <c r="B130" s="1" t="s">
        <v>11</v>
      </c>
      <c r="C130" s="1" t="s">
        <v>144</v>
      </c>
      <c r="D130" s="7">
        <v>43557</v>
      </c>
      <c r="E130" s="7">
        <v>43568</v>
      </c>
      <c r="F130" s="7">
        <v>43649</v>
      </c>
      <c r="G130" s="1" t="s">
        <v>20</v>
      </c>
      <c r="H130" s="8">
        <v>14186925.65</v>
      </c>
      <c r="I130" s="8">
        <v>8291433.9199999999</v>
      </c>
      <c r="J130" s="1">
        <f>IF(COUNTIF($C$4:C130,C130)=1,1,0)</f>
        <v>1</v>
      </c>
      <c r="K130" s="1">
        <f t="shared" si="1"/>
        <v>2019</v>
      </c>
    </row>
    <row r="131" spans="2:11" x14ac:dyDescent="0.45">
      <c r="B131" s="1" t="s">
        <v>11</v>
      </c>
      <c r="C131" s="1" t="s">
        <v>145</v>
      </c>
      <c r="D131" s="7">
        <v>43545</v>
      </c>
      <c r="E131" s="7">
        <v>43569</v>
      </c>
      <c r="F131" s="7">
        <v>43632</v>
      </c>
      <c r="G131" s="1" t="s">
        <v>38</v>
      </c>
      <c r="H131" s="8">
        <v>502169.47</v>
      </c>
      <c r="I131" s="8">
        <v>441284.44</v>
      </c>
      <c r="J131" s="1">
        <f>IF(COUNTIF($C$4:C131,C131)=1,1,0)</f>
        <v>1</v>
      </c>
      <c r="K131" s="1">
        <f t="shared" si="1"/>
        <v>2019</v>
      </c>
    </row>
    <row r="132" spans="2:11" x14ac:dyDescent="0.45">
      <c r="B132" s="1" t="s">
        <v>11</v>
      </c>
      <c r="C132" s="1" t="s">
        <v>146</v>
      </c>
      <c r="D132" s="7">
        <v>43624</v>
      </c>
      <c r="E132" s="7">
        <v>43632</v>
      </c>
      <c r="F132" s="7">
        <v>43772</v>
      </c>
      <c r="G132" s="1" t="s">
        <v>20</v>
      </c>
      <c r="H132" s="8">
        <v>951185.44</v>
      </c>
      <c r="I132" s="8">
        <v>657453.18999999994</v>
      </c>
      <c r="J132" s="1">
        <f>IF(COUNTIF($C$4:C132,C132)=1,1,0)</f>
        <v>1</v>
      </c>
      <c r="K132" s="1">
        <f t="shared" si="1"/>
        <v>2019</v>
      </c>
    </row>
    <row r="133" spans="2:11" x14ac:dyDescent="0.45">
      <c r="B133" s="1" t="s">
        <v>11</v>
      </c>
      <c r="C133" s="1" t="s">
        <v>147</v>
      </c>
      <c r="D133" s="7">
        <v>44451</v>
      </c>
      <c r="E133" s="7">
        <v>44471</v>
      </c>
      <c r="F133" s="7">
        <v>44548</v>
      </c>
      <c r="G133" s="1" t="s">
        <v>20</v>
      </c>
      <c r="H133" s="8">
        <v>196217492.25</v>
      </c>
      <c r="I133" s="8">
        <v>125947711.67</v>
      </c>
      <c r="J133" s="1">
        <f>IF(COUNTIF($C$4:C133,C133)=1,1,0)</f>
        <v>1</v>
      </c>
      <c r="K133" s="1">
        <f t="shared" ref="K133:K196" si="2">YEAR(D133)</f>
        <v>2021</v>
      </c>
    </row>
    <row r="134" spans="2:11" x14ac:dyDescent="0.45">
      <c r="B134" s="1" t="s">
        <v>11</v>
      </c>
      <c r="C134" s="1" t="s">
        <v>148</v>
      </c>
      <c r="D134" s="7">
        <v>43462</v>
      </c>
      <c r="E134" s="7">
        <v>43473</v>
      </c>
      <c r="F134" s="7">
        <v>43654</v>
      </c>
      <c r="G134" s="1" t="s">
        <v>41</v>
      </c>
      <c r="H134" s="8">
        <v>1157258.0900000001</v>
      </c>
      <c r="I134" s="8">
        <v>856986.49</v>
      </c>
      <c r="J134" s="1">
        <f>IF(COUNTIF($C$4:C134,C134)=1,1,0)</f>
        <v>1</v>
      </c>
      <c r="K134" s="1">
        <f t="shared" si="2"/>
        <v>2018</v>
      </c>
    </row>
    <row r="135" spans="2:11" x14ac:dyDescent="0.45">
      <c r="B135" s="1" t="s">
        <v>11</v>
      </c>
      <c r="C135" s="1" t="s">
        <v>149</v>
      </c>
      <c r="D135" s="7">
        <v>44537</v>
      </c>
      <c r="E135" s="7">
        <v>44554</v>
      </c>
      <c r="F135" s="7">
        <v>44745</v>
      </c>
      <c r="G135" s="1" t="s">
        <v>20</v>
      </c>
      <c r="H135" s="8">
        <v>264656188.06999999</v>
      </c>
      <c r="I135" s="8">
        <v>147138919.74000001</v>
      </c>
      <c r="J135" s="1">
        <f>IF(COUNTIF($C$4:C135,C135)=1,1,0)</f>
        <v>1</v>
      </c>
      <c r="K135" s="1">
        <f t="shared" si="2"/>
        <v>2021</v>
      </c>
    </row>
    <row r="136" spans="2:11" x14ac:dyDescent="0.45">
      <c r="B136" s="1" t="s">
        <v>11</v>
      </c>
      <c r="C136" s="1" t="s">
        <v>150</v>
      </c>
      <c r="D136" s="7">
        <v>45748</v>
      </c>
      <c r="E136" s="7">
        <v>45774</v>
      </c>
      <c r="F136" s="7">
        <v>45978</v>
      </c>
      <c r="G136" s="1" t="s">
        <v>22</v>
      </c>
      <c r="H136" s="8">
        <v>40821819.359999999</v>
      </c>
      <c r="I136" s="8">
        <v>22212957.5</v>
      </c>
      <c r="J136" s="1">
        <f>IF(COUNTIF($C$4:C136,C136)=1,1,0)</f>
        <v>1</v>
      </c>
      <c r="K136" s="1">
        <f t="shared" si="2"/>
        <v>2025</v>
      </c>
    </row>
    <row r="137" spans="2:11" x14ac:dyDescent="0.45">
      <c r="B137" s="1" t="s">
        <v>11</v>
      </c>
      <c r="C137" s="1" t="s">
        <v>151</v>
      </c>
      <c r="D137" s="7">
        <v>44147</v>
      </c>
      <c r="E137" s="7">
        <v>44174</v>
      </c>
      <c r="F137" s="7">
        <v>44361</v>
      </c>
      <c r="G137" s="1" t="s">
        <v>22</v>
      </c>
      <c r="H137" s="8">
        <v>126648225.62</v>
      </c>
      <c r="I137" s="8">
        <v>60007514.310000002</v>
      </c>
      <c r="J137" s="1">
        <f>IF(COUNTIF($C$4:C137,C137)=1,1,0)</f>
        <v>1</v>
      </c>
      <c r="K137" s="1">
        <f t="shared" si="2"/>
        <v>2020</v>
      </c>
    </row>
    <row r="138" spans="2:11" x14ac:dyDescent="0.45">
      <c r="B138" s="1" t="s">
        <v>11</v>
      </c>
      <c r="C138" s="1" t="s">
        <v>152</v>
      </c>
      <c r="D138" s="7">
        <v>43387</v>
      </c>
      <c r="E138" s="7">
        <v>43404</v>
      </c>
      <c r="F138" s="7">
        <v>43502</v>
      </c>
      <c r="G138" s="1" t="s">
        <v>20</v>
      </c>
      <c r="H138" s="8">
        <v>34058639.329999998</v>
      </c>
      <c r="I138" s="8">
        <v>17766290.690000001</v>
      </c>
      <c r="J138" s="1">
        <f>IF(COUNTIF($C$4:C138,C138)=1,1,0)</f>
        <v>1</v>
      </c>
      <c r="K138" s="1">
        <f t="shared" si="2"/>
        <v>2018</v>
      </c>
    </row>
    <row r="139" spans="2:11" x14ac:dyDescent="0.45">
      <c r="B139" s="1" t="s">
        <v>11</v>
      </c>
      <c r="C139" s="1" t="s">
        <v>153</v>
      </c>
      <c r="D139" s="7">
        <v>43598</v>
      </c>
      <c r="E139" s="7">
        <v>43602</v>
      </c>
      <c r="F139" s="7">
        <v>43631</v>
      </c>
      <c r="G139" s="1" t="s">
        <v>20</v>
      </c>
      <c r="H139" s="8">
        <v>1529674.91</v>
      </c>
      <c r="I139" s="8">
        <v>1056250.51</v>
      </c>
      <c r="J139" s="1">
        <f>IF(COUNTIF($C$4:C139,C139)=1,1,0)</f>
        <v>1</v>
      </c>
      <c r="K139" s="1">
        <f t="shared" si="2"/>
        <v>2019</v>
      </c>
    </row>
    <row r="140" spans="2:11" x14ac:dyDescent="0.45">
      <c r="B140" s="1" t="s">
        <v>11</v>
      </c>
      <c r="C140" s="1" t="s">
        <v>154</v>
      </c>
      <c r="D140" s="7">
        <v>43883</v>
      </c>
      <c r="E140" s="7">
        <v>43903</v>
      </c>
      <c r="F140" s="7">
        <v>43930</v>
      </c>
      <c r="G140" s="1" t="s">
        <v>20</v>
      </c>
      <c r="H140" s="8">
        <v>812363.35</v>
      </c>
      <c r="I140" s="8">
        <v>548071.75</v>
      </c>
      <c r="J140" s="1">
        <f>IF(COUNTIF($C$4:C140,C140)=1,1,0)</f>
        <v>1</v>
      </c>
      <c r="K140" s="1">
        <f t="shared" si="2"/>
        <v>2020</v>
      </c>
    </row>
    <row r="141" spans="2:11" x14ac:dyDescent="0.45">
      <c r="B141" s="1" t="s">
        <v>11</v>
      </c>
      <c r="C141" s="1" t="s">
        <v>155</v>
      </c>
      <c r="D141" s="7">
        <v>45170</v>
      </c>
      <c r="E141" s="7">
        <v>45182</v>
      </c>
      <c r="F141" s="7">
        <v>45245</v>
      </c>
      <c r="G141" s="1" t="s">
        <v>22</v>
      </c>
      <c r="H141" s="8">
        <v>26814747.539999999</v>
      </c>
      <c r="I141" s="8">
        <v>11503568.140000001</v>
      </c>
      <c r="J141" s="1">
        <f>IF(COUNTIF($C$4:C141,C141)=1,1,0)</f>
        <v>1</v>
      </c>
      <c r="K141" s="1">
        <f t="shared" si="2"/>
        <v>2023</v>
      </c>
    </row>
    <row r="142" spans="2:11" x14ac:dyDescent="0.45">
      <c r="B142" s="1" t="s">
        <v>11</v>
      </c>
      <c r="C142" s="1" t="s">
        <v>156</v>
      </c>
      <c r="D142" s="7">
        <v>45817</v>
      </c>
      <c r="E142" s="7">
        <v>45822</v>
      </c>
      <c r="F142" s="7">
        <v>45897</v>
      </c>
      <c r="G142" s="1" t="s">
        <v>38</v>
      </c>
      <c r="H142" s="8">
        <v>837230.24</v>
      </c>
      <c r="I142" s="8">
        <v>730334.78</v>
      </c>
      <c r="J142" s="1">
        <f>IF(COUNTIF($C$4:C142,C142)=1,1,0)</f>
        <v>1</v>
      </c>
      <c r="K142" s="1">
        <f t="shared" si="2"/>
        <v>2025</v>
      </c>
    </row>
    <row r="143" spans="2:11" x14ac:dyDescent="0.45">
      <c r="B143" s="1" t="s">
        <v>11</v>
      </c>
      <c r="C143" s="1" t="s">
        <v>157</v>
      </c>
      <c r="D143" s="7">
        <v>43380</v>
      </c>
      <c r="E143" s="7">
        <v>43403</v>
      </c>
      <c r="F143" s="7">
        <v>43430</v>
      </c>
      <c r="G143" s="1" t="s">
        <v>20</v>
      </c>
      <c r="H143" s="8">
        <v>257935655.00999999</v>
      </c>
      <c r="I143" s="8">
        <v>121770547.77</v>
      </c>
      <c r="J143" s="1">
        <f>IF(COUNTIF($C$4:C143,C143)=1,1,0)</f>
        <v>1</v>
      </c>
      <c r="K143" s="1">
        <f t="shared" si="2"/>
        <v>2018</v>
      </c>
    </row>
    <row r="144" spans="2:11" x14ac:dyDescent="0.45">
      <c r="B144" s="1" t="s">
        <v>11</v>
      </c>
      <c r="C144" s="1" t="s">
        <v>158</v>
      </c>
      <c r="D144" s="7">
        <v>45033</v>
      </c>
      <c r="E144" s="7">
        <v>45058</v>
      </c>
      <c r="F144" s="7">
        <v>45173</v>
      </c>
      <c r="G144" s="1" t="s">
        <v>16</v>
      </c>
      <c r="H144" s="8">
        <v>5572922.5700000003</v>
      </c>
      <c r="I144" s="8">
        <v>3219000.92</v>
      </c>
      <c r="J144" s="1">
        <f>IF(COUNTIF($C$4:C144,C144)=1,1,0)</f>
        <v>1</v>
      </c>
      <c r="K144" s="1">
        <f t="shared" si="2"/>
        <v>2023</v>
      </c>
    </row>
    <row r="145" spans="2:11" x14ac:dyDescent="0.45">
      <c r="B145" s="1" t="s">
        <v>11</v>
      </c>
      <c r="C145" s="1" t="s">
        <v>159</v>
      </c>
      <c r="D145" s="7">
        <v>43925</v>
      </c>
      <c r="E145" s="7">
        <v>43940</v>
      </c>
      <c r="F145" s="7">
        <v>44068</v>
      </c>
      <c r="G145" s="1" t="s">
        <v>38</v>
      </c>
      <c r="H145" s="8">
        <v>693934.2</v>
      </c>
      <c r="I145" s="8">
        <v>444553.73</v>
      </c>
      <c r="J145" s="1">
        <f>IF(COUNTIF($C$4:C145,C145)=1,1,0)</f>
        <v>1</v>
      </c>
      <c r="K145" s="1">
        <f t="shared" si="2"/>
        <v>2020</v>
      </c>
    </row>
    <row r="146" spans="2:11" x14ac:dyDescent="0.45">
      <c r="B146" s="1" t="s">
        <v>11</v>
      </c>
      <c r="C146" s="1" t="s">
        <v>160</v>
      </c>
      <c r="D146" s="7">
        <v>45825</v>
      </c>
      <c r="E146" s="7">
        <v>45842</v>
      </c>
      <c r="F146" s="7">
        <v>46029</v>
      </c>
      <c r="G146" s="1" t="s">
        <v>20</v>
      </c>
      <c r="H146" s="8">
        <v>68666408.730000004</v>
      </c>
      <c r="I146" s="8">
        <v>33256028.600000001</v>
      </c>
      <c r="J146" s="1">
        <f>IF(COUNTIF($C$4:C146,C146)=1,1,0)</f>
        <v>1</v>
      </c>
      <c r="K146" s="1">
        <f t="shared" si="2"/>
        <v>2025</v>
      </c>
    </row>
    <row r="147" spans="2:11" x14ac:dyDescent="0.45">
      <c r="B147" s="1" t="s">
        <v>11</v>
      </c>
      <c r="C147" s="1" t="s">
        <v>161</v>
      </c>
      <c r="D147" s="7">
        <v>43982</v>
      </c>
      <c r="E147" s="7">
        <v>44005</v>
      </c>
      <c r="F147" s="7">
        <v>44060</v>
      </c>
      <c r="G147" s="1" t="s">
        <v>16</v>
      </c>
      <c r="H147" s="8">
        <v>2141695.87</v>
      </c>
      <c r="I147" s="8">
        <v>1607246.17</v>
      </c>
      <c r="J147" s="1">
        <f>IF(COUNTIF($C$4:C147,C147)=1,1,0)</f>
        <v>1</v>
      </c>
      <c r="K147" s="1">
        <f t="shared" si="2"/>
        <v>2020</v>
      </c>
    </row>
    <row r="148" spans="2:11" x14ac:dyDescent="0.45">
      <c r="B148" s="1" t="s">
        <v>11</v>
      </c>
      <c r="C148" s="1" t="s">
        <v>162</v>
      </c>
      <c r="D148" s="7">
        <v>44891</v>
      </c>
      <c r="E148" s="7">
        <v>44918</v>
      </c>
      <c r="F148" s="7">
        <v>45018</v>
      </c>
      <c r="G148" s="1" t="s">
        <v>41</v>
      </c>
      <c r="H148" s="8">
        <v>119799.89</v>
      </c>
      <c r="I148" s="8">
        <v>95397.98</v>
      </c>
      <c r="J148" s="1">
        <f>IF(COUNTIF($C$4:C148,C148)=1,1,0)</f>
        <v>1</v>
      </c>
      <c r="K148" s="1">
        <f t="shared" si="2"/>
        <v>2022</v>
      </c>
    </row>
    <row r="149" spans="2:11" x14ac:dyDescent="0.45">
      <c r="B149" s="1" t="s">
        <v>11</v>
      </c>
      <c r="C149" s="1" t="s">
        <v>163</v>
      </c>
      <c r="D149" s="7">
        <v>44757</v>
      </c>
      <c r="E149" s="7">
        <v>44774</v>
      </c>
      <c r="F149" s="7">
        <v>45010</v>
      </c>
      <c r="G149" s="1" t="s">
        <v>20</v>
      </c>
      <c r="H149" s="8">
        <v>63019472.409999996</v>
      </c>
      <c r="I149" s="8">
        <v>16149966.02</v>
      </c>
      <c r="J149" s="1">
        <f>IF(COUNTIF($C$4:C149,C149)=1,1,0)</f>
        <v>1</v>
      </c>
      <c r="K149" s="1">
        <f t="shared" si="2"/>
        <v>2022</v>
      </c>
    </row>
    <row r="150" spans="2:11" x14ac:dyDescent="0.45">
      <c r="B150" s="1" t="s">
        <v>11</v>
      </c>
      <c r="C150" s="1" t="s">
        <v>164</v>
      </c>
      <c r="D150" s="7">
        <v>44216</v>
      </c>
      <c r="E150" s="7">
        <v>44246</v>
      </c>
      <c r="F150" s="7">
        <v>44288</v>
      </c>
      <c r="G150" s="1" t="s">
        <v>38</v>
      </c>
      <c r="H150" s="8">
        <v>489524.84</v>
      </c>
      <c r="I150" s="8">
        <v>393783.02</v>
      </c>
      <c r="J150" s="1">
        <f>IF(COUNTIF($C$4:C150,C150)=1,1,0)</f>
        <v>1</v>
      </c>
      <c r="K150" s="1">
        <f t="shared" si="2"/>
        <v>2021</v>
      </c>
    </row>
    <row r="151" spans="2:11" x14ac:dyDescent="0.45">
      <c r="B151" s="1" t="s">
        <v>11</v>
      </c>
      <c r="C151" s="1" t="s">
        <v>165</v>
      </c>
      <c r="D151" s="7">
        <v>45196</v>
      </c>
      <c r="E151" s="7">
        <v>45223</v>
      </c>
      <c r="F151" s="7">
        <v>45322</v>
      </c>
      <c r="G151" s="1" t="s">
        <v>20</v>
      </c>
      <c r="H151" s="8">
        <v>68492363.109999999</v>
      </c>
      <c r="I151" s="8">
        <v>34098997.270000003</v>
      </c>
      <c r="J151" s="1">
        <f>IF(COUNTIF($C$4:C151,C151)=1,1,0)</f>
        <v>1</v>
      </c>
      <c r="K151" s="1">
        <f t="shared" si="2"/>
        <v>2023</v>
      </c>
    </row>
    <row r="152" spans="2:11" x14ac:dyDescent="0.45">
      <c r="B152" s="1" t="s">
        <v>11</v>
      </c>
      <c r="C152" s="1" t="s">
        <v>166</v>
      </c>
      <c r="D152" s="7">
        <v>44141</v>
      </c>
      <c r="E152" s="7">
        <v>44148</v>
      </c>
      <c r="F152" s="7">
        <v>44211</v>
      </c>
      <c r="G152" s="1" t="s">
        <v>38</v>
      </c>
      <c r="H152" s="8">
        <v>1072367.1599999999</v>
      </c>
      <c r="I152" s="8">
        <v>740315.93</v>
      </c>
      <c r="J152" s="1">
        <f>IF(COUNTIF($C$4:C152,C152)=1,1,0)</f>
        <v>1</v>
      </c>
      <c r="K152" s="1">
        <f t="shared" si="2"/>
        <v>2020</v>
      </c>
    </row>
    <row r="153" spans="2:11" x14ac:dyDescent="0.45">
      <c r="B153" s="1" t="s">
        <v>11</v>
      </c>
      <c r="C153" s="1" t="s">
        <v>167</v>
      </c>
      <c r="D153" s="7">
        <v>44107</v>
      </c>
      <c r="E153" s="7">
        <v>44117</v>
      </c>
      <c r="F153" s="7">
        <v>44189</v>
      </c>
      <c r="G153" s="1" t="s">
        <v>20</v>
      </c>
      <c r="H153" s="8">
        <v>34705672.030000001</v>
      </c>
      <c r="I153" s="8">
        <v>18186239.25</v>
      </c>
      <c r="J153" s="1">
        <f>IF(COUNTIF($C$4:C153,C153)=1,1,0)</f>
        <v>1</v>
      </c>
      <c r="K153" s="1">
        <f t="shared" si="2"/>
        <v>2020</v>
      </c>
    </row>
    <row r="154" spans="2:11" x14ac:dyDescent="0.45">
      <c r="B154" s="1" t="s">
        <v>11</v>
      </c>
      <c r="C154" s="1" t="s">
        <v>168</v>
      </c>
      <c r="D154" s="7">
        <v>44042</v>
      </c>
      <c r="E154" s="7">
        <v>44060</v>
      </c>
      <c r="F154" s="7">
        <v>44150</v>
      </c>
      <c r="G154" s="1" t="s">
        <v>16</v>
      </c>
      <c r="H154" s="8">
        <v>1676973.87</v>
      </c>
      <c r="I154" s="8">
        <v>970971.73</v>
      </c>
      <c r="J154" s="1">
        <f>IF(COUNTIF($C$4:C154,C154)=1,1,0)</f>
        <v>1</v>
      </c>
      <c r="K154" s="1">
        <f t="shared" si="2"/>
        <v>2020</v>
      </c>
    </row>
    <row r="155" spans="2:11" x14ac:dyDescent="0.45">
      <c r="B155" s="1" t="s">
        <v>11</v>
      </c>
      <c r="C155" s="1" t="s">
        <v>169</v>
      </c>
      <c r="D155" s="7">
        <v>43691</v>
      </c>
      <c r="E155" s="7">
        <v>43716</v>
      </c>
      <c r="F155" s="7">
        <v>43910</v>
      </c>
      <c r="G155" s="1" t="s">
        <v>22</v>
      </c>
      <c r="H155" s="8">
        <v>5047529.1100000003</v>
      </c>
      <c r="I155" s="8">
        <v>3041149.95</v>
      </c>
      <c r="J155" s="1">
        <f>IF(COUNTIF($C$4:C155,C155)=1,1,0)</f>
        <v>1</v>
      </c>
      <c r="K155" s="1">
        <f t="shared" si="2"/>
        <v>2019</v>
      </c>
    </row>
    <row r="156" spans="2:11" x14ac:dyDescent="0.45">
      <c r="B156" s="1" t="s">
        <v>11</v>
      </c>
      <c r="C156" s="1" t="s">
        <v>170</v>
      </c>
      <c r="D156" s="7">
        <v>44333</v>
      </c>
      <c r="E156" s="7">
        <v>44360</v>
      </c>
      <c r="F156" s="7">
        <v>44447</v>
      </c>
      <c r="G156" s="1" t="s">
        <v>41</v>
      </c>
      <c r="H156" s="8">
        <v>363833.21</v>
      </c>
      <c r="I156" s="8">
        <v>220647.18</v>
      </c>
      <c r="J156" s="1">
        <f>IF(COUNTIF($C$4:C156,C156)=1,1,0)</f>
        <v>1</v>
      </c>
      <c r="K156" s="1">
        <f t="shared" si="2"/>
        <v>2021</v>
      </c>
    </row>
    <row r="157" spans="2:11" x14ac:dyDescent="0.45">
      <c r="B157" s="1" t="s">
        <v>11</v>
      </c>
      <c r="C157" s="1" t="s">
        <v>171</v>
      </c>
      <c r="D157" s="7">
        <v>44972</v>
      </c>
      <c r="E157" s="7">
        <v>44974</v>
      </c>
      <c r="F157" s="7">
        <v>45167</v>
      </c>
      <c r="G157" s="1" t="s">
        <v>41</v>
      </c>
      <c r="H157" s="8">
        <v>483340.44</v>
      </c>
      <c r="I157" s="8">
        <v>333642.14</v>
      </c>
      <c r="J157" s="1">
        <f>IF(COUNTIF($C$4:C157,C157)=1,1,0)</f>
        <v>1</v>
      </c>
      <c r="K157" s="1">
        <f t="shared" si="2"/>
        <v>2023</v>
      </c>
    </row>
    <row r="158" spans="2:11" x14ac:dyDescent="0.45">
      <c r="B158" s="1" t="s">
        <v>11</v>
      </c>
      <c r="C158" s="1" t="s">
        <v>172</v>
      </c>
      <c r="D158" s="7">
        <v>44901</v>
      </c>
      <c r="E158" s="7">
        <v>44906</v>
      </c>
      <c r="F158" s="7">
        <v>45129</v>
      </c>
      <c r="G158" s="1" t="s">
        <v>16</v>
      </c>
      <c r="H158" s="8">
        <v>11297284.49</v>
      </c>
      <c r="I158" s="8">
        <v>6696161.25</v>
      </c>
      <c r="J158" s="1">
        <f>IF(COUNTIF($C$4:C158,C158)=1,1,0)</f>
        <v>1</v>
      </c>
      <c r="K158" s="1">
        <f t="shared" si="2"/>
        <v>2022</v>
      </c>
    </row>
    <row r="159" spans="2:11" x14ac:dyDescent="0.45">
      <c r="B159" s="1" t="s">
        <v>11</v>
      </c>
      <c r="C159" s="1" t="s">
        <v>173</v>
      </c>
      <c r="D159" s="7">
        <v>45692</v>
      </c>
      <c r="E159" s="7">
        <v>45720</v>
      </c>
      <c r="F159" s="7">
        <v>45939</v>
      </c>
      <c r="G159" s="1" t="s">
        <v>22</v>
      </c>
      <c r="H159" s="8">
        <v>3666586.11</v>
      </c>
      <c r="I159" s="8">
        <v>1818583.52</v>
      </c>
      <c r="J159" s="1">
        <f>IF(COUNTIF($C$4:C159,C159)=1,1,0)</f>
        <v>1</v>
      </c>
      <c r="K159" s="1">
        <f t="shared" si="2"/>
        <v>2025</v>
      </c>
    </row>
    <row r="160" spans="2:11" x14ac:dyDescent="0.45">
      <c r="B160" s="1" t="s">
        <v>11</v>
      </c>
      <c r="C160" s="1" t="s">
        <v>174</v>
      </c>
      <c r="D160" s="7">
        <v>45037</v>
      </c>
      <c r="E160" s="7">
        <v>45060</v>
      </c>
      <c r="F160" s="7">
        <v>45153</v>
      </c>
      <c r="G160" s="1" t="s">
        <v>20</v>
      </c>
      <c r="H160" s="8">
        <v>1492175.24</v>
      </c>
      <c r="I160" s="8">
        <v>1040810.63</v>
      </c>
      <c r="J160" s="1">
        <f>IF(COUNTIF($C$4:C160,C160)=1,1,0)</f>
        <v>1</v>
      </c>
      <c r="K160" s="1">
        <f t="shared" si="2"/>
        <v>2023</v>
      </c>
    </row>
    <row r="161" spans="2:11" x14ac:dyDescent="0.45">
      <c r="B161" s="1" t="s">
        <v>11</v>
      </c>
      <c r="C161" s="1" t="s">
        <v>175</v>
      </c>
      <c r="D161" s="7">
        <v>45658</v>
      </c>
      <c r="E161" s="7">
        <v>45671</v>
      </c>
      <c r="F161" s="7">
        <v>45795</v>
      </c>
      <c r="G161" s="1" t="s">
        <v>41</v>
      </c>
      <c r="H161" s="8">
        <v>158260.15</v>
      </c>
      <c r="I161" s="8">
        <v>135814.45000000001</v>
      </c>
      <c r="J161" s="1">
        <f>IF(COUNTIF($C$4:C161,C161)=1,1,0)</f>
        <v>1</v>
      </c>
      <c r="K161" s="1">
        <f t="shared" si="2"/>
        <v>2025</v>
      </c>
    </row>
    <row r="162" spans="2:11" x14ac:dyDescent="0.45">
      <c r="B162" s="1" t="s">
        <v>11</v>
      </c>
      <c r="C162" s="1" t="s">
        <v>176</v>
      </c>
      <c r="D162" s="7">
        <v>45883</v>
      </c>
      <c r="E162" s="7">
        <v>45896</v>
      </c>
      <c r="F162" s="7">
        <v>45942</v>
      </c>
      <c r="G162" s="1" t="s">
        <v>20</v>
      </c>
      <c r="H162" s="8">
        <v>742232.29</v>
      </c>
      <c r="I162" s="8">
        <v>473776.21</v>
      </c>
      <c r="J162" s="1">
        <f>IF(COUNTIF($C$4:C162,C162)=1,1,0)</f>
        <v>1</v>
      </c>
      <c r="K162" s="1">
        <f t="shared" si="2"/>
        <v>2025</v>
      </c>
    </row>
    <row r="163" spans="2:11" x14ac:dyDescent="0.45">
      <c r="B163" s="1" t="s">
        <v>11</v>
      </c>
      <c r="C163" s="1" t="s">
        <v>177</v>
      </c>
      <c r="D163" s="7">
        <v>46074</v>
      </c>
      <c r="E163" s="7">
        <v>46080</v>
      </c>
      <c r="F163" s="7">
        <v>46281</v>
      </c>
      <c r="G163" s="1" t="s">
        <v>16</v>
      </c>
      <c r="H163" s="8">
        <v>640655.71</v>
      </c>
      <c r="I163" s="8">
        <v>366968.9</v>
      </c>
      <c r="J163" s="1">
        <f>IF(COUNTIF($C$4:C163,C163)=1,1,0)</f>
        <v>1</v>
      </c>
      <c r="K163" s="1">
        <f t="shared" si="2"/>
        <v>2026</v>
      </c>
    </row>
    <row r="164" spans="2:11" x14ac:dyDescent="0.45">
      <c r="B164" s="1" t="s">
        <v>11</v>
      </c>
      <c r="C164" s="1" t="s">
        <v>178</v>
      </c>
      <c r="D164" s="7">
        <v>44396</v>
      </c>
      <c r="E164" s="7">
        <v>44417</v>
      </c>
      <c r="F164" s="7">
        <v>44496</v>
      </c>
      <c r="G164" s="1" t="s">
        <v>38</v>
      </c>
      <c r="H164" s="8">
        <v>463995.4</v>
      </c>
      <c r="I164" s="8">
        <v>379088.7</v>
      </c>
      <c r="J164" s="1">
        <f>IF(COUNTIF($C$4:C164,C164)=1,1,0)</f>
        <v>1</v>
      </c>
      <c r="K164" s="1">
        <f t="shared" si="2"/>
        <v>2021</v>
      </c>
    </row>
    <row r="165" spans="2:11" x14ac:dyDescent="0.45">
      <c r="B165" s="1" t="s">
        <v>11</v>
      </c>
      <c r="C165" s="1" t="s">
        <v>179</v>
      </c>
      <c r="D165" s="7">
        <v>46015</v>
      </c>
      <c r="E165" s="7">
        <v>46023</v>
      </c>
      <c r="F165" s="7">
        <v>46226</v>
      </c>
      <c r="G165" s="1" t="s">
        <v>41</v>
      </c>
      <c r="H165" s="8">
        <v>57612.29</v>
      </c>
      <c r="I165" s="8">
        <v>44010.58</v>
      </c>
      <c r="J165" s="1">
        <f>IF(COUNTIF($C$4:C165,C165)=1,1,0)</f>
        <v>1</v>
      </c>
      <c r="K165" s="1">
        <f t="shared" si="2"/>
        <v>2025</v>
      </c>
    </row>
    <row r="166" spans="2:11" x14ac:dyDescent="0.45">
      <c r="B166" s="1" t="s">
        <v>11</v>
      </c>
      <c r="C166" s="1" t="s">
        <v>180</v>
      </c>
      <c r="D166" s="7">
        <v>44770</v>
      </c>
      <c r="E166" s="7">
        <v>44787</v>
      </c>
      <c r="F166" s="7">
        <v>44996</v>
      </c>
      <c r="G166" s="1" t="s">
        <v>20</v>
      </c>
      <c r="H166" s="8">
        <v>738323.81</v>
      </c>
      <c r="I166" s="8">
        <v>475588.43</v>
      </c>
      <c r="J166" s="1">
        <f>IF(COUNTIF($C$4:C166,C166)=1,1,0)</f>
        <v>1</v>
      </c>
      <c r="K166" s="1">
        <f t="shared" si="2"/>
        <v>2022</v>
      </c>
    </row>
    <row r="167" spans="2:11" x14ac:dyDescent="0.45">
      <c r="B167" s="1" t="s">
        <v>11</v>
      </c>
      <c r="C167" s="1" t="s">
        <v>181</v>
      </c>
      <c r="D167" s="7">
        <v>43200</v>
      </c>
      <c r="E167" s="7">
        <v>43214</v>
      </c>
      <c r="F167" s="7">
        <v>43246</v>
      </c>
      <c r="G167" s="1" t="s">
        <v>20</v>
      </c>
      <c r="H167" s="8">
        <v>253585.87</v>
      </c>
      <c r="I167" s="8">
        <v>175665.66</v>
      </c>
      <c r="J167" s="1">
        <f>IF(COUNTIF($C$4:C167,C167)=1,1,0)</f>
        <v>1</v>
      </c>
      <c r="K167" s="1">
        <f t="shared" si="2"/>
        <v>2018</v>
      </c>
    </row>
    <row r="168" spans="2:11" x14ac:dyDescent="0.45">
      <c r="B168" s="1" t="s">
        <v>11</v>
      </c>
      <c r="C168" s="1" t="s">
        <v>182</v>
      </c>
      <c r="D168" s="7">
        <v>45031</v>
      </c>
      <c r="E168" s="7">
        <v>45040</v>
      </c>
      <c r="F168" s="7">
        <v>45160</v>
      </c>
      <c r="G168" s="1" t="s">
        <v>16</v>
      </c>
      <c r="H168" s="8">
        <v>451459.89</v>
      </c>
      <c r="I168" s="8">
        <v>336705.08</v>
      </c>
      <c r="J168" s="1">
        <f>IF(COUNTIF($C$4:C168,C168)=1,1,0)</f>
        <v>1</v>
      </c>
      <c r="K168" s="1">
        <f t="shared" si="2"/>
        <v>2023</v>
      </c>
    </row>
    <row r="169" spans="2:11" x14ac:dyDescent="0.45">
      <c r="B169" s="1" t="s">
        <v>11</v>
      </c>
      <c r="C169" s="1" t="s">
        <v>183</v>
      </c>
      <c r="D169" s="7">
        <v>46247</v>
      </c>
      <c r="E169" s="7">
        <v>46270</v>
      </c>
      <c r="F169" s="7">
        <v>46343</v>
      </c>
      <c r="G169" s="1" t="s">
        <v>41</v>
      </c>
      <c r="H169" s="8">
        <v>42423.02</v>
      </c>
      <c r="I169" s="8">
        <v>32765.43</v>
      </c>
      <c r="J169" s="1">
        <f>IF(COUNTIF($C$4:C169,C169)=1,1,0)</f>
        <v>1</v>
      </c>
      <c r="K169" s="1">
        <f t="shared" si="2"/>
        <v>2026</v>
      </c>
    </row>
    <row r="170" spans="2:11" x14ac:dyDescent="0.45">
      <c r="B170" s="1" t="s">
        <v>11</v>
      </c>
      <c r="C170" s="1" t="s">
        <v>184</v>
      </c>
      <c r="D170" s="7">
        <v>44421</v>
      </c>
      <c r="E170" s="7">
        <v>44435</v>
      </c>
      <c r="F170" s="7">
        <v>44638</v>
      </c>
      <c r="G170" s="1" t="s">
        <v>20</v>
      </c>
      <c r="H170" s="8">
        <v>92331275.739999995</v>
      </c>
      <c r="I170" s="8">
        <v>55788850.939999998</v>
      </c>
      <c r="J170" s="1">
        <f>IF(COUNTIF($C$4:C170,C170)=1,1,0)</f>
        <v>1</v>
      </c>
      <c r="K170" s="1">
        <f t="shared" si="2"/>
        <v>2021</v>
      </c>
    </row>
    <row r="171" spans="2:11" x14ac:dyDescent="0.45">
      <c r="B171" s="1" t="s">
        <v>11</v>
      </c>
      <c r="C171" s="1" t="s">
        <v>185</v>
      </c>
      <c r="D171" s="7">
        <v>45737</v>
      </c>
      <c r="E171" s="7">
        <v>45747</v>
      </c>
      <c r="F171" s="7">
        <v>45792</v>
      </c>
      <c r="G171" s="1" t="s">
        <v>16</v>
      </c>
      <c r="H171" s="8">
        <v>2643346.69</v>
      </c>
      <c r="I171" s="8">
        <v>1873480.42</v>
      </c>
      <c r="J171" s="1">
        <f>IF(COUNTIF($C$4:C171,C171)=1,1,0)</f>
        <v>1</v>
      </c>
      <c r="K171" s="1">
        <f t="shared" si="2"/>
        <v>2025</v>
      </c>
    </row>
    <row r="172" spans="2:11" x14ac:dyDescent="0.45">
      <c r="B172" s="1" t="s">
        <v>11</v>
      </c>
      <c r="C172" s="1" t="s">
        <v>186</v>
      </c>
      <c r="D172" s="7">
        <v>45782</v>
      </c>
      <c r="E172" s="7">
        <v>45811</v>
      </c>
      <c r="F172" s="7">
        <v>45969</v>
      </c>
      <c r="G172" s="1" t="s">
        <v>20</v>
      </c>
      <c r="H172" s="8">
        <v>30809776.760000002</v>
      </c>
      <c r="I172" s="8">
        <v>17585012</v>
      </c>
      <c r="J172" s="1">
        <f>IF(COUNTIF($C$4:C172,C172)=1,1,0)</f>
        <v>1</v>
      </c>
      <c r="K172" s="1">
        <f t="shared" si="2"/>
        <v>2025</v>
      </c>
    </row>
    <row r="173" spans="2:11" x14ac:dyDescent="0.45">
      <c r="B173" s="1" t="s">
        <v>11</v>
      </c>
      <c r="C173" s="1" t="s">
        <v>187</v>
      </c>
      <c r="D173" s="7">
        <v>43717</v>
      </c>
      <c r="E173" s="7">
        <v>43739</v>
      </c>
      <c r="F173" s="7">
        <v>43861</v>
      </c>
      <c r="G173" s="1" t="s">
        <v>38</v>
      </c>
      <c r="H173" s="8">
        <v>302656.48</v>
      </c>
      <c r="I173" s="8">
        <v>210662.02</v>
      </c>
      <c r="J173" s="1">
        <f>IF(COUNTIF($C$4:C173,C173)=1,1,0)</f>
        <v>1</v>
      </c>
      <c r="K173" s="1">
        <f t="shared" si="2"/>
        <v>2019</v>
      </c>
    </row>
    <row r="174" spans="2:11" x14ac:dyDescent="0.45">
      <c r="B174" s="1" t="s">
        <v>11</v>
      </c>
      <c r="C174" s="1" t="s">
        <v>188</v>
      </c>
      <c r="D174" s="7">
        <v>45602</v>
      </c>
      <c r="E174" s="7">
        <v>45603</v>
      </c>
      <c r="F174" s="7">
        <v>45641</v>
      </c>
      <c r="G174" s="1" t="s">
        <v>20</v>
      </c>
      <c r="H174" s="8">
        <v>566006.30000000005</v>
      </c>
      <c r="I174" s="8">
        <v>328982.94</v>
      </c>
      <c r="J174" s="1">
        <f>IF(COUNTIF($C$4:C174,C174)=1,1,0)</f>
        <v>1</v>
      </c>
      <c r="K174" s="1">
        <f t="shared" si="2"/>
        <v>2024</v>
      </c>
    </row>
    <row r="175" spans="2:11" x14ac:dyDescent="0.45">
      <c r="B175" s="1" t="s">
        <v>11</v>
      </c>
      <c r="C175" s="1" t="s">
        <v>189</v>
      </c>
      <c r="D175" s="7">
        <v>43393</v>
      </c>
      <c r="E175" s="7">
        <v>43420</v>
      </c>
      <c r="F175" s="7">
        <v>43653</v>
      </c>
      <c r="G175" s="1" t="s">
        <v>20</v>
      </c>
      <c r="H175" s="8">
        <v>918144.09</v>
      </c>
      <c r="I175" s="8">
        <v>682338.14</v>
      </c>
      <c r="J175" s="1">
        <f>IF(COUNTIF($C$4:C175,C175)=1,1,0)</f>
        <v>1</v>
      </c>
      <c r="K175" s="1">
        <f t="shared" si="2"/>
        <v>2018</v>
      </c>
    </row>
    <row r="176" spans="2:11" x14ac:dyDescent="0.45">
      <c r="B176" s="1" t="s">
        <v>11</v>
      </c>
      <c r="C176" s="1" t="s">
        <v>190</v>
      </c>
      <c r="D176" s="7">
        <v>45145</v>
      </c>
      <c r="E176" s="7">
        <v>45169</v>
      </c>
      <c r="F176" s="7">
        <v>45381</v>
      </c>
      <c r="G176" s="1" t="s">
        <v>20</v>
      </c>
      <c r="H176" s="8">
        <v>694588.87</v>
      </c>
      <c r="I176" s="8">
        <v>476441.2</v>
      </c>
      <c r="J176" s="1">
        <f>IF(COUNTIF($C$4:C176,C176)=1,1,0)</f>
        <v>1</v>
      </c>
      <c r="K176" s="1">
        <f t="shared" si="2"/>
        <v>2023</v>
      </c>
    </row>
    <row r="177" spans="2:11" x14ac:dyDescent="0.45">
      <c r="B177" s="1" t="s">
        <v>11</v>
      </c>
      <c r="C177" s="1" t="s">
        <v>191</v>
      </c>
      <c r="D177" s="7">
        <v>45322</v>
      </c>
      <c r="E177" s="7">
        <v>45351</v>
      </c>
      <c r="F177" s="7">
        <v>45548</v>
      </c>
      <c r="G177" s="1" t="s">
        <v>41</v>
      </c>
      <c r="H177" s="8">
        <v>44584.23</v>
      </c>
      <c r="I177" s="8">
        <v>37970.89</v>
      </c>
      <c r="J177" s="1">
        <f>IF(COUNTIF($C$4:C177,C177)=1,1,0)</f>
        <v>1</v>
      </c>
      <c r="K177" s="1">
        <f t="shared" si="2"/>
        <v>2024</v>
      </c>
    </row>
    <row r="178" spans="2:11" x14ac:dyDescent="0.45">
      <c r="B178" s="1" t="s">
        <v>11</v>
      </c>
      <c r="C178" s="1" t="s">
        <v>192</v>
      </c>
      <c r="D178" s="7">
        <v>44016</v>
      </c>
      <c r="E178" s="7">
        <v>44027</v>
      </c>
      <c r="F178" s="7">
        <v>44070</v>
      </c>
      <c r="G178" s="1" t="s">
        <v>38</v>
      </c>
      <c r="H178" s="8">
        <v>137778.09</v>
      </c>
      <c r="I178" s="8">
        <v>99679.28</v>
      </c>
      <c r="J178" s="1">
        <f>IF(COUNTIF($C$4:C178,C178)=1,1,0)</f>
        <v>1</v>
      </c>
      <c r="K178" s="1">
        <f t="shared" si="2"/>
        <v>2020</v>
      </c>
    </row>
    <row r="179" spans="2:11" x14ac:dyDescent="0.45">
      <c r="B179" s="1" t="s">
        <v>11</v>
      </c>
      <c r="C179" s="1" t="s">
        <v>193</v>
      </c>
      <c r="D179" s="7">
        <v>44899</v>
      </c>
      <c r="E179" s="7">
        <v>44902</v>
      </c>
      <c r="F179" s="7">
        <v>44965</v>
      </c>
      <c r="G179" s="1" t="s">
        <v>20</v>
      </c>
      <c r="H179" s="8">
        <v>3162376.24</v>
      </c>
      <c r="I179" s="8">
        <v>2503561.62</v>
      </c>
      <c r="J179" s="1">
        <f>IF(COUNTIF($C$4:C179,C179)=1,1,0)</f>
        <v>1</v>
      </c>
      <c r="K179" s="1">
        <f t="shared" si="2"/>
        <v>2022</v>
      </c>
    </row>
    <row r="180" spans="2:11" x14ac:dyDescent="0.45">
      <c r="B180" s="1" t="s">
        <v>11</v>
      </c>
      <c r="C180" s="1" t="s">
        <v>194</v>
      </c>
      <c r="D180" s="7">
        <v>43743</v>
      </c>
      <c r="E180" s="7">
        <v>43746</v>
      </c>
      <c r="F180" s="7">
        <v>43907</v>
      </c>
      <c r="G180" s="1" t="s">
        <v>22</v>
      </c>
      <c r="H180" s="8">
        <v>11793974.07</v>
      </c>
      <c r="I180" s="8">
        <v>8370547.8700000001</v>
      </c>
      <c r="J180" s="1">
        <f>IF(COUNTIF($C$4:C180,C180)=1,1,0)</f>
        <v>1</v>
      </c>
      <c r="K180" s="1">
        <f t="shared" si="2"/>
        <v>2019</v>
      </c>
    </row>
    <row r="181" spans="2:11" x14ac:dyDescent="0.45">
      <c r="B181" s="1" t="s">
        <v>11</v>
      </c>
      <c r="C181" s="1" t="s">
        <v>195</v>
      </c>
      <c r="D181" s="7">
        <v>43903</v>
      </c>
      <c r="E181" s="7">
        <v>43933</v>
      </c>
      <c r="F181" s="7">
        <v>44023</v>
      </c>
      <c r="G181" s="1" t="s">
        <v>16</v>
      </c>
      <c r="H181" s="8">
        <v>2039017.74</v>
      </c>
      <c r="I181" s="8">
        <v>1219338.28</v>
      </c>
      <c r="J181" s="1">
        <f>IF(COUNTIF($C$4:C181,C181)=1,1,0)</f>
        <v>1</v>
      </c>
      <c r="K181" s="1">
        <f t="shared" si="2"/>
        <v>2020</v>
      </c>
    </row>
    <row r="182" spans="2:11" x14ac:dyDescent="0.45">
      <c r="B182" s="1" t="s">
        <v>11</v>
      </c>
      <c r="C182" s="1" t="s">
        <v>196</v>
      </c>
      <c r="D182" s="7">
        <v>46131</v>
      </c>
      <c r="E182" s="7">
        <v>46136</v>
      </c>
      <c r="F182" s="7">
        <v>46288</v>
      </c>
      <c r="G182" s="1" t="s">
        <v>41</v>
      </c>
      <c r="H182" s="8">
        <v>601309.66</v>
      </c>
      <c r="I182" s="8">
        <v>456790.98</v>
      </c>
      <c r="J182" s="1">
        <f>IF(COUNTIF($C$4:C182,C182)=1,1,0)</f>
        <v>1</v>
      </c>
      <c r="K182" s="1">
        <f t="shared" si="2"/>
        <v>2026</v>
      </c>
    </row>
    <row r="183" spans="2:11" x14ac:dyDescent="0.45">
      <c r="B183" s="1" t="s">
        <v>11</v>
      </c>
      <c r="C183" s="1" t="s">
        <v>197</v>
      </c>
      <c r="D183" s="7">
        <v>45975</v>
      </c>
      <c r="E183" s="7">
        <v>45978</v>
      </c>
      <c r="F183" s="7">
        <v>46153</v>
      </c>
      <c r="G183" s="1" t="s">
        <v>20</v>
      </c>
      <c r="H183" s="8">
        <v>5380508.6200000001</v>
      </c>
      <c r="I183" s="8">
        <v>3021095.92</v>
      </c>
      <c r="J183" s="1">
        <f>IF(COUNTIF($C$4:C183,C183)=1,1,0)</f>
        <v>1</v>
      </c>
      <c r="K183" s="1">
        <f t="shared" si="2"/>
        <v>2025</v>
      </c>
    </row>
    <row r="184" spans="2:11" x14ac:dyDescent="0.45">
      <c r="B184" s="1" t="s">
        <v>11</v>
      </c>
      <c r="C184" s="1" t="s">
        <v>198</v>
      </c>
      <c r="D184" s="7">
        <v>43436</v>
      </c>
      <c r="E184" s="7">
        <v>43464</v>
      </c>
      <c r="F184" s="7">
        <v>43611</v>
      </c>
      <c r="G184" s="1" t="s">
        <v>20</v>
      </c>
      <c r="H184" s="8">
        <v>2441528.5299999998</v>
      </c>
      <c r="I184" s="8">
        <v>1642640.19</v>
      </c>
      <c r="J184" s="1">
        <f>IF(COUNTIF($C$4:C184,C184)=1,1,0)</f>
        <v>1</v>
      </c>
      <c r="K184" s="1">
        <f t="shared" si="2"/>
        <v>2018</v>
      </c>
    </row>
    <row r="185" spans="2:11" x14ac:dyDescent="0.45">
      <c r="B185" s="1" t="s">
        <v>11</v>
      </c>
      <c r="C185" s="1" t="s">
        <v>199</v>
      </c>
      <c r="D185" s="7">
        <v>44385</v>
      </c>
      <c r="E185" s="7">
        <v>44404</v>
      </c>
      <c r="F185" s="7">
        <v>44460</v>
      </c>
      <c r="G185" s="1" t="s">
        <v>16</v>
      </c>
      <c r="H185" s="8">
        <v>1871623.65</v>
      </c>
      <c r="I185" s="8">
        <v>1328606.49</v>
      </c>
      <c r="J185" s="1">
        <f>IF(COUNTIF($C$4:C185,C185)=1,1,0)</f>
        <v>1</v>
      </c>
      <c r="K185" s="1">
        <f t="shared" si="2"/>
        <v>2021</v>
      </c>
    </row>
    <row r="186" spans="2:11" x14ac:dyDescent="0.45">
      <c r="B186" s="1" t="s">
        <v>11</v>
      </c>
      <c r="C186" s="1" t="s">
        <v>200</v>
      </c>
      <c r="D186" s="7">
        <v>45977</v>
      </c>
      <c r="E186" s="7">
        <v>45994</v>
      </c>
      <c r="F186" s="7">
        <v>46214</v>
      </c>
      <c r="G186" s="1" t="s">
        <v>13</v>
      </c>
      <c r="H186" s="8">
        <v>384931.19</v>
      </c>
      <c r="I186" s="8">
        <v>261459.92</v>
      </c>
      <c r="J186" s="1">
        <f>IF(COUNTIF($C$4:C186,C186)=1,1,0)</f>
        <v>1</v>
      </c>
      <c r="K186" s="1">
        <f t="shared" si="2"/>
        <v>2025</v>
      </c>
    </row>
    <row r="187" spans="2:11" x14ac:dyDescent="0.45">
      <c r="B187" s="1" t="s">
        <v>11</v>
      </c>
      <c r="C187" s="1" t="s">
        <v>201</v>
      </c>
      <c r="D187" s="7">
        <v>45204</v>
      </c>
      <c r="E187" s="7">
        <v>45229</v>
      </c>
      <c r="F187" s="7">
        <v>45349</v>
      </c>
      <c r="G187" s="1" t="s">
        <v>38</v>
      </c>
      <c r="H187" s="8">
        <v>203366.14</v>
      </c>
      <c r="I187" s="8">
        <v>171529.09</v>
      </c>
      <c r="J187" s="1">
        <f>IF(COUNTIF($C$4:C187,C187)=1,1,0)</f>
        <v>1</v>
      </c>
      <c r="K187" s="1">
        <f t="shared" si="2"/>
        <v>2023</v>
      </c>
    </row>
    <row r="188" spans="2:11" x14ac:dyDescent="0.45">
      <c r="B188" s="1" t="s">
        <v>11</v>
      </c>
      <c r="C188" s="1" t="s">
        <v>202</v>
      </c>
      <c r="D188" s="7">
        <v>43623</v>
      </c>
      <c r="E188" s="7">
        <v>43628</v>
      </c>
      <c r="F188" s="7">
        <v>43668</v>
      </c>
      <c r="G188" s="1" t="s">
        <v>20</v>
      </c>
      <c r="H188" s="8">
        <v>1094889.3</v>
      </c>
      <c r="I188" s="8">
        <v>693811.59</v>
      </c>
      <c r="J188" s="1">
        <f>IF(COUNTIF($C$4:C188,C188)=1,1,0)</f>
        <v>1</v>
      </c>
      <c r="K188" s="1">
        <f t="shared" si="2"/>
        <v>2019</v>
      </c>
    </row>
    <row r="189" spans="2:11" x14ac:dyDescent="0.45">
      <c r="B189" s="1" t="s">
        <v>11</v>
      </c>
      <c r="C189" s="1" t="s">
        <v>203</v>
      </c>
      <c r="D189" s="7">
        <v>45569</v>
      </c>
      <c r="E189" s="7">
        <v>45598</v>
      </c>
      <c r="F189" s="7">
        <v>45767</v>
      </c>
      <c r="G189" s="1" t="s">
        <v>22</v>
      </c>
      <c r="H189" s="8">
        <v>100375661.76000001</v>
      </c>
      <c r="I189" s="8">
        <v>53827673.289999999</v>
      </c>
      <c r="J189" s="1">
        <f>IF(COUNTIF($C$4:C189,C189)=1,1,0)</f>
        <v>1</v>
      </c>
      <c r="K189" s="1">
        <f t="shared" si="2"/>
        <v>2024</v>
      </c>
    </row>
    <row r="190" spans="2:11" x14ac:dyDescent="0.45">
      <c r="B190" s="1" t="s">
        <v>11</v>
      </c>
      <c r="C190" s="1" t="s">
        <v>204</v>
      </c>
      <c r="D190" s="7">
        <v>46285</v>
      </c>
      <c r="E190" s="7">
        <v>46301</v>
      </c>
      <c r="F190" s="7">
        <v>46513</v>
      </c>
      <c r="G190" s="1" t="s">
        <v>13</v>
      </c>
      <c r="H190" s="8">
        <v>1141589.32</v>
      </c>
      <c r="I190" s="8">
        <v>865808.32</v>
      </c>
      <c r="J190" s="1">
        <f>IF(COUNTIF($C$4:C190,C190)=1,1,0)</f>
        <v>1</v>
      </c>
      <c r="K190" s="1">
        <f t="shared" si="2"/>
        <v>2026</v>
      </c>
    </row>
    <row r="191" spans="2:11" x14ac:dyDescent="0.45">
      <c r="B191" s="1" t="s">
        <v>11</v>
      </c>
      <c r="C191" s="1" t="s">
        <v>205</v>
      </c>
      <c r="D191" s="7">
        <v>45369</v>
      </c>
      <c r="E191" s="7">
        <v>45373</v>
      </c>
      <c r="F191" s="7">
        <v>45525</v>
      </c>
      <c r="G191" s="1" t="s">
        <v>38</v>
      </c>
      <c r="H191" s="8">
        <v>219707.69</v>
      </c>
      <c r="I191" s="8">
        <v>164720.42000000001</v>
      </c>
      <c r="J191" s="1">
        <f>IF(COUNTIF($C$4:C191,C191)=1,1,0)</f>
        <v>1</v>
      </c>
      <c r="K191" s="1">
        <f t="shared" si="2"/>
        <v>2024</v>
      </c>
    </row>
    <row r="192" spans="2:11" x14ac:dyDescent="0.45">
      <c r="B192" s="1" t="s">
        <v>11</v>
      </c>
      <c r="C192" s="1" t="s">
        <v>206</v>
      </c>
      <c r="D192" s="7">
        <v>45839</v>
      </c>
      <c r="E192" s="7">
        <v>45861</v>
      </c>
      <c r="F192" s="7">
        <v>46090</v>
      </c>
      <c r="G192" s="1" t="s">
        <v>16</v>
      </c>
      <c r="H192" s="8">
        <v>3631202.94</v>
      </c>
      <c r="I192" s="8">
        <v>2566707.29</v>
      </c>
      <c r="J192" s="1">
        <f>IF(COUNTIF($C$4:C192,C192)=1,1,0)</f>
        <v>1</v>
      </c>
      <c r="K192" s="1">
        <f t="shared" si="2"/>
        <v>2025</v>
      </c>
    </row>
    <row r="193" spans="2:11" x14ac:dyDescent="0.45">
      <c r="B193" s="1" t="s">
        <v>11</v>
      </c>
      <c r="C193" s="1" t="s">
        <v>207</v>
      </c>
      <c r="D193" s="7">
        <v>43693</v>
      </c>
      <c r="E193" s="7">
        <v>43723</v>
      </c>
      <c r="F193" s="7">
        <v>43796</v>
      </c>
      <c r="G193" s="1" t="s">
        <v>22</v>
      </c>
      <c r="H193" s="8">
        <v>8606199.7100000009</v>
      </c>
      <c r="I193" s="8">
        <v>6609972.4100000001</v>
      </c>
      <c r="J193" s="1">
        <f>IF(COUNTIF($C$4:C193,C193)=1,1,0)</f>
        <v>1</v>
      </c>
      <c r="K193" s="1">
        <f t="shared" si="2"/>
        <v>2019</v>
      </c>
    </row>
    <row r="194" spans="2:11" x14ac:dyDescent="0.45">
      <c r="B194" s="1" t="s">
        <v>11</v>
      </c>
      <c r="C194" s="1" t="s">
        <v>208</v>
      </c>
      <c r="D194" s="7">
        <v>43376</v>
      </c>
      <c r="E194" s="7">
        <v>43394</v>
      </c>
      <c r="F194" s="7">
        <v>43589</v>
      </c>
      <c r="G194" s="1" t="s">
        <v>16</v>
      </c>
      <c r="H194" s="8">
        <v>1387542.61</v>
      </c>
      <c r="I194" s="8">
        <v>933520.01</v>
      </c>
      <c r="J194" s="1">
        <f>IF(COUNTIF($C$4:C194,C194)=1,1,0)</f>
        <v>1</v>
      </c>
      <c r="K194" s="1">
        <f t="shared" si="2"/>
        <v>2018</v>
      </c>
    </row>
    <row r="195" spans="2:11" x14ac:dyDescent="0.45">
      <c r="B195" s="1" t="s">
        <v>11</v>
      </c>
      <c r="C195" s="1" t="s">
        <v>209</v>
      </c>
      <c r="D195" s="7">
        <v>45528</v>
      </c>
      <c r="E195" s="7">
        <v>45551</v>
      </c>
      <c r="F195" s="7">
        <v>45664</v>
      </c>
      <c r="G195" s="1" t="s">
        <v>38</v>
      </c>
      <c r="H195" s="8">
        <v>2030545.96</v>
      </c>
      <c r="I195" s="8">
        <v>1423503.28</v>
      </c>
      <c r="J195" s="1">
        <f>IF(COUNTIF($C$4:C195,C195)=1,1,0)</f>
        <v>1</v>
      </c>
      <c r="K195" s="1">
        <f t="shared" si="2"/>
        <v>2024</v>
      </c>
    </row>
    <row r="196" spans="2:11" x14ac:dyDescent="0.45">
      <c r="B196" s="1" t="s">
        <v>11</v>
      </c>
      <c r="C196" s="1" t="s">
        <v>210</v>
      </c>
      <c r="D196" s="7">
        <v>45360</v>
      </c>
      <c r="E196" s="7">
        <v>45389</v>
      </c>
      <c r="F196" s="7">
        <v>45509</v>
      </c>
      <c r="G196" s="1" t="s">
        <v>20</v>
      </c>
      <c r="H196" s="8">
        <v>41473559.579999998</v>
      </c>
      <c r="I196" s="8">
        <v>30119438.66</v>
      </c>
      <c r="J196" s="1">
        <f>IF(COUNTIF($C$4:C196,C196)=1,1,0)</f>
        <v>1</v>
      </c>
      <c r="K196" s="1">
        <f t="shared" si="2"/>
        <v>2024</v>
      </c>
    </row>
    <row r="197" spans="2:11" x14ac:dyDescent="0.45">
      <c r="B197" s="1" t="s">
        <v>11</v>
      </c>
      <c r="C197" s="1" t="s">
        <v>211</v>
      </c>
      <c r="D197" s="7">
        <v>45600</v>
      </c>
      <c r="E197" s="7">
        <v>45614</v>
      </c>
      <c r="F197" s="7">
        <v>45629</v>
      </c>
      <c r="G197" s="1" t="s">
        <v>212</v>
      </c>
      <c r="H197" s="8">
        <v>27341324.829999998</v>
      </c>
      <c r="I197" s="8">
        <v>11212165.43</v>
      </c>
      <c r="J197" s="1">
        <f>IF(COUNTIF($C$4:C197,C197)=1,1,0)</f>
        <v>1</v>
      </c>
      <c r="K197" s="1">
        <f t="shared" ref="K197:K260" si="3">YEAR(D197)</f>
        <v>2024</v>
      </c>
    </row>
    <row r="198" spans="2:11" x14ac:dyDescent="0.45">
      <c r="B198" s="1" t="s">
        <v>11</v>
      </c>
      <c r="C198" s="1" t="s">
        <v>213</v>
      </c>
      <c r="D198" s="7">
        <v>46004</v>
      </c>
      <c r="E198" s="7">
        <v>46015</v>
      </c>
      <c r="F198" s="7">
        <v>46032</v>
      </c>
      <c r="G198" s="1" t="s">
        <v>41</v>
      </c>
      <c r="H198" s="8">
        <v>265378.28000000003</v>
      </c>
      <c r="I198" s="8">
        <v>178812.56</v>
      </c>
      <c r="J198" s="1">
        <f>IF(COUNTIF($C$4:C198,C198)=1,1,0)</f>
        <v>1</v>
      </c>
      <c r="K198" s="1">
        <f t="shared" si="3"/>
        <v>2025</v>
      </c>
    </row>
    <row r="199" spans="2:11" x14ac:dyDescent="0.45">
      <c r="B199" s="1" t="s">
        <v>11</v>
      </c>
      <c r="C199" s="1" t="s">
        <v>214</v>
      </c>
      <c r="D199" s="7">
        <v>43557</v>
      </c>
      <c r="E199" s="7">
        <v>43574</v>
      </c>
      <c r="F199" s="7">
        <v>43712</v>
      </c>
      <c r="G199" s="1" t="s">
        <v>212</v>
      </c>
      <c r="H199" s="8">
        <v>60952345.700000003</v>
      </c>
      <c r="I199" s="8">
        <v>35541644.689999998</v>
      </c>
      <c r="J199" s="1">
        <f>IF(COUNTIF($C$4:C199,C199)=1,1,0)</f>
        <v>1</v>
      </c>
      <c r="K199" s="1">
        <f t="shared" si="3"/>
        <v>2019</v>
      </c>
    </row>
    <row r="200" spans="2:11" x14ac:dyDescent="0.45">
      <c r="B200" s="1" t="s">
        <v>11</v>
      </c>
      <c r="C200" s="1" t="s">
        <v>215</v>
      </c>
      <c r="D200" s="7">
        <v>45332</v>
      </c>
      <c r="E200" s="7">
        <v>45340</v>
      </c>
      <c r="F200" s="7">
        <v>45522</v>
      </c>
      <c r="G200" s="1" t="s">
        <v>41</v>
      </c>
      <c r="H200" s="8">
        <v>29004.69</v>
      </c>
      <c r="I200" s="8">
        <v>21851.32</v>
      </c>
      <c r="J200" s="1">
        <f>IF(COUNTIF($C$4:C200,C200)=1,1,0)</f>
        <v>1</v>
      </c>
      <c r="K200" s="1">
        <f t="shared" si="3"/>
        <v>2024</v>
      </c>
    </row>
    <row r="201" spans="2:11" x14ac:dyDescent="0.45">
      <c r="B201" s="1" t="s">
        <v>11</v>
      </c>
      <c r="C201" s="1" t="s">
        <v>216</v>
      </c>
      <c r="D201" s="7">
        <v>45297</v>
      </c>
      <c r="E201" s="7">
        <v>45308</v>
      </c>
      <c r="F201" s="7">
        <v>45491</v>
      </c>
      <c r="G201" s="1" t="s">
        <v>20</v>
      </c>
      <c r="H201" s="8">
        <v>9055309.1099999994</v>
      </c>
      <c r="I201" s="8">
        <v>4007977.04</v>
      </c>
      <c r="J201" s="1">
        <f>IF(COUNTIF($C$4:C201,C201)=1,1,0)</f>
        <v>1</v>
      </c>
      <c r="K201" s="1">
        <f t="shared" si="3"/>
        <v>2024</v>
      </c>
    </row>
    <row r="202" spans="2:11" x14ac:dyDescent="0.45">
      <c r="B202" s="1" t="s">
        <v>11</v>
      </c>
      <c r="C202" s="1" t="s">
        <v>217</v>
      </c>
      <c r="D202" s="7">
        <v>44105</v>
      </c>
      <c r="E202" s="7">
        <v>44116</v>
      </c>
      <c r="F202" s="7">
        <v>44296</v>
      </c>
      <c r="G202" s="1" t="s">
        <v>16</v>
      </c>
      <c r="H202" s="8">
        <v>2997782.73</v>
      </c>
      <c r="I202" s="8">
        <v>1771274.64</v>
      </c>
      <c r="J202" s="1">
        <f>IF(COUNTIF($C$4:C202,C202)=1,1,0)</f>
        <v>1</v>
      </c>
      <c r="K202" s="1">
        <f t="shared" si="3"/>
        <v>2020</v>
      </c>
    </row>
    <row r="203" spans="2:11" x14ac:dyDescent="0.45">
      <c r="B203" s="1" t="s">
        <v>11</v>
      </c>
      <c r="C203" s="1" t="s">
        <v>218</v>
      </c>
      <c r="D203" s="7">
        <v>43422</v>
      </c>
      <c r="E203" s="7">
        <v>43444</v>
      </c>
      <c r="F203" s="7">
        <v>43560</v>
      </c>
      <c r="G203" s="1" t="s">
        <v>22</v>
      </c>
      <c r="H203" s="8">
        <v>16255912.26</v>
      </c>
      <c r="I203" s="8">
        <v>7822615.4299999997</v>
      </c>
      <c r="J203" s="1">
        <f>IF(COUNTIF($C$4:C203,C203)=1,1,0)</f>
        <v>1</v>
      </c>
      <c r="K203" s="1">
        <f t="shared" si="3"/>
        <v>2018</v>
      </c>
    </row>
    <row r="204" spans="2:11" x14ac:dyDescent="0.45">
      <c r="B204" s="1" t="s">
        <v>11</v>
      </c>
      <c r="C204" s="1" t="s">
        <v>219</v>
      </c>
      <c r="D204" s="7">
        <v>43285</v>
      </c>
      <c r="E204" s="7">
        <v>43311</v>
      </c>
      <c r="F204" s="7">
        <v>43492</v>
      </c>
      <c r="G204" s="1" t="s">
        <v>16</v>
      </c>
      <c r="H204" s="8">
        <v>2356000.7799999998</v>
      </c>
      <c r="I204" s="8">
        <v>1234549.73</v>
      </c>
      <c r="J204" s="1">
        <f>IF(COUNTIF($C$4:C204,C204)=1,1,0)</f>
        <v>1</v>
      </c>
      <c r="K204" s="1">
        <f t="shared" si="3"/>
        <v>2018</v>
      </c>
    </row>
    <row r="205" spans="2:11" x14ac:dyDescent="0.45">
      <c r="B205" s="1" t="s">
        <v>11</v>
      </c>
      <c r="C205" s="1" t="s">
        <v>220</v>
      </c>
      <c r="D205" s="7">
        <v>44177</v>
      </c>
      <c r="E205" s="7">
        <v>44181</v>
      </c>
      <c r="F205" s="7">
        <v>44332</v>
      </c>
      <c r="G205" s="1" t="s">
        <v>20</v>
      </c>
      <c r="H205" s="8">
        <v>938235.23</v>
      </c>
      <c r="I205" s="8">
        <v>744659.14</v>
      </c>
      <c r="J205" s="1">
        <f>IF(COUNTIF($C$4:C205,C205)=1,1,0)</f>
        <v>1</v>
      </c>
      <c r="K205" s="1">
        <f t="shared" si="3"/>
        <v>2020</v>
      </c>
    </row>
    <row r="206" spans="2:11" x14ac:dyDescent="0.45">
      <c r="B206" s="1" t="s">
        <v>11</v>
      </c>
      <c r="C206" s="1" t="s">
        <v>221</v>
      </c>
      <c r="D206" s="7">
        <v>43715</v>
      </c>
      <c r="E206" s="7">
        <v>43728</v>
      </c>
      <c r="F206" s="7">
        <v>43788</v>
      </c>
      <c r="G206" s="1" t="s">
        <v>22</v>
      </c>
      <c r="H206" s="8">
        <v>12694936.34</v>
      </c>
      <c r="I206" s="8">
        <v>7689100.4699999997</v>
      </c>
      <c r="J206" s="1">
        <f>IF(COUNTIF($C$4:C206,C206)=1,1,0)</f>
        <v>1</v>
      </c>
      <c r="K206" s="1">
        <f t="shared" si="3"/>
        <v>2019</v>
      </c>
    </row>
    <row r="207" spans="2:11" x14ac:dyDescent="0.45">
      <c r="B207" s="1" t="s">
        <v>11</v>
      </c>
      <c r="C207" s="1" t="s">
        <v>222</v>
      </c>
      <c r="D207" s="7">
        <v>43744</v>
      </c>
      <c r="E207" s="7">
        <v>43758</v>
      </c>
      <c r="F207" s="7">
        <v>43908</v>
      </c>
      <c r="G207" s="1" t="s">
        <v>41</v>
      </c>
      <c r="H207" s="8">
        <v>749483.83</v>
      </c>
      <c r="I207" s="8">
        <v>559751.74</v>
      </c>
      <c r="J207" s="1">
        <f>IF(COUNTIF($C$4:C207,C207)=1,1,0)</f>
        <v>1</v>
      </c>
      <c r="K207" s="1">
        <f t="shared" si="3"/>
        <v>2019</v>
      </c>
    </row>
    <row r="208" spans="2:11" x14ac:dyDescent="0.45">
      <c r="B208" s="1" t="s">
        <v>11</v>
      </c>
      <c r="C208" s="1" t="s">
        <v>223</v>
      </c>
      <c r="D208" s="7">
        <v>46125</v>
      </c>
      <c r="E208" s="7">
        <v>46129</v>
      </c>
      <c r="F208" s="7">
        <v>46247</v>
      </c>
      <c r="G208" s="1" t="s">
        <v>22</v>
      </c>
      <c r="H208" s="8">
        <v>12739651.93</v>
      </c>
      <c r="I208" s="8">
        <v>6705796.2300000004</v>
      </c>
      <c r="J208" s="1">
        <f>IF(COUNTIF($C$4:C208,C208)=1,1,0)</f>
        <v>1</v>
      </c>
      <c r="K208" s="1">
        <f t="shared" si="3"/>
        <v>2026</v>
      </c>
    </row>
    <row r="209" spans="2:11" x14ac:dyDescent="0.45">
      <c r="B209" s="1" t="s">
        <v>11</v>
      </c>
      <c r="C209" s="1" t="s">
        <v>224</v>
      </c>
      <c r="D209" s="7">
        <v>46004</v>
      </c>
      <c r="E209" s="7">
        <v>46032</v>
      </c>
      <c r="F209" s="7">
        <v>46219</v>
      </c>
      <c r="G209" s="1" t="s">
        <v>20</v>
      </c>
      <c r="H209" s="8">
        <v>559629.06999999995</v>
      </c>
      <c r="I209" s="8">
        <v>390138.99</v>
      </c>
      <c r="J209" s="1">
        <f>IF(COUNTIF($C$4:C209,C209)=1,1,0)</f>
        <v>1</v>
      </c>
      <c r="K209" s="1">
        <f t="shared" si="3"/>
        <v>2025</v>
      </c>
    </row>
    <row r="210" spans="2:11" x14ac:dyDescent="0.45">
      <c r="B210" s="1" t="s">
        <v>11</v>
      </c>
      <c r="C210" s="1" t="s">
        <v>225</v>
      </c>
      <c r="D210" s="7">
        <v>45849</v>
      </c>
      <c r="E210" s="7">
        <v>45851</v>
      </c>
      <c r="F210" s="7">
        <v>46002</v>
      </c>
      <c r="G210" s="1" t="s">
        <v>18</v>
      </c>
      <c r="H210" s="8">
        <v>32898261.859999999</v>
      </c>
      <c r="I210" s="8">
        <v>22755646.350000001</v>
      </c>
      <c r="J210" s="1">
        <f>IF(COUNTIF($C$4:C210,C210)=1,1,0)</f>
        <v>1</v>
      </c>
      <c r="K210" s="1">
        <f t="shared" si="3"/>
        <v>2025</v>
      </c>
    </row>
    <row r="211" spans="2:11" x14ac:dyDescent="0.45">
      <c r="B211" s="1" t="s">
        <v>11</v>
      </c>
      <c r="C211" s="1" t="s">
        <v>226</v>
      </c>
      <c r="D211" s="7">
        <v>45458</v>
      </c>
      <c r="E211" s="7">
        <v>45487</v>
      </c>
      <c r="F211" s="7">
        <v>45655</v>
      </c>
      <c r="G211" s="1" t="s">
        <v>20</v>
      </c>
      <c r="H211" s="8">
        <v>16029610.859999999</v>
      </c>
      <c r="I211" s="8">
        <v>9239769.6899999995</v>
      </c>
      <c r="J211" s="1">
        <f>IF(COUNTIF($C$4:C211,C211)=1,1,0)</f>
        <v>1</v>
      </c>
      <c r="K211" s="1">
        <f t="shared" si="3"/>
        <v>2024</v>
      </c>
    </row>
    <row r="212" spans="2:11" x14ac:dyDescent="0.45">
      <c r="B212" s="1" t="s">
        <v>11</v>
      </c>
      <c r="C212" s="1" t="s">
        <v>227</v>
      </c>
      <c r="D212" s="7">
        <v>44004</v>
      </c>
      <c r="E212" s="7">
        <v>44017</v>
      </c>
      <c r="F212" s="7">
        <v>44068</v>
      </c>
      <c r="G212" s="1" t="s">
        <v>212</v>
      </c>
      <c r="H212" s="8">
        <v>1835162.34</v>
      </c>
      <c r="I212" s="8">
        <v>1230633.6399999999</v>
      </c>
      <c r="J212" s="1">
        <f>IF(COUNTIF($C$4:C212,C212)=1,1,0)</f>
        <v>1</v>
      </c>
      <c r="K212" s="1">
        <f t="shared" si="3"/>
        <v>2020</v>
      </c>
    </row>
    <row r="213" spans="2:11" x14ac:dyDescent="0.45">
      <c r="B213" s="1" t="s">
        <v>11</v>
      </c>
      <c r="C213" s="1" t="s">
        <v>228</v>
      </c>
      <c r="D213" s="7">
        <v>44802</v>
      </c>
      <c r="E213" s="7">
        <v>44826</v>
      </c>
      <c r="F213" s="7">
        <v>44921</v>
      </c>
      <c r="G213" s="1" t="s">
        <v>16</v>
      </c>
      <c r="H213" s="8">
        <v>552449.69999999995</v>
      </c>
      <c r="I213" s="8">
        <v>273446.93</v>
      </c>
      <c r="J213" s="1">
        <f>IF(COUNTIF($C$4:C213,C213)=1,1,0)</f>
        <v>1</v>
      </c>
      <c r="K213" s="1">
        <f t="shared" si="3"/>
        <v>2022</v>
      </c>
    </row>
    <row r="214" spans="2:11" x14ac:dyDescent="0.45">
      <c r="B214" s="1" t="s">
        <v>11</v>
      </c>
      <c r="C214" s="1" t="s">
        <v>229</v>
      </c>
      <c r="D214" s="7">
        <v>44626</v>
      </c>
      <c r="E214" s="7">
        <v>44638</v>
      </c>
      <c r="F214" s="7">
        <v>44754</v>
      </c>
      <c r="G214" s="1" t="s">
        <v>212</v>
      </c>
      <c r="H214" s="8">
        <v>25383820.129999999</v>
      </c>
      <c r="I214" s="8">
        <v>16560315.689999999</v>
      </c>
      <c r="J214" s="1">
        <f>IF(COUNTIF($C$4:C214,C214)=1,1,0)</f>
        <v>1</v>
      </c>
      <c r="K214" s="1">
        <f t="shared" si="3"/>
        <v>2022</v>
      </c>
    </row>
    <row r="215" spans="2:11" x14ac:dyDescent="0.45">
      <c r="B215" s="1" t="s">
        <v>11</v>
      </c>
      <c r="C215" s="1" t="s">
        <v>230</v>
      </c>
      <c r="D215" s="7">
        <v>46255</v>
      </c>
      <c r="E215" s="7">
        <v>46264</v>
      </c>
      <c r="F215" s="7">
        <v>46489</v>
      </c>
      <c r="G215" s="1" t="s">
        <v>16</v>
      </c>
      <c r="H215" s="8">
        <v>273080.36</v>
      </c>
      <c r="I215" s="8">
        <v>201223.24</v>
      </c>
      <c r="J215" s="1">
        <f>IF(COUNTIF($C$4:C215,C215)=1,1,0)</f>
        <v>1</v>
      </c>
      <c r="K215" s="1">
        <f t="shared" si="3"/>
        <v>2026</v>
      </c>
    </row>
    <row r="216" spans="2:11" x14ac:dyDescent="0.45">
      <c r="B216" s="1" t="s">
        <v>11</v>
      </c>
      <c r="C216" s="1" t="s">
        <v>231</v>
      </c>
      <c r="D216" s="7">
        <v>45389</v>
      </c>
      <c r="E216" s="7">
        <v>45408</v>
      </c>
      <c r="F216" s="7">
        <v>45627</v>
      </c>
      <c r="G216" s="1" t="s">
        <v>20</v>
      </c>
      <c r="H216" s="8">
        <v>3752022.32</v>
      </c>
      <c r="I216" s="8">
        <v>2494010.4500000002</v>
      </c>
      <c r="J216" s="1">
        <f>IF(COUNTIF($C$4:C216,C216)=1,1,0)</f>
        <v>1</v>
      </c>
      <c r="K216" s="1">
        <f t="shared" si="3"/>
        <v>2024</v>
      </c>
    </row>
    <row r="217" spans="2:11" x14ac:dyDescent="0.45">
      <c r="B217" s="1" t="s">
        <v>11</v>
      </c>
      <c r="C217" s="1" t="s">
        <v>232</v>
      </c>
      <c r="D217" s="7">
        <v>45297</v>
      </c>
      <c r="E217" s="7">
        <v>45316</v>
      </c>
      <c r="F217" s="7">
        <v>45384</v>
      </c>
      <c r="G217" s="1" t="s">
        <v>18</v>
      </c>
      <c r="H217" s="8">
        <v>118389897.95999999</v>
      </c>
      <c r="I217" s="8">
        <v>82077056.010000005</v>
      </c>
      <c r="J217" s="1">
        <f>IF(COUNTIF($C$4:C217,C217)=1,1,0)</f>
        <v>1</v>
      </c>
      <c r="K217" s="1">
        <f t="shared" si="3"/>
        <v>2024</v>
      </c>
    </row>
    <row r="218" spans="2:11" x14ac:dyDescent="0.45">
      <c r="B218" s="1" t="s">
        <v>11</v>
      </c>
      <c r="C218" s="1" t="s">
        <v>233</v>
      </c>
      <c r="D218" s="7">
        <v>43852</v>
      </c>
      <c r="E218" s="7">
        <v>43863</v>
      </c>
      <c r="F218" s="7">
        <v>43933</v>
      </c>
      <c r="G218" s="1" t="s">
        <v>16</v>
      </c>
      <c r="H218" s="8">
        <v>7070589.9400000004</v>
      </c>
      <c r="I218" s="8">
        <v>5613800.5700000003</v>
      </c>
      <c r="J218" s="1">
        <f>IF(COUNTIF($C$4:C218,C218)=1,1,0)</f>
        <v>1</v>
      </c>
      <c r="K218" s="1">
        <f t="shared" si="3"/>
        <v>2020</v>
      </c>
    </row>
    <row r="219" spans="2:11" x14ac:dyDescent="0.45">
      <c r="B219" s="1" t="s">
        <v>11</v>
      </c>
      <c r="C219" s="1" t="s">
        <v>234</v>
      </c>
      <c r="D219" s="7">
        <v>45032</v>
      </c>
      <c r="E219" s="7">
        <v>45045</v>
      </c>
      <c r="F219" s="7">
        <v>45084</v>
      </c>
      <c r="G219" s="1" t="s">
        <v>18</v>
      </c>
      <c r="H219" s="8">
        <v>163549616.61000001</v>
      </c>
      <c r="I219" s="8">
        <v>94348866.700000003</v>
      </c>
      <c r="J219" s="1">
        <f>IF(COUNTIF($C$4:C219,C219)=1,1,0)</f>
        <v>1</v>
      </c>
      <c r="K219" s="1">
        <f t="shared" si="3"/>
        <v>2023</v>
      </c>
    </row>
    <row r="220" spans="2:11" x14ac:dyDescent="0.45">
      <c r="B220" s="1" t="s">
        <v>11</v>
      </c>
      <c r="C220" s="1" t="s">
        <v>235</v>
      </c>
      <c r="D220" s="7">
        <v>45211</v>
      </c>
      <c r="E220" s="7">
        <v>45241</v>
      </c>
      <c r="F220" s="7">
        <v>45269</v>
      </c>
      <c r="G220" s="1" t="s">
        <v>22</v>
      </c>
      <c r="H220" s="8">
        <v>9454155.8699999992</v>
      </c>
      <c r="I220" s="8">
        <v>4209575.38</v>
      </c>
      <c r="J220" s="1">
        <f>IF(COUNTIF($C$4:C220,C220)=1,1,0)</f>
        <v>1</v>
      </c>
      <c r="K220" s="1">
        <f t="shared" si="3"/>
        <v>2023</v>
      </c>
    </row>
    <row r="221" spans="2:11" x14ac:dyDescent="0.45">
      <c r="B221" s="1" t="s">
        <v>11</v>
      </c>
      <c r="C221" s="1" t="s">
        <v>236</v>
      </c>
      <c r="D221" s="7">
        <v>45485</v>
      </c>
      <c r="E221" s="7">
        <v>45498</v>
      </c>
      <c r="F221" s="7">
        <v>45552</v>
      </c>
      <c r="G221" s="1" t="s">
        <v>212</v>
      </c>
      <c r="H221" s="8">
        <v>77649032.060000002</v>
      </c>
      <c r="I221" s="8">
        <v>59757882.189999998</v>
      </c>
      <c r="J221" s="1">
        <f>IF(COUNTIF($C$4:C221,C221)=1,1,0)</f>
        <v>1</v>
      </c>
      <c r="K221" s="1">
        <f t="shared" si="3"/>
        <v>2024</v>
      </c>
    </row>
    <row r="222" spans="2:11" x14ac:dyDescent="0.45">
      <c r="B222" s="1" t="s">
        <v>11</v>
      </c>
      <c r="C222" s="1" t="s">
        <v>237</v>
      </c>
      <c r="D222" s="7">
        <v>46010</v>
      </c>
      <c r="E222" s="7">
        <v>46038</v>
      </c>
      <c r="F222" s="7">
        <v>46215</v>
      </c>
      <c r="G222" s="1" t="s">
        <v>20</v>
      </c>
      <c r="H222" s="8">
        <v>38544395.219999999</v>
      </c>
      <c r="I222" s="8">
        <v>22601206.960000001</v>
      </c>
      <c r="J222" s="1">
        <f>IF(COUNTIF($C$4:C222,C222)=1,1,0)</f>
        <v>1</v>
      </c>
      <c r="K222" s="1">
        <f t="shared" si="3"/>
        <v>2025</v>
      </c>
    </row>
    <row r="223" spans="2:11" x14ac:dyDescent="0.45">
      <c r="B223" s="1" t="s">
        <v>11</v>
      </c>
      <c r="C223" s="1" t="s">
        <v>238</v>
      </c>
      <c r="D223" s="7">
        <v>45458</v>
      </c>
      <c r="E223" s="7">
        <v>45475</v>
      </c>
      <c r="F223" s="7">
        <v>45607</v>
      </c>
      <c r="G223" s="1" t="s">
        <v>38</v>
      </c>
      <c r="H223" s="8">
        <v>277296.38</v>
      </c>
      <c r="I223" s="8">
        <v>236170.15</v>
      </c>
      <c r="J223" s="1">
        <f>IF(COUNTIF($C$4:C223,C223)=1,1,0)</f>
        <v>1</v>
      </c>
      <c r="K223" s="1">
        <f t="shared" si="3"/>
        <v>2024</v>
      </c>
    </row>
    <row r="224" spans="2:11" x14ac:dyDescent="0.45">
      <c r="B224" s="1" t="s">
        <v>11</v>
      </c>
      <c r="C224" s="1" t="s">
        <v>239</v>
      </c>
      <c r="D224" s="7">
        <v>43800</v>
      </c>
      <c r="E224" s="7">
        <v>43805</v>
      </c>
      <c r="F224" s="7">
        <v>44017</v>
      </c>
      <c r="G224" s="1" t="s">
        <v>20</v>
      </c>
      <c r="H224" s="8">
        <v>21524187.379999999</v>
      </c>
      <c r="I224" s="8">
        <v>9900048.6099999994</v>
      </c>
      <c r="J224" s="1">
        <f>IF(COUNTIF($C$4:C224,C224)=1,1,0)</f>
        <v>1</v>
      </c>
      <c r="K224" s="1">
        <f t="shared" si="3"/>
        <v>2019</v>
      </c>
    </row>
    <row r="225" spans="2:11" x14ac:dyDescent="0.45">
      <c r="B225" s="1" t="s">
        <v>11</v>
      </c>
      <c r="C225" s="1" t="s">
        <v>240</v>
      </c>
      <c r="D225" s="7">
        <v>43830</v>
      </c>
      <c r="E225" s="7">
        <v>43851</v>
      </c>
      <c r="F225" s="7">
        <v>43954</v>
      </c>
      <c r="G225" s="1" t="s">
        <v>41</v>
      </c>
      <c r="H225" s="8">
        <v>86160.83</v>
      </c>
      <c r="I225" s="8">
        <v>59546.27</v>
      </c>
      <c r="J225" s="1">
        <f>IF(COUNTIF($C$4:C225,C225)=1,1,0)</f>
        <v>1</v>
      </c>
      <c r="K225" s="1">
        <f t="shared" si="3"/>
        <v>2019</v>
      </c>
    </row>
    <row r="226" spans="2:11" x14ac:dyDescent="0.45">
      <c r="B226" s="1" t="s">
        <v>11</v>
      </c>
      <c r="C226" s="1" t="s">
        <v>241</v>
      </c>
      <c r="D226" s="7">
        <v>44668</v>
      </c>
      <c r="E226" s="7">
        <v>44676</v>
      </c>
      <c r="F226" s="7">
        <v>44762</v>
      </c>
      <c r="G226" s="1" t="s">
        <v>20</v>
      </c>
      <c r="H226" s="8">
        <v>61976149.280000001</v>
      </c>
      <c r="I226" s="8">
        <v>33578321.609999999</v>
      </c>
      <c r="J226" s="1">
        <f>IF(COUNTIF($C$4:C226,C226)=1,1,0)</f>
        <v>1</v>
      </c>
      <c r="K226" s="1">
        <f t="shared" si="3"/>
        <v>2022</v>
      </c>
    </row>
    <row r="227" spans="2:11" x14ac:dyDescent="0.45">
      <c r="B227" s="1" t="s">
        <v>11</v>
      </c>
      <c r="C227" s="1" t="s">
        <v>242</v>
      </c>
      <c r="D227" s="7">
        <v>45076</v>
      </c>
      <c r="E227" s="7">
        <v>45105</v>
      </c>
      <c r="F227" s="7">
        <v>45304</v>
      </c>
      <c r="G227" s="1" t="s">
        <v>20</v>
      </c>
      <c r="H227" s="8">
        <v>44933924.520000003</v>
      </c>
      <c r="I227" s="8">
        <v>29064598.760000002</v>
      </c>
      <c r="J227" s="1">
        <f>IF(COUNTIF($C$4:C227,C227)=1,1,0)</f>
        <v>1</v>
      </c>
      <c r="K227" s="1">
        <f t="shared" si="3"/>
        <v>2023</v>
      </c>
    </row>
    <row r="228" spans="2:11" x14ac:dyDescent="0.45">
      <c r="B228" s="1" t="s">
        <v>11</v>
      </c>
      <c r="C228" s="1" t="s">
        <v>243</v>
      </c>
      <c r="D228" s="7">
        <v>46168</v>
      </c>
      <c r="E228" s="7">
        <v>46176</v>
      </c>
      <c r="F228" s="7">
        <v>46277</v>
      </c>
      <c r="G228" s="1" t="s">
        <v>22</v>
      </c>
      <c r="H228" s="8">
        <v>15481180.77</v>
      </c>
      <c r="I228" s="8">
        <v>8489792.3599999994</v>
      </c>
      <c r="J228" s="1">
        <f>IF(COUNTIF($C$4:C228,C228)=1,1,0)</f>
        <v>1</v>
      </c>
      <c r="K228" s="1">
        <f t="shared" si="3"/>
        <v>2026</v>
      </c>
    </row>
    <row r="229" spans="2:11" x14ac:dyDescent="0.45">
      <c r="B229" s="1" t="s">
        <v>11</v>
      </c>
      <c r="C229" s="1" t="s">
        <v>244</v>
      </c>
      <c r="D229" s="7">
        <v>45397</v>
      </c>
      <c r="E229" s="7">
        <v>45403</v>
      </c>
      <c r="F229" s="7">
        <v>45417</v>
      </c>
      <c r="G229" s="1" t="s">
        <v>38</v>
      </c>
      <c r="H229" s="8">
        <v>128345.06</v>
      </c>
      <c r="I229" s="8">
        <v>111264.75</v>
      </c>
      <c r="J229" s="1">
        <f>IF(COUNTIF($C$4:C229,C229)=1,1,0)</f>
        <v>1</v>
      </c>
      <c r="K229" s="1">
        <f t="shared" si="3"/>
        <v>2024</v>
      </c>
    </row>
    <row r="230" spans="2:11" x14ac:dyDescent="0.45">
      <c r="B230" s="1" t="s">
        <v>11</v>
      </c>
      <c r="C230" s="1" t="s">
        <v>245</v>
      </c>
      <c r="D230" s="7">
        <v>44737</v>
      </c>
      <c r="E230" s="7">
        <v>44764</v>
      </c>
      <c r="F230" s="7">
        <v>44876</v>
      </c>
      <c r="G230" s="1" t="s">
        <v>20</v>
      </c>
      <c r="H230" s="8">
        <v>394281.05</v>
      </c>
      <c r="I230" s="8">
        <v>247328.33</v>
      </c>
      <c r="J230" s="1">
        <f>IF(COUNTIF($C$4:C230,C230)=1,1,0)</f>
        <v>1</v>
      </c>
      <c r="K230" s="1">
        <f t="shared" si="3"/>
        <v>2022</v>
      </c>
    </row>
    <row r="231" spans="2:11" x14ac:dyDescent="0.45">
      <c r="B231" s="1" t="s">
        <v>11</v>
      </c>
      <c r="C231" s="1" t="s">
        <v>246</v>
      </c>
      <c r="D231" s="7">
        <v>45573</v>
      </c>
      <c r="E231" s="7">
        <v>45592</v>
      </c>
      <c r="F231" s="7">
        <v>45613</v>
      </c>
      <c r="G231" s="1" t="s">
        <v>16</v>
      </c>
      <c r="H231" s="8">
        <v>7673522.2000000002</v>
      </c>
      <c r="I231" s="8">
        <v>5303326.97</v>
      </c>
      <c r="J231" s="1">
        <f>IF(COUNTIF($C$4:C231,C231)=1,1,0)</f>
        <v>1</v>
      </c>
      <c r="K231" s="1">
        <f t="shared" si="3"/>
        <v>2024</v>
      </c>
    </row>
    <row r="232" spans="2:11" x14ac:dyDescent="0.45">
      <c r="B232" s="1" t="s">
        <v>11</v>
      </c>
      <c r="C232" s="1" t="s">
        <v>247</v>
      </c>
      <c r="D232" s="7">
        <v>44628</v>
      </c>
      <c r="E232" s="7">
        <v>44646</v>
      </c>
      <c r="F232" s="7">
        <v>44793</v>
      </c>
      <c r="G232" s="1" t="s">
        <v>212</v>
      </c>
      <c r="H232" s="8">
        <v>11828127.58</v>
      </c>
      <c r="I232" s="8">
        <v>7247070.0700000003</v>
      </c>
      <c r="J232" s="1">
        <f>IF(COUNTIF($C$4:C232,C232)=1,1,0)</f>
        <v>1</v>
      </c>
      <c r="K232" s="1">
        <f t="shared" si="3"/>
        <v>2022</v>
      </c>
    </row>
    <row r="233" spans="2:11" x14ac:dyDescent="0.45">
      <c r="B233" s="1" t="s">
        <v>11</v>
      </c>
      <c r="C233" s="1" t="s">
        <v>248</v>
      </c>
      <c r="D233" s="7">
        <v>45265</v>
      </c>
      <c r="E233" s="7">
        <v>45275</v>
      </c>
      <c r="F233" s="7">
        <v>45472</v>
      </c>
      <c r="G233" s="1" t="s">
        <v>18</v>
      </c>
      <c r="H233" s="8">
        <v>69480701.599999994</v>
      </c>
      <c r="I233" s="8">
        <v>41306503.359999999</v>
      </c>
      <c r="J233" s="1">
        <f>IF(COUNTIF($C$4:C233,C233)=1,1,0)</f>
        <v>1</v>
      </c>
      <c r="K233" s="1">
        <f t="shared" si="3"/>
        <v>2023</v>
      </c>
    </row>
    <row r="234" spans="2:11" x14ac:dyDescent="0.45">
      <c r="B234" s="1" t="s">
        <v>11</v>
      </c>
      <c r="C234" s="1" t="s">
        <v>249</v>
      </c>
      <c r="D234" s="7">
        <v>46021</v>
      </c>
      <c r="E234" s="7">
        <v>46051</v>
      </c>
      <c r="F234" s="7">
        <v>46212</v>
      </c>
      <c r="G234" s="1" t="s">
        <v>20</v>
      </c>
      <c r="H234" s="8">
        <v>10311991.35</v>
      </c>
      <c r="I234" s="8">
        <v>7901877.71</v>
      </c>
      <c r="J234" s="1">
        <f>IF(COUNTIF($C$4:C234,C234)=1,1,0)</f>
        <v>1</v>
      </c>
      <c r="K234" s="1">
        <f t="shared" si="3"/>
        <v>2025</v>
      </c>
    </row>
    <row r="235" spans="2:11" x14ac:dyDescent="0.45">
      <c r="B235" s="1" t="s">
        <v>11</v>
      </c>
      <c r="C235" s="1" t="s">
        <v>250</v>
      </c>
      <c r="D235" s="7">
        <v>46029</v>
      </c>
      <c r="E235" s="7">
        <v>46041</v>
      </c>
      <c r="F235" s="7">
        <v>46092</v>
      </c>
      <c r="G235" s="1" t="s">
        <v>20</v>
      </c>
      <c r="H235" s="8">
        <v>23022025.379999999</v>
      </c>
      <c r="I235" s="8">
        <v>9403713.0800000001</v>
      </c>
      <c r="J235" s="1">
        <f>IF(COUNTIF($C$4:C235,C235)=1,1,0)</f>
        <v>1</v>
      </c>
      <c r="K235" s="1">
        <f t="shared" si="3"/>
        <v>2026</v>
      </c>
    </row>
    <row r="236" spans="2:11" x14ac:dyDescent="0.45">
      <c r="B236" s="1" t="s">
        <v>11</v>
      </c>
      <c r="C236" s="1" t="s">
        <v>251</v>
      </c>
      <c r="D236" s="7">
        <v>44951</v>
      </c>
      <c r="E236" s="7">
        <v>44969</v>
      </c>
      <c r="F236" s="7">
        <v>45131</v>
      </c>
      <c r="G236" s="1" t="s">
        <v>22</v>
      </c>
      <c r="H236" s="8">
        <v>6261523.1299999999</v>
      </c>
      <c r="I236" s="8">
        <v>1669489.67</v>
      </c>
      <c r="J236" s="1">
        <f>IF(COUNTIF($C$4:C236,C236)=1,1,0)</f>
        <v>1</v>
      </c>
      <c r="K236" s="1">
        <f t="shared" si="3"/>
        <v>2023</v>
      </c>
    </row>
    <row r="237" spans="2:11" x14ac:dyDescent="0.45">
      <c r="B237" s="1" t="s">
        <v>11</v>
      </c>
      <c r="C237" s="1" t="s">
        <v>252</v>
      </c>
      <c r="D237" s="7">
        <v>45038</v>
      </c>
      <c r="E237" s="7">
        <v>45053</v>
      </c>
      <c r="F237" s="7">
        <v>45285</v>
      </c>
      <c r="G237" s="1" t="s">
        <v>44</v>
      </c>
      <c r="H237" s="8">
        <v>160316205.69</v>
      </c>
      <c r="I237" s="8">
        <v>119808972.73</v>
      </c>
      <c r="J237" s="1">
        <f>IF(COUNTIF($C$4:C237,C237)=1,1,0)</f>
        <v>1</v>
      </c>
      <c r="K237" s="1">
        <f t="shared" si="3"/>
        <v>2023</v>
      </c>
    </row>
    <row r="238" spans="2:11" x14ac:dyDescent="0.45">
      <c r="B238" s="1" t="s">
        <v>11</v>
      </c>
      <c r="C238" s="1" t="s">
        <v>253</v>
      </c>
      <c r="D238" s="7">
        <v>44993</v>
      </c>
      <c r="E238" s="7">
        <v>45018</v>
      </c>
      <c r="F238" s="7">
        <v>45203</v>
      </c>
      <c r="G238" s="1" t="s">
        <v>16</v>
      </c>
      <c r="H238" s="8">
        <v>538019.47</v>
      </c>
      <c r="I238" s="8">
        <v>293790.34999999998</v>
      </c>
      <c r="J238" s="1">
        <f>IF(COUNTIF($C$4:C238,C238)=1,1,0)</f>
        <v>1</v>
      </c>
      <c r="K238" s="1">
        <f t="shared" si="3"/>
        <v>2023</v>
      </c>
    </row>
    <row r="239" spans="2:11" x14ac:dyDescent="0.45">
      <c r="B239" s="1" t="s">
        <v>11</v>
      </c>
      <c r="C239" s="1" t="s">
        <v>254</v>
      </c>
      <c r="D239" s="7">
        <v>45621</v>
      </c>
      <c r="E239" s="7">
        <v>45634</v>
      </c>
      <c r="F239" s="7">
        <v>45643</v>
      </c>
      <c r="G239" s="1" t="s">
        <v>20</v>
      </c>
      <c r="H239" s="8">
        <v>34532234.369999997</v>
      </c>
      <c r="I239" s="8">
        <v>17149436.199999999</v>
      </c>
      <c r="J239" s="1">
        <f>IF(COUNTIF($C$4:C239,C239)=1,1,0)</f>
        <v>1</v>
      </c>
      <c r="K239" s="1">
        <f t="shared" si="3"/>
        <v>2024</v>
      </c>
    </row>
    <row r="240" spans="2:11" x14ac:dyDescent="0.45">
      <c r="B240" s="1" t="s">
        <v>11</v>
      </c>
      <c r="C240" s="1" t="s">
        <v>255</v>
      </c>
      <c r="D240" s="7">
        <v>44595</v>
      </c>
      <c r="E240" s="7">
        <v>44622</v>
      </c>
      <c r="F240" s="7">
        <v>44722</v>
      </c>
      <c r="G240" s="1" t="s">
        <v>22</v>
      </c>
      <c r="H240" s="8">
        <v>10987758.77</v>
      </c>
      <c r="I240" s="8">
        <v>5190030.0199999996</v>
      </c>
      <c r="J240" s="1">
        <f>IF(COUNTIF($C$4:C240,C240)=1,1,0)</f>
        <v>1</v>
      </c>
      <c r="K240" s="1">
        <f t="shared" si="3"/>
        <v>2022</v>
      </c>
    </row>
    <row r="241" spans="2:11" x14ac:dyDescent="0.45">
      <c r="B241" s="1" t="s">
        <v>11</v>
      </c>
      <c r="C241" s="1" t="s">
        <v>256</v>
      </c>
      <c r="D241" s="7">
        <v>44596</v>
      </c>
      <c r="E241" s="7">
        <v>44622</v>
      </c>
      <c r="F241" s="7">
        <v>44673</v>
      </c>
      <c r="G241" s="1" t="s">
        <v>16</v>
      </c>
      <c r="H241" s="8">
        <v>2758515.09</v>
      </c>
      <c r="I241" s="8">
        <v>2230324.0699999998</v>
      </c>
      <c r="J241" s="1">
        <f>IF(COUNTIF($C$4:C241,C241)=1,1,0)</f>
        <v>1</v>
      </c>
      <c r="K241" s="1">
        <f t="shared" si="3"/>
        <v>2022</v>
      </c>
    </row>
    <row r="242" spans="2:11" x14ac:dyDescent="0.45">
      <c r="B242" s="1" t="s">
        <v>11</v>
      </c>
      <c r="C242" s="1" t="s">
        <v>257</v>
      </c>
      <c r="D242" s="7">
        <v>44802</v>
      </c>
      <c r="E242" s="7">
        <v>44821</v>
      </c>
      <c r="F242" s="7">
        <v>44966</v>
      </c>
      <c r="G242" s="1" t="s">
        <v>20</v>
      </c>
      <c r="H242" s="8">
        <v>1074234.29</v>
      </c>
      <c r="I242" s="8">
        <v>695383.71</v>
      </c>
      <c r="J242" s="1">
        <f>IF(COUNTIF($C$4:C242,C242)=1,1,0)</f>
        <v>1</v>
      </c>
      <c r="K242" s="1">
        <f t="shared" si="3"/>
        <v>2022</v>
      </c>
    </row>
    <row r="243" spans="2:11" x14ac:dyDescent="0.45">
      <c r="B243" s="1" t="s">
        <v>11</v>
      </c>
      <c r="C243" s="1" t="s">
        <v>258</v>
      </c>
      <c r="D243" s="7">
        <v>43423</v>
      </c>
      <c r="E243" s="7">
        <v>43439</v>
      </c>
      <c r="F243" s="7">
        <v>43578</v>
      </c>
      <c r="G243" s="1" t="s">
        <v>20</v>
      </c>
      <c r="H243" s="8">
        <v>7786709.0800000001</v>
      </c>
      <c r="I243" s="8">
        <v>4122001.42</v>
      </c>
      <c r="J243" s="1">
        <f>IF(COUNTIF($C$4:C243,C243)=1,1,0)</f>
        <v>1</v>
      </c>
      <c r="K243" s="1">
        <f t="shared" si="3"/>
        <v>2018</v>
      </c>
    </row>
    <row r="244" spans="2:11" x14ac:dyDescent="0.45">
      <c r="B244" s="1" t="s">
        <v>11</v>
      </c>
      <c r="C244" s="1" t="s">
        <v>259</v>
      </c>
      <c r="D244" s="7">
        <v>45744</v>
      </c>
      <c r="E244" s="7">
        <v>45772</v>
      </c>
      <c r="F244" s="7">
        <v>45971</v>
      </c>
      <c r="G244" s="1" t="s">
        <v>38</v>
      </c>
      <c r="H244" s="8">
        <v>96781.48</v>
      </c>
      <c r="I244" s="8">
        <v>83202.33</v>
      </c>
      <c r="J244" s="1">
        <f>IF(COUNTIF($C$4:C244,C244)=1,1,0)</f>
        <v>1</v>
      </c>
      <c r="K244" s="1">
        <f t="shared" si="3"/>
        <v>2025</v>
      </c>
    </row>
    <row r="245" spans="2:11" x14ac:dyDescent="0.45">
      <c r="B245" s="1" t="s">
        <v>11</v>
      </c>
      <c r="C245" s="1" t="s">
        <v>260</v>
      </c>
      <c r="D245" s="7">
        <v>43793</v>
      </c>
      <c r="E245" s="7">
        <v>43793</v>
      </c>
      <c r="F245" s="7">
        <v>44004</v>
      </c>
      <c r="G245" s="1" t="s">
        <v>20</v>
      </c>
      <c r="H245" s="8">
        <v>792282.04</v>
      </c>
      <c r="I245" s="8">
        <v>592881.47</v>
      </c>
      <c r="J245" s="1">
        <f>IF(COUNTIF($C$4:C245,C245)=1,1,0)</f>
        <v>1</v>
      </c>
      <c r="K245" s="1">
        <f t="shared" si="3"/>
        <v>2019</v>
      </c>
    </row>
    <row r="246" spans="2:11" x14ac:dyDescent="0.45">
      <c r="B246" s="1" t="s">
        <v>11</v>
      </c>
      <c r="C246" s="1" t="s">
        <v>261</v>
      </c>
      <c r="D246" s="7">
        <v>43545</v>
      </c>
      <c r="E246" s="7">
        <v>43558</v>
      </c>
      <c r="F246" s="7">
        <v>43694</v>
      </c>
      <c r="G246" s="1" t="s">
        <v>41</v>
      </c>
      <c r="H246" s="8">
        <v>152926.76999999999</v>
      </c>
      <c r="I246" s="8">
        <v>134661.44</v>
      </c>
      <c r="J246" s="1">
        <f>IF(COUNTIF($C$4:C246,C246)=1,1,0)</f>
        <v>1</v>
      </c>
      <c r="K246" s="1">
        <f t="shared" si="3"/>
        <v>2019</v>
      </c>
    </row>
    <row r="247" spans="2:11" x14ac:dyDescent="0.45">
      <c r="B247" s="1" t="s">
        <v>11</v>
      </c>
      <c r="C247" s="1" t="s">
        <v>262</v>
      </c>
      <c r="D247" s="7">
        <v>44624</v>
      </c>
      <c r="E247" s="7">
        <v>44643</v>
      </c>
      <c r="F247" s="7">
        <v>44693</v>
      </c>
      <c r="G247" s="1" t="s">
        <v>16</v>
      </c>
      <c r="H247" s="8">
        <v>950228.85</v>
      </c>
      <c r="I247" s="8">
        <v>715042.19</v>
      </c>
      <c r="J247" s="1">
        <f>IF(COUNTIF($C$4:C247,C247)=1,1,0)</f>
        <v>1</v>
      </c>
      <c r="K247" s="1">
        <f t="shared" si="3"/>
        <v>2022</v>
      </c>
    </row>
    <row r="248" spans="2:11" x14ac:dyDescent="0.45">
      <c r="B248" s="1" t="s">
        <v>11</v>
      </c>
      <c r="C248" s="1" t="s">
        <v>263</v>
      </c>
      <c r="D248" s="7">
        <v>44371</v>
      </c>
      <c r="E248" s="7">
        <v>44375</v>
      </c>
      <c r="F248" s="7">
        <v>44444</v>
      </c>
      <c r="G248" s="1" t="s">
        <v>20</v>
      </c>
      <c r="H248" s="8">
        <v>776909.33</v>
      </c>
      <c r="I248" s="8">
        <v>539572.18000000005</v>
      </c>
      <c r="J248" s="1">
        <f>IF(COUNTIF($C$4:C248,C248)=1,1,0)</f>
        <v>1</v>
      </c>
      <c r="K248" s="1">
        <f t="shared" si="3"/>
        <v>2021</v>
      </c>
    </row>
    <row r="249" spans="2:11" x14ac:dyDescent="0.45">
      <c r="B249" s="1" t="s">
        <v>11</v>
      </c>
      <c r="C249" s="1" t="s">
        <v>264</v>
      </c>
      <c r="D249" s="7">
        <v>45433</v>
      </c>
      <c r="E249" s="7">
        <v>45463</v>
      </c>
      <c r="F249" s="7">
        <v>45613</v>
      </c>
      <c r="G249" s="1" t="s">
        <v>16</v>
      </c>
      <c r="H249" s="8">
        <v>334649.8</v>
      </c>
      <c r="I249" s="8">
        <v>246188.19</v>
      </c>
      <c r="J249" s="1">
        <f>IF(COUNTIF($C$4:C249,C249)=1,1,0)</f>
        <v>1</v>
      </c>
      <c r="K249" s="1">
        <f t="shared" si="3"/>
        <v>2024</v>
      </c>
    </row>
    <row r="250" spans="2:11" x14ac:dyDescent="0.45">
      <c r="B250" s="1" t="s">
        <v>11</v>
      </c>
      <c r="C250" s="1" t="s">
        <v>46</v>
      </c>
      <c r="D250" s="7">
        <v>46083</v>
      </c>
      <c r="E250" s="7">
        <v>46090</v>
      </c>
      <c r="F250" s="7">
        <v>46238</v>
      </c>
      <c r="G250" s="1" t="s">
        <v>20</v>
      </c>
      <c r="H250" s="8">
        <v>23269403</v>
      </c>
      <c r="I250" s="8">
        <v>12279965.66</v>
      </c>
      <c r="J250" s="1">
        <f>IF(COUNTIF($C$4:C250,C250)=1,1,0)</f>
        <v>0</v>
      </c>
      <c r="K250" s="1">
        <f t="shared" si="3"/>
        <v>2026</v>
      </c>
    </row>
    <row r="251" spans="2:11" x14ac:dyDescent="0.45">
      <c r="B251" s="1" t="s">
        <v>11</v>
      </c>
      <c r="C251" s="1" t="s">
        <v>265</v>
      </c>
      <c r="D251" s="7">
        <v>43946</v>
      </c>
      <c r="E251" s="7">
        <v>43965</v>
      </c>
      <c r="F251" s="7">
        <v>44061</v>
      </c>
      <c r="G251" s="1" t="s">
        <v>16</v>
      </c>
      <c r="H251" s="8">
        <v>1351609.55</v>
      </c>
      <c r="I251" s="8">
        <v>698717.26</v>
      </c>
      <c r="J251" s="1">
        <f>IF(COUNTIF($C$4:C251,C251)=1,1,0)</f>
        <v>1</v>
      </c>
      <c r="K251" s="1">
        <f t="shared" si="3"/>
        <v>2020</v>
      </c>
    </row>
    <row r="252" spans="2:11" x14ac:dyDescent="0.45">
      <c r="B252" s="1" t="s">
        <v>11</v>
      </c>
      <c r="C252" s="1" t="s">
        <v>266</v>
      </c>
      <c r="D252" s="7">
        <v>45304</v>
      </c>
      <c r="E252" s="7">
        <v>45332</v>
      </c>
      <c r="F252" s="7">
        <v>45390</v>
      </c>
      <c r="G252" s="1" t="s">
        <v>20</v>
      </c>
      <c r="H252" s="8">
        <v>198706800.66999999</v>
      </c>
      <c r="I252" s="8">
        <v>114060328.11</v>
      </c>
      <c r="J252" s="1">
        <f>IF(COUNTIF($C$4:C252,C252)=1,1,0)</f>
        <v>1</v>
      </c>
      <c r="K252" s="1">
        <f t="shared" si="3"/>
        <v>2024</v>
      </c>
    </row>
    <row r="253" spans="2:11" x14ac:dyDescent="0.45">
      <c r="B253" s="1" t="s">
        <v>11</v>
      </c>
      <c r="C253" s="1" t="s">
        <v>267</v>
      </c>
      <c r="D253" s="7">
        <v>45944</v>
      </c>
      <c r="E253" s="7">
        <v>45961</v>
      </c>
      <c r="F253" s="7">
        <v>46021</v>
      </c>
      <c r="G253" s="1" t="s">
        <v>16</v>
      </c>
      <c r="H253" s="8">
        <v>9167950.5</v>
      </c>
      <c r="I253" s="8">
        <v>5930111.25</v>
      </c>
      <c r="J253" s="1">
        <f>IF(COUNTIF($C$4:C253,C253)=1,1,0)</f>
        <v>1</v>
      </c>
      <c r="K253" s="1">
        <f t="shared" si="3"/>
        <v>2025</v>
      </c>
    </row>
    <row r="254" spans="2:11" x14ac:dyDescent="0.45">
      <c r="B254" s="1" t="s">
        <v>11</v>
      </c>
      <c r="C254" s="1" t="s">
        <v>268</v>
      </c>
      <c r="D254" s="7">
        <v>43776</v>
      </c>
      <c r="E254" s="7">
        <v>43800</v>
      </c>
      <c r="F254" s="7">
        <v>43808</v>
      </c>
      <c r="G254" s="1" t="s">
        <v>22</v>
      </c>
      <c r="H254" s="8">
        <v>18772183.370000001</v>
      </c>
      <c r="I254" s="8">
        <v>11243983.33</v>
      </c>
      <c r="J254" s="1">
        <f>IF(COUNTIF($C$4:C254,C254)=1,1,0)</f>
        <v>1</v>
      </c>
      <c r="K254" s="1">
        <f t="shared" si="3"/>
        <v>2019</v>
      </c>
    </row>
    <row r="255" spans="2:11" x14ac:dyDescent="0.45">
      <c r="B255" s="1" t="s">
        <v>11</v>
      </c>
      <c r="C255" s="1" t="s">
        <v>269</v>
      </c>
      <c r="D255" s="7">
        <v>45123</v>
      </c>
      <c r="E255" s="7">
        <v>45124</v>
      </c>
      <c r="F255" s="7">
        <v>45205</v>
      </c>
      <c r="G255" s="1" t="s">
        <v>22</v>
      </c>
      <c r="H255" s="8">
        <v>9562007.3499999996</v>
      </c>
      <c r="I255" s="8">
        <v>6404171.0099999998</v>
      </c>
      <c r="J255" s="1">
        <f>IF(COUNTIF($C$4:C255,C255)=1,1,0)</f>
        <v>1</v>
      </c>
      <c r="K255" s="1">
        <f t="shared" si="3"/>
        <v>2023</v>
      </c>
    </row>
    <row r="256" spans="2:11" x14ac:dyDescent="0.45">
      <c r="B256" s="1" t="s">
        <v>11</v>
      </c>
      <c r="C256" s="1" t="s">
        <v>270</v>
      </c>
      <c r="D256" s="7">
        <v>43960</v>
      </c>
      <c r="E256" s="7">
        <v>43976</v>
      </c>
      <c r="F256" s="7">
        <v>44180</v>
      </c>
      <c r="G256" s="1" t="s">
        <v>212</v>
      </c>
      <c r="H256" s="8">
        <v>155993850.34999999</v>
      </c>
      <c r="I256" s="8">
        <v>56622967.57</v>
      </c>
      <c r="J256" s="1">
        <f>IF(COUNTIF($C$4:C256,C256)=1,1,0)</f>
        <v>1</v>
      </c>
      <c r="K256" s="1">
        <f t="shared" si="3"/>
        <v>2020</v>
      </c>
    </row>
    <row r="257" spans="2:11" x14ac:dyDescent="0.45">
      <c r="B257" s="1" t="s">
        <v>11</v>
      </c>
      <c r="C257" s="1" t="s">
        <v>271</v>
      </c>
      <c r="D257" s="7">
        <v>44409</v>
      </c>
      <c r="E257" s="7">
        <v>44415</v>
      </c>
      <c r="F257" s="7">
        <v>44560</v>
      </c>
      <c r="G257" s="1" t="s">
        <v>20</v>
      </c>
      <c r="H257" s="8">
        <v>251457.5</v>
      </c>
      <c r="I257" s="8">
        <v>147494.10999999999</v>
      </c>
      <c r="J257" s="1">
        <f>IF(COUNTIF($C$4:C257,C257)=1,1,0)</f>
        <v>1</v>
      </c>
      <c r="K257" s="1">
        <f t="shared" si="3"/>
        <v>2021</v>
      </c>
    </row>
    <row r="258" spans="2:11" x14ac:dyDescent="0.45">
      <c r="B258" s="1" t="s">
        <v>11</v>
      </c>
      <c r="C258" s="1" t="s">
        <v>272</v>
      </c>
      <c r="D258" s="7">
        <v>43886</v>
      </c>
      <c r="E258" s="7">
        <v>43889</v>
      </c>
      <c r="F258" s="7">
        <v>43941</v>
      </c>
      <c r="G258" s="1" t="s">
        <v>41</v>
      </c>
      <c r="H258" s="8">
        <v>1030951.58</v>
      </c>
      <c r="I258" s="8">
        <v>752661.63</v>
      </c>
      <c r="J258" s="1">
        <f>IF(COUNTIF($C$4:C258,C258)=1,1,0)</f>
        <v>1</v>
      </c>
      <c r="K258" s="1">
        <f t="shared" si="3"/>
        <v>2020</v>
      </c>
    </row>
    <row r="259" spans="2:11" x14ac:dyDescent="0.45">
      <c r="B259" s="1" t="s">
        <v>11</v>
      </c>
      <c r="C259" s="1" t="s">
        <v>273</v>
      </c>
      <c r="D259" s="7">
        <v>44658</v>
      </c>
      <c r="E259" s="7">
        <v>44677</v>
      </c>
      <c r="F259" s="7">
        <v>44915</v>
      </c>
      <c r="G259" s="1" t="s">
        <v>44</v>
      </c>
      <c r="H259" s="8">
        <v>688003195.5</v>
      </c>
      <c r="I259" s="8">
        <v>343806374.73000002</v>
      </c>
      <c r="J259" s="1">
        <f>IF(COUNTIF($C$4:C259,C259)=1,1,0)</f>
        <v>1</v>
      </c>
      <c r="K259" s="1">
        <f t="shared" si="3"/>
        <v>2022</v>
      </c>
    </row>
    <row r="260" spans="2:11" x14ac:dyDescent="0.45">
      <c r="B260" s="1" t="s">
        <v>11</v>
      </c>
      <c r="C260" s="1" t="s">
        <v>274</v>
      </c>
      <c r="D260" s="7">
        <v>45191</v>
      </c>
      <c r="E260" s="7">
        <v>45208</v>
      </c>
      <c r="F260" s="7">
        <v>45400</v>
      </c>
      <c r="G260" s="1" t="s">
        <v>20</v>
      </c>
      <c r="H260" s="8">
        <v>1323579.79</v>
      </c>
      <c r="I260" s="8">
        <v>916764.07</v>
      </c>
      <c r="J260" s="1">
        <f>IF(COUNTIF($C$4:C260,C260)=1,1,0)</f>
        <v>1</v>
      </c>
      <c r="K260" s="1">
        <f t="shared" si="3"/>
        <v>2023</v>
      </c>
    </row>
    <row r="261" spans="2:11" x14ac:dyDescent="0.45">
      <c r="B261" s="1" t="s">
        <v>11</v>
      </c>
      <c r="C261" s="1" t="s">
        <v>275</v>
      </c>
      <c r="D261" s="7">
        <v>43774</v>
      </c>
      <c r="E261" s="7">
        <v>43774</v>
      </c>
      <c r="F261" s="7">
        <v>43884</v>
      </c>
      <c r="G261" s="1" t="s">
        <v>20</v>
      </c>
      <c r="H261" s="8">
        <v>70029419.900000006</v>
      </c>
      <c r="I261" s="8">
        <v>44025144.539999999</v>
      </c>
      <c r="J261" s="1">
        <f>IF(COUNTIF($C$4:C261,C261)=1,1,0)</f>
        <v>1</v>
      </c>
      <c r="K261" s="1">
        <f t="shared" ref="K261:K324" si="4">YEAR(D261)</f>
        <v>2019</v>
      </c>
    </row>
    <row r="262" spans="2:11" x14ac:dyDescent="0.45">
      <c r="B262" s="1" t="s">
        <v>11</v>
      </c>
      <c r="C262" s="1" t="s">
        <v>276</v>
      </c>
      <c r="D262" s="7">
        <v>43678</v>
      </c>
      <c r="E262" s="7">
        <v>43683</v>
      </c>
      <c r="F262" s="7">
        <v>43774</v>
      </c>
      <c r="G262" s="1" t="s">
        <v>20</v>
      </c>
      <c r="H262" s="8">
        <v>716877.56</v>
      </c>
      <c r="I262" s="8">
        <v>390260.61</v>
      </c>
      <c r="J262" s="1">
        <f>IF(COUNTIF($C$4:C262,C262)=1,1,0)</f>
        <v>1</v>
      </c>
      <c r="K262" s="1">
        <f t="shared" si="4"/>
        <v>2019</v>
      </c>
    </row>
    <row r="263" spans="2:11" x14ac:dyDescent="0.45">
      <c r="B263" s="1" t="s">
        <v>11</v>
      </c>
      <c r="C263" s="1" t="s">
        <v>277</v>
      </c>
      <c r="D263" s="7">
        <v>43954</v>
      </c>
      <c r="E263" s="7">
        <v>43970</v>
      </c>
      <c r="F263" s="7">
        <v>44038</v>
      </c>
      <c r="G263" s="1" t="s">
        <v>20</v>
      </c>
      <c r="H263" s="8">
        <v>65715134.109999999</v>
      </c>
      <c r="I263" s="8">
        <v>38742872.780000001</v>
      </c>
      <c r="J263" s="1">
        <f>IF(COUNTIF($C$4:C263,C263)=1,1,0)</f>
        <v>1</v>
      </c>
      <c r="K263" s="1">
        <f t="shared" si="4"/>
        <v>2020</v>
      </c>
    </row>
    <row r="264" spans="2:11" x14ac:dyDescent="0.45">
      <c r="B264" s="1" t="s">
        <v>11</v>
      </c>
      <c r="C264" s="1" t="s">
        <v>278</v>
      </c>
      <c r="D264" s="7">
        <v>45382</v>
      </c>
      <c r="E264" s="7">
        <v>45384</v>
      </c>
      <c r="F264" s="7">
        <v>45574</v>
      </c>
      <c r="G264" s="1" t="s">
        <v>38</v>
      </c>
      <c r="H264" s="8">
        <v>550879.62</v>
      </c>
      <c r="I264" s="8">
        <v>431065.61</v>
      </c>
      <c r="J264" s="1">
        <f>IF(COUNTIF($C$4:C264,C264)=1,1,0)</f>
        <v>1</v>
      </c>
      <c r="K264" s="1">
        <f t="shared" si="4"/>
        <v>2024</v>
      </c>
    </row>
    <row r="265" spans="2:11" x14ac:dyDescent="0.45">
      <c r="B265" s="1" t="s">
        <v>11</v>
      </c>
      <c r="C265" s="1" t="s">
        <v>279</v>
      </c>
      <c r="D265" s="7">
        <v>44901</v>
      </c>
      <c r="E265" s="7">
        <v>44902</v>
      </c>
      <c r="F265" s="7">
        <v>45075</v>
      </c>
      <c r="G265" s="1" t="s">
        <v>20</v>
      </c>
      <c r="H265" s="8">
        <v>1899787.61</v>
      </c>
      <c r="I265" s="8">
        <v>1090666.29</v>
      </c>
      <c r="J265" s="1">
        <f>IF(COUNTIF($C$4:C265,C265)=1,1,0)</f>
        <v>1</v>
      </c>
      <c r="K265" s="1">
        <f t="shared" si="4"/>
        <v>2022</v>
      </c>
    </row>
    <row r="266" spans="2:11" x14ac:dyDescent="0.45">
      <c r="B266" s="1" t="s">
        <v>11</v>
      </c>
      <c r="C266" s="1" t="s">
        <v>280</v>
      </c>
      <c r="D266" s="7">
        <v>43884</v>
      </c>
      <c r="E266" s="7">
        <v>43892</v>
      </c>
      <c r="F266" s="7">
        <v>43941</v>
      </c>
      <c r="G266" s="1" t="s">
        <v>22</v>
      </c>
      <c r="H266" s="8">
        <v>6796281.7300000004</v>
      </c>
      <c r="I266" s="8">
        <v>3558148.07</v>
      </c>
      <c r="J266" s="1">
        <f>IF(COUNTIF($C$4:C266,C266)=1,1,0)</f>
        <v>1</v>
      </c>
      <c r="K266" s="1">
        <f t="shared" si="4"/>
        <v>2020</v>
      </c>
    </row>
    <row r="267" spans="2:11" x14ac:dyDescent="0.45">
      <c r="B267" s="1" t="s">
        <v>11</v>
      </c>
      <c r="C267" s="1" t="s">
        <v>281</v>
      </c>
      <c r="D267" s="7">
        <v>43570</v>
      </c>
      <c r="E267" s="7">
        <v>43588</v>
      </c>
      <c r="F267" s="7">
        <v>43654</v>
      </c>
      <c r="G267" s="1" t="s">
        <v>41</v>
      </c>
      <c r="H267" s="8">
        <v>600219.64</v>
      </c>
      <c r="I267" s="8">
        <v>417717.53</v>
      </c>
      <c r="J267" s="1">
        <f>IF(COUNTIF($C$4:C267,C267)=1,1,0)</f>
        <v>1</v>
      </c>
      <c r="K267" s="1">
        <f t="shared" si="4"/>
        <v>2019</v>
      </c>
    </row>
    <row r="268" spans="2:11" x14ac:dyDescent="0.45">
      <c r="B268" s="1" t="s">
        <v>11</v>
      </c>
      <c r="C268" s="1" t="s">
        <v>282</v>
      </c>
      <c r="D268" s="7">
        <v>45099</v>
      </c>
      <c r="E268" s="7">
        <v>45107</v>
      </c>
      <c r="F268" s="7">
        <v>45303</v>
      </c>
      <c r="G268" s="1" t="s">
        <v>44</v>
      </c>
      <c r="H268" s="8">
        <v>384544175.06</v>
      </c>
      <c r="I268" s="8">
        <v>215220912.65000001</v>
      </c>
      <c r="J268" s="1">
        <f>IF(COUNTIF($C$4:C268,C268)=1,1,0)</f>
        <v>1</v>
      </c>
      <c r="K268" s="1">
        <f t="shared" si="4"/>
        <v>2023</v>
      </c>
    </row>
    <row r="269" spans="2:11" x14ac:dyDescent="0.45">
      <c r="B269" s="1" t="s">
        <v>11</v>
      </c>
      <c r="C269" s="1" t="s">
        <v>283</v>
      </c>
      <c r="D269" s="7">
        <v>44201</v>
      </c>
      <c r="E269" s="7">
        <v>44228</v>
      </c>
      <c r="F269" s="7">
        <v>44377</v>
      </c>
      <c r="G269" s="1" t="s">
        <v>22</v>
      </c>
      <c r="H269" s="8">
        <v>16174115.4</v>
      </c>
      <c r="I269" s="8">
        <v>11544196.939999999</v>
      </c>
      <c r="J269" s="1">
        <f>IF(COUNTIF($C$4:C269,C269)=1,1,0)</f>
        <v>1</v>
      </c>
      <c r="K269" s="1">
        <f t="shared" si="4"/>
        <v>2021</v>
      </c>
    </row>
    <row r="270" spans="2:11" x14ac:dyDescent="0.45">
      <c r="B270" s="1" t="s">
        <v>11</v>
      </c>
      <c r="C270" s="1" t="s">
        <v>284</v>
      </c>
      <c r="D270" s="7">
        <v>45305</v>
      </c>
      <c r="E270" s="7">
        <v>45307</v>
      </c>
      <c r="F270" s="7">
        <v>45342</v>
      </c>
      <c r="G270" s="1" t="s">
        <v>16</v>
      </c>
      <c r="H270" s="8">
        <v>2008488.11</v>
      </c>
      <c r="I270" s="8">
        <v>1177792.27</v>
      </c>
      <c r="J270" s="1">
        <f>IF(COUNTIF($C$4:C270,C270)=1,1,0)</f>
        <v>1</v>
      </c>
      <c r="K270" s="1">
        <f t="shared" si="4"/>
        <v>2024</v>
      </c>
    </row>
    <row r="271" spans="2:11" x14ac:dyDescent="0.45">
      <c r="B271" s="1" t="s">
        <v>11</v>
      </c>
      <c r="C271" s="1" t="s">
        <v>285</v>
      </c>
      <c r="D271" s="7">
        <v>43703</v>
      </c>
      <c r="E271" s="7">
        <v>43726</v>
      </c>
      <c r="F271" s="7">
        <v>43858</v>
      </c>
      <c r="G271" s="1" t="s">
        <v>20</v>
      </c>
      <c r="H271" s="8">
        <v>79392998.569999993</v>
      </c>
      <c r="I271" s="8">
        <v>40386672.75</v>
      </c>
      <c r="J271" s="1">
        <f>IF(COUNTIF($C$4:C271,C271)=1,1,0)</f>
        <v>1</v>
      </c>
      <c r="K271" s="1">
        <f t="shared" si="4"/>
        <v>2019</v>
      </c>
    </row>
    <row r="272" spans="2:11" x14ac:dyDescent="0.45">
      <c r="B272" s="1" t="s">
        <v>11</v>
      </c>
      <c r="C272" s="1" t="s">
        <v>286</v>
      </c>
      <c r="D272" s="7">
        <v>44708</v>
      </c>
      <c r="E272" s="7">
        <v>44717</v>
      </c>
      <c r="F272" s="7">
        <v>44948</v>
      </c>
      <c r="G272" s="1" t="s">
        <v>41</v>
      </c>
      <c r="H272" s="8">
        <v>628714.22</v>
      </c>
      <c r="I272" s="8">
        <v>477844.33</v>
      </c>
      <c r="J272" s="1">
        <f>IF(COUNTIF($C$4:C272,C272)=1,1,0)</f>
        <v>1</v>
      </c>
      <c r="K272" s="1">
        <f t="shared" si="4"/>
        <v>2022</v>
      </c>
    </row>
    <row r="273" spans="2:11" x14ac:dyDescent="0.45">
      <c r="B273" s="1" t="s">
        <v>11</v>
      </c>
      <c r="C273" s="1" t="s">
        <v>287</v>
      </c>
      <c r="D273" s="7">
        <v>45978</v>
      </c>
      <c r="E273" s="7">
        <v>45983</v>
      </c>
      <c r="F273" s="7">
        <v>46092</v>
      </c>
      <c r="G273" s="1" t="s">
        <v>20</v>
      </c>
      <c r="H273" s="8">
        <v>69745613.629999995</v>
      </c>
      <c r="I273" s="8">
        <v>53921466.75</v>
      </c>
      <c r="J273" s="1">
        <f>IF(COUNTIF($C$4:C273,C273)=1,1,0)</f>
        <v>1</v>
      </c>
      <c r="K273" s="1">
        <f t="shared" si="4"/>
        <v>2025</v>
      </c>
    </row>
    <row r="274" spans="2:11" x14ac:dyDescent="0.45">
      <c r="B274" s="1" t="s">
        <v>11</v>
      </c>
      <c r="C274" s="1" t="s">
        <v>288</v>
      </c>
      <c r="D274" s="7">
        <v>45102</v>
      </c>
      <c r="E274" s="7">
        <v>45104</v>
      </c>
      <c r="F274" s="7">
        <v>45171</v>
      </c>
      <c r="G274" s="1" t="s">
        <v>44</v>
      </c>
      <c r="H274" s="8">
        <v>350340324.88999999</v>
      </c>
      <c r="I274" s="8">
        <v>167742213.43000001</v>
      </c>
      <c r="J274" s="1">
        <f>IF(COUNTIF($C$4:C274,C274)=1,1,0)</f>
        <v>1</v>
      </c>
      <c r="K274" s="1">
        <f t="shared" si="4"/>
        <v>2023</v>
      </c>
    </row>
    <row r="275" spans="2:11" x14ac:dyDescent="0.45">
      <c r="B275" s="1" t="s">
        <v>11</v>
      </c>
      <c r="C275" s="1" t="s">
        <v>289</v>
      </c>
      <c r="D275" s="7">
        <v>45023</v>
      </c>
      <c r="E275" s="7">
        <v>45042</v>
      </c>
      <c r="F275" s="7">
        <v>45101</v>
      </c>
      <c r="G275" s="1" t="s">
        <v>18</v>
      </c>
      <c r="H275" s="8">
        <v>1871833.81</v>
      </c>
      <c r="I275" s="8">
        <v>1572283.76</v>
      </c>
      <c r="J275" s="1">
        <f>IF(COUNTIF($C$4:C275,C275)=1,1,0)</f>
        <v>1</v>
      </c>
      <c r="K275" s="1">
        <f t="shared" si="4"/>
        <v>2023</v>
      </c>
    </row>
    <row r="276" spans="2:11" x14ac:dyDescent="0.45">
      <c r="B276" s="1" t="s">
        <v>11</v>
      </c>
      <c r="C276" s="1" t="s">
        <v>290</v>
      </c>
      <c r="D276" s="7">
        <v>45738</v>
      </c>
      <c r="E276" s="7">
        <v>45743</v>
      </c>
      <c r="F276" s="7">
        <v>45768</v>
      </c>
      <c r="G276" s="1" t="s">
        <v>16</v>
      </c>
      <c r="H276" s="8">
        <v>16963748.5</v>
      </c>
      <c r="I276" s="8">
        <v>13824754.76</v>
      </c>
      <c r="J276" s="1">
        <f>IF(COUNTIF($C$4:C276,C276)=1,1,0)</f>
        <v>1</v>
      </c>
      <c r="K276" s="1">
        <f t="shared" si="4"/>
        <v>2025</v>
      </c>
    </row>
    <row r="277" spans="2:11" x14ac:dyDescent="0.45">
      <c r="B277" s="1" t="s">
        <v>11</v>
      </c>
      <c r="C277" s="1" t="s">
        <v>291</v>
      </c>
      <c r="D277" s="7">
        <v>44225</v>
      </c>
      <c r="E277" s="7">
        <v>44248</v>
      </c>
      <c r="F277" s="7">
        <v>44472</v>
      </c>
      <c r="G277" s="1" t="s">
        <v>16</v>
      </c>
      <c r="H277" s="8">
        <v>3186784.56</v>
      </c>
      <c r="I277" s="8">
        <v>2179900.77</v>
      </c>
      <c r="J277" s="1">
        <f>IF(COUNTIF($C$4:C277,C277)=1,1,0)</f>
        <v>1</v>
      </c>
      <c r="K277" s="1">
        <f t="shared" si="4"/>
        <v>2021</v>
      </c>
    </row>
    <row r="278" spans="2:11" x14ac:dyDescent="0.45">
      <c r="B278" s="1" t="s">
        <v>11</v>
      </c>
      <c r="C278" s="1" t="s">
        <v>292</v>
      </c>
      <c r="D278" s="7">
        <v>45381</v>
      </c>
      <c r="E278" s="7">
        <v>45385</v>
      </c>
      <c r="F278" s="7">
        <v>45551</v>
      </c>
      <c r="G278" s="1" t="s">
        <v>20</v>
      </c>
      <c r="H278" s="8">
        <v>167606351.19</v>
      </c>
      <c r="I278" s="8">
        <v>103280416.75</v>
      </c>
      <c r="J278" s="1">
        <f>IF(COUNTIF($C$4:C278,C278)=1,1,0)</f>
        <v>1</v>
      </c>
      <c r="K278" s="1">
        <f t="shared" si="4"/>
        <v>2024</v>
      </c>
    </row>
    <row r="279" spans="2:11" x14ac:dyDescent="0.45">
      <c r="B279" s="1" t="s">
        <v>11</v>
      </c>
      <c r="C279" s="1" t="s">
        <v>293</v>
      </c>
      <c r="D279" s="7">
        <v>43659</v>
      </c>
      <c r="E279" s="7">
        <v>43659</v>
      </c>
      <c r="F279" s="7">
        <v>43805</v>
      </c>
      <c r="G279" s="1" t="s">
        <v>38</v>
      </c>
      <c r="H279" s="8">
        <v>211632.7</v>
      </c>
      <c r="I279" s="8">
        <v>146328.9</v>
      </c>
      <c r="J279" s="1">
        <f>IF(COUNTIF($C$4:C279,C279)=1,1,0)</f>
        <v>1</v>
      </c>
      <c r="K279" s="1">
        <f t="shared" si="4"/>
        <v>2019</v>
      </c>
    </row>
    <row r="280" spans="2:11" x14ac:dyDescent="0.45">
      <c r="B280" s="1" t="s">
        <v>11</v>
      </c>
      <c r="C280" s="1" t="s">
        <v>294</v>
      </c>
      <c r="D280" s="7">
        <v>43932</v>
      </c>
      <c r="E280" s="7">
        <v>43947</v>
      </c>
      <c r="F280" s="7">
        <v>44031</v>
      </c>
      <c r="G280" s="1" t="s">
        <v>18</v>
      </c>
      <c r="H280" s="8">
        <v>915781.89</v>
      </c>
      <c r="I280" s="8">
        <v>619400.22</v>
      </c>
      <c r="J280" s="1">
        <f>IF(COUNTIF($C$4:C280,C280)=1,1,0)</f>
        <v>1</v>
      </c>
      <c r="K280" s="1">
        <f t="shared" si="4"/>
        <v>2020</v>
      </c>
    </row>
    <row r="281" spans="2:11" x14ac:dyDescent="0.45">
      <c r="B281" s="1" t="s">
        <v>11</v>
      </c>
      <c r="C281" s="1" t="s">
        <v>295</v>
      </c>
      <c r="D281" s="7">
        <v>45189</v>
      </c>
      <c r="E281" s="7">
        <v>45219</v>
      </c>
      <c r="F281" s="7">
        <v>45421</v>
      </c>
      <c r="G281" s="1" t="s">
        <v>18</v>
      </c>
      <c r="H281" s="8">
        <v>4342700.54</v>
      </c>
      <c r="I281" s="8">
        <v>2890308.89</v>
      </c>
      <c r="J281" s="1">
        <f>IF(COUNTIF($C$4:C281,C281)=1,1,0)</f>
        <v>1</v>
      </c>
      <c r="K281" s="1">
        <f t="shared" si="4"/>
        <v>2023</v>
      </c>
    </row>
    <row r="282" spans="2:11" x14ac:dyDescent="0.45">
      <c r="B282" s="1" t="s">
        <v>11</v>
      </c>
      <c r="C282" s="1" t="s">
        <v>296</v>
      </c>
      <c r="D282" s="7">
        <v>44088</v>
      </c>
      <c r="E282" s="7">
        <v>44116</v>
      </c>
      <c r="F282" s="7">
        <v>44161</v>
      </c>
      <c r="G282" s="1" t="s">
        <v>44</v>
      </c>
      <c r="H282" s="8">
        <v>265571987.93000001</v>
      </c>
      <c r="I282" s="8">
        <v>185803515.25</v>
      </c>
      <c r="J282" s="1">
        <f>IF(COUNTIF($C$4:C282,C282)=1,1,0)</f>
        <v>1</v>
      </c>
      <c r="K282" s="1">
        <f t="shared" si="4"/>
        <v>2020</v>
      </c>
    </row>
    <row r="283" spans="2:11" x14ac:dyDescent="0.45">
      <c r="B283" s="1" t="s">
        <v>11</v>
      </c>
      <c r="C283" s="1" t="s">
        <v>297</v>
      </c>
      <c r="D283" s="7">
        <v>43928</v>
      </c>
      <c r="E283" s="7">
        <v>43936</v>
      </c>
      <c r="F283" s="7">
        <v>44132</v>
      </c>
      <c r="G283" s="1" t="s">
        <v>41</v>
      </c>
      <c r="H283" s="8">
        <v>119198.66</v>
      </c>
      <c r="I283" s="8">
        <v>92617.59</v>
      </c>
      <c r="J283" s="1">
        <f>IF(COUNTIF($C$4:C283,C283)=1,1,0)</f>
        <v>1</v>
      </c>
      <c r="K283" s="1">
        <f t="shared" si="4"/>
        <v>2020</v>
      </c>
    </row>
    <row r="284" spans="2:11" x14ac:dyDescent="0.45">
      <c r="B284" s="1" t="s">
        <v>11</v>
      </c>
      <c r="C284" s="1" t="s">
        <v>298</v>
      </c>
      <c r="D284" s="7">
        <v>43366</v>
      </c>
      <c r="E284" s="7">
        <v>43380</v>
      </c>
      <c r="F284" s="7">
        <v>43518</v>
      </c>
      <c r="G284" s="1" t="s">
        <v>20</v>
      </c>
      <c r="H284" s="8">
        <v>68582885.870000005</v>
      </c>
      <c r="I284" s="8">
        <v>44982883.5</v>
      </c>
      <c r="J284" s="1">
        <f>IF(COUNTIF($C$4:C284,C284)=1,1,0)</f>
        <v>1</v>
      </c>
      <c r="K284" s="1">
        <f t="shared" si="4"/>
        <v>2018</v>
      </c>
    </row>
    <row r="285" spans="2:11" x14ac:dyDescent="0.45">
      <c r="B285" s="1" t="s">
        <v>11</v>
      </c>
      <c r="C285" s="1" t="s">
        <v>299</v>
      </c>
      <c r="D285" s="7">
        <v>45756</v>
      </c>
      <c r="E285" s="7">
        <v>45758</v>
      </c>
      <c r="F285" s="7">
        <v>45883</v>
      </c>
      <c r="G285" s="1" t="s">
        <v>22</v>
      </c>
      <c r="H285" s="8">
        <v>41403067.009999998</v>
      </c>
      <c r="I285" s="8">
        <v>20447698.02</v>
      </c>
      <c r="J285" s="1">
        <f>IF(COUNTIF($C$4:C285,C285)=1,1,0)</f>
        <v>1</v>
      </c>
      <c r="K285" s="1">
        <f t="shared" si="4"/>
        <v>2025</v>
      </c>
    </row>
    <row r="286" spans="2:11" x14ac:dyDescent="0.45">
      <c r="B286" s="1" t="s">
        <v>11</v>
      </c>
      <c r="C286" s="1" t="s">
        <v>300</v>
      </c>
      <c r="D286" s="7">
        <v>46246</v>
      </c>
      <c r="E286" s="7">
        <v>46265</v>
      </c>
      <c r="F286" s="7">
        <v>46491</v>
      </c>
      <c r="G286" s="1" t="s">
        <v>16</v>
      </c>
      <c r="H286" s="8">
        <v>2238599.35</v>
      </c>
      <c r="I286" s="8">
        <v>1685628.41</v>
      </c>
      <c r="J286" s="1">
        <f>IF(COUNTIF($C$4:C286,C286)=1,1,0)</f>
        <v>1</v>
      </c>
      <c r="K286" s="1">
        <f t="shared" si="4"/>
        <v>2026</v>
      </c>
    </row>
    <row r="287" spans="2:11" x14ac:dyDescent="0.45">
      <c r="B287" s="1" t="s">
        <v>11</v>
      </c>
      <c r="C287" s="1" t="s">
        <v>301</v>
      </c>
      <c r="D287" s="7">
        <v>44604</v>
      </c>
      <c r="E287" s="7">
        <v>44618</v>
      </c>
      <c r="F287" s="7">
        <v>44677</v>
      </c>
      <c r="G287" s="1" t="s">
        <v>38</v>
      </c>
      <c r="H287" s="8">
        <v>441426.58</v>
      </c>
      <c r="I287" s="8">
        <v>313266.68</v>
      </c>
      <c r="J287" s="1">
        <f>IF(COUNTIF($C$4:C287,C287)=1,1,0)</f>
        <v>1</v>
      </c>
      <c r="K287" s="1">
        <f t="shared" si="4"/>
        <v>2022</v>
      </c>
    </row>
    <row r="288" spans="2:11" x14ac:dyDescent="0.45">
      <c r="B288" s="1" t="s">
        <v>11</v>
      </c>
      <c r="C288" s="1" t="s">
        <v>302</v>
      </c>
      <c r="D288" s="7">
        <v>43904</v>
      </c>
      <c r="E288" s="7">
        <v>43909</v>
      </c>
      <c r="F288" s="7">
        <v>43941</v>
      </c>
      <c r="G288" s="1" t="s">
        <v>41</v>
      </c>
      <c r="H288" s="8">
        <v>288370.92</v>
      </c>
      <c r="I288" s="8">
        <v>250425.84</v>
      </c>
      <c r="J288" s="1">
        <f>IF(COUNTIF($C$4:C288,C288)=1,1,0)</f>
        <v>1</v>
      </c>
      <c r="K288" s="1">
        <f t="shared" si="4"/>
        <v>2020</v>
      </c>
    </row>
    <row r="289" spans="2:11" x14ac:dyDescent="0.45">
      <c r="B289" s="1" t="s">
        <v>11</v>
      </c>
      <c r="C289" s="1" t="s">
        <v>303</v>
      </c>
      <c r="D289" s="7">
        <v>43534</v>
      </c>
      <c r="E289" s="7">
        <v>43559</v>
      </c>
      <c r="F289" s="7">
        <v>43713</v>
      </c>
      <c r="G289" s="1" t="s">
        <v>20</v>
      </c>
      <c r="H289" s="8">
        <v>124639735.81</v>
      </c>
      <c r="I289" s="8">
        <v>45310876.590000004</v>
      </c>
      <c r="J289" s="1">
        <f>IF(COUNTIF($C$4:C289,C289)=1,1,0)</f>
        <v>1</v>
      </c>
      <c r="K289" s="1">
        <f t="shared" si="4"/>
        <v>2019</v>
      </c>
    </row>
    <row r="290" spans="2:11" x14ac:dyDescent="0.45">
      <c r="B290" s="1" t="s">
        <v>11</v>
      </c>
      <c r="C290" s="1" t="s">
        <v>304</v>
      </c>
      <c r="D290" s="7">
        <v>45398</v>
      </c>
      <c r="E290" s="7">
        <v>45406</v>
      </c>
      <c r="F290" s="7">
        <v>45427</v>
      </c>
      <c r="G290" s="1" t="s">
        <v>212</v>
      </c>
      <c r="H290" s="8">
        <v>29443312.57</v>
      </c>
      <c r="I290" s="8">
        <v>19161931.440000001</v>
      </c>
      <c r="J290" s="1">
        <f>IF(COUNTIF($C$4:C290,C290)=1,1,0)</f>
        <v>1</v>
      </c>
      <c r="K290" s="1">
        <f t="shared" si="4"/>
        <v>2024</v>
      </c>
    </row>
    <row r="291" spans="2:11" x14ac:dyDescent="0.45">
      <c r="B291" s="1" t="s">
        <v>11</v>
      </c>
      <c r="C291" s="1" t="s">
        <v>305</v>
      </c>
      <c r="D291" s="7">
        <v>44786</v>
      </c>
      <c r="E291" s="7">
        <v>44802</v>
      </c>
      <c r="F291" s="7">
        <v>44884</v>
      </c>
      <c r="G291" s="1" t="s">
        <v>38</v>
      </c>
      <c r="H291" s="8">
        <v>910998.27</v>
      </c>
      <c r="I291" s="8">
        <v>720708.85</v>
      </c>
      <c r="J291" s="1">
        <f>IF(COUNTIF($C$4:C291,C291)=1,1,0)</f>
        <v>1</v>
      </c>
      <c r="K291" s="1">
        <f t="shared" si="4"/>
        <v>2022</v>
      </c>
    </row>
    <row r="292" spans="2:11" x14ac:dyDescent="0.45">
      <c r="B292" s="1" t="s">
        <v>11</v>
      </c>
      <c r="C292" s="1" t="s">
        <v>306</v>
      </c>
      <c r="D292" s="7">
        <v>46049</v>
      </c>
      <c r="E292" s="7">
        <v>46064</v>
      </c>
      <c r="F292" s="7">
        <v>46188</v>
      </c>
      <c r="G292" s="1" t="s">
        <v>38</v>
      </c>
      <c r="H292" s="8">
        <v>342953.33</v>
      </c>
      <c r="I292" s="8">
        <v>227908.04</v>
      </c>
      <c r="J292" s="1">
        <f>IF(COUNTIF($C$4:C292,C292)=1,1,0)</f>
        <v>1</v>
      </c>
      <c r="K292" s="1">
        <f t="shared" si="4"/>
        <v>2026</v>
      </c>
    </row>
    <row r="293" spans="2:11" x14ac:dyDescent="0.45">
      <c r="B293" s="1" t="s">
        <v>11</v>
      </c>
      <c r="C293" s="1" t="s">
        <v>307</v>
      </c>
      <c r="D293" s="7">
        <v>45599</v>
      </c>
      <c r="E293" s="7">
        <v>45614</v>
      </c>
      <c r="F293" s="7">
        <v>45853</v>
      </c>
      <c r="G293" s="1" t="s">
        <v>22</v>
      </c>
      <c r="H293" s="8">
        <v>18467528.420000002</v>
      </c>
      <c r="I293" s="8">
        <v>8861972.0399999991</v>
      </c>
      <c r="J293" s="1">
        <f>IF(COUNTIF($C$4:C293,C293)=1,1,0)</f>
        <v>1</v>
      </c>
      <c r="K293" s="1">
        <f t="shared" si="4"/>
        <v>2024</v>
      </c>
    </row>
    <row r="294" spans="2:11" x14ac:dyDescent="0.45">
      <c r="B294" s="1" t="s">
        <v>11</v>
      </c>
      <c r="C294" s="1" t="s">
        <v>308</v>
      </c>
      <c r="D294" s="7">
        <v>45623</v>
      </c>
      <c r="E294" s="7">
        <v>45647</v>
      </c>
      <c r="F294" s="7">
        <v>45735</v>
      </c>
      <c r="G294" s="1" t="s">
        <v>41</v>
      </c>
      <c r="H294" s="8">
        <v>58119.87</v>
      </c>
      <c r="I294" s="8">
        <v>51405.45</v>
      </c>
      <c r="J294" s="1">
        <f>IF(COUNTIF($C$4:C294,C294)=1,1,0)</f>
        <v>1</v>
      </c>
      <c r="K294" s="1">
        <f t="shared" si="4"/>
        <v>2024</v>
      </c>
    </row>
    <row r="295" spans="2:11" x14ac:dyDescent="0.45">
      <c r="B295" s="1" t="s">
        <v>11</v>
      </c>
      <c r="C295" s="1" t="s">
        <v>309</v>
      </c>
      <c r="D295" s="7">
        <v>43545</v>
      </c>
      <c r="E295" s="7">
        <v>43558</v>
      </c>
      <c r="F295" s="7">
        <v>43649</v>
      </c>
      <c r="G295" s="1" t="s">
        <v>20</v>
      </c>
      <c r="H295" s="8">
        <v>91147238.239999995</v>
      </c>
      <c r="I295" s="8">
        <v>33382143.739999998</v>
      </c>
      <c r="J295" s="1">
        <f>IF(COUNTIF($C$4:C295,C295)=1,1,0)</f>
        <v>1</v>
      </c>
      <c r="K295" s="1">
        <f t="shared" si="4"/>
        <v>2019</v>
      </c>
    </row>
    <row r="296" spans="2:11" x14ac:dyDescent="0.45">
      <c r="B296" s="1" t="s">
        <v>11</v>
      </c>
      <c r="C296" s="1" t="s">
        <v>310</v>
      </c>
      <c r="D296" s="7">
        <v>44790</v>
      </c>
      <c r="E296" s="7">
        <v>44791</v>
      </c>
      <c r="F296" s="7">
        <v>44876</v>
      </c>
      <c r="G296" s="1" t="s">
        <v>16</v>
      </c>
      <c r="H296" s="8">
        <v>926703</v>
      </c>
      <c r="I296" s="8">
        <v>663952.39</v>
      </c>
      <c r="J296" s="1">
        <f>IF(COUNTIF($C$4:C296,C296)=1,1,0)</f>
        <v>1</v>
      </c>
      <c r="K296" s="1">
        <f t="shared" si="4"/>
        <v>2022</v>
      </c>
    </row>
    <row r="297" spans="2:11" x14ac:dyDescent="0.45">
      <c r="B297" s="1" t="s">
        <v>11</v>
      </c>
      <c r="C297" s="1" t="s">
        <v>311</v>
      </c>
      <c r="D297" s="7">
        <v>45589</v>
      </c>
      <c r="E297" s="7">
        <v>45597</v>
      </c>
      <c r="F297" s="7">
        <v>45786</v>
      </c>
      <c r="G297" s="1" t="s">
        <v>22</v>
      </c>
      <c r="H297" s="8">
        <v>19214003.449999999</v>
      </c>
      <c r="I297" s="8">
        <v>13258687.800000001</v>
      </c>
      <c r="J297" s="1">
        <f>IF(COUNTIF($C$4:C297,C297)=1,1,0)</f>
        <v>1</v>
      </c>
      <c r="K297" s="1">
        <f t="shared" si="4"/>
        <v>2024</v>
      </c>
    </row>
    <row r="298" spans="2:11" x14ac:dyDescent="0.45">
      <c r="B298" s="1" t="s">
        <v>11</v>
      </c>
      <c r="C298" s="1" t="s">
        <v>312</v>
      </c>
      <c r="D298" s="7">
        <v>43597</v>
      </c>
      <c r="E298" s="7">
        <v>43605</v>
      </c>
      <c r="F298" s="7">
        <v>43802</v>
      </c>
      <c r="G298" s="1" t="s">
        <v>41</v>
      </c>
      <c r="H298" s="8">
        <v>1249246.51</v>
      </c>
      <c r="I298" s="8">
        <v>1059740.7</v>
      </c>
      <c r="J298" s="1">
        <f>IF(COUNTIF($C$4:C298,C298)=1,1,0)</f>
        <v>1</v>
      </c>
      <c r="K298" s="1">
        <f t="shared" si="4"/>
        <v>2019</v>
      </c>
    </row>
    <row r="299" spans="2:11" x14ac:dyDescent="0.45">
      <c r="B299" s="1" t="s">
        <v>11</v>
      </c>
      <c r="C299" s="1" t="s">
        <v>313</v>
      </c>
      <c r="D299" s="7">
        <v>44275</v>
      </c>
      <c r="E299" s="7">
        <v>44277</v>
      </c>
      <c r="F299" s="7">
        <v>44419</v>
      </c>
      <c r="G299" s="1" t="s">
        <v>20</v>
      </c>
      <c r="H299" s="8">
        <v>2223459.5099999998</v>
      </c>
      <c r="I299" s="8">
        <v>1697501.45</v>
      </c>
      <c r="J299" s="1">
        <f>IF(COUNTIF($C$4:C299,C299)=1,1,0)</f>
        <v>1</v>
      </c>
      <c r="K299" s="1">
        <f t="shared" si="4"/>
        <v>2021</v>
      </c>
    </row>
    <row r="300" spans="2:11" x14ac:dyDescent="0.45">
      <c r="B300" s="1" t="s">
        <v>11</v>
      </c>
      <c r="C300" s="1" t="s">
        <v>314</v>
      </c>
      <c r="D300" s="7">
        <v>45186</v>
      </c>
      <c r="E300" s="7">
        <v>45212</v>
      </c>
      <c r="F300" s="7">
        <v>45385</v>
      </c>
      <c r="G300" s="1" t="s">
        <v>212</v>
      </c>
      <c r="H300" s="8">
        <v>32895461.449999999</v>
      </c>
      <c r="I300" s="8">
        <v>21489387.670000002</v>
      </c>
      <c r="J300" s="1">
        <f>IF(COUNTIF($C$4:C300,C300)=1,1,0)</f>
        <v>1</v>
      </c>
      <c r="K300" s="1">
        <f t="shared" si="4"/>
        <v>2023</v>
      </c>
    </row>
    <row r="301" spans="2:11" x14ac:dyDescent="0.45">
      <c r="B301" s="1" t="s">
        <v>11</v>
      </c>
      <c r="C301" s="1" t="s">
        <v>315</v>
      </c>
      <c r="D301" s="7">
        <v>43875</v>
      </c>
      <c r="E301" s="7">
        <v>43888</v>
      </c>
      <c r="F301" s="7">
        <v>43978</v>
      </c>
      <c r="G301" s="1" t="s">
        <v>41</v>
      </c>
      <c r="H301" s="8">
        <v>152616.93</v>
      </c>
      <c r="I301" s="8">
        <v>106691.73</v>
      </c>
      <c r="J301" s="1">
        <f>IF(COUNTIF($C$4:C301,C301)=1,1,0)</f>
        <v>1</v>
      </c>
      <c r="K301" s="1">
        <f t="shared" si="4"/>
        <v>2020</v>
      </c>
    </row>
    <row r="302" spans="2:11" x14ac:dyDescent="0.45">
      <c r="B302" s="1" t="s">
        <v>11</v>
      </c>
      <c r="C302" s="1" t="s">
        <v>316</v>
      </c>
      <c r="D302" s="7">
        <v>44471</v>
      </c>
      <c r="E302" s="7">
        <v>44482</v>
      </c>
      <c r="F302" s="7">
        <v>44607</v>
      </c>
      <c r="G302" s="1" t="s">
        <v>20</v>
      </c>
      <c r="H302" s="8">
        <v>60710090.200000003</v>
      </c>
      <c r="I302" s="8">
        <v>21687515.710000001</v>
      </c>
      <c r="J302" s="1">
        <f>IF(COUNTIF($C$4:C302,C302)=1,1,0)</f>
        <v>1</v>
      </c>
      <c r="K302" s="1">
        <f t="shared" si="4"/>
        <v>2021</v>
      </c>
    </row>
    <row r="303" spans="2:11" x14ac:dyDescent="0.45">
      <c r="B303" s="1" t="s">
        <v>11</v>
      </c>
      <c r="C303" s="1" t="s">
        <v>317</v>
      </c>
      <c r="D303" s="7">
        <v>45126</v>
      </c>
      <c r="E303" s="7">
        <v>45149</v>
      </c>
      <c r="F303" s="7">
        <v>45314</v>
      </c>
      <c r="G303" s="1" t="s">
        <v>20</v>
      </c>
      <c r="H303" s="8">
        <v>708352.63</v>
      </c>
      <c r="I303" s="8">
        <v>349336.46</v>
      </c>
      <c r="J303" s="1">
        <f>IF(COUNTIF($C$4:C303,C303)=1,1,0)</f>
        <v>1</v>
      </c>
      <c r="K303" s="1">
        <f t="shared" si="4"/>
        <v>2023</v>
      </c>
    </row>
    <row r="304" spans="2:11" x14ac:dyDescent="0.45">
      <c r="B304" s="1" t="s">
        <v>11</v>
      </c>
      <c r="C304" s="1" t="s">
        <v>318</v>
      </c>
      <c r="D304" s="7">
        <v>44325</v>
      </c>
      <c r="E304" s="7">
        <v>44339</v>
      </c>
      <c r="F304" s="7">
        <v>44346</v>
      </c>
      <c r="G304" s="1" t="s">
        <v>20</v>
      </c>
      <c r="H304" s="8">
        <v>1105882.31</v>
      </c>
      <c r="I304" s="8">
        <v>878431.58</v>
      </c>
      <c r="J304" s="1">
        <f>IF(COUNTIF($C$4:C304,C304)=1,1,0)</f>
        <v>1</v>
      </c>
      <c r="K304" s="1">
        <f t="shared" si="4"/>
        <v>2021</v>
      </c>
    </row>
    <row r="305" spans="2:11" x14ac:dyDescent="0.45">
      <c r="B305" s="1" t="s">
        <v>11</v>
      </c>
      <c r="C305" s="1" t="s">
        <v>319</v>
      </c>
      <c r="D305" s="7">
        <v>45529</v>
      </c>
      <c r="E305" s="7">
        <v>45537</v>
      </c>
      <c r="F305" s="7">
        <v>45752</v>
      </c>
      <c r="G305" s="1" t="s">
        <v>41</v>
      </c>
      <c r="H305" s="8">
        <v>187536.93</v>
      </c>
      <c r="I305" s="8">
        <v>152762.98000000001</v>
      </c>
      <c r="J305" s="1">
        <f>IF(COUNTIF($C$4:C305,C305)=1,1,0)</f>
        <v>1</v>
      </c>
      <c r="K305" s="1">
        <f t="shared" si="4"/>
        <v>2024</v>
      </c>
    </row>
    <row r="306" spans="2:11" x14ac:dyDescent="0.45">
      <c r="B306" s="1" t="s">
        <v>11</v>
      </c>
      <c r="C306" s="1" t="s">
        <v>320</v>
      </c>
      <c r="D306" s="7">
        <v>43211</v>
      </c>
      <c r="E306" s="7">
        <v>43218</v>
      </c>
      <c r="F306" s="7">
        <v>43329</v>
      </c>
      <c r="G306" s="1" t="s">
        <v>20</v>
      </c>
      <c r="H306" s="8">
        <v>590239.78</v>
      </c>
      <c r="I306" s="8">
        <v>471615.34</v>
      </c>
      <c r="J306" s="1">
        <f>IF(COUNTIF($C$4:C306,C306)=1,1,0)</f>
        <v>1</v>
      </c>
      <c r="K306" s="1">
        <f t="shared" si="4"/>
        <v>2018</v>
      </c>
    </row>
    <row r="307" spans="2:11" x14ac:dyDescent="0.45">
      <c r="B307" s="1" t="s">
        <v>11</v>
      </c>
      <c r="C307" s="1" t="s">
        <v>321</v>
      </c>
      <c r="D307" s="7">
        <v>43616</v>
      </c>
      <c r="E307" s="7">
        <v>43636</v>
      </c>
      <c r="F307" s="7">
        <v>43694</v>
      </c>
      <c r="G307" s="1" t="s">
        <v>38</v>
      </c>
      <c r="H307" s="8">
        <v>200764.4</v>
      </c>
      <c r="I307" s="8">
        <v>150001.53</v>
      </c>
      <c r="J307" s="1">
        <f>IF(COUNTIF($C$4:C307,C307)=1,1,0)</f>
        <v>1</v>
      </c>
      <c r="K307" s="1">
        <f t="shared" si="4"/>
        <v>2019</v>
      </c>
    </row>
    <row r="308" spans="2:11" x14ac:dyDescent="0.45">
      <c r="B308" s="1" t="s">
        <v>11</v>
      </c>
      <c r="C308" s="1" t="s">
        <v>322</v>
      </c>
      <c r="D308" s="7">
        <v>45442</v>
      </c>
      <c r="E308" s="7">
        <v>45451</v>
      </c>
      <c r="F308" s="7">
        <v>45580</v>
      </c>
      <c r="G308" s="1" t="s">
        <v>20</v>
      </c>
      <c r="H308" s="8">
        <v>1781441.21</v>
      </c>
      <c r="I308" s="8">
        <v>1214119.8700000001</v>
      </c>
      <c r="J308" s="1">
        <f>IF(COUNTIF($C$4:C308,C308)=1,1,0)</f>
        <v>1</v>
      </c>
      <c r="K308" s="1">
        <f t="shared" si="4"/>
        <v>2024</v>
      </c>
    </row>
    <row r="309" spans="2:11" x14ac:dyDescent="0.45">
      <c r="B309" s="1" t="s">
        <v>11</v>
      </c>
      <c r="C309" s="1" t="s">
        <v>323</v>
      </c>
      <c r="D309" s="7">
        <v>43839</v>
      </c>
      <c r="E309" s="7">
        <v>43846</v>
      </c>
      <c r="F309" s="7">
        <v>43967</v>
      </c>
      <c r="G309" s="1" t="s">
        <v>20</v>
      </c>
      <c r="H309" s="8">
        <v>126761553.56</v>
      </c>
      <c r="I309" s="8">
        <v>89024496.870000005</v>
      </c>
      <c r="J309" s="1">
        <f>IF(COUNTIF($C$4:C309,C309)=1,1,0)</f>
        <v>1</v>
      </c>
      <c r="K309" s="1">
        <f t="shared" si="4"/>
        <v>2020</v>
      </c>
    </row>
    <row r="310" spans="2:11" x14ac:dyDescent="0.45">
      <c r="B310" s="1" t="s">
        <v>11</v>
      </c>
      <c r="C310" s="1" t="s">
        <v>324</v>
      </c>
      <c r="D310" s="7">
        <v>44845</v>
      </c>
      <c r="E310" s="7">
        <v>44868</v>
      </c>
      <c r="F310" s="7">
        <v>45001</v>
      </c>
      <c r="G310" s="1" t="s">
        <v>212</v>
      </c>
      <c r="H310" s="8">
        <v>24289508.309999999</v>
      </c>
      <c r="I310" s="8">
        <v>15696313.9</v>
      </c>
      <c r="J310" s="1">
        <f>IF(COUNTIF($C$4:C310,C310)=1,1,0)</f>
        <v>1</v>
      </c>
      <c r="K310" s="1">
        <f t="shared" si="4"/>
        <v>2022</v>
      </c>
    </row>
    <row r="311" spans="2:11" x14ac:dyDescent="0.45">
      <c r="B311" s="1" t="s">
        <v>11</v>
      </c>
      <c r="C311" s="1" t="s">
        <v>325</v>
      </c>
      <c r="D311" s="7">
        <v>43917</v>
      </c>
      <c r="E311" s="7">
        <v>43936</v>
      </c>
      <c r="F311" s="7">
        <v>43951</v>
      </c>
      <c r="G311" s="1" t="s">
        <v>20</v>
      </c>
      <c r="H311" s="8">
        <v>19629735.129999999</v>
      </c>
      <c r="I311" s="8">
        <v>12662504.119999999</v>
      </c>
      <c r="J311" s="1">
        <f>IF(COUNTIF($C$4:C311,C311)=1,1,0)</f>
        <v>1</v>
      </c>
      <c r="K311" s="1">
        <f t="shared" si="4"/>
        <v>2020</v>
      </c>
    </row>
    <row r="312" spans="2:11" x14ac:dyDescent="0.45">
      <c r="B312" s="1" t="s">
        <v>11</v>
      </c>
      <c r="C312" s="1" t="s">
        <v>326</v>
      </c>
      <c r="D312" s="7">
        <v>44041</v>
      </c>
      <c r="E312" s="7">
        <v>44052</v>
      </c>
      <c r="F312" s="7">
        <v>44182</v>
      </c>
      <c r="G312" s="1" t="s">
        <v>41</v>
      </c>
      <c r="H312" s="8">
        <v>465897.53</v>
      </c>
      <c r="I312" s="8">
        <v>312344.53000000003</v>
      </c>
      <c r="J312" s="1">
        <f>IF(COUNTIF($C$4:C312,C312)=1,1,0)</f>
        <v>1</v>
      </c>
      <c r="K312" s="1">
        <f t="shared" si="4"/>
        <v>2020</v>
      </c>
    </row>
    <row r="313" spans="2:11" x14ac:dyDescent="0.45">
      <c r="B313" s="1" t="s">
        <v>11</v>
      </c>
      <c r="C313" s="1" t="s">
        <v>327</v>
      </c>
      <c r="D313" s="7">
        <v>44306</v>
      </c>
      <c r="E313" s="7">
        <v>44307</v>
      </c>
      <c r="F313" s="7">
        <v>44494</v>
      </c>
      <c r="G313" s="1" t="s">
        <v>20</v>
      </c>
      <c r="H313" s="8">
        <v>907729.03</v>
      </c>
      <c r="I313" s="8">
        <v>712949.43</v>
      </c>
      <c r="J313" s="1">
        <f>IF(COUNTIF($C$4:C313,C313)=1,1,0)</f>
        <v>1</v>
      </c>
      <c r="K313" s="1">
        <f t="shared" si="4"/>
        <v>2021</v>
      </c>
    </row>
    <row r="314" spans="2:11" x14ac:dyDescent="0.45">
      <c r="B314" s="1" t="s">
        <v>11</v>
      </c>
      <c r="C314" s="1" t="s">
        <v>328</v>
      </c>
      <c r="D314" s="7">
        <v>46018</v>
      </c>
      <c r="E314" s="7">
        <v>46022</v>
      </c>
      <c r="F314" s="7">
        <v>46181</v>
      </c>
      <c r="G314" s="1" t="s">
        <v>212</v>
      </c>
      <c r="H314" s="8">
        <v>37466335.670000002</v>
      </c>
      <c r="I314" s="8">
        <v>18547486.609999999</v>
      </c>
      <c r="J314" s="1">
        <f>IF(COUNTIF($C$4:C314,C314)=1,1,0)</f>
        <v>1</v>
      </c>
      <c r="K314" s="1">
        <f t="shared" si="4"/>
        <v>2025</v>
      </c>
    </row>
    <row r="315" spans="2:11" x14ac:dyDescent="0.45">
      <c r="B315" s="1" t="s">
        <v>11</v>
      </c>
      <c r="C315" s="1" t="s">
        <v>329</v>
      </c>
      <c r="D315" s="7">
        <v>44060</v>
      </c>
      <c r="E315" s="7">
        <v>44061</v>
      </c>
      <c r="F315" s="7">
        <v>44230</v>
      </c>
      <c r="G315" s="1" t="s">
        <v>20</v>
      </c>
      <c r="H315" s="8">
        <v>905628.77</v>
      </c>
      <c r="I315" s="8">
        <v>701808.14</v>
      </c>
      <c r="J315" s="1">
        <f>IF(COUNTIF($C$4:C315,C315)=1,1,0)</f>
        <v>1</v>
      </c>
      <c r="K315" s="1">
        <f t="shared" si="4"/>
        <v>2020</v>
      </c>
    </row>
    <row r="316" spans="2:11" x14ac:dyDescent="0.45">
      <c r="B316" s="1" t="s">
        <v>11</v>
      </c>
      <c r="C316" s="1" t="s">
        <v>330</v>
      </c>
      <c r="D316" s="7">
        <v>45651</v>
      </c>
      <c r="E316" s="7">
        <v>45653</v>
      </c>
      <c r="F316" s="7">
        <v>45753</v>
      </c>
      <c r="G316" s="1" t="s">
        <v>38</v>
      </c>
      <c r="H316" s="8">
        <v>432513.1</v>
      </c>
      <c r="I316" s="8">
        <v>323154.38</v>
      </c>
      <c r="J316" s="1">
        <f>IF(COUNTIF($C$4:C316,C316)=1,1,0)</f>
        <v>1</v>
      </c>
      <c r="K316" s="1">
        <f t="shared" si="4"/>
        <v>2024</v>
      </c>
    </row>
    <row r="317" spans="2:11" x14ac:dyDescent="0.45">
      <c r="B317" s="1" t="s">
        <v>11</v>
      </c>
      <c r="C317" s="1" t="s">
        <v>331</v>
      </c>
      <c r="D317" s="7">
        <v>45452</v>
      </c>
      <c r="E317" s="7">
        <v>45476</v>
      </c>
      <c r="F317" s="7">
        <v>45522</v>
      </c>
      <c r="G317" s="1" t="s">
        <v>20</v>
      </c>
      <c r="H317" s="8">
        <v>1147616.47</v>
      </c>
      <c r="I317" s="8">
        <v>764108.52</v>
      </c>
      <c r="J317" s="1">
        <f>IF(COUNTIF($C$4:C317,C317)=1,1,0)</f>
        <v>1</v>
      </c>
      <c r="K317" s="1">
        <f t="shared" si="4"/>
        <v>2024</v>
      </c>
    </row>
    <row r="318" spans="2:11" x14ac:dyDescent="0.45">
      <c r="B318" s="1" t="s">
        <v>11</v>
      </c>
      <c r="C318" s="1" t="s">
        <v>332</v>
      </c>
      <c r="D318" s="7">
        <v>45983</v>
      </c>
      <c r="E318" s="7">
        <v>45994</v>
      </c>
      <c r="F318" s="7">
        <v>46196</v>
      </c>
      <c r="G318" s="1" t="s">
        <v>38</v>
      </c>
      <c r="H318" s="8">
        <v>1206754.27</v>
      </c>
      <c r="I318" s="8">
        <v>940145.11</v>
      </c>
      <c r="J318" s="1">
        <f>IF(COUNTIF($C$4:C318,C318)=1,1,0)</f>
        <v>1</v>
      </c>
      <c r="K318" s="1">
        <f t="shared" si="4"/>
        <v>2025</v>
      </c>
    </row>
    <row r="319" spans="2:11" x14ac:dyDescent="0.45">
      <c r="B319" s="1" t="s">
        <v>11</v>
      </c>
      <c r="C319" s="1" t="s">
        <v>333</v>
      </c>
      <c r="D319" s="7">
        <v>43708</v>
      </c>
      <c r="E319" s="7">
        <v>43708</v>
      </c>
      <c r="F319" s="7">
        <v>43746</v>
      </c>
      <c r="G319" s="1" t="s">
        <v>20</v>
      </c>
      <c r="H319" s="8">
        <v>101342424.56</v>
      </c>
      <c r="I319" s="8">
        <v>60251290.25</v>
      </c>
      <c r="J319" s="1">
        <f>IF(COUNTIF($C$4:C319,C319)=1,1,0)</f>
        <v>1</v>
      </c>
      <c r="K319" s="1">
        <f t="shared" si="4"/>
        <v>2019</v>
      </c>
    </row>
    <row r="320" spans="2:11" x14ac:dyDescent="0.45">
      <c r="B320" s="1" t="s">
        <v>11</v>
      </c>
      <c r="C320" s="1" t="s">
        <v>334</v>
      </c>
      <c r="D320" s="7">
        <v>44519</v>
      </c>
      <c r="E320" s="7">
        <v>44539</v>
      </c>
      <c r="F320" s="7">
        <v>44590</v>
      </c>
      <c r="G320" s="1" t="s">
        <v>22</v>
      </c>
      <c r="H320" s="8">
        <v>8080476.8399999999</v>
      </c>
      <c r="I320" s="8">
        <v>4584028.82</v>
      </c>
      <c r="J320" s="1">
        <f>IF(COUNTIF($C$4:C320,C320)=1,1,0)</f>
        <v>1</v>
      </c>
      <c r="K320" s="1">
        <f t="shared" si="4"/>
        <v>2021</v>
      </c>
    </row>
    <row r="321" spans="2:11" x14ac:dyDescent="0.45">
      <c r="B321" s="1" t="s">
        <v>11</v>
      </c>
      <c r="C321" s="1" t="s">
        <v>335</v>
      </c>
      <c r="D321" s="7">
        <v>43272</v>
      </c>
      <c r="E321" s="7">
        <v>43292</v>
      </c>
      <c r="F321" s="7">
        <v>43333</v>
      </c>
      <c r="G321" s="1" t="s">
        <v>44</v>
      </c>
      <c r="H321" s="8">
        <v>107680750.66</v>
      </c>
      <c r="I321" s="8">
        <v>72335028.019999996</v>
      </c>
      <c r="J321" s="1">
        <f>IF(COUNTIF($C$4:C321,C321)=1,1,0)</f>
        <v>1</v>
      </c>
      <c r="K321" s="1">
        <f t="shared" si="4"/>
        <v>2018</v>
      </c>
    </row>
    <row r="322" spans="2:11" x14ac:dyDescent="0.45">
      <c r="B322" s="1" t="s">
        <v>11</v>
      </c>
      <c r="C322" s="1" t="s">
        <v>336</v>
      </c>
      <c r="D322" s="7">
        <v>43921</v>
      </c>
      <c r="E322" s="7">
        <v>43949</v>
      </c>
      <c r="F322" s="7">
        <v>44030</v>
      </c>
      <c r="G322" s="1" t="s">
        <v>212</v>
      </c>
      <c r="H322" s="8">
        <v>57985667.710000001</v>
      </c>
      <c r="I322" s="8">
        <v>45719884.280000001</v>
      </c>
      <c r="J322" s="1">
        <f>IF(COUNTIF($C$4:C322,C322)=1,1,0)</f>
        <v>1</v>
      </c>
      <c r="K322" s="1">
        <f t="shared" si="4"/>
        <v>2020</v>
      </c>
    </row>
    <row r="323" spans="2:11" x14ac:dyDescent="0.45">
      <c r="B323" s="1" t="s">
        <v>11</v>
      </c>
      <c r="C323" s="1" t="s">
        <v>337</v>
      </c>
      <c r="D323" s="7">
        <v>44827</v>
      </c>
      <c r="E323" s="7">
        <v>44841</v>
      </c>
      <c r="F323" s="7">
        <v>44932</v>
      </c>
      <c r="G323" s="1" t="s">
        <v>38</v>
      </c>
      <c r="H323" s="8">
        <v>216300.72</v>
      </c>
      <c r="I323" s="8">
        <v>168774.76</v>
      </c>
      <c r="J323" s="1">
        <f>IF(COUNTIF($C$4:C323,C323)=1,1,0)</f>
        <v>1</v>
      </c>
      <c r="K323" s="1">
        <f t="shared" si="4"/>
        <v>2022</v>
      </c>
    </row>
    <row r="324" spans="2:11" x14ac:dyDescent="0.45">
      <c r="B324" s="1" t="s">
        <v>11</v>
      </c>
      <c r="C324" s="1" t="s">
        <v>338</v>
      </c>
      <c r="D324" s="7">
        <v>43839</v>
      </c>
      <c r="E324" s="7">
        <v>43862</v>
      </c>
      <c r="F324" s="7">
        <v>43987</v>
      </c>
      <c r="G324" s="1" t="s">
        <v>20</v>
      </c>
      <c r="H324" s="8">
        <v>1511329.92</v>
      </c>
      <c r="I324" s="8">
        <v>957509.4</v>
      </c>
      <c r="J324" s="1">
        <f>IF(COUNTIF($C$4:C324,C324)=1,1,0)</f>
        <v>1</v>
      </c>
      <c r="K324" s="1">
        <f t="shared" si="4"/>
        <v>2020</v>
      </c>
    </row>
    <row r="325" spans="2:11" x14ac:dyDescent="0.45">
      <c r="B325" s="1" t="s">
        <v>11</v>
      </c>
      <c r="C325" s="1" t="s">
        <v>339</v>
      </c>
      <c r="D325" s="7">
        <v>43868</v>
      </c>
      <c r="E325" s="7">
        <v>43882</v>
      </c>
      <c r="F325" s="7">
        <v>43929</v>
      </c>
      <c r="G325" s="1" t="s">
        <v>20</v>
      </c>
      <c r="H325" s="8">
        <v>252703249.80000001</v>
      </c>
      <c r="I325" s="8">
        <v>161198487.37</v>
      </c>
      <c r="J325" s="1">
        <f>IF(COUNTIF($C$4:C325,C325)=1,1,0)</f>
        <v>1</v>
      </c>
      <c r="K325" s="1">
        <f t="shared" ref="K325:K388" si="5">YEAR(D325)</f>
        <v>2020</v>
      </c>
    </row>
    <row r="326" spans="2:11" x14ac:dyDescent="0.45">
      <c r="B326" s="1" t="s">
        <v>11</v>
      </c>
      <c r="C326" s="1" t="s">
        <v>340</v>
      </c>
      <c r="D326" s="7">
        <v>43434</v>
      </c>
      <c r="E326" s="7">
        <v>43462</v>
      </c>
      <c r="F326" s="7">
        <v>43500</v>
      </c>
      <c r="G326" s="1" t="s">
        <v>38</v>
      </c>
      <c r="H326" s="8">
        <v>1527724.03</v>
      </c>
      <c r="I326" s="8">
        <v>1211657.6499999999</v>
      </c>
      <c r="J326" s="1">
        <f>IF(COUNTIF($C$4:C326,C326)=1,1,0)</f>
        <v>1</v>
      </c>
      <c r="K326" s="1">
        <f t="shared" si="5"/>
        <v>2018</v>
      </c>
    </row>
    <row r="327" spans="2:11" x14ac:dyDescent="0.45">
      <c r="B327" s="1" t="s">
        <v>11</v>
      </c>
      <c r="C327" s="1" t="s">
        <v>341</v>
      </c>
      <c r="D327" s="7">
        <v>43595</v>
      </c>
      <c r="E327" s="7">
        <v>43623</v>
      </c>
      <c r="F327" s="7">
        <v>43648</v>
      </c>
      <c r="G327" s="1" t="s">
        <v>20</v>
      </c>
      <c r="H327" s="8">
        <v>2611009.33</v>
      </c>
      <c r="I327" s="8">
        <v>1050383.71</v>
      </c>
      <c r="J327" s="1">
        <f>IF(COUNTIF($C$4:C327,C327)=1,1,0)</f>
        <v>1</v>
      </c>
      <c r="K327" s="1">
        <f t="shared" si="5"/>
        <v>2019</v>
      </c>
    </row>
    <row r="328" spans="2:11" x14ac:dyDescent="0.45">
      <c r="B328" s="1" t="s">
        <v>11</v>
      </c>
      <c r="C328" s="1" t="s">
        <v>342</v>
      </c>
      <c r="D328" s="7">
        <v>44042</v>
      </c>
      <c r="E328" s="7">
        <v>44064</v>
      </c>
      <c r="F328" s="7">
        <v>44101</v>
      </c>
      <c r="G328" s="1" t="s">
        <v>20</v>
      </c>
      <c r="H328" s="8">
        <v>160861.79999999999</v>
      </c>
      <c r="I328" s="8">
        <v>116688.39</v>
      </c>
      <c r="J328" s="1">
        <f>IF(COUNTIF($C$4:C328,C328)=1,1,0)</f>
        <v>1</v>
      </c>
      <c r="K328" s="1">
        <f t="shared" si="5"/>
        <v>2020</v>
      </c>
    </row>
    <row r="329" spans="2:11" x14ac:dyDescent="0.45">
      <c r="B329" s="1" t="s">
        <v>11</v>
      </c>
      <c r="C329" s="1" t="s">
        <v>343</v>
      </c>
      <c r="D329" s="7">
        <v>43884</v>
      </c>
      <c r="E329" s="7">
        <v>43884</v>
      </c>
      <c r="F329" s="7">
        <v>43949</v>
      </c>
      <c r="G329" s="1" t="s">
        <v>22</v>
      </c>
      <c r="H329" s="8">
        <v>16057233.130000001</v>
      </c>
      <c r="I329" s="8">
        <v>8135962.0999999996</v>
      </c>
      <c r="J329" s="1">
        <f>IF(COUNTIF($C$4:C329,C329)=1,1,0)</f>
        <v>1</v>
      </c>
      <c r="K329" s="1">
        <f t="shared" si="5"/>
        <v>2020</v>
      </c>
    </row>
    <row r="330" spans="2:11" x14ac:dyDescent="0.45">
      <c r="B330" s="1" t="s">
        <v>11</v>
      </c>
      <c r="C330" s="1" t="s">
        <v>344</v>
      </c>
      <c r="D330" s="7">
        <v>45221</v>
      </c>
      <c r="E330" s="7">
        <v>45230</v>
      </c>
      <c r="F330" s="7">
        <v>45355</v>
      </c>
      <c r="G330" s="1" t="s">
        <v>44</v>
      </c>
      <c r="H330" s="8">
        <v>96141587.620000005</v>
      </c>
      <c r="I330" s="8">
        <v>59692740.619999997</v>
      </c>
      <c r="J330" s="1">
        <f>IF(COUNTIF($C$4:C330,C330)=1,1,0)</f>
        <v>1</v>
      </c>
      <c r="K330" s="1">
        <f t="shared" si="5"/>
        <v>2023</v>
      </c>
    </row>
    <row r="331" spans="2:11" x14ac:dyDescent="0.45">
      <c r="B331" s="1" t="s">
        <v>11</v>
      </c>
      <c r="C331" s="1" t="s">
        <v>345</v>
      </c>
      <c r="D331" s="7">
        <v>45715</v>
      </c>
      <c r="E331" s="7">
        <v>45723</v>
      </c>
      <c r="F331" s="7">
        <v>45738</v>
      </c>
      <c r="G331" s="1" t="s">
        <v>22</v>
      </c>
      <c r="H331" s="8">
        <v>2250908.11</v>
      </c>
      <c r="I331" s="8">
        <v>1435342.32</v>
      </c>
      <c r="J331" s="1">
        <f>IF(COUNTIF($C$4:C331,C331)=1,1,0)</f>
        <v>1</v>
      </c>
      <c r="K331" s="1">
        <f t="shared" si="5"/>
        <v>2025</v>
      </c>
    </row>
    <row r="332" spans="2:11" x14ac:dyDescent="0.45">
      <c r="B332" s="1" t="s">
        <v>11</v>
      </c>
      <c r="C332" s="1" t="s">
        <v>346</v>
      </c>
      <c r="D332" s="7">
        <v>43479</v>
      </c>
      <c r="E332" s="7">
        <v>43499</v>
      </c>
      <c r="F332" s="7">
        <v>43559</v>
      </c>
      <c r="G332" s="1" t="s">
        <v>20</v>
      </c>
      <c r="H332" s="8">
        <v>121748455.05</v>
      </c>
      <c r="I332" s="8">
        <v>44623970.75</v>
      </c>
      <c r="J332" s="1">
        <f>IF(COUNTIF($C$4:C332,C332)=1,1,0)</f>
        <v>1</v>
      </c>
      <c r="K332" s="1">
        <f t="shared" si="5"/>
        <v>2019</v>
      </c>
    </row>
    <row r="333" spans="2:11" x14ac:dyDescent="0.45">
      <c r="B333" s="1" t="s">
        <v>11</v>
      </c>
      <c r="C333" s="1" t="s">
        <v>347</v>
      </c>
      <c r="D333" s="7">
        <v>45887</v>
      </c>
      <c r="E333" s="7">
        <v>45904</v>
      </c>
      <c r="F333" s="7">
        <v>46143</v>
      </c>
      <c r="G333" s="1" t="s">
        <v>38</v>
      </c>
      <c r="H333" s="8">
        <v>1127317.0900000001</v>
      </c>
      <c r="I333" s="8">
        <v>934499.83</v>
      </c>
      <c r="J333" s="1">
        <f>IF(COUNTIF($C$4:C333,C333)=1,1,0)</f>
        <v>1</v>
      </c>
      <c r="K333" s="1">
        <f t="shared" si="5"/>
        <v>2025</v>
      </c>
    </row>
    <row r="334" spans="2:11" x14ac:dyDescent="0.45">
      <c r="B334" s="1" t="s">
        <v>11</v>
      </c>
      <c r="C334" s="1" t="s">
        <v>348</v>
      </c>
      <c r="D334" s="7">
        <v>43947</v>
      </c>
      <c r="E334" s="7">
        <v>43968</v>
      </c>
      <c r="F334" s="7">
        <v>43985</v>
      </c>
      <c r="G334" s="1" t="s">
        <v>22</v>
      </c>
      <c r="H334" s="8">
        <v>17017074.440000001</v>
      </c>
      <c r="I334" s="8">
        <v>8667051.3699999992</v>
      </c>
      <c r="J334" s="1">
        <f>IF(COUNTIF($C$4:C334,C334)=1,1,0)</f>
        <v>1</v>
      </c>
      <c r="K334" s="1">
        <f t="shared" si="5"/>
        <v>2020</v>
      </c>
    </row>
    <row r="335" spans="2:11" x14ac:dyDescent="0.45">
      <c r="B335" s="1" t="s">
        <v>11</v>
      </c>
      <c r="C335" s="1" t="s">
        <v>349</v>
      </c>
      <c r="D335" s="7">
        <v>45230</v>
      </c>
      <c r="E335" s="7">
        <v>45240</v>
      </c>
      <c r="F335" s="7">
        <v>45419</v>
      </c>
      <c r="G335" s="1" t="s">
        <v>22</v>
      </c>
      <c r="H335" s="8">
        <v>10546032.109999999</v>
      </c>
      <c r="I335" s="8">
        <v>7668549.0800000001</v>
      </c>
      <c r="J335" s="1">
        <f>IF(COUNTIF($C$4:C335,C335)=1,1,0)</f>
        <v>1</v>
      </c>
      <c r="K335" s="1">
        <f t="shared" si="5"/>
        <v>2023</v>
      </c>
    </row>
    <row r="336" spans="2:11" x14ac:dyDescent="0.45">
      <c r="B336" s="1" t="s">
        <v>11</v>
      </c>
      <c r="C336" s="1" t="s">
        <v>350</v>
      </c>
      <c r="D336" s="7">
        <v>45912</v>
      </c>
      <c r="E336" s="7">
        <v>45932</v>
      </c>
      <c r="F336" s="7">
        <v>45951</v>
      </c>
      <c r="G336" s="1" t="s">
        <v>212</v>
      </c>
      <c r="H336" s="8">
        <v>9556124.5199999996</v>
      </c>
      <c r="I336" s="8">
        <v>5849419.04</v>
      </c>
      <c r="J336" s="1">
        <f>IF(COUNTIF($C$4:C336,C336)=1,1,0)</f>
        <v>1</v>
      </c>
      <c r="K336" s="1">
        <f t="shared" si="5"/>
        <v>2025</v>
      </c>
    </row>
    <row r="337" spans="2:11" x14ac:dyDescent="0.45">
      <c r="B337" s="1" t="s">
        <v>11</v>
      </c>
      <c r="C337" s="1" t="s">
        <v>351</v>
      </c>
      <c r="D337" s="7">
        <v>43963</v>
      </c>
      <c r="E337" s="7">
        <v>43990</v>
      </c>
      <c r="F337" s="7">
        <v>44011</v>
      </c>
      <c r="G337" s="1" t="s">
        <v>18</v>
      </c>
      <c r="H337" s="8">
        <v>172100825.53</v>
      </c>
      <c r="I337" s="8">
        <v>115641072.79000001</v>
      </c>
      <c r="J337" s="1">
        <f>IF(COUNTIF($C$4:C337,C337)=1,1,0)</f>
        <v>1</v>
      </c>
      <c r="K337" s="1">
        <f t="shared" si="5"/>
        <v>2020</v>
      </c>
    </row>
    <row r="338" spans="2:11" x14ac:dyDescent="0.45">
      <c r="B338" s="1" t="s">
        <v>11</v>
      </c>
      <c r="C338" s="1" t="s">
        <v>352</v>
      </c>
      <c r="D338" s="7">
        <v>43727</v>
      </c>
      <c r="E338" s="7">
        <v>43757</v>
      </c>
      <c r="F338" s="7">
        <v>43833</v>
      </c>
      <c r="G338" s="1" t="s">
        <v>20</v>
      </c>
      <c r="H338" s="8">
        <v>43698557.579999998</v>
      </c>
      <c r="I338" s="8">
        <v>16244320.6</v>
      </c>
      <c r="J338" s="1">
        <f>IF(COUNTIF($C$4:C338,C338)=1,1,0)</f>
        <v>1</v>
      </c>
      <c r="K338" s="1">
        <f t="shared" si="5"/>
        <v>2019</v>
      </c>
    </row>
    <row r="339" spans="2:11" x14ac:dyDescent="0.45">
      <c r="B339" s="1" t="s">
        <v>11</v>
      </c>
      <c r="C339" s="1" t="s">
        <v>353</v>
      </c>
      <c r="D339" s="7">
        <v>43731</v>
      </c>
      <c r="E339" s="7">
        <v>43733</v>
      </c>
      <c r="F339" s="7">
        <v>43906</v>
      </c>
      <c r="G339" s="1" t="s">
        <v>20</v>
      </c>
      <c r="H339" s="8">
        <v>95278592.530000001</v>
      </c>
      <c r="I339" s="8">
        <v>68724219.340000004</v>
      </c>
      <c r="J339" s="1">
        <f>IF(COUNTIF($C$4:C339,C339)=1,1,0)</f>
        <v>1</v>
      </c>
      <c r="K339" s="1">
        <f t="shared" si="5"/>
        <v>2019</v>
      </c>
    </row>
    <row r="340" spans="2:11" x14ac:dyDescent="0.45">
      <c r="B340" s="1" t="s">
        <v>11</v>
      </c>
      <c r="C340" s="1" t="s">
        <v>354</v>
      </c>
      <c r="D340" s="7">
        <v>43686</v>
      </c>
      <c r="E340" s="7">
        <v>43687</v>
      </c>
      <c r="F340" s="7">
        <v>43873</v>
      </c>
      <c r="G340" s="1" t="s">
        <v>41</v>
      </c>
      <c r="H340" s="8">
        <v>222186.08</v>
      </c>
      <c r="I340" s="8">
        <v>169702.51</v>
      </c>
      <c r="J340" s="1">
        <f>IF(COUNTIF($C$4:C340,C340)=1,1,0)</f>
        <v>1</v>
      </c>
      <c r="K340" s="1">
        <f t="shared" si="5"/>
        <v>2019</v>
      </c>
    </row>
    <row r="341" spans="2:11" x14ac:dyDescent="0.45">
      <c r="B341" s="1" t="s">
        <v>11</v>
      </c>
      <c r="C341" s="1" t="s">
        <v>355</v>
      </c>
      <c r="D341" s="7">
        <v>45905</v>
      </c>
      <c r="E341" s="7">
        <v>45911</v>
      </c>
      <c r="F341" s="7">
        <v>45946</v>
      </c>
      <c r="G341" s="1" t="s">
        <v>41</v>
      </c>
      <c r="H341" s="8">
        <v>1990498.34</v>
      </c>
      <c r="I341" s="8">
        <v>1565690.58</v>
      </c>
      <c r="J341" s="1">
        <f>IF(COUNTIF($C$4:C341,C341)=1,1,0)</f>
        <v>1</v>
      </c>
      <c r="K341" s="1">
        <f t="shared" si="5"/>
        <v>2025</v>
      </c>
    </row>
    <row r="342" spans="2:11" x14ac:dyDescent="0.45">
      <c r="B342" s="1" t="s">
        <v>11</v>
      </c>
      <c r="C342" s="1" t="s">
        <v>356</v>
      </c>
      <c r="D342" s="7">
        <v>45914</v>
      </c>
      <c r="E342" s="7">
        <v>45921</v>
      </c>
      <c r="F342" s="7">
        <v>45974</v>
      </c>
      <c r="G342" s="1" t="s">
        <v>22</v>
      </c>
      <c r="H342" s="8">
        <v>10502852.300000001</v>
      </c>
      <c r="I342" s="8">
        <v>4470052.55</v>
      </c>
      <c r="J342" s="1">
        <f>IF(COUNTIF($C$4:C342,C342)=1,1,0)</f>
        <v>1</v>
      </c>
      <c r="K342" s="1">
        <f t="shared" si="5"/>
        <v>2025</v>
      </c>
    </row>
    <row r="343" spans="2:11" x14ac:dyDescent="0.45">
      <c r="B343" s="1" t="s">
        <v>11</v>
      </c>
      <c r="C343" s="1" t="s">
        <v>357</v>
      </c>
      <c r="D343" s="7">
        <v>45879</v>
      </c>
      <c r="E343" s="7">
        <v>45892</v>
      </c>
      <c r="F343" s="7">
        <v>45944</v>
      </c>
      <c r="G343" s="1" t="s">
        <v>38</v>
      </c>
      <c r="H343" s="8">
        <v>642080.64</v>
      </c>
      <c r="I343" s="8">
        <v>553244.80000000005</v>
      </c>
      <c r="J343" s="1">
        <f>IF(COUNTIF($C$4:C343,C343)=1,1,0)</f>
        <v>1</v>
      </c>
      <c r="K343" s="1">
        <f t="shared" si="5"/>
        <v>2025</v>
      </c>
    </row>
    <row r="344" spans="2:11" x14ac:dyDescent="0.45">
      <c r="B344" s="1" t="s">
        <v>11</v>
      </c>
      <c r="C344" s="1" t="s">
        <v>358</v>
      </c>
      <c r="D344" s="7">
        <v>43755</v>
      </c>
      <c r="E344" s="7">
        <v>43762</v>
      </c>
      <c r="F344" s="7">
        <v>43886</v>
      </c>
      <c r="G344" s="1" t="s">
        <v>16</v>
      </c>
      <c r="H344" s="8">
        <v>2970495.6</v>
      </c>
      <c r="I344" s="8">
        <v>2385828.44</v>
      </c>
      <c r="J344" s="1">
        <f>IF(COUNTIF($C$4:C344,C344)=1,1,0)</f>
        <v>1</v>
      </c>
      <c r="K344" s="1">
        <f t="shared" si="5"/>
        <v>2019</v>
      </c>
    </row>
    <row r="345" spans="2:11" x14ac:dyDescent="0.45">
      <c r="B345" s="1" t="s">
        <v>11</v>
      </c>
      <c r="C345" s="1" t="s">
        <v>359</v>
      </c>
      <c r="D345" s="7">
        <v>45299</v>
      </c>
      <c r="E345" s="7">
        <v>45303</v>
      </c>
      <c r="F345" s="7">
        <v>45401</v>
      </c>
      <c r="G345" s="1" t="s">
        <v>20</v>
      </c>
      <c r="H345" s="8">
        <v>2990238.13</v>
      </c>
      <c r="I345" s="8">
        <v>1275052.1100000001</v>
      </c>
      <c r="J345" s="1">
        <f>IF(COUNTIF($C$4:C345,C345)=1,1,0)</f>
        <v>1</v>
      </c>
      <c r="K345" s="1">
        <f t="shared" si="5"/>
        <v>2024</v>
      </c>
    </row>
    <row r="346" spans="2:11" x14ac:dyDescent="0.45">
      <c r="B346" s="1" t="s">
        <v>11</v>
      </c>
      <c r="C346" s="1" t="s">
        <v>360</v>
      </c>
      <c r="D346" s="7">
        <v>45171</v>
      </c>
      <c r="E346" s="7">
        <v>45195</v>
      </c>
      <c r="F346" s="7">
        <v>45264</v>
      </c>
      <c r="G346" s="1" t="s">
        <v>20</v>
      </c>
      <c r="H346" s="8">
        <v>127766111.73999999</v>
      </c>
      <c r="I346" s="8">
        <v>70102028.890000001</v>
      </c>
      <c r="J346" s="1">
        <f>IF(COUNTIF($C$4:C346,C346)=1,1,0)</f>
        <v>1</v>
      </c>
      <c r="K346" s="1">
        <f t="shared" si="5"/>
        <v>2023</v>
      </c>
    </row>
    <row r="347" spans="2:11" x14ac:dyDescent="0.45">
      <c r="B347" s="1" t="s">
        <v>11</v>
      </c>
      <c r="C347" s="1" t="s">
        <v>361</v>
      </c>
      <c r="D347" s="7">
        <v>43251</v>
      </c>
      <c r="E347" s="7">
        <v>43280</v>
      </c>
      <c r="F347" s="7">
        <v>43434</v>
      </c>
      <c r="G347" s="1" t="s">
        <v>212</v>
      </c>
      <c r="H347" s="8">
        <v>84908886.310000002</v>
      </c>
      <c r="I347" s="8">
        <v>54487196.57</v>
      </c>
      <c r="J347" s="1">
        <f>IF(COUNTIF($C$4:C347,C347)=1,1,0)</f>
        <v>1</v>
      </c>
      <c r="K347" s="1">
        <f t="shared" si="5"/>
        <v>2018</v>
      </c>
    </row>
    <row r="348" spans="2:11" x14ac:dyDescent="0.45">
      <c r="B348" s="1" t="s">
        <v>11</v>
      </c>
      <c r="C348" s="1" t="s">
        <v>362</v>
      </c>
      <c r="D348" s="7">
        <v>45807</v>
      </c>
      <c r="E348" s="7">
        <v>45833</v>
      </c>
      <c r="F348" s="7">
        <v>46065</v>
      </c>
      <c r="G348" s="1" t="s">
        <v>44</v>
      </c>
      <c r="H348" s="8">
        <v>11653784.949999999</v>
      </c>
      <c r="I348" s="8">
        <v>6832058.1299999999</v>
      </c>
      <c r="J348" s="1">
        <f>IF(COUNTIF($C$4:C348,C348)=1,1,0)</f>
        <v>1</v>
      </c>
      <c r="K348" s="1">
        <f t="shared" si="5"/>
        <v>2025</v>
      </c>
    </row>
    <row r="349" spans="2:11" x14ac:dyDescent="0.45">
      <c r="B349" s="1" t="s">
        <v>11</v>
      </c>
      <c r="C349" s="1" t="s">
        <v>363</v>
      </c>
      <c r="D349" s="7">
        <v>45841</v>
      </c>
      <c r="E349" s="7">
        <v>45863</v>
      </c>
      <c r="F349" s="7">
        <v>45902</v>
      </c>
      <c r="G349" s="1" t="s">
        <v>20</v>
      </c>
      <c r="H349" s="8">
        <v>298599.64</v>
      </c>
      <c r="I349" s="8">
        <v>173089.61</v>
      </c>
      <c r="J349" s="1">
        <f>IF(COUNTIF($C$4:C349,C349)=1,1,0)</f>
        <v>1</v>
      </c>
      <c r="K349" s="1">
        <f t="shared" si="5"/>
        <v>2025</v>
      </c>
    </row>
    <row r="350" spans="2:11" x14ac:dyDescent="0.45">
      <c r="B350" s="1" t="s">
        <v>11</v>
      </c>
      <c r="C350" s="1" t="s">
        <v>364</v>
      </c>
      <c r="D350" s="7">
        <v>44228</v>
      </c>
      <c r="E350" s="7">
        <v>44240</v>
      </c>
      <c r="F350" s="7">
        <v>44471</v>
      </c>
      <c r="G350" s="1" t="s">
        <v>44</v>
      </c>
      <c r="H350" s="8">
        <v>123617559.45999999</v>
      </c>
      <c r="I350" s="8">
        <v>67799204.260000005</v>
      </c>
      <c r="J350" s="1">
        <f>IF(COUNTIF($C$4:C350,C350)=1,1,0)</f>
        <v>1</v>
      </c>
      <c r="K350" s="1">
        <f t="shared" si="5"/>
        <v>2021</v>
      </c>
    </row>
    <row r="351" spans="2:11" x14ac:dyDescent="0.45">
      <c r="B351" s="1" t="s">
        <v>11</v>
      </c>
      <c r="C351" s="1" t="s">
        <v>365</v>
      </c>
      <c r="D351" s="7">
        <v>44409</v>
      </c>
      <c r="E351" s="7">
        <v>44434</v>
      </c>
      <c r="F351" s="7">
        <v>44455</v>
      </c>
      <c r="G351" s="1" t="s">
        <v>41</v>
      </c>
      <c r="H351" s="8">
        <v>739658.19</v>
      </c>
      <c r="I351" s="8">
        <v>547591.56000000006</v>
      </c>
      <c r="J351" s="1">
        <f>IF(COUNTIF($C$4:C351,C351)=1,1,0)</f>
        <v>1</v>
      </c>
      <c r="K351" s="1">
        <f t="shared" si="5"/>
        <v>2021</v>
      </c>
    </row>
    <row r="352" spans="2:11" x14ac:dyDescent="0.45">
      <c r="B352" s="1" t="s">
        <v>11</v>
      </c>
      <c r="C352" s="1" t="s">
        <v>366</v>
      </c>
      <c r="D352" s="7">
        <v>44360</v>
      </c>
      <c r="E352" s="7">
        <v>44382</v>
      </c>
      <c r="F352" s="7">
        <v>44473</v>
      </c>
      <c r="G352" s="1" t="s">
        <v>212</v>
      </c>
      <c r="H352" s="8">
        <v>2752031.06</v>
      </c>
      <c r="I352" s="8">
        <v>1407767.05</v>
      </c>
      <c r="J352" s="1">
        <f>IF(COUNTIF($C$4:C352,C352)=1,1,0)</f>
        <v>1</v>
      </c>
      <c r="K352" s="1">
        <f t="shared" si="5"/>
        <v>2021</v>
      </c>
    </row>
    <row r="353" spans="2:11" x14ac:dyDescent="0.45">
      <c r="B353" s="1" t="s">
        <v>11</v>
      </c>
      <c r="C353" s="1" t="s">
        <v>367</v>
      </c>
      <c r="D353" s="7">
        <v>43965</v>
      </c>
      <c r="E353" s="7">
        <v>43984</v>
      </c>
      <c r="F353" s="7">
        <v>44091</v>
      </c>
      <c r="G353" s="1" t="s">
        <v>212</v>
      </c>
      <c r="H353" s="8">
        <v>167055320.69999999</v>
      </c>
      <c r="I353" s="8">
        <v>89419982.659999996</v>
      </c>
      <c r="J353" s="1">
        <f>IF(COUNTIF($C$4:C353,C353)=1,1,0)</f>
        <v>1</v>
      </c>
      <c r="K353" s="1">
        <f t="shared" si="5"/>
        <v>2020</v>
      </c>
    </row>
    <row r="354" spans="2:11" x14ac:dyDescent="0.45">
      <c r="B354" s="1" t="s">
        <v>11</v>
      </c>
      <c r="C354" s="1" t="s">
        <v>368</v>
      </c>
      <c r="D354" s="7">
        <v>44221</v>
      </c>
      <c r="E354" s="7">
        <v>44237</v>
      </c>
      <c r="F354" s="7">
        <v>44412</v>
      </c>
      <c r="G354" s="1" t="s">
        <v>20</v>
      </c>
      <c r="H354" s="8">
        <v>229028012.09999999</v>
      </c>
      <c r="I354" s="8">
        <v>106581889.8</v>
      </c>
      <c r="J354" s="1">
        <f>IF(COUNTIF($C$4:C354,C354)=1,1,0)</f>
        <v>1</v>
      </c>
      <c r="K354" s="1">
        <f t="shared" si="5"/>
        <v>2021</v>
      </c>
    </row>
    <row r="355" spans="2:11" x14ac:dyDescent="0.45">
      <c r="B355" s="1" t="s">
        <v>11</v>
      </c>
      <c r="C355" s="1" t="s">
        <v>369</v>
      </c>
      <c r="D355" s="7">
        <v>45281</v>
      </c>
      <c r="E355" s="7">
        <v>45306</v>
      </c>
      <c r="F355" s="7">
        <v>45427</v>
      </c>
      <c r="G355" s="1" t="s">
        <v>38</v>
      </c>
      <c r="H355" s="8">
        <v>252880.83</v>
      </c>
      <c r="I355" s="8">
        <v>213822.19</v>
      </c>
      <c r="J355" s="1">
        <f>IF(COUNTIF($C$4:C355,C355)=1,1,0)</f>
        <v>1</v>
      </c>
      <c r="K355" s="1">
        <f t="shared" si="5"/>
        <v>2023</v>
      </c>
    </row>
    <row r="356" spans="2:11" x14ac:dyDescent="0.45">
      <c r="B356" s="1" t="s">
        <v>11</v>
      </c>
      <c r="C356" s="1" t="s">
        <v>370</v>
      </c>
      <c r="D356" s="7">
        <v>44240</v>
      </c>
      <c r="E356" s="7">
        <v>44253</v>
      </c>
      <c r="F356" s="7">
        <v>44382</v>
      </c>
      <c r="G356" s="1" t="s">
        <v>20</v>
      </c>
      <c r="H356" s="8">
        <v>320538.01</v>
      </c>
      <c r="I356" s="8">
        <v>210833.13</v>
      </c>
      <c r="J356" s="1">
        <f>IF(COUNTIF($C$4:C356,C356)=1,1,0)</f>
        <v>1</v>
      </c>
      <c r="K356" s="1">
        <f t="shared" si="5"/>
        <v>2021</v>
      </c>
    </row>
    <row r="357" spans="2:11" x14ac:dyDescent="0.45">
      <c r="B357" s="1" t="s">
        <v>11</v>
      </c>
      <c r="C357" s="1" t="s">
        <v>371</v>
      </c>
      <c r="D357" s="7">
        <v>45951</v>
      </c>
      <c r="E357" s="7">
        <v>45963</v>
      </c>
      <c r="F357" s="7">
        <v>46142</v>
      </c>
      <c r="G357" s="1" t="s">
        <v>44</v>
      </c>
      <c r="H357" s="8">
        <v>58353893.060000002</v>
      </c>
      <c r="I357" s="8">
        <v>34439583.899999999</v>
      </c>
      <c r="J357" s="1">
        <f>IF(COUNTIF($C$4:C357,C357)=1,1,0)</f>
        <v>1</v>
      </c>
      <c r="K357" s="1">
        <f t="shared" si="5"/>
        <v>2025</v>
      </c>
    </row>
    <row r="358" spans="2:11" x14ac:dyDescent="0.45">
      <c r="B358" s="1" t="s">
        <v>11</v>
      </c>
      <c r="C358" s="1" t="s">
        <v>372</v>
      </c>
      <c r="D358" s="7">
        <v>43214</v>
      </c>
      <c r="E358" s="7">
        <v>43240</v>
      </c>
      <c r="F358" s="7">
        <v>43419</v>
      </c>
      <c r="G358" s="1" t="s">
        <v>16</v>
      </c>
      <c r="H358" s="8">
        <v>1223746.48</v>
      </c>
      <c r="I358" s="8">
        <v>912524.86</v>
      </c>
      <c r="J358" s="1">
        <f>IF(COUNTIF($C$4:C358,C358)=1,1,0)</f>
        <v>1</v>
      </c>
      <c r="K358" s="1">
        <f t="shared" si="5"/>
        <v>2018</v>
      </c>
    </row>
    <row r="359" spans="2:11" x14ac:dyDescent="0.45">
      <c r="B359" s="1" t="s">
        <v>11</v>
      </c>
      <c r="C359" s="1" t="s">
        <v>373</v>
      </c>
      <c r="D359" s="7">
        <v>45182</v>
      </c>
      <c r="E359" s="7">
        <v>45194</v>
      </c>
      <c r="F359" s="7">
        <v>45321</v>
      </c>
      <c r="G359" s="1" t="s">
        <v>16</v>
      </c>
      <c r="H359" s="8">
        <v>4843623.3</v>
      </c>
      <c r="I359" s="8">
        <v>3824728.39</v>
      </c>
      <c r="J359" s="1">
        <f>IF(COUNTIF($C$4:C359,C359)=1,1,0)</f>
        <v>1</v>
      </c>
      <c r="K359" s="1">
        <f t="shared" si="5"/>
        <v>2023</v>
      </c>
    </row>
    <row r="360" spans="2:11" x14ac:dyDescent="0.45">
      <c r="B360" s="1" t="s">
        <v>11</v>
      </c>
      <c r="C360" s="1" t="s">
        <v>374</v>
      </c>
      <c r="D360" s="7">
        <v>45498</v>
      </c>
      <c r="E360" s="7">
        <v>45520</v>
      </c>
      <c r="F360" s="7">
        <v>45756</v>
      </c>
      <c r="G360" s="1" t="s">
        <v>22</v>
      </c>
      <c r="H360" s="8">
        <v>56027845.200000003</v>
      </c>
      <c r="I360" s="8">
        <v>30507760.829999998</v>
      </c>
      <c r="J360" s="1">
        <f>IF(COUNTIF($C$4:C360,C360)=1,1,0)</f>
        <v>1</v>
      </c>
      <c r="K360" s="1">
        <f t="shared" si="5"/>
        <v>2024</v>
      </c>
    </row>
    <row r="361" spans="2:11" x14ac:dyDescent="0.45">
      <c r="B361" s="1" t="s">
        <v>11</v>
      </c>
      <c r="C361" s="1" t="s">
        <v>375</v>
      </c>
      <c r="D361" s="7">
        <v>44673</v>
      </c>
      <c r="E361" s="7">
        <v>44677</v>
      </c>
      <c r="F361" s="7">
        <v>44830</v>
      </c>
      <c r="G361" s="1" t="s">
        <v>41</v>
      </c>
      <c r="H361" s="8">
        <v>218589.07</v>
      </c>
      <c r="I361" s="8">
        <v>186494.75</v>
      </c>
      <c r="J361" s="1">
        <f>IF(COUNTIF($C$4:C361,C361)=1,1,0)</f>
        <v>1</v>
      </c>
      <c r="K361" s="1">
        <f t="shared" si="5"/>
        <v>2022</v>
      </c>
    </row>
    <row r="362" spans="2:11" x14ac:dyDescent="0.45">
      <c r="B362" s="1" t="s">
        <v>11</v>
      </c>
      <c r="C362" s="1" t="s">
        <v>376</v>
      </c>
      <c r="D362" s="7">
        <v>43848</v>
      </c>
      <c r="E362" s="7">
        <v>43861</v>
      </c>
      <c r="F362" s="7">
        <v>44022</v>
      </c>
      <c r="G362" s="1" t="s">
        <v>20</v>
      </c>
      <c r="H362" s="8">
        <v>73773.320000000007</v>
      </c>
      <c r="I362" s="8">
        <v>56399.79</v>
      </c>
      <c r="J362" s="1">
        <f>IF(COUNTIF($C$4:C362,C362)=1,1,0)</f>
        <v>1</v>
      </c>
      <c r="K362" s="1">
        <f t="shared" si="5"/>
        <v>2020</v>
      </c>
    </row>
    <row r="363" spans="2:11" x14ac:dyDescent="0.45">
      <c r="B363" s="1" t="s">
        <v>11</v>
      </c>
      <c r="C363" s="1" t="s">
        <v>377</v>
      </c>
      <c r="D363" s="7">
        <v>44818</v>
      </c>
      <c r="E363" s="7">
        <v>44818</v>
      </c>
      <c r="F363" s="7">
        <v>44970</v>
      </c>
      <c r="G363" s="1" t="s">
        <v>22</v>
      </c>
      <c r="H363" s="8">
        <v>8341996.0499999998</v>
      </c>
      <c r="I363" s="8">
        <v>4511702.0599999996</v>
      </c>
      <c r="J363" s="1">
        <f>IF(COUNTIF($C$4:C363,C363)=1,1,0)</f>
        <v>1</v>
      </c>
      <c r="K363" s="1">
        <f t="shared" si="5"/>
        <v>2022</v>
      </c>
    </row>
    <row r="364" spans="2:11" x14ac:dyDescent="0.45">
      <c r="B364" s="1" t="s">
        <v>11</v>
      </c>
      <c r="C364" s="1" t="s">
        <v>378</v>
      </c>
      <c r="D364" s="7">
        <v>44152</v>
      </c>
      <c r="E364" s="7">
        <v>44174</v>
      </c>
      <c r="F364" s="7">
        <v>44279</v>
      </c>
      <c r="G364" s="1" t="s">
        <v>212</v>
      </c>
      <c r="H364" s="8">
        <v>42472094.229999997</v>
      </c>
      <c r="I364" s="8">
        <v>23260623.890000001</v>
      </c>
      <c r="J364" s="1">
        <f>IF(COUNTIF($C$4:C364,C364)=1,1,0)</f>
        <v>1</v>
      </c>
      <c r="K364" s="1">
        <f t="shared" si="5"/>
        <v>2020</v>
      </c>
    </row>
    <row r="365" spans="2:11" x14ac:dyDescent="0.45">
      <c r="B365" s="1" t="s">
        <v>11</v>
      </c>
      <c r="C365" s="1" t="s">
        <v>379</v>
      </c>
      <c r="D365" s="7">
        <v>44583</v>
      </c>
      <c r="E365" s="7">
        <v>44607</v>
      </c>
      <c r="F365" s="7">
        <v>44629</v>
      </c>
      <c r="G365" s="1" t="s">
        <v>212</v>
      </c>
      <c r="H365" s="8">
        <v>36819198.109999999</v>
      </c>
      <c r="I365" s="8">
        <v>24901658.530000001</v>
      </c>
      <c r="J365" s="1">
        <f>IF(COUNTIF($C$4:C365,C365)=1,1,0)</f>
        <v>1</v>
      </c>
      <c r="K365" s="1">
        <f t="shared" si="5"/>
        <v>2022</v>
      </c>
    </row>
    <row r="366" spans="2:11" x14ac:dyDescent="0.45">
      <c r="B366" s="1" t="s">
        <v>11</v>
      </c>
      <c r="C366" s="1" t="s">
        <v>380</v>
      </c>
      <c r="D366" s="7">
        <v>43626</v>
      </c>
      <c r="E366" s="7">
        <v>43636</v>
      </c>
      <c r="F366" s="7">
        <v>43665</v>
      </c>
      <c r="G366" s="1" t="s">
        <v>18</v>
      </c>
      <c r="H366" s="8">
        <v>1782523.04</v>
      </c>
      <c r="I366" s="8">
        <v>1345543.62</v>
      </c>
      <c r="J366" s="1">
        <f>IF(COUNTIF($C$4:C366,C366)=1,1,0)</f>
        <v>1</v>
      </c>
      <c r="K366" s="1">
        <f t="shared" si="5"/>
        <v>2019</v>
      </c>
    </row>
    <row r="367" spans="2:11" x14ac:dyDescent="0.45">
      <c r="B367" s="1" t="s">
        <v>11</v>
      </c>
      <c r="C367" s="1" t="s">
        <v>381</v>
      </c>
      <c r="D367" s="7">
        <v>45199</v>
      </c>
      <c r="E367" s="7">
        <v>45209</v>
      </c>
      <c r="F367" s="7">
        <v>45413</v>
      </c>
      <c r="G367" s="1" t="s">
        <v>18</v>
      </c>
      <c r="H367" s="8">
        <v>1476004.95</v>
      </c>
      <c r="I367" s="8">
        <v>1194120.21</v>
      </c>
      <c r="J367" s="1">
        <f>IF(COUNTIF($C$4:C367,C367)=1,1,0)</f>
        <v>1</v>
      </c>
      <c r="K367" s="1">
        <f t="shared" si="5"/>
        <v>2023</v>
      </c>
    </row>
    <row r="368" spans="2:11" x14ac:dyDescent="0.45">
      <c r="B368" s="1" t="s">
        <v>11</v>
      </c>
      <c r="C368" s="1" t="s">
        <v>382</v>
      </c>
      <c r="D368" s="7">
        <v>45229</v>
      </c>
      <c r="E368" s="7">
        <v>45232</v>
      </c>
      <c r="F368" s="7">
        <v>45331</v>
      </c>
      <c r="G368" s="1" t="s">
        <v>212</v>
      </c>
      <c r="H368" s="8">
        <v>14212801.119999999</v>
      </c>
      <c r="I368" s="8">
        <v>9353828.2599999998</v>
      </c>
      <c r="J368" s="1">
        <f>IF(COUNTIF($C$4:C368,C368)=1,1,0)</f>
        <v>1</v>
      </c>
      <c r="K368" s="1">
        <f t="shared" si="5"/>
        <v>2023</v>
      </c>
    </row>
    <row r="369" spans="2:11" x14ac:dyDescent="0.45">
      <c r="B369" s="1" t="s">
        <v>11</v>
      </c>
      <c r="C369" s="1" t="s">
        <v>383</v>
      </c>
      <c r="D369" s="7">
        <v>45324</v>
      </c>
      <c r="E369" s="7">
        <v>45341</v>
      </c>
      <c r="F369" s="7">
        <v>45357</v>
      </c>
      <c r="G369" s="1" t="s">
        <v>18</v>
      </c>
      <c r="H369" s="8">
        <v>2585849.7200000002</v>
      </c>
      <c r="I369" s="8">
        <v>1998283.8</v>
      </c>
      <c r="J369" s="1">
        <f>IF(COUNTIF($C$4:C369,C369)=1,1,0)</f>
        <v>1</v>
      </c>
      <c r="K369" s="1">
        <f t="shared" si="5"/>
        <v>2024</v>
      </c>
    </row>
    <row r="370" spans="2:11" x14ac:dyDescent="0.45">
      <c r="B370" s="1" t="s">
        <v>11</v>
      </c>
      <c r="C370" s="1" t="s">
        <v>384</v>
      </c>
      <c r="D370" s="7">
        <v>45828</v>
      </c>
      <c r="E370" s="7">
        <v>45847</v>
      </c>
      <c r="F370" s="7">
        <v>46076</v>
      </c>
      <c r="G370" s="1" t="s">
        <v>18</v>
      </c>
      <c r="H370" s="8">
        <v>1341452.45</v>
      </c>
      <c r="I370" s="8">
        <v>1030636.13</v>
      </c>
      <c r="J370" s="1">
        <f>IF(COUNTIF($C$4:C370,C370)=1,1,0)</f>
        <v>1</v>
      </c>
      <c r="K370" s="1">
        <f t="shared" si="5"/>
        <v>2025</v>
      </c>
    </row>
    <row r="371" spans="2:11" x14ac:dyDescent="0.45">
      <c r="B371" s="1" t="s">
        <v>11</v>
      </c>
      <c r="C371" s="1" t="s">
        <v>385</v>
      </c>
      <c r="D371" s="7">
        <v>44002</v>
      </c>
      <c r="E371" s="7">
        <v>44026</v>
      </c>
      <c r="F371" s="7">
        <v>44230</v>
      </c>
      <c r="G371" s="1" t="s">
        <v>16</v>
      </c>
      <c r="H371" s="8">
        <v>2195160.19</v>
      </c>
      <c r="I371" s="8">
        <v>1312629.02</v>
      </c>
      <c r="J371" s="1">
        <f>IF(COUNTIF($C$4:C371,C371)=1,1,0)</f>
        <v>1</v>
      </c>
      <c r="K371" s="1">
        <f t="shared" si="5"/>
        <v>2020</v>
      </c>
    </row>
    <row r="372" spans="2:11" x14ac:dyDescent="0.45">
      <c r="B372" s="1" t="s">
        <v>11</v>
      </c>
      <c r="C372" s="1" t="s">
        <v>386</v>
      </c>
      <c r="D372" s="7">
        <v>44355</v>
      </c>
      <c r="E372" s="7">
        <v>44384</v>
      </c>
      <c r="F372" s="7">
        <v>44512</v>
      </c>
      <c r="G372" s="1" t="s">
        <v>41</v>
      </c>
      <c r="H372" s="8">
        <v>155420.67000000001</v>
      </c>
      <c r="I372" s="8">
        <v>113549.75999999999</v>
      </c>
      <c r="J372" s="1">
        <f>IF(COUNTIF($C$4:C372,C372)=1,1,0)</f>
        <v>1</v>
      </c>
      <c r="K372" s="1">
        <f t="shared" si="5"/>
        <v>2021</v>
      </c>
    </row>
    <row r="373" spans="2:11" x14ac:dyDescent="0.45">
      <c r="B373" s="1" t="s">
        <v>11</v>
      </c>
      <c r="C373" s="1" t="s">
        <v>387</v>
      </c>
      <c r="D373" s="7">
        <v>45101</v>
      </c>
      <c r="E373" s="7">
        <v>45110</v>
      </c>
      <c r="F373" s="7">
        <v>45179</v>
      </c>
      <c r="G373" s="1" t="s">
        <v>20</v>
      </c>
      <c r="H373" s="8">
        <v>640323.28</v>
      </c>
      <c r="I373" s="8">
        <v>407700.58</v>
      </c>
      <c r="J373" s="1">
        <f>IF(COUNTIF($C$4:C373,C373)=1,1,0)</f>
        <v>1</v>
      </c>
      <c r="K373" s="1">
        <f t="shared" si="5"/>
        <v>2023</v>
      </c>
    </row>
    <row r="374" spans="2:11" x14ac:dyDescent="0.45">
      <c r="B374" s="1" t="s">
        <v>11</v>
      </c>
      <c r="C374" s="1" t="s">
        <v>388</v>
      </c>
      <c r="D374" s="7">
        <v>45732</v>
      </c>
      <c r="E374" s="7">
        <v>45760</v>
      </c>
      <c r="F374" s="7">
        <v>45797</v>
      </c>
      <c r="G374" s="1" t="s">
        <v>212</v>
      </c>
      <c r="H374" s="8">
        <v>43321559.380000003</v>
      </c>
      <c r="I374" s="8">
        <v>33631484.729999997</v>
      </c>
      <c r="J374" s="1">
        <f>IF(COUNTIF($C$4:C374,C374)=1,1,0)</f>
        <v>1</v>
      </c>
      <c r="K374" s="1">
        <f t="shared" si="5"/>
        <v>2025</v>
      </c>
    </row>
    <row r="375" spans="2:11" x14ac:dyDescent="0.45">
      <c r="B375" s="1" t="s">
        <v>11</v>
      </c>
      <c r="C375" s="1" t="s">
        <v>389</v>
      </c>
      <c r="D375" s="7">
        <v>44160</v>
      </c>
      <c r="E375" s="7">
        <v>44161</v>
      </c>
      <c r="F375" s="7">
        <v>44177</v>
      </c>
      <c r="G375" s="1" t="s">
        <v>22</v>
      </c>
      <c r="H375" s="8">
        <v>33916528.939999998</v>
      </c>
      <c r="I375" s="8">
        <v>17568619.190000001</v>
      </c>
      <c r="J375" s="1">
        <f>IF(COUNTIF($C$4:C375,C375)=1,1,0)</f>
        <v>1</v>
      </c>
      <c r="K375" s="1">
        <f t="shared" si="5"/>
        <v>2020</v>
      </c>
    </row>
    <row r="376" spans="2:11" x14ac:dyDescent="0.45">
      <c r="B376" s="1" t="s">
        <v>11</v>
      </c>
      <c r="C376" s="1" t="s">
        <v>390</v>
      </c>
      <c r="D376" s="7">
        <v>46176</v>
      </c>
      <c r="E376" s="7">
        <v>46205</v>
      </c>
      <c r="F376" s="7">
        <v>46304</v>
      </c>
      <c r="G376" s="1" t="s">
        <v>20</v>
      </c>
      <c r="H376" s="8">
        <v>1309832.06</v>
      </c>
      <c r="I376" s="8">
        <v>851400.25</v>
      </c>
      <c r="J376" s="1">
        <f>IF(COUNTIF($C$4:C376,C376)=1,1,0)</f>
        <v>1</v>
      </c>
      <c r="K376" s="1">
        <f t="shared" si="5"/>
        <v>2026</v>
      </c>
    </row>
    <row r="377" spans="2:11" x14ac:dyDescent="0.45">
      <c r="B377" s="1" t="s">
        <v>11</v>
      </c>
      <c r="C377" s="1" t="s">
        <v>391</v>
      </c>
      <c r="D377" s="7">
        <v>43225</v>
      </c>
      <c r="E377" s="7">
        <v>43251</v>
      </c>
      <c r="F377" s="7">
        <v>43485</v>
      </c>
      <c r="G377" s="1" t="s">
        <v>41</v>
      </c>
      <c r="H377" s="8">
        <v>509430.01</v>
      </c>
      <c r="I377" s="8">
        <v>437930.26</v>
      </c>
      <c r="J377" s="1">
        <f>IF(COUNTIF($C$4:C377,C377)=1,1,0)</f>
        <v>1</v>
      </c>
      <c r="K377" s="1">
        <f t="shared" si="5"/>
        <v>2018</v>
      </c>
    </row>
    <row r="378" spans="2:11" x14ac:dyDescent="0.45">
      <c r="B378" s="1" t="s">
        <v>11</v>
      </c>
      <c r="C378" s="1" t="s">
        <v>392</v>
      </c>
      <c r="D378" s="7">
        <v>43260</v>
      </c>
      <c r="E378" s="7">
        <v>43264</v>
      </c>
      <c r="F378" s="7">
        <v>43326</v>
      </c>
      <c r="G378" s="1" t="s">
        <v>212</v>
      </c>
      <c r="H378" s="8">
        <v>4162076.1</v>
      </c>
      <c r="I378" s="8">
        <v>2663175.2400000002</v>
      </c>
      <c r="J378" s="1">
        <f>IF(COUNTIF($C$4:C378,C378)=1,1,0)</f>
        <v>1</v>
      </c>
      <c r="K378" s="1">
        <f t="shared" si="5"/>
        <v>2018</v>
      </c>
    </row>
    <row r="379" spans="2:11" x14ac:dyDescent="0.45">
      <c r="B379" s="1" t="s">
        <v>11</v>
      </c>
      <c r="C379" s="1" t="s">
        <v>393</v>
      </c>
      <c r="D379" s="7">
        <v>44521</v>
      </c>
      <c r="E379" s="7">
        <v>44541</v>
      </c>
      <c r="F379" s="7">
        <v>44695</v>
      </c>
      <c r="G379" s="1" t="s">
        <v>20</v>
      </c>
      <c r="H379" s="8">
        <v>390646.14</v>
      </c>
      <c r="I379" s="8">
        <v>293027.77</v>
      </c>
      <c r="J379" s="1">
        <f>IF(COUNTIF($C$4:C379,C379)=1,1,0)</f>
        <v>1</v>
      </c>
      <c r="K379" s="1">
        <f t="shared" si="5"/>
        <v>2021</v>
      </c>
    </row>
    <row r="380" spans="2:11" x14ac:dyDescent="0.45">
      <c r="B380" s="1" t="s">
        <v>11</v>
      </c>
      <c r="C380" s="1" t="s">
        <v>394</v>
      </c>
      <c r="D380" s="7">
        <v>46151</v>
      </c>
      <c r="E380" s="7">
        <v>46176</v>
      </c>
      <c r="F380" s="7">
        <v>46387</v>
      </c>
      <c r="G380" s="1" t="s">
        <v>20</v>
      </c>
      <c r="H380" s="8">
        <v>155020592.19</v>
      </c>
      <c r="I380" s="8">
        <v>104946177.29000001</v>
      </c>
      <c r="J380" s="1">
        <f>IF(COUNTIF($C$4:C380,C380)=1,1,0)</f>
        <v>1</v>
      </c>
      <c r="K380" s="1">
        <f t="shared" si="5"/>
        <v>2026</v>
      </c>
    </row>
    <row r="381" spans="2:11" x14ac:dyDescent="0.45">
      <c r="B381" s="1" t="s">
        <v>11</v>
      </c>
      <c r="C381" s="1" t="s">
        <v>395</v>
      </c>
      <c r="D381" s="7">
        <v>46275</v>
      </c>
      <c r="E381" s="7">
        <v>46284</v>
      </c>
      <c r="F381" s="7">
        <v>46416</v>
      </c>
      <c r="G381" s="1" t="s">
        <v>38</v>
      </c>
      <c r="H381" s="8">
        <v>2563256.12</v>
      </c>
      <c r="I381" s="8">
        <v>1856072.83</v>
      </c>
      <c r="J381" s="1">
        <f>IF(COUNTIF($C$4:C381,C381)=1,1,0)</f>
        <v>1</v>
      </c>
      <c r="K381" s="1">
        <f t="shared" si="5"/>
        <v>2026</v>
      </c>
    </row>
    <row r="382" spans="2:11" x14ac:dyDescent="0.45">
      <c r="B382" s="1" t="s">
        <v>11</v>
      </c>
      <c r="C382" s="1" t="s">
        <v>396</v>
      </c>
      <c r="D382" s="7">
        <v>45451</v>
      </c>
      <c r="E382" s="7">
        <v>45475</v>
      </c>
      <c r="F382" s="7">
        <v>45702</v>
      </c>
      <c r="G382" s="1" t="s">
        <v>20</v>
      </c>
      <c r="H382" s="8">
        <v>30081638.800000001</v>
      </c>
      <c r="I382" s="8">
        <v>17659764.949999999</v>
      </c>
      <c r="J382" s="1">
        <f>IF(COUNTIF($C$4:C382,C382)=1,1,0)</f>
        <v>1</v>
      </c>
      <c r="K382" s="1">
        <f t="shared" si="5"/>
        <v>2024</v>
      </c>
    </row>
    <row r="383" spans="2:11" x14ac:dyDescent="0.45">
      <c r="B383" s="1" t="s">
        <v>11</v>
      </c>
      <c r="C383" s="1" t="s">
        <v>110</v>
      </c>
      <c r="D383" s="7">
        <v>43476</v>
      </c>
      <c r="E383" s="7">
        <v>43484</v>
      </c>
      <c r="F383" s="7">
        <v>43580</v>
      </c>
      <c r="G383" s="1" t="s">
        <v>41</v>
      </c>
      <c r="H383" s="8">
        <v>199782.92</v>
      </c>
      <c r="I383" s="8">
        <v>155460.14000000001</v>
      </c>
      <c r="J383" s="1">
        <f>IF(COUNTIF($C$4:C383,C383)=1,1,0)</f>
        <v>0</v>
      </c>
      <c r="K383" s="1">
        <f t="shared" si="5"/>
        <v>2019</v>
      </c>
    </row>
    <row r="384" spans="2:11" x14ac:dyDescent="0.45">
      <c r="B384" s="1" t="s">
        <v>11</v>
      </c>
      <c r="C384" s="1" t="s">
        <v>397</v>
      </c>
      <c r="D384" s="7">
        <v>44553</v>
      </c>
      <c r="E384" s="7">
        <v>44574</v>
      </c>
      <c r="F384" s="7">
        <v>44589</v>
      </c>
      <c r="G384" s="1" t="s">
        <v>22</v>
      </c>
      <c r="H384" s="8">
        <v>8902543.0399999991</v>
      </c>
      <c r="I384" s="8">
        <v>2969659.5</v>
      </c>
      <c r="J384" s="1">
        <f>IF(COUNTIF($C$4:C384,C384)=1,1,0)</f>
        <v>1</v>
      </c>
      <c r="K384" s="1">
        <f t="shared" si="5"/>
        <v>2021</v>
      </c>
    </row>
    <row r="385" spans="2:11" x14ac:dyDescent="0.45">
      <c r="B385" s="1" t="s">
        <v>11</v>
      </c>
      <c r="C385" s="1" t="s">
        <v>398</v>
      </c>
      <c r="D385" s="7">
        <v>45902</v>
      </c>
      <c r="E385" s="7">
        <v>45929</v>
      </c>
      <c r="F385" s="7">
        <v>46130</v>
      </c>
      <c r="G385" s="1" t="s">
        <v>38</v>
      </c>
      <c r="H385" s="8">
        <v>91164.41</v>
      </c>
      <c r="I385" s="8">
        <v>80381.88</v>
      </c>
      <c r="J385" s="1">
        <f>IF(COUNTIF($C$4:C385,C385)=1,1,0)</f>
        <v>1</v>
      </c>
      <c r="K385" s="1">
        <f t="shared" si="5"/>
        <v>2025</v>
      </c>
    </row>
    <row r="386" spans="2:11" x14ac:dyDescent="0.45">
      <c r="B386" s="1" t="s">
        <v>11</v>
      </c>
      <c r="C386" s="1" t="s">
        <v>399</v>
      </c>
      <c r="D386" s="7">
        <v>44268</v>
      </c>
      <c r="E386" s="7">
        <v>44279</v>
      </c>
      <c r="F386" s="7">
        <v>44405</v>
      </c>
      <c r="G386" s="1" t="s">
        <v>16</v>
      </c>
      <c r="H386" s="8">
        <v>7783077.8099999996</v>
      </c>
      <c r="I386" s="8">
        <v>4267307.67</v>
      </c>
      <c r="J386" s="1">
        <f>IF(COUNTIF($C$4:C386,C386)=1,1,0)</f>
        <v>1</v>
      </c>
      <c r="K386" s="1">
        <f t="shared" si="5"/>
        <v>2021</v>
      </c>
    </row>
    <row r="387" spans="2:11" x14ac:dyDescent="0.45">
      <c r="B387" s="1" t="s">
        <v>11</v>
      </c>
      <c r="C387" s="1" t="s">
        <v>400</v>
      </c>
      <c r="D387" s="7">
        <v>45471</v>
      </c>
      <c r="E387" s="7">
        <v>45490</v>
      </c>
      <c r="F387" s="7">
        <v>45721</v>
      </c>
      <c r="G387" s="1" t="s">
        <v>38</v>
      </c>
      <c r="H387" s="8">
        <v>203587.4</v>
      </c>
      <c r="I387" s="8">
        <v>157337.47</v>
      </c>
      <c r="J387" s="1">
        <f>IF(COUNTIF($C$4:C387,C387)=1,1,0)</f>
        <v>1</v>
      </c>
      <c r="K387" s="1">
        <f t="shared" si="5"/>
        <v>2024</v>
      </c>
    </row>
    <row r="388" spans="2:11" x14ac:dyDescent="0.45">
      <c r="B388" s="1" t="s">
        <v>11</v>
      </c>
      <c r="C388" s="1" t="s">
        <v>401</v>
      </c>
      <c r="D388" s="7">
        <v>45480</v>
      </c>
      <c r="E388" s="7">
        <v>45483</v>
      </c>
      <c r="F388" s="7">
        <v>45654</v>
      </c>
      <c r="G388" s="1" t="s">
        <v>18</v>
      </c>
      <c r="H388" s="8">
        <v>27368806.82</v>
      </c>
      <c r="I388" s="8">
        <v>21618737.190000001</v>
      </c>
      <c r="J388" s="1">
        <f>IF(COUNTIF($C$4:C388,C388)=1,1,0)</f>
        <v>1</v>
      </c>
      <c r="K388" s="1">
        <f t="shared" si="5"/>
        <v>2024</v>
      </c>
    </row>
    <row r="389" spans="2:11" x14ac:dyDescent="0.45">
      <c r="B389" s="1" t="s">
        <v>11</v>
      </c>
      <c r="C389" s="1" t="s">
        <v>402</v>
      </c>
      <c r="D389" s="7">
        <v>45149</v>
      </c>
      <c r="E389" s="7">
        <v>45177</v>
      </c>
      <c r="F389" s="7">
        <v>45276</v>
      </c>
      <c r="G389" s="1" t="s">
        <v>16</v>
      </c>
      <c r="H389" s="8">
        <v>6186139.2300000004</v>
      </c>
      <c r="I389" s="8">
        <v>4587370.3899999997</v>
      </c>
      <c r="J389" s="1">
        <f>IF(COUNTIF($C$4:C389,C389)=1,1,0)</f>
        <v>1</v>
      </c>
      <c r="K389" s="1">
        <f t="shared" ref="K389:K452" si="6">YEAR(D389)</f>
        <v>2023</v>
      </c>
    </row>
    <row r="390" spans="2:11" x14ac:dyDescent="0.45">
      <c r="B390" s="1" t="s">
        <v>11</v>
      </c>
      <c r="C390" s="1" t="s">
        <v>403</v>
      </c>
      <c r="D390" s="7">
        <v>44460</v>
      </c>
      <c r="E390" s="7">
        <v>44475</v>
      </c>
      <c r="F390" s="7">
        <v>44668</v>
      </c>
      <c r="G390" s="1" t="s">
        <v>16</v>
      </c>
      <c r="H390" s="8">
        <v>6009107.29</v>
      </c>
      <c r="I390" s="8">
        <v>4074387.64</v>
      </c>
      <c r="J390" s="1">
        <f>IF(COUNTIF($C$4:C390,C390)=1,1,0)</f>
        <v>1</v>
      </c>
      <c r="K390" s="1">
        <f t="shared" si="6"/>
        <v>2021</v>
      </c>
    </row>
    <row r="391" spans="2:11" x14ac:dyDescent="0.45">
      <c r="B391" s="1" t="s">
        <v>11</v>
      </c>
      <c r="C391" s="1" t="s">
        <v>404</v>
      </c>
      <c r="D391" s="7">
        <v>43576</v>
      </c>
      <c r="E391" s="7">
        <v>43589</v>
      </c>
      <c r="F391" s="7">
        <v>43596</v>
      </c>
      <c r="G391" s="1" t="s">
        <v>41</v>
      </c>
      <c r="H391" s="8">
        <v>363869.25</v>
      </c>
      <c r="I391" s="8">
        <v>275518.5</v>
      </c>
      <c r="J391" s="1">
        <f>IF(COUNTIF($C$4:C391,C391)=1,1,0)</f>
        <v>1</v>
      </c>
      <c r="K391" s="1">
        <f t="shared" si="6"/>
        <v>2019</v>
      </c>
    </row>
    <row r="392" spans="2:11" x14ac:dyDescent="0.45">
      <c r="B392" s="1" t="s">
        <v>11</v>
      </c>
      <c r="C392" s="1" t="s">
        <v>405</v>
      </c>
      <c r="D392" s="7">
        <v>43952</v>
      </c>
      <c r="E392" s="7">
        <v>43953</v>
      </c>
      <c r="F392" s="7">
        <v>44014</v>
      </c>
      <c r="G392" s="1" t="s">
        <v>18</v>
      </c>
      <c r="H392" s="8">
        <v>4163644.55</v>
      </c>
      <c r="I392" s="8">
        <v>2891061.37</v>
      </c>
      <c r="J392" s="1">
        <f>IF(COUNTIF($C$4:C392,C392)=1,1,0)</f>
        <v>1</v>
      </c>
      <c r="K392" s="1">
        <f t="shared" si="6"/>
        <v>2020</v>
      </c>
    </row>
    <row r="393" spans="2:11" x14ac:dyDescent="0.45">
      <c r="B393" s="1" t="s">
        <v>11</v>
      </c>
      <c r="C393" s="1" t="s">
        <v>406</v>
      </c>
      <c r="D393" s="7">
        <v>43402</v>
      </c>
      <c r="E393" s="7">
        <v>43426</v>
      </c>
      <c r="F393" s="7">
        <v>43438</v>
      </c>
      <c r="G393" s="1" t="s">
        <v>18</v>
      </c>
      <c r="H393" s="8">
        <v>27242264.100000001</v>
      </c>
      <c r="I393" s="8">
        <v>18596518.289999999</v>
      </c>
      <c r="J393" s="1">
        <f>IF(COUNTIF($C$4:C393,C393)=1,1,0)</f>
        <v>1</v>
      </c>
      <c r="K393" s="1">
        <f t="shared" si="6"/>
        <v>2018</v>
      </c>
    </row>
    <row r="394" spans="2:11" x14ac:dyDescent="0.45">
      <c r="B394" s="1" t="s">
        <v>11</v>
      </c>
      <c r="C394" s="1" t="s">
        <v>407</v>
      </c>
      <c r="D394" s="7">
        <v>44716</v>
      </c>
      <c r="E394" s="7">
        <v>44746</v>
      </c>
      <c r="F394" s="7">
        <v>44912</v>
      </c>
      <c r="G394" s="1" t="s">
        <v>20</v>
      </c>
      <c r="H394" s="8">
        <v>497287.01</v>
      </c>
      <c r="I394" s="8">
        <v>309787.23</v>
      </c>
      <c r="J394" s="1">
        <f>IF(COUNTIF($C$4:C394,C394)=1,1,0)</f>
        <v>1</v>
      </c>
      <c r="K394" s="1">
        <f t="shared" si="6"/>
        <v>2022</v>
      </c>
    </row>
    <row r="395" spans="2:11" x14ac:dyDescent="0.45">
      <c r="B395" s="1" t="s">
        <v>11</v>
      </c>
      <c r="C395" s="1" t="s">
        <v>408</v>
      </c>
      <c r="D395" s="7">
        <v>43476</v>
      </c>
      <c r="E395" s="7">
        <v>43482</v>
      </c>
      <c r="F395" s="7">
        <v>43681</v>
      </c>
      <c r="G395" s="1" t="s">
        <v>38</v>
      </c>
      <c r="H395" s="8">
        <v>972470.13</v>
      </c>
      <c r="I395" s="8">
        <v>716917.1</v>
      </c>
      <c r="J395" s="1">
        <f>IF(COUNTIF($C$4:C395,C395)=1,1,0)</f>
        <v>1</v>
      </c>
      <c r="K395" s="1">
        <f t="shared" si="6"/>
        <v>2019</v>
      </c>
    </row>
    <row r="396" spans="2:11" x14ac:dyDescent="0.45">
      <c r="B396" s="1" t="s">
        <v>11</v>
      </c>
      <c r="C396" s="1" t="s">
        <v>409</v>
      </c>
      <c r="D396" s="7">
        <v>43647</v>
      </c>
      <c r="E396" s="7">
        <v>43657</v>
      </c>
      <c r="F396" s="7">
        <v>43758</v>
      </c>
      <c r="G396" s="1" t="s">
        <v>20</v>
      </c>
      <c r="H396" s="8">
        <v>4513238.58</v>
      </c>
      <c r="I396" s="8">
        <v>3405763.49</v>
      </c>
      <c r="J396" s="1">
        <f>IF(COUNTIF($C$4:C396,C396)=1,1,0)</f>
        <v>1</v>
      </c>
      <c r="K396" s="1">
        <f t="shared" si="6"/>
        <v>2019</v>
      </c>
    </row>
    <row r="397" spans="2:11" x14ac:dyDescent="0.45">
      <c r="B397" s="1" t="s">
        <v>11</v>
      </c>
      <c r="C397" s="1" t="s">
        <v>410</v>
      </c>
      <c r="D397" s="7">
        <v>45588</v>
      </c>
      <c r="E397" s="7">
        <v>45606</v>
      </c>
      <c r="F397" s="7">
        <v>45731</v>
      </c>
      <c r="G397" s="1" t="s">
        <v>16</v>
      </c>
      <c r="H397" s="8">
        <v>210018.34</v>
      </c>
      <c r="I397" s="8">
        <v>136516.73000000001</v>
      </c>
      <c r="J397" s="1">
        <f>IF(COUNTIF($C$4:C397,C397)=1,1,0)</f>
        <v>1</v>
      </c>
      <c r="K397" s="1">
        <f t="shared" si="6"/>
        <v>2024</v>
      </c>
    </row>
    <row r="398" spans="2:11" x14ac:dyDescent="0.45">
      <c r="B398" s="1" t="s">
        <v>11</v>
      </c>
      <c r="C398" s="1" t="s">
        <v>411</v>
      </c>
      <c r="D398" s="7">
        <v>46010</v>
      </c>
      <c r="E398" s="7">
        <v>46033</v>
      </c>
      <c r="F398" s="7">
        <v>46173</v>
      </c>
      <c r="G398" s="1" t="s">
        <v>212</v>
      </c>
      <c r="H398" s="8">
        <v>1404440.12</v>
      </c>
      <c r="I398" s="8">
        <v>777459.19</v>
      </c>
      <c r="J398" s="1">
        <f>IF(COUNTIF($C$4:C398,C398)=1,1,0)</f>
        <v>1</v>
      </c>
      <c r="K398" s="1">
        <f t="shared" si="6"/>
        <v>2025</v>
      </c>
    </row>
    <row r="399" spans="2:11" x14ac:dyDescent="0.45">
      <c r="B399" s="1" t="s">
        <v>11</v>
      </c>
      <c r="C399" s="1" t="s">
        <v>412</v>
      </c>
      <c r="D399" s="7">
        <v>43590</v>
      </c>
      <c r="E399" s="7">
        <v>43613</v>
      </c>
      <c r="F399" s="7">
        <v>43632</v>
      </c>
      <c r="G399" s="1" t="s">
        <v>212</v>
      </c>
      <c r="H399" s="8">
        <v>13678664.560000001</v>
      </c>
      <c r="I399" s="8">
        <v>7324264.8300000001</v>
      </c>
      <c r="J399" s="1">
        <f>IF(COUNTIF($C$4:C399,C399)=1,1,0)</f>
        <v>1</v>
      </c>
      <c r="K399" s="1">
        <f t="shared" si="6"/>
        <v>2019</v>
      </c>
    </row>
    <row r="400" spans="2:11" x14ac:dyDescent="0.45">
      <c r="B400" s="1" t="s">
        <v>11</v>
      </c>
      <c r="C400" s="1" t="s">
        <v>413</v>
      </c>
      <c r="D400" s="7">
        <v>43903</v>
      </c>
      <c r="E400" s="7">
        <v>43920</v>
      </c>
      <c r="F400" s="7">
        <v>44050</v>
      </c>
      <c r="G400" s="1" t="s">
        <v>13</v>
      </c>
      <c r="H400" s="8">
        <v>186225.95</v>
      </c>
      <c r="I400" s="8">
        <v>140917.65</v>
      </c>
      <c r="J400" s="1">
        <f>IF(COUNTIF($C$4:C400,C400)=1,1,0)</f>
        <v>1</v>
      </c>
      <c r="K400" s="1">
        <f t="shared" si="6"/>
        <v>2020</v>
      </c>
    </row>
    <row r="401" spans="2:11" x14ac:dyDescent="0.45">
      <c r="B401" s="1" t="s">
        <v>11</v>
      </c>
      <c r="C401" s="1" t="s">
        <v>414</v>
      </c>
      <c r="D401" s="7">
        <v>43885</v>
      </c>
      <c r="E401" s="7">
        <v>43903</v>
      </c>
      <c r="F401" s="7">
        <v>44010</v>
      </c>
      <c r="G401" s="1" t="s">
        <v>20</v>
      </c>
      <c r="H401" s="8">
        <v>11740298.43</v>
      </c>
      <c r="I401" s="8">
        <v>6869702.5899999999</v>
      </c>
      <c r="J401" s="1">
        <f>IF(COUNTIF($C$4:C401,C401)=1,1,0)</f>
        <v>1</v>
      </c>
      <c r="K401" s="1">
        <f t="shared" si="6"/>
        <v>2020</v>
      </c>
    </row>
    <row r="402" spans="2:11" x14ac:dyDescent="0.45">
      <c r="B402" s="1" t="s">
        <v>11</v>
      </c>
      <c r="C402" s="1" t="s">
        <v>415</v>
      </c>
      <c r="D402" s="7">
        <v>45880</v>
      </c>
      <c r="E402" s="7">
        <v>45892</v>
      </c>
      <c r="F402" s="7">
        <v>45976</v>
      </c>
      <c r="G402" s="1" t="s">
        <v>212</v>
      </c>
      <c r="H402" s="8">
        <v>19727137.27</v>
      </c>
      <c r="I402" s="8">
        <v>10449725.119999999</v>
      </c>
      <c r="J402" s="1">
        <f>IF(COUNTIF($C$4:C402,C402)=1,1,0)</f>
        <v>1</v>
      </c>
      <c r="K402" s="1">
        <f t="shared" si="6"/>
        <v>2025</v>
      </c>
    </row>
    <row r="403" spans="2:11" x14ac:dyDescent="0.45">
      <c r="B403" s="1" t="s">
        <v>11</v>
      </c>
      <c r="C403" s="1" t="s">
        <v>416</v>
      </c>
      <c r="D403" s="7">
        <v>44173</v>
      </c>
      <c r="E403" s="7">
        <v>44202</v>
      </c>
      <c r="F403" s="7">
        <v>44411</v>
      </c>
      <c r="G403" s="1" t="s">
        <v>41</v>
      </c>
      <c r="H403" s="8">
        <v>109722.71</v>
      </c>
      <c r="I403" s="8">
        <v>73151.61</v>
      </c>
      <c r="J403" s="1">
        <f>IF(COUNTIF($C$4:C403,C403)=1,1,0)</f>
        <v>1</v>
      </c>
      <c r="K403" s="1">
        <f t="shared" si="6"/>
        <v>2020</v>
      </c>
    </row>
    <row r="404" spans="2:11" x14ac:dyDescent="0.45">
      <c r="B404" s="1" t="s">
        <v>11</v>
      </c>
      <c r="C404" s="1" t="s">
        <v>417</v>
      </c>
      <c r="D404" s="7">
        <v>44663</v>
      </c>
      <c r="E404" s="7">
        <v>44691</v>
      </c>
      <c r="F404" s="7">
        <v>44839</v>
      </c>
      <c r="G404" s="1" t="s">
        <v>38</v>
      </c>
      <c r="H404" s="8">
        <v>57770.2</v>
      </c>
      <c r="I404" s="8">
        <v>39017.19</v>
      </c>
      <c r="J404" s="1">
        <f>IF(COUNTIF($C$4:C404,C404)=1,1,0)</f>
        <v>1</v>
      </c>
      <c r="K404" s="1">
        <f t="shared" si="6"/>
        <v>2022</v>
      </c>
    </row>
    <row r="405" spans="2:11" x14ac:dyDescent="0.45">
      <c r="B405" s="1" t="s">
        <v>11</v>
      </c>
      <c r="C405" s="1" t="s">
        <v>418</v>
      </c>
      <c r="D405" s="7">
        <v>44094</v>
      </c>
      <c r="E405" s="7">
        <v>44110</v>
      </c>
      <c r="F405" s="7">
        <v>44179</v>
      </c>
      <c r="G405" s="1" t="s">
        <v>20</v>
      </c>
      <c r="H405" s="8">
        <v>985618.63</v>
      </c>
      <c r="I405" s="8">
        <v>644530.56000000006</v>
      </c>
      <c r="J405" s="1">
        <f>IF(COUNTIF($C$4:C405,C405)=1,1,0)</f>
        <v>1</v>
      </c>
      <c r="K405" s="1">
        <f t="shared" si="6"/>
        <v>2020</v>
      </c>
    </row>
    <row r="406" spans="2:11" x14ac:dyDescent="0.45">
      <c r="B406" s="1" t="s">
        <v>11</v>
      </c>
      <c r="C406" s="1" t="s">
        <v>419</v>
      </c>
      <c r="D406" s="7">
        <v>45749</v>
      </c>
      <c r="E406" s="7">
        <v>45754</v>
      </c>
      <c r="F406" s="7">
        <v>45894</v>
      </c>
      <c r="G406" s="1" t="s">
        <v>41</v>
      </c>
      <c r="H406" s="8">
        <v>272697.05</v>
      </c>
      <c r="I406" s="8">
        <v>230407.39</v>
      </c>
      <c r="J406" s="1">
        <f>IF(COUNTIF($C$4:C406,C406)=1,1,0)</f>
        <v>1</v>
      </c>
      <c r="K406" s="1">
        <f t="shared" si="6"/>
        <v>2025</v>
      </c>
    </row>
    <row r="407" spans="2:11" x14ac:dyDescent="0.45">
      <c r="B407" s="1" t="s">
        <v>11</v>
      </c>
      <c r="C407" s="1" t="s">
        <v>420</v>
      </c>
      <c r="D407" s="7">
        <v>44380</v>
      </c>
      <c r="E407" s="7">
        <v>44404</v>
      </c>
      <c r="F407" s="7">
        <v>44415</v>
      </c>
      <c r="G407" s="1" t="s">
        <v>20</v>
      </c>
      <c r="H407" s="8">
        <v>2189055.0099999998</v>
      </c>
      <c r="I407" s="8">
        <v>1376603.25</v>
      </c>
      <c r="J407" s="1">
        <f>IF(COUNTIF($C$4:C407,C407)=1,1,0)</f>
        <v>1</v>
      </c>
      <c r="K407" s="1">
        <f t="shared" si="6"/>
        <v>2021</v>
      </c>
    </row>
    <row r="408" spans="2:11" x14ac:dyDescent="0.45">
      <c r="B408" s="1" t="s">
        <v>11</v>
      </c>
      <c r="C408" s="1" t="s">
        <v>421</v>
      </c>
      <c r="D408" s="7">
        <v>45451</v>
      </c>
      <c r="E408" s="7">
        <v>45476</v>
      </c>
      <c r="F408" s="7">
        <v>45547</v>
      </c>
      <c r="G408" s="1" t="s">
        <v>20</v>
      </c>
      <c r="H408" s="8">
        <v>453417.23</v>
      </c>
      <c r="I408" s="8">
        <v>341372.4</v>
      </c>
      <c r="J408" s="1">
        <f>IF(COUNTIF($C$4:C408,C408)=1,1,0)</f>
        <v>1</v>
      </c>
      <c r="K408" s="1">
        <f t="shared" si="6"/>
        <v>2024</v>
      </c>
    </row>
    <row r="409" spans="2:11" x14ac:dyDescent="0.45">
      <c r="B409" s="1" t="s">
        <v>11</v>
      </c>
      <c r="C409" s="1" t="s">
        <v>422</v>
      </c>
      <c r="D409" s="7">
        <v>45812</v>
      </c>
      <c r="E409" s="7">
        <v>45819</v>
      </c>
      <c r="F409" s="7">
        <v>45886</v>
      </c>
      <c r="G409" s="1" t="s">
        <v>16</v>
      </c>
      <c r="H409" s="8">
        <v>2705307.15</v>
      </c>
      <c r="I409" s="8">
        <v>1617942.64</v>
      </c>
      <c r="J409" s="1">
        <f>IF(COUNTIF($C$4:C409,C409)=1,1,0)</f>
        <v>1</v>
      </c>
      <c r="K409" s="1">
        <f t="shared" si="6"/>
        <v>2025</v>
      </c>
    </row>
    <row r="410" spans="2:11" x14ac:dyDescent="0.45">
      <c r="B410" s="1" t="s">
        <v>11</v>
      </c>
      <c r="C410" s="1" t="s">
        <v>423</v>
      </c>
      <c r="D410" s="7">
        <v>45044</v>
      </c>
      <c r="E410" s="7">
        <v>45067</v>
      </c>
      <c r="F410" s="7">
        <v>45269</v>
      </c>
      <c r="G410" s="1" t="s">
        <v>22</v>
      </c>
      <c r="H410" s="8">
        <v>15895117.689999999</v>
      </c>
      <c r="I410" s="8">
        <v>9799356.3699999992</v>
      </c>
      <c r="J410" s="1">
        <f>IF(COUNTIF($C$4:C410,C410)=1,1,0)</f>
        <v>1</v>
      </c>
      <c r="K410" s="1">
        <f t="shared" si="6"/>
        <v>2023</v>
      </c>
    </row>
    <row r="411" spans="2:11" x14ac:dyDescent="0.45">
      <c r="B411" s="1" t="s">
        <v>11</v>
      </c>
      <c r="C411" s="1" t="s">
        <v>424</v>
      </c>
      <c r="D411" s="7">
        <v>46190</v>
      </c>
      <c r="E411" s="7">
        <v>46216</v>
      </c>
      <c r="F411" s="7">
        <v>46326</v>
      </c>
      <c r="G411" s="1" t="s">
        <v>41</v>
      </c>
      <c r="H411" s="8">
        <v>101424.09</v>
      </c>
      <c r="I411" s="8">
        <v>73082.8</v>
      </c>
      <c r="J411" s="1">
        <f>IF(COUNTIF($C$4:C411,C411)=1,1,0)</f>
        <v>1</v>
      </c>
      <c r="K411" s="1">
        <f t="shared" si="6"/>
        <v>2026</v>
      </c>
    </row>
    <row r="412" spans="2:11" x14ac:dyDescent="0.45">
      <c r="B412" s="1" t="s">
        <v>11</v>
      </c>
      <c r="C412" s="1" t="s">
        <v>425</v>
      </c>
      <c r="D412" s="7">
        <v>44594</v>
      </c>
      <c r="E412" s="7">
        <v>44624</v>
      </c>
      <c r="F412" s="7">
        <v>44673</v>
      </c>
      <c r="G412" s="1" t="s">
        <v>22</v>
      </c>
      <c r="H412" s="8">
        <v>11315765.16</v>
      </c>
      <c r="I412" s="8">
        <v>5983656.3700000001</v>
      </c>
      <c r="J412" s="1">
        <f>IF(COUNTIF($C$4:C412,C412)=1,1,0)</f>
        <v>1</v>
      </c>
      <c r="K412" s="1">
        <f t="shared" si="6"/>
        <v>2022</v>
      </c>
    </row>
    <row r="413" spans="2:11" x14ac:dyDescent="0.45">
      <c r="B413" s="1" t="s">
        <v>11</v>
      </c>
      <c r="C413" s="1" t="s">
        <v>426</v>
      </c>
      <c r="D413" s="7">
        <v>43633</v>
      </c>
      <c r="E413" s="7">
        <v>43646</v>
      </c>
      <c r="F413" s="7">
        <v>43684</v>
      </c>
      <c r="G413" s="1" t="s">
        <v>20</v>
      </c>
      <c r="H413" s="8">
        <v>39577360.170000002</v>
      </c>
      <c r="I413" s="8">
        <v>14315850.460000001</v>
      </c>
      <c r="J413" s="1">
        <f>IF(COUNTIF($C$4:C413,C413)=1,1,0)</f>
        <v>1</v>
      </c>
      <c r="K413" s="1">
        <f t="shared" si="6"/>
        <v>2019</v>
      </c>
    </row>
    <row r="414" spans="2:11" x14ac:dyDescent="0.45">
      <c r="B414" s="1" t="s">
        <v>11</v>
      </c>
      <c r="C414" s="1" t="s">
        <v>427</v>
      </c>
      <c r="D414" s="7">
        <v>45338</v>
      </c>
      <c r="E414" s="7">
        <v>45348</v>
      </c>
      <c r="F414" s="7">
        <v>45528</v>
      </c>
      <c r="G414" s="1" t="s">
        <v>38</v>
      </c>
      <c r="H414" s="8">
        <v>199075.14</v>
      </c>
      <c r="I414" s="8">
        <v>139562.56</v>
      </c>
      <c r="J414" s="1">
        <f>IF(COUNTIF($C$4:C414,C414)=1,1,0)</f>
        <v>1</v>
      </c>
      <c r="K414" s="1">
        <f t="shared" si="6"/>
        <v>2024</v>
      </c>
    </row>
    <row r="415" spans="2:11" x14ac:dyDescent="0.45">
      <c r="B415" s="1" t="s">
        <v>11</v>
      </c>
      <c r="C415" s="1" t="s">
        <v>428</v>
      </c>
      <c r="D415" s="7">
        <v>45072</v>
      </c>
      <c r="E415" s="7">
        <v>45084</v>
      </c>
      <c r="F415" s="7">
        <v>45189</v>
      </c>
      <c r="G415" s="1" t="s">
        <v>212</v>
      </c>
      <c r="H415" s="8">
        <v>64663084.439999998</v>
      </c>
      <c r="I415" s="8">
        <v>28949925.93</v>
      </c>
      <c r="J415" s="1">
        <f>IF(COUNTIF($C$4:C415,C415)=1,1,0)</f>
        <v>1</v>
      </c>
      <c r="K415" s="1">
        <f t="shared" si="6"/>
        <v>2023</v>
      </c>
    </row>
    <row r="416" spans="2:11" x14ac:dyDescent="0.45">
      <c r="B416" s="1" t="s">
        <v>11</v>
      </c>
      <c r="C416" s="1" t="s">
        <v>429</v>
      </c>
      <c r="D416" s="7">
        <v>45045</v>
      </c>
      <c r="E416" s="7">
        <v>45049</v>
      </c>
      <c r="F416" s="7">
        <v>45123</v>
      </c>
      <c r="G416" s="1" t="s">
        <v>41</v>
      </c>
      <c r="H416" s="8">
        <v>197683.5</v>
      </c>
      <c r="I416" s="8">
        <v>155983.59</v>
      </c>
      <c r="J416" s="1">
        <f>IF(COUNTIF($C$4:C416,C416)=1,1,0)</f>
        <v>1</v>
      </c>
      <c r="K416" s="1">
        <f t="shared" si="6"/>
        <v>2023</v>
      </c>
    </row>
    <row r="417" spans="2:11" x14ac:dyDescent="0.45">
      <c r="B417" s="1" t="s">
        <v>11</v>
      </c>
      <c r="C417" s="1" t="s">
        <v>430</v>
      </c>
      <c r="D417" s="7">
        <v>44529</v>
      </c>
      <c r="E417" s="7">
        <v>44532</v>
      </c>
      <c r="F417" s="7">
        <v>44671</v>
      </c>
      <c r="G417" s="1" t="s">
        <v>20</v>
      </c>
      <c r="H417" s="8">
        <v>714984.37</v>
      </c>
      <c r="I417" s="8">
        <v>473396.98</v>
      </c>
      <c r="J417" s="1">
        <f>IF(COUNTIF($C$4:C417,C417)=1,1,0)</f>
        <v>1</v>
      </c>
      <c r="K417" s="1">
        <f t="shared" si="6"/>
        <v>2021</v>
      </c>
    </row>
    <row r="418" spans="2:11" x14ac:dyDescent="0.45">
      <c r="B418" s="1" t="s">
        <v>11</v>
      </c>
      <c r="C418" s="1" t="s">
        <v>431</v>
      </c>
      <c r="D418" s="7">
        <v>45862</v>
      </c>
      <c r="E418" s="7">
        <v>45884</v>
      </c>
      <c r="F418" s="7">
        <v>45911</v>
      </c>
      <c r="G418" s="1" t="s">
        <v>38</v>
      </c>
      <c r="H418" s="8">
        <v>146750.76</v>
      </c>
      <c r="I418" s="8">
        <v>121359.24</v>
      </c>
      <c r="J418" s="1">
        <f>IF(COUNTIF($C$4:C418,C418)=1,1,0)</f>
        <v>1</v>
      </c>
      <c r="K418" s="1">
        <f t="shared" si="6"/>
        <v>2025</v>
      </c>
    </row>
    <row r="419" spans="2:11" x14ac:dyDescent="0.45">
      <c r="B419" s="1" t="s">
        <v>11</v>
      </c>
      <c r="C419" s="1" t="s">
        <v>432</v>
      </c>
      <c r="D419" s="7">
        <v>45436</v>
      </c>
      <c r="E419" s="7">
        <v>45466</v>
      </c>
      <c r="F419" s="7">
        <v>45518</v>
      </c>
      <c r="G419" s="1" t="s">
        <v>22</v>
      </c>
      <c r="H419" s="8">
        <v>2976490.6</v>
      </c>
      <c r="I419" s="8">
        <v>1523821.63</v>
      </c>
      <c r="J419" s="1">
        <f>IF(COUNTIF($C$4:C419,C419)=1,1,0)</f>
        <v>1</v>
      </c>
      <c r="K419" s="1">
        <f t="shared" si="6"/>
        <v>2024</v>
      </c>
    </row>
    <row r="420" spans="2:11" x14ac:dyDescent="0.45">
      <c r="B420" s="1" t="s">
        <v>11</v>
      </c>
      <c r="C420" s="1" t="s">
        <v>433</v>
      </c>
      <c r="D420" s="7">
        <v>44436</v>
      </c>
      <c r="E420" s="7">
        <v>44436</v>
      </c>
      <c r="F420" s="7">
        <v>44602</v>
      </c>
      <c r="G420" s="1" t="s">
        <v>16</v>
      </c>
      <c r="H420" s="8">
        <v>256873.25</v>
      </c>
      <c r="I420" s="8">
        <v>171978.29</v>
      </c>
      <c r="J420" s="1">
        <f>IF(COUNTIF($C$4:C420,C420)=1,1,0)</f>
        <v>1</v>
      </c>
      <c r="K420" s="1">
        <f t="shared" si="6"/>
        <v>2021</v>
      </c>
    </row>
    <row r="421" spans="2:11" x14ac:dyDescent="0.45">
      <c r="B421" s="1" t="s">
        <v>11</v>
      </c>
      <c r="C421" s="1" t="s">
        <v>434</v>
      </c>
      <c r="D421" s="7">
        <v>45598</v>
      </c>
      <c r="E421" s="7">
        <v>45614</v>
      </c>
      <c r="F421" s="7">
        <v>45710</v>
      </c>
      <c r="G421" s="1" t="s">
        <v>20</v>
      </c>
      <c r="H421" s="8">
        <v>4835769.96</v>
      </c>
      <c r="I421" s="8">
        <v>2781847.49</v>
      </c>
      <c r="J421" s="1">
        <f>IF(COUNTIF($C$4:C421,C421)=1,1,0)</f>
        <v>1</v>
      </c>
      <c r="K421" s="1">
        <f t="shared" si="6"/>
        <v>2024</v>
      </c>
    </row>
    <row r="422" spans="2:11" x14ac:dyDescent="0.45">
      <c r="B422" s="1" t="s">
        <v>11</v>
      </c>
      <c r="C422" s="1" t="s">
        <v>435</v>
      </c>
      <c r="D422" s="7">
        <v>45988</v>
      </c>
      <c r="E422" s="7">
        <v>46016</v>
      </c>
      <c r="F422" s="7">
        <v>46042</v>
      </c>
      <c r="G422" s="1" t="s">
        <v>13</v>
      </c>
      <c r="H422" s="8">
        <v>119185.77</v>
      </c>
      <c r="I422" s="8">
        <v>93900.2</v>
      </c>
      <c r="J422" s="1">
        <f>IF(COUNTIF($C$4:C422,C422)=1,1,0)</f>
        <v>1</v>
      </c>
      <c r="K422" s="1">
        <f t="shared" si="6"/>
        <v>2025</v>
      </c>
    </row>
    <row r="423" spans="2:11" x14ac:dyDescent="0.45">
      <c r="B423" s="1" t="s">
        <v>11</v>
      </c>
      <c r="C423" s="1" t="s">
        <v>436</v>
      </c>
      <c r="D423" s="7">
        <v>44534</v>
      </c>
      <c r="E423" s="7">
        <v>44534</v>
      </c>
      <c r="F423" s="7">
        <v>44623</v>
      </c>
      <c r="G423" s="1" t="s">
        <v>20</v>
      </c>
      <c r="H423" s="8">
        <v>471542.62</v>
      </c>
      <c r="I423" s="8">
        <v>303902.18</v>
      </c>
      <c r="J423" s="1">
        <f>IF(COUNTIF($C$4:C423,C423)=1,1,0)</f>
        <v>1</v>
      </c>
      <c r="K423" s="1">
        <f t="shared" si="6"/>
        <v>2021</v>
      </c>
    </row>
    <row r="424" spans="2:11" x14ac:dyDescent="0.45">
      <c r="B424" s="1" t="s">
        <v>11</v>
      </c>
      <c r="C424" s="1" t="s">
        <v>437</v>
      </c>
      <c r="D424" s="7">
        <v>45919</v>
      </c>
      <c r="E424" s="7">
        <v>45930</v>
      </c>
      <c r="F424" s="7">
        <v>45952</v>
      </c>
      <c r="G424" s="1" t="s">
        <v>22</v>
      </c>
      <c r="H424" s="8">
        <v>4622565.4800000004</v>
      </c>
      <c r="I424" s="8">
        <v>3217863.05</v>
      </c>
      <c r="J424" s="1">
        <f>IF(COUNTIF($C$4:C424,C424)=1,1,0)</f>
        <v>1</v>
      </c>
      <c r="K424" s="1">
        <f t="shared" si="6"/>
        <v>2025</v>
      </c>
    </row>
    <row r="425" spans="2:11" x14ac:dyDescent="0.45">
      <c r="B425" s="1" t="s">
        <v>11</v>
      </c>
      <c r="C425" s="1" t="s">
        <v>438</v>
      </c>
      <c r="D425" s="7">
        <v>45106</v>
      </c>
      <c r="E425" s="7">
        <v>45113</v>
      </c>
      <c r="F425" s="7">
        <v>45318</v>
      </c>
      <c r="G425" s="1" t="s">
        <v>38</v>
      </c>
      <c r="H425" s="8">
        <v>324540.90999999997</v>
      </c>
      <c r="I425" s="8">
        <v>249861.95</v>
      </c>
      <c r="J425" s="1">
        <f>IF(COUNTIF($C$4:C425,C425)=1,1,0)</f>
        <v>1</v>
      </c>
      <c r="K425" s="1">
        <f t="shared" si="6"/>
        <v>2023</v>
      </c>
    </row>
    <row r="426" spans="2:11" x14ac:dyDescent="0.45">
      <c r="B426" s="1" t="s">
        <v>11</v>
      </c>
      <c r="C426" s="1" t="s">
        <v>439</v>
      </c>
      <c r="D426" s="7">
        <v>44100</v>
      </c>
      <c r="E426" s="7">
        <v>44119</v>
      </c>
      <c r="F426" s="7">
        <v>44333</v>
      </c>
      <c r="G426" s="1" t="s">
        <v>13</v>
      </c>
      <c r="H426" s="8">
        <v>695049.23</v>
      </c>
      <c r="I426" s="8">
        <v>499772.51</v>
      </c>
      <c r="J426" s="1">
        <f>IF(COUNTIF($C$4:C426,C426)=1,1,0)</f>
        <v>1</v>
      </c>
      <c r="K426" s="1">
        <f t="shared" si="6"/>
        <v>2020</v>
      </c>
    </row>
    <row r="427" spans="2:11" x14ac:dyDescent="0.45">
      <c r="B427" s="1" t="s">
        <v>11</v>
      </c>
      <c r="C427" s="1" t="s">
        <v>440</v>
      </c>
      <c r="D427" s="7">
        <v>44899</v>
      </c>
      <c r="E427" s="7">
        <v>44918</v>
      </c>
      <c r="F427" s="7">
        <v>45013</v>
      </c>
      <c r="G427" s="1" t="s">
        <v>38</v>
      </c>
      <c r="H427" s="8">
        <v>763603.33</v>
      </c>
      <c r="I427" s="8">
        <v>549952.94999999995</v>
      </c>
      <c r="J427" s="1">
        <f>IF(COUNTIF($C$4:C427,C427)=1,1,0)</f>
        <v>1</v>
      </c>
      <c r="K427" s="1">
        <f t="shared" si="6"/>
        <v>2022</v>
      </c>
    </row>
    <row r="428" spans="2:11" x14ac:dyDescent="0.45">
      <c r="B428" s="1" t="s">
        <v>11</v>
      </c>
      <c r="C428" s="1" t="s">
        <v>441</v>
      </c>
      <c r="D428" s="7">
        <v>44355</v>
      </c>
      <c r="E428" s="7">
        <v>44385</v>
      </c>
      <c r="F428" s="7">
        <v>44515</v>
      </c>
      <c r="G428" s="1" t="s">
        <v>16</v>
      </c>
      <c r="H428" s="8">
        <v>1571199.49</v>
      </c>
      <c r="I428" s="8">
        <v>860038.89</v>
      </c>
      <c r="J428" s="1">
        <f>IF(COUNTIF($C$4:C428,C428)=1,1,0)</f>
        <v>1</v>
      </c>
      <c r="K428" s="1">
        <f t="shared" si="6"/>
        <v>2021</v>
      </c>
    </row>
    <row r="429" spans="2:11" x14ac:dyDescent="0.45">
      <c r="B429" s="1" t="s">
        <v>11</v>
      </c>
      <c r="C429" s="1" t="s">
        <v>442</v>
      </c>
      <c r="D429" s="7">
        <v>44077</v>
      </c>
      <c r="E429" s="7">
        <v>44094</v>
      </c>
      <c r="F429" s="7">
        <v>44334</v>
      </c>
      <c r="G429" s="1" t="s">
        <v>20</v>
      </c>
      <c r="H429" s="8">
        <v>396063.92</v>
      </c>
      <c r="I429" s="8">
        <v>198733.81</v>
      </c>
      <c r="J429" s="1">
        <f>IF(COUNTIF($C$4:C429,C429)=1,1,0)</f>
        <v>1</v>
      </c>
      <c r="K429" s="1">
        <f t="shared" si="6"/>
        <v>2020</v>
      </c>
    </row>
    <row r="430" spans="2:11" x14ac:dyDescent="0.45">
      <c r="B430" s="1" t="s">
        <v>11</v>
      </c>
      <c r="C430" s="1" t="s">
        <v>443</v>
      </c>
      <c r="D430" s="7">
        <v>45966</v>
      </c>
      <c r="E430" s="7">
        <v>45975</v>
      </c>
      <c r="F430" s="7">
        <v>45985</v>
      </c>
      <c r="G430" s="1" t="s">
        <v>20</v>
      </c>
      <c r="H430" s="8">
        <v>2669723.63</v>
      </c>
      <c r="I430" s="8">
        <v>1701334.32</v>
      </c>
      <c r="J430" s="1">
        <f>IF(COUNTIF($C$4:C430,C430)=1,1,0)</f>
        <v>1</v>
      </c>
      <c r="K430" s="1">
        <f t="shared" si="6"/>
        <v>2025</v>
      </c>
    </row>
    <row r="431" spans="2:11" x14ac:dyDescent="0.45">
      <c r="B431" s="1" t="s">
        <v>11</v>
      </c>
      <c r="C431" s="1" t="s">
        <v>444</v>
      </c>
      <c r="D431" s="7">
        <v>45535</v>
      </c>
      <c r="E431" s="7">
        <v>45552</v>
      </c>
      <c r="F431" s="7">
        <v>45610</v>
      </c>
      <c r="G431" s="1" t="s">
        <v>38</v>
      </c>
      <c r="H431" s="8">
        <v>862111.95</v>
      </c>
      <c r="I431" s="8">
        <v>708918.34</v>
      </c>
      <c r="J431" s="1">
        <f>IF(COUNTIF($C$4:C431,C431)=1,1,0)</f>
        <v>1</v>
      </c>
      <c r="K431" s="1">
        <f t="shared" si="6"/>
        <v>2024</v>
      </c>
    </row>
    <row r="432" spans="2:11" x14ac:dyDescent="0.45">
      <c r="B432" s="1" t="s">
        <v>11</v>
      </c>
      <c r="C432" s="1" t="s">
        <v>445</v>
      </c>
      <c r="D432" s="7">
        <v>44990</v>
      </c>
      <c r="E432" s="7">
        <v>45008</v>
      </c>
      <c r="F432" s="7">
        <v>45227</v>
      </c>
      <c r="G432" s="1" t="s">
        <v>16</v>
      </c>
      <c r="H432" s="8">
        <v>2766968.74</v>
      </c>
      <c r="I432" s="8">
        <v>1915390.62</v>
      </c>
      <c r="J432" s="1">
        <f>IF(COUNTIF($C$4:C432,C432)=1,1,0)</f>
        <v>1</v>
      </c>
      <c r="K432" s="1">
        <f t="shared" si="6"/>
        <v>2023</v>
      </c>
    </row>
    <row r="433" spans="2:11" x14ac:dyDescent="0.45">
      <c r="B433" s="1" t="s">
        <v>11</v>
      </c>
      <c r="C433" s="1" t="s">
        <v>446</v>
      </c>
      <c r="D433" s="7">
        <v>45112</v>
      </c>
      <c r="E433" s="7">
        <v>45122</v>
      </c>
      <c r="F433" s="7">
        <v>45145</v>
      </c>
      <c r="G433" s="1" t="s">
        <v>20</v>
      </c>
      <c r="H433" s="8">
        <v>2914541.79</v>
      </c>
      <c r="I433" s="8">
        <v>1966922.98</v>
      </c>
      <c r="J433" s="1">
        <f>IF(COUNTIF($C$4:C433,C433)=1,1,0)</f>
        <v>1</v>
      </c>
      <c r="K433" s="1">
        <f t="shared" si="6"/>
        <v>2023</v>
      </c>
    </row>
    <row r="434" spans="2:11" x14ac:dyDescent="0.45">
      <c r="B434" s="1" t="s">
        <v>11</v>
      </c>
      <c r="C434" s="1" t="s">
        <v>447</v>
      </c>
      <c r="D434" s="7">
        <v>44796</v>
      </c>
      <c r="E434" s="7">
        <v>44811</v>
      </c>
      <c r="F434" s="7">
        <v>45025</v>
      </c>
      <c r="G434" s="1" t="s">
        <v>20</v>
      </c>
      <c r="H434" s="8">
        <v>626525.54</v>
      </c>
      <c r="I434" s="8">
        <v>386693.85</v>
      </c>
      <c r="J434" s="1">
        <f>IF(COUNTIF($C$4:C434,C434)=1,1,0)</f>
        <v>1</v>
      </c>
      <c r="K434" s="1">
        <f t="shared" si="6"/>
        <v>2022</v>
      </c>
    </row>
    <row r="435" spans="2:11" x14ac:dyDescent="0.45">
      <c r="B435" s="1" t="s">
        <v>11</v>
      </c>
      <c r="C435" s="1" t="s">
        <v>448</v>
      </c>
      <c r="D435" s="7">
        <v>44222</v>
      </c>
      <c r="E435" s="7">
        <v>44239</v>
      </c>
      <c r="F435" s="7">
        <v>44360</v>
      </c>
      <c r="G435" s="1" t="s">
        <v>212</v>
      </c>
      <c r="H435" s="8">
        <v>42240055.310000002</v>
      </c>
      <c r="I435" s="8">
        <v>30386004.699999999</v>
      </c>
      <c r="J435" s="1">
        <f>IF(COUNTIF($C$4:C435,C435)=1,1,0)</f>
        <v>1</v>
      </c>
      <c r="K435" s="1">
        <f t="shared" si="6"/>
        <v>2021</v>
      </c>
    </row>
    <row r="436" spans="2:11" x14ac:dyDescent="0.45">
      <c r="B436" s="1" t="s">
        <v>11</v>
      </c>
      <c r="C436" s="1" t="s">
        <v>449</v>
      </c>
      <c r="D436" s="7">
        <v>45381</v>
      </c>
      <c r="E436" s="7">
        <v>45381</v>
      </c>
      <c r="F436" s="7">
        <v>45587</v>
      </c>
      <c r="G436" s="1" t="s">
        <v>13</v>
      </c>
      <c r="H436" s="8">
        <v>270013.31</v>
      </c>
      <c r="I436" s="8">
        <v>209410.98</v>
      </c>
      <c r="J436" s="1">
        <f>IF(COUNTIF($C$4:C436,C436)=1,1,0)</f>
        <v>1</v>
      </c>
      <c r="K436" s="1">
        <f t="shared" si="6"/>
        <v>2024</v>
      </c>
    </row>
    <row r="437" spans="2:11" x14ac:dyDescent="0.45">
      <c r="B437" s="1" t="s">
        <v>11</v>
      </c>
      <c r="C437" s="1" t="s">
        <v>450</v>
      </c>
      <c r="D437" s="7">
        <v>44486</v>
      </c>
      <c r="E437" s="7">
        <v>44509</v>
      </c>
      <c r="F437" s="7">
        <v>44525</v>
      </c>
      <c r="G437" s="1" t="s">
        <v>20</v>
      </c>
      <c r="H437" s="8">
        <v>79836424.920000002</v>
      </c>
      <c r="I437" s="8">
        <v>32860042.149999999</v>
      </c>
      <c r="J437" s="1">
        <f>IF(COUNTIF($C$4:C437,C437)=1,1,0)</f>
        <v>1</v>
      </c>
      <c r="K437" s="1">
        <f t="shared" si="6"/>
        <v>2021</v>
      </c>
    </row>
    <row r="438" spans="2:11" x14ac:dyDescent="0.45">
      <c r="B438" s="1" t="s">
        <v>11</v>
      </c>
      <c r="C438" s="1" t="s">
        <v>451</v>
      </c>
      <c r="D438" s="7">
        <v>44562</v>
      </c>
      <c r="E438" s="7">
        <v>44588</v>
      </c>
      <c r="F438" s="7">
        <v>44691</v>
      </c>
      <c r="G438" s="1" t="s">
        <v>22</v>
      </c>
      <c r="H438" s="8">
        <v>2938362.96</v>
      </c>
      <c r="I438" s="8">
        <v>2217939.75</v>
      </c>
      <c r="J438" s="1">
        <f>IF(COUNTIF($C$4:C438,C438)=1,1,0)</f>
        <v>1</v>
      </c>
      <c r="K438" s="1">
        <f t="shared" si="6"/>
        <v>2022</v>
      </c>
    </row>
    <row r="439" spans="2:11" x14ac:dyDescent="0.45">
      <c r="B439" s="1" t="s">
        <v>11</v>
      </c>
      <c r="C439" s="1" t="s">
        <v>452</v>
      </c>
      <c r="D439" s="7">
        <v>44631</v>
      </c>
      <c r="E439" s="7">
        <v>44641</v>
      </c>
      <c r="F439" s="7">
        <v>44651</v>
      </c>
      <c r="G439" s="1" t="s">
        <v>212</v>
      </c>
      <c r="H439" s="8">
        <v>36043588.079999998</v>
      </c>
      <c r="I439" s="8">
        <v>24768149.239999998</v>
      </c>
      <c r="J439" s="1">
        <f>IF(COUNTIF($C$4:C439,C439)=1,1,0)</f>
        <v>1</v>
      </c>
      <c r="K439" s="1">
        <f t="shared" si="6"/>
        <v>2022</v>
      </c>
    </row>
    <row r="440" spans="2:11" x14ac:dyDescent="0.45">
      <c r="B440" s="1" t="s">
        <v>11</v>
      </c>
      <c r="C440" s="1" t="s">
        <v>453</v>
      </c>
      <c r="D440" s="7">
        <v>43695</v>
      </c>
      <c r="E440" s="7">
        <v>43707</v>
      </c>
      <c r="F440" s="7">
        <v>43720</v>
      </c>
      <c r="G440" s="1" t="s">
        <v>41</v>
      </c>
      <c r="H440" s="8">
        <v>117173.98</v>
      </c>
      <c r="I440" s="8">
        <v>84234.94</v>
      </c>
      <c r="J440" s="1">
        <f>IF(COUNTIF($C$4:C440,C440)=1,1,0)</f>
        <v>1</v>
      </c>
      <c r="K440" s="1">
        <f t="shared" si="6"/>
        <v>2019</v>
      </c>
    </row>
    <row r="441" spans="2:11" x14ac:dyDescent="0.45">
      <c r="B441" s="1" t="s">
        <v>11</v>
      </c>
      <c r="C441" s="1" t="s">
        <v>454</v>
      </c>
      <c r="D441" s="7">
        <v>46166</v>
      </c>
      <c r="E441" s="7">
        <v>46192</v>
      </c>
      <c r="F441" s="7">
        <v>46246</v>
      </c>
      <c r="G441" s="1" t="s">
        <v>13</v>
      </c>
      <c r="H441" s="8">
        <v>242888.89</v>
      </c>
      <c r="I441" s="8">
        <v>170305.1</v>
      </c>
      <c r="J441" s="1">
        <f>IF(COUNTIF($C$4:C441,C441)=1,1,0)</f>
        <v>1</v>
      </c>
      <c r="K441" s="1">
        <f t="shared" si="6"/>
        <v>2026</v>
      </c>
    </row>
    <row r="442" spans="2:11" x14ac:dyDescent="0.45">
      <c r="B442" s="1" t="s">
        <v>11</v>
      </c>
      <c r="C442" s="1" t="s">
        <v>455</v>
      </c>
      <c r="D442" s="7">
        <v>44892</v>
      </c>
      <c r="E442" s="7">
        <v>44897</v>
      </c>
      <c r="F442" s="7">
        <v>45077</v>
      </c>
      <c r="G442" s="1" t="s">
        <v>212</v>
      </c>
      <c r="H442" s="8">
        <v>3395461.07</v>
      </c>
      <c r="I442" s="8">
        <v>1851735.17</v>
      </c>
      <c r="J442" s="1">
        <f>IF(COUNTIF($C$4:C442,C442)=1,1,0)</f>
        <v>1</v>
      </c>
      <c r="K442" s="1">
        <f t="shared" si="6"/>
        <v>2022</v>
      </c>
    </row>
    <row r="443" spans="2:11" x14ac:dyDescent="0.45">
      <c r="B443" s="1" t="s">
        <v>11</v>
      </c>
      <c r="C443" s="1" t="s">
        <v>456</v>
      </c>
      <c r="D443" s="7">
        <v>45347</v>
      </c>
      <c r="E443" s="7">
        <v>45365</v>
      </c>
      <c r="F443" s="7">
        <v>45434</v>
      </c>
      <c r="G443" s="1" t="s">
        <v>22</v>
      </c>
      <c r="H443" s="8">
        <v>5771691.9400000004</v>
      </c>
      <c r="I443" s="8">
        <v>2386374.98</v>
      </c>
      <c r="J443" s="1">
        <f>IF(COUNTIF($C$4:C443,C443)=1,1,0)</f>
        <v>1</v>
      </c>
      <c r="K443" s="1">
        <f t="shared" si="6"/>
        <v>2024</v>
      </c>
    </row>
    <row r="444" spans="2:11" x14ac:dyDescent="0.45">
      <c r="B444" s="1" t="s">
        <v>11</v>
      </c>
      <c r="C444" s="1" t="s">
        <v>457</v>
      </c>
      <c r="D444" s="7">
        <v>44691</v>
      </c>
      <c r="E444" s="7">
        <v>44713</v>
      </c>
      <c r="F444" s="7">
        <v>44839</v>
      </c>
      <c r="G444" s="1" t="s">
        <v>13</v>
      </c>
      <c r="H444" s="8">
        <v>371561.81</v>
      </c>
      <c r="I444" s="8">
        <v>291406.56</v>
      </c>
      <c r="J444" s="1">
        <f>IF(COUNTIF($C$4:C444,C444)=1,1,0)</f>
        <v>1</v>
      </c>
      <c r="K444" s="1">
        <f t="shared" si="6"/>
        <v>2022</v>
      </c>
    </row>
    <row r="445" spans="2:11" x14ac:dyDescent="0.45">
      <c r="B445" s="1" t="s">
        <v>11</v>
      </c>
      <c r="C445" s="1" t="s">
        <v>458</v>
      </c>
      <c r="D445" s="7">
        <v>44298</v>
      </c>
      <c r="E445" s="7">
        <v>44325</v>
      </c>
      <c r="F445" s="7">
        <v>44517</v>
      </c>
      <c r="G445" s="1" t="s">
        <v>212</v>
      </c>
      <c r="H445" s="8">
        <v>57884182.780000001</v>
      </c>
      <c r="I445" s="8">
        <v>31675352.620000001</v>
      </c>
      <c r="J445" s="1">
        <f>IF(COUNTIF($C$4:C445,C445)=1,1,0)</f>
        <v>1</v>
      </c>
      <c r="K445" s="1">
        <f t="shared" si="6"/>
        <v>2021</v>
      </c>
    </row>
    <row r="446" spans="2:11" x14ac:dyDescent="0.45">
      <c r="B446" s="1" t="s">
        <v>11</v>
      </c>
      <c r="C446" s="1" t="s">
        <v>459</v>
      </c>
      <c r="D446" s="7">
        <v>46142</v>
      </c>
      <c r="E446" s="7">
        <v>46144</v>
      </c>
      <c r="F446" s="7">
        <v>46371</v>
      </c>
      <c r="G446" s="1" t="s">
        <v>13</v>
      </c>
      <c r="H446" s="8">
        <v>195574.61</v>
      </c>
      <c r="I446" s="8">
        <v>143901.96</v>
      </c>
      <c r="J446" s="1">
        <f>IF(COUNTIF($C$4:C446,C446)=1,1,0)</f>
        <v>1</v>
      </c>
      <c r="K446" s="1">
        <f t="shared" si="6"/>
        <v>2026</v>
      </c>
    </row>
    <row r="447" spans="2:11" x14ac:dyDescent="0.45">
      <c r="B447" s="1" t="s">
        <v>11</v>
      </c>
      <c r="C447" s="1" t="s">
        <v>460</v>
      </c>
      <c r="D447" s="7">
        <v>44823</v>
      </c>
      <c r="E447" s="7">
        <v>44837</v>
      </c>
      <c r="F447" s="7">
        <v>44967</v>
      </c>
      <c r="G447" s="1" t="s">
        <v>22</v>
      </c>
      <c r="H447" s="8">
        <v>6297628.5300000003</v>
      </c>
      <c r="I447" s="8">
        <v>4458635.7300000004</v>
      </c>
      <c r="J447" s="1">
        <f>IF(COUNTIF($C$4:C447,C447)=1,1,0)</f>
        <v>1</v>
      </c>
      <c r="K447" s="1">
        <f t="shared" si="6"/>
        <v>2022</v>
      </c>
    </row>
    <row r="448" spans="2:11" x14ac:dyDescent="0.45">
      <c r="B448" s="1" t="s">
        <v>11</v>
      </c>
      <c r="C448" s="1" t="s">
        <v>461</v>
      </c>
      <c r="D448" s="7">
        <v>44214</v>
      </c>
      <c r="E448" s="7">
        <v>44240</v>
      </c>
      <c r="F448" s="7">
        <v>44308</v>
      </c>
      <c r="G448" s="1" t="s">
        <v>20</v>
      </c>
      <c r="H448" s="8">
        <v>93537911.439999998</v>
      </c>
      <c r="I448" s="8">
        <v>29075490.370000001</v>
      </c>
      <c r="J448" s="1">
        <f>IF(COUNTIF($C$4:C448,C448)=1,1,0)</f>
        <v>1</v>
      </c>
      <c r="K448" s="1">
        <f t="shared" si="6"/>
        <v>2021</v>
      </c>
    </row>
    <row r="449" spans="2:11" x14ac:dyDescent="0.45">
      <c r="B449" s="1" t="s">
        <v>11</v>
      </c>
      <c r="C449" s="1" t="s">
        <v>462</v>
      </c>
      <c r="D449" s="7">
        <v>46067</v>
      </c>
      <c r="E449" s="7">
        <v>46086</v>
      </c>
      <c r="F449" s="7">
        <v>46270</v>
      </c>
      <c r="G449" s="1" t="s">
        <v>22</v>
      </c>
      <c r="H449" s="8">
        <v>1948217.67</v>
      </c>
      <c r="I449" s="8">
        <v>1277946.71</v>
      </c>
      <c r="J449" s="1">
        <f>IF(COUNTIF($C$4:C449,C449)=1,1,0)</f>
        <v>1</v>
      </c>
      <c r="K449" s="1">
        <f t="shared" si="6"/>
        <v>2026</v>
      </c>
    </row>
    <row r="450" spans="2:11" x14ac:dyDescent="0.45">
      <c r="B450" s="1" t="s">
        <v>11</v>
      </c>
      <c r="C450" s="1" t="s">
        <v>463</v>
      </c>
      <c r="D450" s="7">
        <v>45692</v>
      </c>
      <c r="E450" s="7">
        <v>45703</v>
      </c>
      <c r="F450" s="7">
        <v>45871</v>
      </c>
      <c r="G450" s="1" t="s">
        <v>13</v>
      </c>
      <c r="H450" s="8">
        <v>474537.04</v>
      </c>
      <c r="I450" s="8">
        <v>342799.3</v>
      </c>
      <c r="J450" s="1">
        <f>IF(COUNTIF($C$4:C450,C450)=1,1,0)</f>
        <v>1</v>
      </c>
      <c r="K450" s="1">
        <f t="shared" si="6"/>
        <v>2025</v>
      </c>
    </row>
    <row r="451" spans="2:11" x14ac:dyDescent="0.45">
      <c r="B451" s="1" t="s">
        <v>11</v>
      </c>
      <c r="C451" s="1" t="s">
        <v>464</v>
      </c>
      <c r="D451" s="7">
        <v>45609</v>
      </c>
      <c r="E451" s="7">
        <v>45628</v>
      </c>
      <c r="F451" s="7">
        <v>45746</v>
      </c>
      <c r="G451" s="1" t="s">
        <v>13</v>
      </c>
      <c r="H451" s="8">
        <v>1146412.74</v>
      </c>
      <c r="I451" s="8">
        <v>912796.8</v>
      </c>
      <c r="J451" s="1">
        <f>IF(COUNTIF($C$4:C451,C451)=1,1,0)</f>
        <v>1</v>
      </c>
      <c r="K451" s="1">
        <f t="shared" si="6"/>
        <v>2024</v>
      </c>
    </row>
    <row r="452" spans="2:11" x14ac:dyDescent="0.45">
      <c r="B452" s="1" t="s">
        <v>11</v>
      </c>
      <c r="C452" s="1" t="s">
        <v>465</v>
      </c>
      <c r="D452" s="7">
        <v>46024</v>
      </c>
      <c r="E452" s="7">
        <v>46044</v>
      </c>
      <c r="F452" s="7">
        <v>46068</v>
      </c>
      <c r="G452" s="1" t="s">
        <v>22</v>
      </c>
      <c r="H452" s="8">
        <v>20265994</v>
      </c>
      <c r="I452" s="8">
        <v>14111964.960000001</v>
      </c>
      <c r="J452" s="1">
        <f>IF(COUNTIF($C$4:C452,C452)=1,1,0)</f>
        <v>1</v>
      </c>
      <c r="K452" s="1">
        <f t="shared" si="6"/>
        <v>2026</v>
      </c>
    </row>
    <row r="453" spans="2:11" x14ac:dyDescent="0.45">
      <c r="B453" s="1" t="s">
        <v>11</v>
      </c>
      <c r="C453" s="1" t="s">
        <v>466</v>
      </c>
      <c r="D453" s="7">
        <v>44380</v>
      </c>
      <c r="E453" s="7">
        <v>44394</v>
      </c>
      <c r="F453" s="7">
        <v>44599</v>
      </c>
      <c r="G453" s="1" t="s">
        <v>13</v>
      </c>
      <c r="H453" s="8">
        <v>341957.36</v>
      </c>
      <c r="I453" s="8">
        <v>252389.62</v>
      </c>
      <c r="J453" s="1">
        <f>IF(COUNTIF($C$4:C453,C453)=1,1,0)</f>
        <v>1</v>
      </c>
      <c r="K453" s="1">
        <f t="shared" ref="K453:K516" si="7">YEAR(D453)</f>
        <v>2021</v>
      </c>
    </row>
    <row r="454" spans="2:11" x14ac:dyDescent="0.45">
      <c r="B454" s="1" t="s">
        <v>11</v>
      </c>
      <c r="C454" s="1" t="s">
        <v>467</v>
      </c>
      <c r="D454" s="7">
        <v>43626</v>
      </c>
      <c r="E454" s="7">
        <v>43656</v>
      </c>
      <c r="F454" s="7">
        <v>43757</v>
      </c>
      <c r="G454" s="1" t="s">
        <v>22</v>
      </c>
      <c r="H454" s="8">
        <v>584912.79</v>
      </c>
      <c r="I454" s="8">
        <v>281046.58</v>
      </c>
      <c r="J454" s="1">
        <f>IF(COUNTIF($C$4:C454,C454)=1,1,0)</f>
        <v>1</v>
      </c>
      <c r="K454" s="1">
        <f t="shared" si="7"/>
        <v>2019</v>
      </c>
    </row>
    <row r="455" spans="2:11" x14ac:dyDescent="0.45">
      <c r="B455" s="1" t="s">
        <v>11</v>
      </c>
      <c r="C455" s="1" t="s">
        <v>468</v>
      </c>
      <c r="D455" s="7">
        <v>45368</v>
      </c>
      <c r="E455" s="7">
        <v>45371</v>
      </c>
      <c r="F455" s="7">
        <v>45537</v>
      </c>
      <c r="G455" s="1" t="s">
        <v>38</v>
      </c>
      <c r="H455" s="8">
        <v>376133.69</v>
      </c>
      <c r="I455" s="8">
        <v>244070.02</v>
      </c>
      <c r="J455" s="1">
        <f>IF(COUNTIF($C$4:C455,C455)=1,1,0)</f>
        <v>1</v>
      </c>
      <c r="K455" s="1">
        <f t="shared" si="7"/>
        <v>2024</v>
      </c>
    </row>
    <row r="456" spans="2:11" x14ac:dyDescent="0.45">
      <c r="B456" s="1" t="s">
        <v>11</v>
      </c>
      <c r="C456" s="1" t="s">
        <v>469</v>
      </c>
      <c r="D456" s="7">
        <v>44973</v>
      </c>
      <c r="E456" s="7">
        <v>44979</v>
      </c>
      <c r="F456" s="7">
        <v>45201</v>
      </c>
      <c r="G456" s="1" t="s">
        <v>22</v>
      </c>
      <c r="H456" s="8">
        <v>18174705.489999998</v>
      </c>
      <c r="I456" s="8">
        <v>7550800.9400000004</v>
      </c>
      <c r="J456" s="1">
        <f>IF(COUNTIF($C$4:C456,C456)=1,1,0)</f>
        <v>1</v>
      </c>
      <c r="K456" s="1">
        <f t="shared" si="7"/>
        <v>2023</v>
      </c>
    </row>
    <row r="457" spans="2:11" x14ac:dyDescent="0.45">
      <c r="B457" s="1" t="s">
        <v>11</v>
      </c>
      <c r="C457" s="1" t="s">
        <v>470</v>
      </c>
      <c r="D457" s="7">
        <v>45464</v>
      </c>
      <c r="E457" s="7">
        <v>45490</v>
      </c>
      <c r="F457" s="7">
        <v>45529</v>
      </c>
      <c r="G457" s="1" t="s">
        <v>41</v>
      </c>
      <c r="H457" s="8">
        <v>272198.90000000002</v>
      </c>
      <c r="I457" s="8">
        <v>225902.09</v>
      </c>
      <c r="J457" s="1">
        <f>IF(COUNTIF($C$4:C457,C457)=1,1,0)</f>
        <v>1</v>
      </c>
      <c r="K457" s="1">
        <f t="shared" si="7"/>
        <v>2024</v>
      </c>
    </row>
    <row r="458" spans="2:11" x14ac:dyDescent="0.45">
      <c r="B458" s="1" t="s">
        <v>11</v>
      </c>
      <c r="C458" s="1" t="s">
        <v>471</v>
      </c>
      <c r="D458" s="7">
        <v>43771</v>
      </c>
      <c r="E458" s="7">
        <v>43791</v>
      </c>
      <c r="F458" s="7">
        <v>43886</v>
      </c>
      <c r="G458" s="1" t="s">
        <v>22</v>
      </c>
      <c r="H458" s="8">
        <v>17614404.66</v>
      </c>
      <c r="I458" s="8">
        <v>7677604.1699999999</v>
      </c>
      <c r="J458" s="1">
        <f>IF(COUNTIF($C$4:C458,C458)=1,1,0)</f>
        <v>1</v>
      </c>
      <c r="K458" s="1">
        <f t="shared" si="7"/>
        <v>2019</v>
      </c>
    </row>
    <row r="459" spans="2:11" x14ac:dyDescent="0.45">
      <c r="B459" s="1" t="s">
        <v>11</v>
      </c>
      <c r="C459" s="1" t="s">
        <v>472</v>
      </c>
      <c r="D459" s="7">
        <v>44437</v>
      </c>
      <c r="E459" s="7">
        <v>44441</v>
      </c>
      <c r="F459" s="7">
        <v>44483</v>
      </c>
      <c r="G459" s="1" t="s">
        <v>212</v>
      </c>
      <c r="H459" s="8">
        <v>35881770.049999997</v>
      </c>
      <c r="I459" s="8">
        <v>20193079.399999999</v>
      </c>
      <c r="J459" s="1">
        <f>IF(COUNTIF($C$4:C459,C459)=1,1,0)</f>
        <v>1</v>
      </c>
      <c r="K459" s="1">
        <f t="shared" si="7"/>
        <v>2021</v>
      </c>
    </row>
    <row r="460" spans="2:11" x14ac:dyDescent="0.45">
      <c r="B460" s="1" t="s">
        <v>11</v>
      </c>
      <c r="C460" s="1" t="s">
        <v>473</v>
      </c>
      <c r="D460" s="7">
        <v>46023</v>
      </c>
      <c r="E460" s="7">
        <v>46027</v>
      </c>
      <c r="F460" s="7">
        <v>46246</v>
      </c>
      <c r="G460" s="1" t="s">
        <v>212</v>
      </c>
      <c r="H460" s="8">
        <v>5362355.8099999996</v>
      </c>
      <c r="I460" s="8">
        <v>2832999.03</v>
      </c>
      <c r="J460" s="1">
        <f>IF(COUNTIF($C$4:C460,C460)=1,1,0)</f>
        <v>1</v>
      </c>
      <c r="K460" s="1">
        <f t="shared" si="7"/>
        <v>2026</v>
      </c>
    </row>
    <row r="461" spans="2:11" x14ac:dyDescent="0.45">
      <c r="B461" s="1" t="s">
        <v>11</v>
      </c>
      <c r="C461" s="1" t="s">
        <v>474</v>
      </c>
      <c r="D461" s="7">
        <v>44226</v>
      </c>
      <c r="E461" s="7">
        <v>44234</v>
      </c>
      <c r="F461" s="7">
        <v>44388</v>
      </c>
      <c r="G461" s="1" t="s">
        <v>20</v>
      </c>
      <c r="H461" s="8">
        <v>19842155.199999999</v>
      </c>
      <c r="I461" s="8">
        <v>9521384.4499999993</v>
      </c>
      <c r="J461" s="1">
        <f>IF(COUNTIF($C$4:C461,C461)=1,1,0)</f>
        <v>1</v>
      </c>
      <c r="K461" s="1">
        <f t="shared" si="7"/>
        <v>2021</v>
      </c>
    </row>
    <row r="462" spans="2:11" x14ac:dyDescent="0.45">
      <c r="B462" s="1" t="s">
        <v>11</v>
      </c>
      <c r="C462" s="1" t="s">
        <v>475</v>
      </c>
      <c r="D462" s="7">
        <v>43274</v>
      </c>
      <c r="E462" s="7">
        <v>43294</v>
      </c>
      <c r="F462" s="7">
        <v>43435</v>
      </c>
      <c r="G462" s="1" t="s">
        <v>38</v>
      </c>
      <c r="H462" s="8">
        <v>366471.49</v>
      </c>
      <c r="I462" s="8">
        <v>314233.28000000003</v>
      </c>
      <c r="J462" s="1">
        <f>IF(COUNTIF($C$4:C462,C462)=1,1,0)</f>
        <v>1</v>
      </c>
      <c r="K462" s="1">
        <f t="shared" si="7"/>
        <v>2018</v>
      </c>
    </row>
    <row r="463" spans="2:11" x14ac:dyDescent="0.45">
      <c r="B463" s="1" t="s">
        <v>11</v>
      </c>
      <c r="C463" s="1" t="s">
        <v>476</v>
      </c>
      <c r="D463" s="7">
        <v>43409</v>
      </c>
      <c r="E463" s="7">
        <v>43434</v>
      </c>
      <c r="F463" s="7">
        <v>43647</v>
      </c>
      <c r="G463" s="1" t="s">
        <v>41</v>
      </c>
      <c r="H463" s="8">
        <v>153758.57</v>
      </c>
      <c r="I463" s="8">
        <v>113240.05</v>
      </c>
      <c r="J463" s="1">
        <f>IF(COUNTIF($C$4:C463,C463)=1,1,0)</f>
        <v>1</v>
      </c>
      <c r="K463" s="1">
        <f t="shared" si="7"/>
        <v>2018</v>
      </c>
    </row>
    <row r="464" spans="2:11" x14ac:dyDescent="0.45">
      <c r="B464" s="1" t="s">
        <v>11</v>
      </c>
      <c r="C464" s="1" t="s">
        <v>477</v>
      </c>
      <c r="D464" s="7">
        <v>46205</v>
      </c>
      <c r="E464" s="7">
        <v>46211</v>
      </c>
      <c r="F464" s="7">
        <v>46394</v>
      </c>
      <c r="G464" s="1" t="s">
        <v>41</v>
      </c>
      <c r="H464" s="8">
        <v>374839.97</v>
      </c>
      <c r="I464" s="8">
        <v>273388.71000000002</v>
      </c>
      <c r="J464" s="1">
        <f>IF(COUNTIF($C$4:C464,C464)=1,1,0)</f>
        <v>1</v>
      </c>
      <c r="K464" s="1">
        <f t="shared" si="7"/>
        <v>2026</v>
      </c>
    </row>
    <row r="465" spans="2:11" x14ac:dyDescent="0.45">
      <c r="B465" s="1" t="s">
        <v>11</v>
      </c>
      <c r="C465" s="1" t="s">
        <v>478</v>
      </c>
      <c r="D465" s="7">
        <v>44723</v>
      </c>
      <c r="E465" s="7">
        <v>44729</v>
      </c>
      <c r="F465" s="7">
        <v>44851</v>
      </c>
      <c r="G465" s="1" t="s">
        <v>38</v>
      </c>
      <c r="H465" s="8">
        <v>1721970.95</v>
      </c>
      <c r="I465" s="8">
        <v>1140312.54</v>
      </c>
      <c r="J465" s="1">
        <f>IF(COUNTIF($C$4:C465,C465)=1,1,0)</f>
        <v>1</v>
      </c>
      <c r="K465" s="1">
        <f t="shared" si="7"/>
        <v>2022</v>
      </c>
    </row>
    <row r="466" spans="2:11" x14ac:dyDescent="0.45">
      <c r="B466" s="1" t="s">
        <v>11</v>
      </c>
      <c r="C466" s="1" t="s">
        <v>479</v>
      </c>
      <c r="D466" s="7">
        <v>43896</v>
      </c>
      <c r="E466" s="7">
        <v>43925</v>
      </c>
      <c r="F466" s="7">
        <v>44041</v>
      </c>
      <c r="G466" s="1" t="s">
        <v>38</v>
      </c>
      <c r="H466" s="8">
        <v>16367.58</v>
      </c>
      <c r="I466" s="8">
        <v>11363.96</v>
      </c>
      <c r="J466" s="1">
        <f>IF(COUNTIF($C$4:C466,C466)=1,1,0)</f>
        <v>1</v>
      </c>
      <c r="K466" s="1">
        <f t="shared" si="7"/>
        <v>2020</v>
      </c>
    </row>
    <row r="467" spans="2:11" x14ac:dyDescent="0.45">
      <c r="B467" s="1" t="s">
        <v>11</v>
      </c>
      <c r="C467" s="1" t="s">
        <v>480</v>
      </c>
      <c r="D467" s="7">
        <v>45837</v>
      </c>
      <c r="E467" s="7">
        <v>45846</v>
      </c>
      <c r="F467" s="7">
        <v>45988</v>
      </c>
      <c r="G467" s="1" t="s">
        <v>20</v>
      </c>
      <c r="H467" s="8">
        <v>16121020.460000001</v>
      </c>
      <c r="I467" s="8">
        <v>8623814.8100000005</v>
      </c>
      <c r="J467" s="1">
        <f>IF(COUNTIF($C$4:C467,C467)=1,1,0)</f>
        <v>1</v>
      </c>
      <c r="K467" s="1">
        <f t="shared" si="7"/>
        <v>2025</v>
      </c>
    </row>
    <row r="468" spans="2:11" x14ac:dyDescent="0.45">
      <c r="B468" s="1" t="s">
        <v>11</v>
      </c>
      <c r="C468" s="1" t="s">
        <v>481</v>
      </c>
      <c r="D468" s="7">
        <v>45183</v>
      </c>
      <c r="E468" s="7">
        <v>45205</v>
      </c>
      <c r="F468" s="7">
        <v>45387</v>
      </c>
      <c r="G468" s="1" t="s">
        <v>38</v>
      </c>
      <c r="H468" s="8">
        <v>960767.79</v>
      </c>
      <c r="I468" s="8">
        <v>809519.58</v>
      </c>
      <c r="J468" s="1">
        <f>IF(COUNTIF($C$4:C468,C468)=1,1,0)</f>
        <v>1</v>
      </c>
      <c r="K468" s="1">
        <f t="shared" si="7"/>
        <v>2023</v>
      </c>
    </row>
    <row r="469" spans="2:11" x14ac:dyDescent="0.45">
      <c r="B469" s="1" t="s">
        <v>11</v>
      </c>
      <c r="C469" s="1" t="s">
        <v>482</v>
      </c>
      <c r="D469" s="7">
        <v>44101</v>
      </c>
      <c r="E469" s="7">
        <v>44124</v>
      </c>
      <c r="F469" s="7">
        <v>44327</v>
      </c>
      <c r="G469" s="1" t="s">
        <v>212</v>
      </c>
      <c r="H469" s="8">
        <v>19034606.18</v>
      </c>
      <c r="I469" s="8">
        <v>9098356.9499999993</v>
      </c>
      <c r="J469" s="1">
        <f>IF(COUNTIF($C$4:C469,C469)=1,1,0)</f>
        <v>1</v>
      </c>
      <c r="K469" s="1">
        <f t="shared" si="7"/>
        <v>2020</v>
      </c>
    </row>
    <row r="470" spans="2:11" x14ac:dyDescent="0.45">
      <c r="B470" s="1" t="s">
        <v>11</v>
      </c>
      <c r="C470" s="1" t="s">
        <v>483</v>
      </c>
      <c r="D470" s="7">
        <v>44793</v>
      </c>
      <c r="E470" s="7">
        <v>44815</v>
      </c>
      <c r="F470" s="7">
        <v>44918</v>
      </c>
      <c r="G470" s="1" t="s">
        <v>13</v>
      </c>
      <c r="H470" s="8">
        <v>537226.1</v>
      </c>
      <c r="I470" s="8">
        <v>352963.28</v>
      </c>
      <c r="J470" s="1">
        <f>IF(COUNTIF($C$4:C470,C470)=1,1,0)</f>
        <v>1</v>
      </c>
      <c r="K470" s="1">
        <f t="shared" si="7"/>
        <v>2022</v>
      </c>
    </row>
    <row r="471" spans="2:11" x14ac:dyDescent="0.45">
      <c r="B471" s="1" t="s">
        <v>11</v>
      </c>
      <c r="C471" s="1" t="s">
        <v>484</v>
      </c>
      <c r="D471" s="7">
        <v>44042</v>
      </c>
      <c r="E471" s="7">
        <v>44057</v>
      </c>
      <c r="F471" s="7">
        <v>44207</v>
      </c>
      <c r="G471" s="1" t="s">
        <v>22</v>
      </c>
      <c r="H471" s="8">
        <v>10456825.43</v>
      </c>
      <c r="I471" s="8">
        <v>6576610.7699999996</v>
      </c>
      <c r="J471" s="1">
        <f>IF(COUNTIF($C$4:C471,C471)=1,1,0)</f>
        <v>1</v>
      </c>
      <c r="K471" s="1">
        <f t="shared" si="7"/>
        <v>2020</v>
      </c>
    </row>
    <row r="472" spans="2:11" x14ac:dyDescent="0.45">
      <c r="B472" s="1" t="s">
        <v>11</v>
      </c>
      <c r="C472" s="1" t="s">
        <v>485</v>
      </c>
      <c r="D472" s="7">
        <v>44315</v>
      </c>
      <c r="E472" s="7">
        <v>44342</v>
      </c>
      <c r="F472" s="7">
        <v>44521</v>
      </c>
      <c r="G472" s="1" t="s">
        <v>16</v>
      </c>
      <c r="H472" s="8">
        <v>3596185.6000000001</v>
      </c>
      <c r="I472" s="8">
        <v>2285092.64</v>
      </c>
      <c r="J472" s="1">
        <f>IF(COUNTIF($C$4:C472,C472)=1,1,0)</f>
        <v>1</v>
      </c>
      <c r="K472" s="1">
        <f t="shared" si="7"/>
        <v>2021</v>
      </c>
    </row>
    <row r="473" spans="2:11" x14ac:dyDescent="0.45">
      <c r="B473" s="1" t="s">
        <v>11</v>
      </c>
      <c r="C473" s="1" t="s">
        <v>486</v>
      </c>
      <c r="D473" s="7">
        <v>45162</v>
      </c>
      <c r="E473" s="7">
        <v>45167</v>
      </c>
      <c r="F473" s="7">
        <v>45194</v>
      </c>
      <c r="G473" s="1" t="s">
        <v>212</v>
      </c>
      <c r="H473" s="8">
        <v>33014366.07</v>
      </c>
      <c r="I473" s="8">
        <v>12232104.279999999</v>
      </c>
      <c r="J473" s="1">
        <f>IF(COUNTIF($C$4:C473,C473)=1,1,0)</f>
        <v>1</v>
      </c>
      <c r="K473" s="1">
        <f t="shared" si="7"/>
        <v>2023</v>
      </c>
    </row>
    <row r="474" spans="2:11" x14ac:dyDescent="0.45">
      <c r="B474" s="1" t="s">
        <v>11</v>
      </c>
      <c r="C474" s="1" t="s">
        <v>487</v>
      </c>
      <c r="D474" s="7">
        <v>43627</v>
      </c>
      <c r="E474" s="7">
        <v>43647</v>
      </c>
      <c r="F474" s="7">
        <v>43885</v>
      </c>
      <c r="G474" s="1" t="s">
        <v>13</v>
      </c>
      <c r="H474" s="8">
        <v>271432.31</v>
      </c>
      <c r="I474" s="8">
        <v>235823.49</v>
      </c>
      <c r="J474" s="1">
        <f>IF(COUNTIF($C$4:C474,C474)=1,1,0)</f>
        <v>1</v>
      </c>
      <c r="K474" s="1">
        <f t="shared" si="7"/>
        <v>2019</v>
      </c>
    </row>
    <row r="475" spans="2:11" x14ac:dyDescent="0.45">
      <c r="B475" s="1" t="s">
        <v>11</v>
      </c>
      <c r="C475" s="1" t="s">
        <v>488</v>
      </c>
      <c r="D475" s="7">
        <v>45113</v>
      </c>
      <c r="E475" s="7">
        <v>45126</v>
      </c>
      <c r="F475" s="7">
        <v>45162</v>
      </c>
      <c r="G475" s="1" t="s">
        <v>38</v>
      </c>
      <c r="H475" s="8">
        <v>675156.78</v>
      </c>
      <c r="I475" s="8">
        <v>577667.38</v>
      </c>
      <c r="J475" s="1">
        <f>IF(COUNTIF($C$4:C475,C475)=1,1,0)</f>
        <v>1</v>
      </c>
      <c r="K475" s="1">
        <f t="shared" si="7"/>
        <v>2023</v>
      </c>
    </row>
    <row r="476" spans="2:11" x14ac:dyDescent="0.45">
      <c r="B476" s="1" t="s">
        <v>11</v>
      </c>
      <c r="C476" s="1" t="s">
        <v>489</v>
      </c>
      <c r="D476" s="7">
        <v>45369</v>
      </c>
      <c r="E476" s="7">
        <v>45391</v>
      </c>
      <c r="F476" s="7">
        <v>45417</v>
      </c>
      <c r="G476" s="1" t="s">
        <v>20</v>
      </c>
      <c r="H476" s="8">
        <v>641466.44999999995</v>
      </c>
      <c r="I476" s="8">
        <v>387512.37</v>
      </c>
      <c r="J476" s="1">
        <f>IF(COUNTIF($C$4:C476,C476)=1,1,0)</f>
        <v>1</v>
      </c>
      <c r="K476" s="1">
        <f t="shared" si="7"/>
        <v>2024</v>
      </c>
    </row>
    <row r="477" spans="2:11" x14ac:dyDescent="0.45">
      <c r="B477" s="1" t="s">
        <v>11</v>
      </c>
      <c r="C477" s="1" t="s">
        <v>490</v>
      </c>
      <c r="D477" s="7">
        <v>44624</v>
      </c>
      <c r="E477" s="7">
        <v>44641</v>
      </c>
      <c r="F477" s="7">
        <v>44700</v>
      </c>
      <c r="G477" s="1" t="s">
        <v>22</v>
      </c>
      <c r="H477" s="8">
        <v>13107504.15</v>
      </c>
      <c r="I477" s="8">
        <v>8230360.1100000003</v>
      </c>
      <c r="J477" s="1">
        <f>IF(COUNTIF($C$4:C477,C477)=1,1,0)</f>
        <v>1</v>
      </c>
      <c r="K477" s="1">
        <f t="shared" si="7"/>
        <v>2022</v>
      </c>
    </row>
    <row r="478" spans="2:11" x14ac:dyDescent="0.45">
      <c r="B478" s="1" t="s">
        <v>11</v>
      </c>
      <c r="C478" s="1" t="s">
        <v>491</v>
      </c>
      <c r="D478" s="7">
        <v>45351</v>
      </c>
      <c r="E478" s="7">
        <v>45369</v>
      </c>
      <c r="F478" s="7">
        <v>45521</v>
      </c>
      <c r="G478" s="1" t="s">
        <v>38</v>
      </c>
      <c r="H478" s="8">
        <v>1004208.6</v>
      </c>
      <c r="I478" s="8">
        <v>816999.67</v>
      </c>
      <c r="J478" s="1">
        <f>IF(COUNTIF($C$4:C478,C478)=1,1,0)</f>
        <v>1</v>
      </c>
      <c r="K478" s="1">
        <f t="shared" si="7"/>
        <v>2024</v>
      </c>
    </row>
    <row r="479" spans="2:11" x14ac:dyDescent="0.45">
      <c r="B479" s="1" t="s">
        <v>11</v>
      </c>
      <c r="C479" s="1" t="s">
        <v>492</v>
      </c>
      <c r="D479" s="7">
        <v>45809</v>
      </c>
      <c r="E479" s="7">
        <v>45818</v>
      </c>
      <c r="F479" s="7">
        <v>46030</v>
      </c>
      <c r="G479" s="1" t="s">
        <v>38</v>
      </c>
      <c r="H479" s="8">
        <v>4719492.5</v>
      </c>
      <c r="I479" s="8">
        <v>3323367.63</v>
      </c>
      <c r="J479" s="1">
        <f>IF(COUNTIF($C$4:C479,C479)=1,1,0)</f>
        <v>1</v>
      </c>
      <c r="K479" s="1">
        <f t="shared" si="7"/>
        <v>2025</v>
      </c>
    </row>
    <row r="480" spans="2:11" x14ac:dyDescent="0.45">
      <c r="B480" s="1" t="s">
        <v>11</v>
      </c>
      <c r="C480" s="1" t="s">
        <v>493</v>
      </c>
      <c r="D480" s="7">
        <v>44267</v>
      </c>
      <c r="E480" s="7">
        <v>44286</v>
      </c>
      <c r="F480" s="7">
        <v>44515</v>
      </c>
      <c r="G480" s="1" t="s">
        <v>212</v>
      </c>
      <c r="H480" s="8">
        <v>126300211.68000001</v>
      </c>
      <c r="I480" s="8">
        <v>77004911.349999994</v>
      </c>
      <c r="J480" s="1">
        <f>IF(COUNTIF($C$4:C480,C480)=1,1,0)</f>
        <v>1</v>
      </c>
      <c r="K480" s="1">
        <f t="shared" si="7"/>
        <v>2021</v>
      </c>
    </row>
    <row r="481" spans="2:11" x14ac:dyDescent="0.45">
      <c r="B481" s="1" t="s">
        <v>11</v>
      </c>
      <c r="C481" s="1" t="s">
        <v>494</v>
      </c>
      <c r="D481" s="7">
        <v>44056</v>
      </c>
      <c r="E481" s="7">
        <v>44073</v>
      </c>
      <c r="F481" s="7">
        <v>44253</v>
      </c>
      <c r="G481" s="1" t="s">
        <v>16</v>
      </c>
      <c r="H481" s="8">
        <v>1311102.22</v>
      </c>
      <c r="I481" s="8">
        <v>784249.58</v>
      </c>
      <c r="J481" s="1">
        <f>IF(COUNTIF($C$4:C481,C481)=1,1,0)</f>
        <v>1</v>
      </c>
      <c r="K481" s="1">
        <f t="shared" si="7"/>
        <v>2020</v>
      </c>
    </row>
    <row r="482" spans="2:11" x14ac:dyDescent="0.45">
      <c r="B482" s="1" t="s">
        <v>11</v>
      </c>
      <c r="C482" s="1" t="s">
        <v>495</v>
      </c>
      <c r="D482" s="7">
        <v>43637</v>
      </c>
      <c r="E482" s="7">
        <v>43658</v>
      </c>
      <c r="F482" s="7">
        <v>43667</v>
      </c>
      <c r="G482" s="1" t="s">
        <v>212</v>
      </c>
      <c r="H482" s="8">
        <v>147904810.30000001</v>
      </c>
      <c r="I482" s="8">
        <v>96443271.120000005</v>
      </c>
      <c r="J482" s="1">
        <f>IF(COUNTIF($C$4:C482,C482)=1,1,0)</f>
        <v>1</v>
      </c>
      <c r="K482" s="1">
        <f t="shared" si="7"/>
        <v>2019</v>
      </c>
    </row>
    <row r="483" spans="2:11" x14ac:dyDescent="0.45">
      <c r="B483" s="1" t="s">
        <v>11</v>
      </c>
      <c r="C483" s="1" t="s">
        <v>496</v>
      </c>
      <c r="D483" s="7">
        <v>46127</v>
      </c>
      <c r="E483" s="7">
        <v>46141</v>
      </c>
      <c r="F483" s="7">
        <v>46271</v>
      </c>
      <c r="G483" s="1" t="s">
        <v>212</v>
      </c>
      <c r="H483" s="8">
        <v>60314911.520000003</v>
      </c>
      <c r="I483" s="8">
        <v>37483137.469999999</v>
      </c>
      <c r="J483" s="1">
        <f>IF(COUNTIF($C$4:C483,C483)=1,1,0)</f>
        <v>1</v>
      </c>
      <c r="K483" s="1">
        <f t="shared" si="7"/>
        <v>2026</v>
      </c>
    </row>
    <row r="484" spans="2:11" x14ac:dyDescent="0.45">
      <c r="B484" s="1" t="s">
        <v>11</v>
      </c>
      <c r="C484" s="1" t="s">
        <v>497</v>
      </c>
      <c r="D484" s="7">
        <v>43951</v>
      </c>
      <c r="E484" s="7">
        <v>43956</v>
      </c>
      <c r="F484" s="7">
        <v>43986</v>
      </c>
      <c r="G484" s="1" t="s">
        <v>20</v>
      </c>
      <c r="H484" s="8">
        <v>72026062.010000005</v>
      </c>
      <c r="I484" s="8">
        <v>25249707.07</v>
      </c>
      <c r="J484" s="1">
        <f>IF(COUNTIF($C$4:C484,C484)=1,1,0)</f>
        <v>1</v>
      </c>
      <c r="K484" s="1">
        <f t="shared" si="7"/>
        <v>2020</v>
      </c>
    </row>
    <row r="485" spans="2:11" x14ac:dyDescent="0.45">
      <c r="B485" s="1" t="s">
        <v>11</v>
      </c>
      <c r="C485" s="1" t="s">
        <v>498</v>
      </c>
      <c r="D485" s="7">
        <v>43540</v>
      </c>
      <c r="E485" s="7">
        <v>43558</v>
      </c>
      <c r="F485" s="7">
        <v>43566</v>
      </c>
      <c r="G485" s="1" t="s">
        <v>38</v>
      </c>
      <c r="H485" s="8">
        <v>592956.82999999996</v>
      </c>
      <c r="I485" s="8">
        <v>443279.67</v>
      </c>
      <c r="J485" s="1">
        <f>IF(COUNTIF($C$4:C485,C485)=1,1,0)</f>
        <v>1</v>
      </c>
      <c r="K485" s="1">
        <f t="shared" si="7"/>
        <v>2019</v>
      </c>
    </row>
    <row r="486" spans="2:11" x14ac:dyDescent="0.45">
      <c r="B486" s="1" t="s">
        <v>11</v>
      </c>
      <c r="C486" s="1" t="s">
        <v>499</v>
      </c>
      <c r="D486" s="7">
        <v>45968</v>
      </c>
      <c r="E486" s="7">
        <v>45980</v>
      </c>
      <c r="F486" s="7">
        <v>46112</v>
      </c>
      <c r="G486" s="1" t="s">
        <v>212</v>
      </c>
      <c r="H486" s="8">
        <v>16330397.640000001</v>
      </c>
      <c r="I486" s="8">
        <v>10515199.5</v>
      </c>
      <c r="J486" s="1">
        <f>IF(COUNTIF($C$4:C486,C486)=1,1,0)</f>
        <v>1</v>
      </c>
      <c r="K486" s="1">
        <f t="shared" si="7"/>
        <v>2025</v>
      </c>
    </row>
    <row r="487" spans="2:11" x14ac:dyDescent="0.45">
      <c r="B487" s="1" t="s">
        <v>11</v>
      </c>
      <c r="C487" s="1" t="s">
        <v>500</v>
      </c>
      <c r="D487" s="7">
        <v>46006</v>
      </c>
      <c r="E487" s="7">
        <v>46012</v>
      </c>
      <c r="F487" s="7">
        <v>46160</v>
      </c>
      <c r="G487" s="1" t="s">
        <v>16</v>
      </c>
      <c r="H487" s="8">
        <v>1846025.97</v>
      </c>
      <c r="I487" s="8">
        <v>948211.42</v>
      </c>
      <c r="J487" s="1">
        <f>IF(COUNTIF($C$4:C487,C487)=1,1,0)</f>
        <v>1</v>
      </c>
      <c r="K487" s="1">
        <f t="shared" si="7"/>
        <v>2025</v>
      </c>
    </row>
    <row r="488" spans="2:11" x14ac:dyDescent="0.45">
      <c r="B488" s="1" t="s">
        <v>11</v>
      </c>
      <c r="C488" s="1" t="s">
        <v>501</v>
      </c>
      <c r="D488" s="7">
        <v>43336</v>
      </c>
      <c r="E488" s="7">
        <v>43339</v>
      </c>
      <c r="F488" s="7">
        <v>43458</v>
      </c>
      <c r="G488" s="1" t="s">
        <v>20</v>
      </c>
      <c r="H488" s="8">
        <v>2777735.1</v>
      </c>
      <c r="I488" s="8">
        <v>1248947.56</v>
      </c>
      <c r="J488" s="1">
        <f>IF(COUNTIF($C$4:C488,C488)=1,1,0)</f>
        <v>1</v>
      </c>
      <c r="K488" s="1">
        <f t="shared" si="7"/>
        <v>2018</v>
      </c>
    </row>
    <row r="489" spans="2:11" x14ac:dyDescent="0.45">
      <c r="B489" s="1" t="s">
        <v>11</v>
      </c>
      <c r="C489" s="1" t="s">
        <v>502</v>
      </c>
      <c r="D489" s="7">
        <v>44498</v>
      </c>
      <c r="E489" s="7">
        <v>44518</v>
      </c>
      <c r="F489" s="7">
        <v>44644</v>
      </c>
      <c r="G489" s="1" t="s">
        <v>22</v>
      </c>
      <c r="H489" s="8">
        <v>114605825.89</v>
      </c>
      <c r="I489" s="8">
        <v>69534911.590000004</v>
      </c>
      <c r="J489" s="1">
        <f>IF(COUNTIF($C$4:C489,C489)=1,1,0)</f>
        <v>1</v>
      </c>
      <c r="K489" s="1">
        <f t="shared" si="7"/>
        <v>2021</v>
      </c>
    </row>
    <row r="490" spans="2:11" x14ac:dyDescent="0.45">
      <c r="B490" s="1" t="s">
        <v>11</v>
      </c>
      <c r="C490" s="1" t="s">
        <v>503</v>
      </c>
      <c r="D490" s="7">
        <v>44706</v>
      </c>
      <c r="E490" s="7">
        <v>44736</v>
      </c>
      <c r="F490" s="7">
        <v>44900</v>
      </c>
      <c r="G490" s="1" t="s">
        <v>22</v>
      </c>
      <c r="H490" s="8">
        <v>1369079.31</v>
      </c>
      <c r="I490" s="8">
        <v>1004741.28</v>
      </c>
      <c r="J490" s="1">
        <f>IF(COUNTIF($C$4:C490,C490)=1,1,0)</f>
        <v>1</v>
      </c>
      <c r="K490" s="1">
        <f t="shared" si="7"/>
        <v>2022</v>
      </c>
    </row>
    <row r="491" spans="2:11" x14ac:dyDescent="0.45">
      <c r="B491" s="1" t="s">
        <v>11</v>
      </c>
      <c r="C491" s="1" t="s">
        <v>504</v>
      </c>
      <c r="D491" s="7">
        <v>43844</v>
      </c>
      <c r="E491" s="7">
        <v>43861</v>
      </c>
      <c r="F491" s="7">
        <v>44028</v>
      </c>
      <c r="G491" s="1" t="s">
        <v>20</v>
      </c>
      <c r="H491" s="8">
        <v>46210787.899999999</v>
      </c>
      <c r="I491" s="8">
        <v>26535216.190000001</v>
      </c>
      <c r="J491" s="1">
        <f>IF(COUNTIF($C$4:C491,C491)=1,1,0)</f>
        <v>1</v>
      </c>
      <c r="K491" s="1">
        <f t="shared" si="7"/>
        <v>2020</v>
      </c>
    </row>
    <row r="492" spans="2:11" x14ac:dyDescent="0.45">
      <c r="B492" s="1" t="s">
        <v>11</v>
      </c>
      <c r="C492" s="1" t="s">
        <v>505</v>
      </c>
      <c r="D492" s="7">
        <v>46091</v>
      </c>
      <c r="E492" s="7">
        <v>46120</v>
      </c>
      <c r="F492" s="7">
        <v>46347</v>
      </c>
      <c r="G492" s="1" t="s">
        <v>38</v>
      </c>
      <c r="H492" s="8">
        <v>1105948.07</v>
      </c>
      <c r="I492" s="8">
        <v>703386.34</v>
      </c>
      <c r="J492" s="1">
        <f>IF(COUNTIF($C$4:C492,C492)=1,1,0)</f>
        <v>1</v>
      </c>
      <c r="K492" s="1">
        <f t="shared" si="7"/>
        <v>2026</v>
      </c>
    </row>
    <row r="493" spans="2:11" x14ac:dyDescent="0.45">
      <c r="B493" s="1" t="s">
        <v>11</v>
      </c>
      <c r="C493" s="1" t="s">
        <v>506</v>
      </c>
      <c r="D493" s="7">
        <v>43732</v>
      </c>
      <c r="E493" s="7">
        <v>43733</v>
      </c>
      <c r="F493" s="7">
        <v>43896</v>
      </c>
      <c r="G493" s="1" t="s">
        <v>20</v>
      </c>
      <c r="H493" s="8">
        <v>1246333.94</v>
      </c>
      <c r="I493" s="8">
        <v>844235.7</v>
      </c>
      <c r="J493" s="1">
        <f>IF(COUNTIF($C$4:C493,C493)=1,1,0)</f>
        <v>1</v>
      </c>
      <c r="K493" s="1">
        <f t="shared" si="7"/>
        <v>2019</v>
      </c>
    </row>
    <row r="494" spans="2:11" x14ac:dyDescent="0.45">
      <c r="B494" s="1" t="s">
        <v>11</v>
      </c>
      <c r="C494" s="1" t="s">
        <v>507</v>
      </c>
      <c r="D494" s="7">
        <v>44217</v>
      </c>
      <c r="E494" s="7">
        <v>44239</v>
      </c>
      <c r="F494" s="7">
        <v>44437</v>
      </c>
      <c r="G494" s="1" t="s">
        <v>13</v>
      </c>
      <c r="H494" s="8">
        <v>18456714.030000001</v>
      </c>
      <c r="I494" s="8">
        <v>13940640.630000001</v>
      </c>
      <c r="J494" s="1">
        <f>IF(COUNTIF($C$4:C494,C494)=1,1,0)</f>
        <v>1</v>
      </c>
      <c r="K494" s="1">
        <f t="shared" si="7"/>
        <v>2021</v>
      </c>
    </row>
    <row r="495" spans="2:11" x14ac:dyDescent="0.45">
      <c r="B495" s="1" t="s">
        <v>11</v>
      </c>
      <c r="C495" s="1" t="s">
        <v>508</v>
      </c>
      <c r="D495" s="7">
        <v>44341</v>
      </c>
      <c r="E495" s="7">
        <v>44344</v>
      </c>
      <c r="F495" s="7">
        <v>44524</v>
      </c>
      <c r="G495" s="1" t="s">
        <v>38</v>
      </c>
      <c r="H495" s="8">
        <v>450811.3</v>
      </c>
      <c r="I495" s="8">
        <v>365214.58</v>
      </c>
      <c r="J495" s="1">
        <f>IF(COUNTIF($C$4:C495,C495)=1,1,0)</f>
        <v>1</v>
      </c>
      <c r="K495" s="1">
        <f t="shared" si="7"/>
        <v>2021</v>
      </c>
    </row>
    <row r="496" spans="2:11" x14ac:dyDescent="0.45">
      <c r="B496" s="1" t="s">
        <v>11</v>
      </c>
      <c r="C496" s="1" t="s">
        <v>509</v>
      </c>
      <c r="D496" s="7">
        <v>44244</v>
      </c>
      <c r="E496" s="7">
        <v>44269</v>
      </c>
      <c r="F496" s="7">
        <v>44403</v>
      </c>
      <c r="G496" s="1" t="s">
        <v>13</v>
      </c>
      <c r="H496" s="8">
        <v>648768.23</v>
      </c>
      <c r="I496" s="8">
        <v>498342.88</v>
      </c>
      <c r="J496" s="1">
        <f>IF(COUNTIF($C$4:C496,C496)=1,1,0)</f>
        <v>1</v>
      </c>
      <c r="K496" s="1">
        <f t="shared" si="7"/>
        <v>2021</v>
      </c>
    </row>
    <row r="497" spans="2:11" x14ac:dyDescent="0.45">
      <c r="B497" s="1" t="s">
        <v>11</v>
      </c>
      <c r="C497" s="1" t="s">
        <v>510</v>
      </c>
      <c r="D497" s="7">
        <v>44650</v>
      </c>
      <c r="E497" s="7">
        <v>44675</v>
      </c>
      <c r="F497" s="7">
        <v>44728</v>
      </c>
      <c r="G497" s="1" t="s">
        <v>13</v>
      </c>
      <c r="H497" s="8">
        <v>190082.77</v>
      </c>
      <c r="I497" s="8">
        <v>159447.26</v>
      </c>
      <c r="J497" s="1">
        <f>IF(COUNTIF($C$4:C497,C497)=1,1,0)</f>
        <v>1</v>
      </c>
      <c r="K497" s="1">
        <f t="shared" si="7"/>
        <v>2022</v>
      </c>
    </row>
    <row r="498" spans="2:11" x14ac:dyDescent="0.45">
      <c r="B498" s="1" t="s">
        <v>11</v>
      </c>
      <c r="C498" s="1" t="s">
        <v>511</v>
      </c>
      <c r="D498" s="7">
        <v>43596</v>
      </c>
      <c r="E498" s="7">
        <v>43609</v>
      </c>
      <c r="F498" s="7">
        <v>43663</v>
      </c>
      <c r="G498" s="1" t="s">
        <v>41</v>
      </c>
      <c r="H498" s="8">
        <v>192330.46</v>
      </c>
      <c r="I498" s="8">
        <v>145023.46</v>
      </c>
      <c r="J498" s="1">
        <f>IF(COUNTIF($C$4:C498,C498)=1,1,0)</f>
        <v>1</v>
      </c>
      <c r="K498" s="1">
        <f t="shared" si="7"/>
        <v>2019</v>
      </c>
    </row>
    <row r="499" spans="2:11" x14ac:dyDescent="0.45">
      <c r="B499" s="1" t="s">
        <v>11</v>
      </c>
      <c r="C499" s="1" t="s">
        <v>512</v>
      </c>
      <c r="D499" s="7">
        <v>44709</v>
      </c>
      <c r="E499" s="7">
        <v>44712</v>
      </c>
      <c r="F499" s="7">
        <v>44881</v>
      </c>
      <c r="G499" s="1" t="s">
        <v>13</v>
      </c>
      <c r="H499" s="8">
        <v>1076552.76</v>
      </c>
      <c r="I499" s="8">
        <v>899132.07</v>
      </c>
      <c r="J499" s="1">
        <f>IF(COUNTIF($C$4:C499,C499)=1,1,0)</f>
        <v>1</v>
      </c>
      <c r="K499" s="1">
        <f t="shared" si="7"/>
        <v>2022</v>
      </c>
    </row>
    <row r="500" spans="2:11" x14ac:dyDescent="0.45">
      <c r="B500" s="1" t="s">
        <v>11</v>
      </c>
      <c r="C500" s="1" t="s">
        <v>513</v>
      </c>
      <c r="D500" s="7">
        <v>44173</v>
      </c>
      <c r="E500" s="7">
        <v>44179</v>
      </c>
      <c r="F500" s="7">
        <v>44365</v>
      </c>
      <c r="G500" s="1" t="s">
        <v>13</v>
      </c>
      <c r="H500" s="8">
        <v>266512.86</v>
      </c>
      <c r="I500" s="8">
        <v>190495.69</v>
      </c>
      <c r="J500" s="1">
        <f>IF(COUNTIF($C$4:C500,C500)=1,1,0)</f>
        <v>1</v>
      </c>
      <c r="K500" s="1">
        <f t="shared" si="7"/>
        <v>2020</v>
      </c>
    </row>
    <row r="501" spans="2:11" x14ac:dyDescent="0.45">
      <c r="B501" s="1" t="s">
        <v>11</v>
      </c>
      <c r="C501" s="1" t="s">
        <v>514</v>
      </c>
      <c r="D501" s="7">
        <v>45109</v>
      </c>
      <c r="E501" s="7">
        <v>45118</v>
      </c>
      <c r="F501" s="7">
        <v>45194</v>
      </c>
      <c r="G501" s="1" t="s">
        <v>41</v>
      </c>
      <c r="H501" s="8">
        <v>168108.78</v>
      </c>
      <c r="I501" s="8">
        <v>114368.95</v>
      </c>
      <c r="J501" s="1">
        <f>IF(COUNTIF($C$4:C501,C501)=1,1,0)</f>
        <v>1</v>
      </c>
      <c r="K501" s="1">
        <f t="shared" si="7"/>
        <v>2023</v>
      </c>
    </row>
    <row r="502" spans="2:11" x14ac:dyDescent="0.45">
      <c r="B502" s="1" t="s">
        <v>11</v>
      </c>
      <c r="C502" s="1" t="s">
        <v>515</v>
      </c>
      <c r="D502" s="7">
        <v>44537</v>
      </c>
      <c r="E502" s="7">
        <v>44538</v>
      </c>
      <c r="F502" s="7">
        <v>44732</v>
      </c>
      <c r="G502" s="1" t="s">
        <v>38</v>
      </c>
      <c r="H502" s="8">
        <v>390696.23</v>
      </c>
      <c r="I502" s="8">
        <v>322446.05</v>
      </c>
      <c r="J502" s="1">
        <f>IF(COUNTIF($C$4:C502,C502)=1,1,0)</f>
        <v>1</v>
      </c>
      <c r="K502" s="1">
        <f t="shared" si="7"/>
        <v>2021</v>
      </c>
    </row>
    <row r="503" spans="2:11" x14ac:dyDescent="0.45">
      <c r="B503" s="1" t="s">
        <v>11</v>
      </c>
      <c r="C503" s="1" t="s">
        <v>516</v>
      </c>
      <c r="D503" s="7">
        <v>44670</v>
      </c>
      <c r="E503" s="7">
        <v>44686</v>
      </c>
      <c r="F503" s="7">
        <v>44768</v>
      </c>
      <c r="G503" s="1" t="s">
        <v>13</v>
      </c>
      <c r="H503" s="8">
        <v>139246.63</v>
      </c>
      <c r="I503" s="8">
        <v>107359.03999999999</v>
      </c>
      <c r="J503" s="1">
        <f>IF(COUNTIF($C$4:C503,C503)=1,1,0)</f>
        <v>1</v>
      </c>
      <c r="K503" s="1">
        <f t="shared" si="7"/>
        <v>2022</v>
      </c>
    </row>
    <row r="504" spans="2:11" x14ac:dyDescent="0.45">
      <c r="B504" s="1" t="s">
        <v>11</v>
      </c>
      <c r="C504" s="1" t="s">
        <v>517</v>
      </c>
      <c r="D504" s="7">
        <v>44841</v>
      </c>
      <c r="E504" s="7">
        <v>44860</v>
      </c>
      <c r="F504" s="7">
        <v>45029</v>
      </c>
      <c r="G504" s="1" t="s">
        <v>20</v>
      </c>
      <c r="H504" s="8">
        <v>7237642.7800000003</v>
      </c>
      <c r="I504" s="8">
        <v>4869524.97</v>
      </c>
      <c r="J504" s="1">
        <f>IF(COUNTIF($C$4:C504,C504)=1,1,0)</f>
        <v>1</v>
      </c>
      <c r="K504" s="1">
        <f t="shared" si="7"/>
        <v>2022</v>
      </c>
    </row>
    <row r="505" spans="2:11" x14ac:dyDescent="0.45">
      <c r="B505" s="1" t="s">
        <v>11</v>
      </c>
      <c r="C505" s="1" t="s">
        <v>518</v>
      </c>
      <c r="D505" s="7">
        <v>44329</v>
      </c>
      <c r="E505" s="7">
        <v>44342</v>
      </c>
      <c r="F505" s="7">
        <v>44387</v>
      </c>
      <c r="G505" s="1" t="s">
        <v>41</v>
      </c>
      <c r="H505" s="8">
        <v>93476.03</v>
      </c>
      <c r="I505" s="8">
        <v>65747.02</v>
      </c>
      <c r="J505" s="1">
        <f>IF(COUNTIF($C$4:C505,C505)=1,1,0)</f>
        <v>1</v>
      </c>
      <c r="K505" s="1">
        <f t="shared" si="7"/>
        <v>2021</v>
      </c>
    </row>
    <row r="506" spans="2:11" x14ac:dyDescent="0.45">
      <c r="B506" s="1" t="s">
        <v>11</v>
      </c>
      <c r="C506" s="1" t="s">
        <v>519</v>
      </c>
      <c r="D506" s="7">
        <v>46210</v>
      </c>
      <c r="E506" s="7">
        <v>46213</v>
      </c>
      <c r="F506" s="7">
        <v>46256</v>
      </c>
      <c r="G506" s="1" t="s">
        <v>41</v>
      </c>
      <c r="H506" s="8">
        <v>343044.67</v>
      </c>
      <c r="I506" s="8">
        <v>209401.9</v>
      </c>
      <c r="J506" s="1">
        <f>IF(COUNTIF($C$4:C506,C506)=1,1,0)</f>
        <v>1</v>
      </c>
      <c r="K506" s="1">
        <f t="shared" si="7"/>
        <v>2026</v>
      </c>
    </row>
    <row r="507" spans="2:11" x14ac:dyDescent="0.45">
      <c r="B507" s="1" t="s">
        <v>11</v>
      </c>
      <c r="C507" s="1" t="s">
        <v>520</v>
      </c>
      <c r="D507" s="7">
        <v>45704</v>
      </c>
      <c r="E507" s="7">
        <v>45709</v>
      </c>
      <c r="F507" s="7">
        <v>45728</v>
      </c>
      <c r="G507" s="1" t="s">
        <v>41</v>
      </c>
      <c r="H507" s="8">
        <v>1637971.01</v>
      </c>
      <c r="I507" s="8">
        <v>1154874.75</v>
      </c>
      <c r="J507" s="1">
        <f>IF(COUNTIF($C$4:C507,C507)=1,1,0)</f>
        <v>1</v>
      </c>
      <c r="K507" s="1">
        <f t="shared" si="7"/>
        <v>2025</v>
      </c>
    </row>
    <row r="508" spans="2:11" x14ac:dyDescent="0.45">
      <c r="B508" s="1" t="s">
        <v>11</v>
      </c>
      <c r="C508" s="1" t="s">
        <v>521</v>
      </c>
      <c r="D508" s="7">
        <v>44406</v>
      </c>
      <c r="E508" s="7">
        <v>44407</v>
      </c>
      <c r="F508" s="7">
        <v>44515</v>
      </c>
      <c r="G508" s="1" t="s">
        <v>13</v>
      </c>
      <c r="H508" s="8">
        <v>64002373.979999997</v>
      </c>
      <c r="I508" s="8">
        <v>32844817.25</v>
      </c>
      <c r="J508" s="1">
        <f>IF(COUNTIF($C$4:C508,C508)=1,1,0)</f>
        <v>1</v>
      </c>
      <c r="K508" s="1">
        <f t="shared" si="7"/>
        <v>2021</v>
      </c>
    </row>
    <row r="509" spans="2:11" x14ac:dyDescent="0.45">
      <c r="B509" s="1" t="s">
        <v>11</v>
      </c>
      <c r="C509" s="1" t="s">
        <v>522</v>
      </c>
      <c r="D509" s="7">
        <v>43980</v>
      </c>
      <c r="E509" s="7">
        <v>43994</v>
      </c>
      <c r="F509" s="7">
        <v>44029</v>
      </c>
      <c r="G509" s="1" t="s">
        <v>22</v>
      </c>
      <c r="H509" s="8">
        <v>3217565.12</v>
      </c>
      <c r="I509" s="8">
        <v>2147361.56</v>
      </c>
      <c r="J509" s="1">
        <f>IF(COUNTIF($C$4:C509,C509)=1,1,0)</f>
        <v>1</v>
      </c>
      <c r="K509" s="1">
        <f t="shared" si="7"/>
        <v>2020</v>
      </c>
    </row>
    <row r="510" spans="2:11" x14ac:dyDescent="0.45">
      <c r="B510" s="1" t="s">
        <v>11</v>
      </c>
      <c r="C510" s="1" t="s">
        <v>523</v>
      </c>
      <c r="D510" s="7">
        <v>45316</v>
      </c>
      <c r="E510" s="7">
        <v>45329</v>
      </c>
      <c r="F510" s="7">
        <v>45420</v>
      </c>
      <c r="G510" s="1" t="s">
        <v>38</v>
      </c>
      <c r="H510" s="8">
        <v>753208.87</v>
      </c>
      <c r="I510" s="8">
        <v>593057.18999999994</v>
      </c>
      <c r="J510" s="1">
        <f>IF(COUNTIF($C$4:C510,C510)=1,1,0)</f>
        <v>1</v>
      </c>
      <c r="K510" s="1">
        <f t="shared" si="7"/>
        <v>2024</v>
      </c>
    </row>
    <row r="511" spans="2:11" x14ac:dyDescent="0.45">
      <c r="B511" s="1" t="s">
        <v>11</v>
      </c>
      <c r="C511" s="1" t="s">
        <v>524</v>
      </c>
      <c r="D511" s="7">
        <v>45685</v>
      </c>
      <c r="E511" s="7">
        <v>45694</v>
      </c>
      <c r="F511" s="7">
        <v>45747</v>
      </c>
      <c r="G511" s="1" t="s">
        <v>41</v>
      </c>
      <c r="H511" s="8">
        <v>420187.38</v>
      </c>
      <c r="I511" s="8">
        <v>333280.01</v>
      </c>
      <c r="J511" s="1">
        <f>IF(COUNTIF($C$4:C511,C511)=1,1,0)</f>
        <v>1</v>
      </c>
      <c r="K511" s="1">
        <f t="shared" si="7"/>
        <v>2025</v>
      </c>
    </row>
    <row r="512" spans="2:11" x14ac:dyDescent="0.45">
      <c r="B512" s="1" t="s">
        <v>11</v>
      </c>
      <c r="C512" s="1" t="s">
        <v>525</v>
      </c>
      <c r="D512" s="7">
        <v>44042</v>
      </c>
      <c r="E512" s="7">
        <v>44061</v>
      </c>
      <c r="F512" s="7">
        <v>44292</v>
      </c>
      <c r="G512" s="1" t="s">
        <v>41</v>
      </c>
      <c r="H512" s="8">
        <v>405340.48</v>
      </c>
      <c r="I512" s="8">
        <v>338811.36</v>
      </c>
      <c r="J512" s="1">
        <f>IF(COUNTIF($C$4:C512,C512)=1,1,0)</f>
        <v>1</v>
      </c>
      <c r="K512" s="1">
        <f t="shared" si="7"/>
        <v>2020</v>
      </c>
    </row>
    <row r="513" spans="2:11" x14ac:dyDescent="0.45">
      <c r="B513" s="1" t="s">
        <v>11</v>
      </c>
      <c r="C513" s="1" t="s">
        <v>526</v>
      </c>
      <c r="D513" s="7">
        <v>44905</v>
      </c>
      <c r="E513" s="7">
        <v>44929</v>
      </c>
      <c r="F513" s="7">
        <v>44946</v>
      </c>
      <c r="G513" s="1" t="s">
        <v>38</v>
      </c>
      <c r="H513" s="8">
        <v>153785.85</v>
      </c>
      <c r="I513" s="8">
        <v>121988.29</v>
      </c>
      <c r="J513" s="1">
        <f>IF(COUNTIF($C$4:C513,C513)=1,1,0)</f>
        <v>1</v>
      </c>
      <c r="K513" s="1">
        <f t="shared" si="7"/>
        <v>2022</v>
      </c>
    </row>
    <row r="514" spans="2:11" x14ac:dyDescent="0.45">
      <c r="B514" s="1" t="s">
        <v>11</v>
      </c>
      <c r="C514" s="1" t="s">
        <v>527</v>
      </c>
      <c r="D514" s="7">
        <v>44337</v>
      </c>
      <c r="E514" s="7">
        <v>44367</v>
      </c>
      <c r="F514" s="7">
        <v>44487</v>
      </c>
      <c r="G514" s="1" t="s">
        <v>20</v>
      </c>
      <c r="H514" s="8">
        <v>296874.26</v>
      </c>
      <c r="I514" s="8">
        <v>206433.04</v>
      </c>
      <c r="J514" s="1">
        <f>IF(COUNTIF($C$4:C514,C514)=1,1,0)</f>
        <v>1</v>
      </c>
      <c r="K514" s="1">
        <f t="shared" si="7"/>
        <v>2021</v>
      </c>
    </row>
    <row r="515" spans="2:11" x14ac:dyDescent="0.45">
      <c r="B515" s="1" t="s">
        <v>11</v>
      </c>
      <c r="C515" s="1" t="s">
        <v>528</v>
      </c>
      <c r="D515" s="7">
        <v>44196</v>
      </c>
      <c r="E515" s="7">
        <v>44210</v>
      </c>
      <c r="F515" s="7">
        <v>44419</v>
      </c>
      <c r="G515" s="1" t="s">
        <v>16</v>
      </c>
      <c r="H515" s="8">
        <v>3964460.4</v>
      </c>
      <c r="I515" s="8">
        <v>1971126.58</v>
      </c>
      <c r="J515" s="1">
        <f>IF(COUNTIF($C$4:C515,C515)=1,1,0)</f>
        <v>1</v>
      </c>
      <c r="K515" s="1">
        <f t="shared" si="7"/>
        <v>2020</v>
      </c>
    </row>
    <row r="516" spans="2:11" x14ac:dyDescent="0.45">
      <c r="B516" s="1" t="s">
        <v>11</v>
      </c>
      <c r="C516" s="1" t="s">
        <v>529</v>
      </c>
      <c r="D516" s="7">
        <v>45075</v>
      </c>
      <c r="E516" s="7">
        <v>45099</v>
      </c>
      <c r="F516" s="7">
        <v>45153</v>
      </c>
      <c r="G516" s="1" t="s">
        <v>41</v>
      </c>
      <c r="H516" s="8">
        <v>840336.19</v>
      </c>
      <c r="I516" s="8">
        <v>716230.43</v>
      </c>
      <c r="J516" s="1">
        <f>IF(COUNTIF($C$4:C516,C516)=1,1,0)</f>
        <v>1</v>
      </c>
      <c r="K516" s="1">
        <f t="shared" si="7"/>
        <v>2023</v>
      </c>
    </row>
    <row r="517" spans="2:11" x14ac:dyDescent="0.45">
      <c r="B517" s="1" t="s">
        <v>11</v>
      </c>
      <c r="C517" s="1" t="s">
        <v>530</v>
      </c>
      <c r="D517" s="7">
        <v>43890</v>
      </c>
      <c r="E517" s="7">
        <v>43896</v>
      </c>
      <c r="F517" s="7">
        <v>43991</v>
      </c>
      <c r="G517" s="1" t="s">
        <v>38</v>
      </c>
      <c r="H517" s="8">
        <v>290505.3</v>
      </c>
      <c r="I517" s="8">
        <v>246272.78</v>
      </c>
      <c r="J517" s="1">
        <f>IF(COUNTIF($C$4:C517,C517)=1,1,0)</f>
        <v>1</v>
      </c>
      <c r="K517" s="1">
        <f t="shared" ref="K517:K580" si="8">YEAR(D517)</f>
        <v>2020</v>
      </c>
    </row>
    <row r="518" spans="2:11" x14ac:dyDescent="0.45">
      <c r="B518" s="1" t="s">
        <v>11</v>
      </c>
      <c r="C518" s="1" t="s">
        <v>531</v>
      </c>
      <c r="D518" s="7">
        <v>44943</v>
      </c>
      <c r="E518" s="7">
        <v>44956</v>
      </c>
      <c r="F518" s="7">
        <v>45067</v>
      </c>
      <c r="G518" s="1" t="s">
        <v>16</v>
      </c>
      <c r="H518" s="8">
        <v>4113195.64</v>
      </c>
      <c r="I518" s="8">
        <v>2967328.21</v>
      </c>
      <c r="J518" s="1">
        <f>IF(COUNTIF($C$4:C518,C518)=1,1,0)</f>
        <v>1</v>
      </c>
      <c r="K518" s="1">
        <f t="shared" si="8"/>
        <v>2023</v>
      </c>
    </row>
    <row r="519" spans="2:11" x14ac:dyDescent="0.45">
      <c r="B519" s="1" t="s">
        <v>11</v>
      </c>
      <c r="C519" s="1" t="s">
        <v>532</v>
      </c>
      <c r="D519" s="7">
        <v>45207</v>
      </c>
      <c r="E519" s="7">
        <v>45232</v>
      </c>
      <c r="F519" s="7">
        <v>45443</v>
      </c>
      <c r="G519" s="1" t="s">
        <v>20</v>
      </c>
      <c r="H519" s="8">
        <v>197194239.80000001</v>
      </c>
      <c r="I519" s="8">
        <v>143971849.65000001</v>
      </c>
      <c r="J519" s="1">
        <f>IF(COUNTIF($C$4:C519,C519)=1,1,0)</f>
        <v>1</v>
      </c>
      <c r="K519" s="1">
        <f t="shared" si="8"/>
        <v>2023</v>
      </c>
    </row>
    <row r="520" spans="2:11" x14ac:dyDescent="0.45">
      <c r="B520" s="1" t="s">
        <v>11</v>
      </c>
      <c r="C520" s="1" t="s">
        <v>533</v>
      </c>
      <c r="D520" s="7">
        <v>43891</v>
      </c>
      <c r="E520" s="7">
        <v>43894</v>
      </c>
      <c r="F520" s="7">
        <v>44084</v>
      </c>
      <c r="G520" s="1" t="s">
        <v>13</v>
      </c>
      <c r="H520" s="8">
        <v>584613.9</v>
      </c>
      <c r="I520" s="8">
        <v>477362.18</v>
      </c>
      <c r="J520" s="1">
        <f>IF(COUNTIF($C$4:C520,C520)=1,1,0)</f>
        <v>1</v>
      </c>
      <c r="K520" s="1">
        <f t="shared" si="8"/>
        <v>2020</v>
      </c>
    </row>
    <row r="521" spans="2:11" x14ac:dyDescent="0.45">
      <c r="B521" s="1" t="s">
        <v>11</v>
      </c>
      <c r="C521" s="1" t="s">
        <v>111</v>
      </c>
      <c r="D521" s="7">
        <v>44453</v>
      </c>
      <c r="E521" s="7">
        <v>44465</v>
      </c>
      <c r="F521" s="7">
        <v>44585</v>
      </c>
      <c r="G521" s="1" t="s">
        <v>38</v>
      </c>
      <c r="H521" s="8">
        <v>83470.539999999994</v>
      </c>
      <c r="I521" s="8">
        <v>68470.34</v>
      </c>
      <c r="J521" s="1">
        <f>IF(COUNTIF($C$4:C521,C521)=1,1,0)</f>
        <v>0</v>
      </c>
      <c r="K521" s="1">
        <f t="shared" si="8"/>
        <v>2021</v>
      </c>
    </row>
    <row r="522" spans="2:11" x14ac:dyDescent="0.45">
      <c r="B522" s="1" t="s">
        <v>11</v>
      </c>
      <c r="C522" s="1" t="s">
        <v>534</v>
      </c>
      <c r="D522" s="7">
        <v>45636</v>
      </c>
      <c r="E522" s="7">
        <v>45657</v>
      </c>
      <c r="F522" s="7">
        <v>45697</v>
      </c>
      <c r="G522" s="1" t="s">
        <v>16</v>
      </c>
      <c r="H522" s="8">
        <v>1367323.45</v>
      </c>
      <c r="I522" s="8">
        <v>661843.44999999995</v>
      </c>
      <c r="J522" s="1">
        <f>IF(COUNTIF($C$4:C522,C522)=1,1,0)</f>
        <v>1</v>
      </c>
      <c r="K522" s="1">
        <f t="shared" si="8"/>
        <v>2024</v>
      </c>
    </row>
    <row r="523" spans="2:11" x14ac:dyDescent="0.45">
      <c r="B523" s="1" t="s">
        <v>11</v>
      </c>
      <c r="C523" s="1" t="s">
        <v>535</v>
      </c>
      <c r="D523" s="7">
        <v>44932</v>
      </c>
      <c r="E523" s="7">
        <v>44952</v>
      </c>
      <c r="F523" s="7">
        <v>45062</v>
      </c>
      <c r="G523" s="1" t="s">
        <v>20</v>
      </c>
      <c r="H523" s="8">
        <v>932039.6</v>
      </c>
      <c r="I523" s="8">
        <v>702503.25</v>
      </c>
      <c r="J523" s="1">
        <f>IF(COUNTIF($C$4:C523,C523)=1,1,0)</f>
        <v>1</v>
      </c>
      <c r="K523" s="1">
        <f t="shared" si="8"/>
        <v>2023</v>
      </c>
    </row>
    <row r="524" spans="2:11" x14ac:dyDescent="0.45">
      <c r="B524" s="1" t="s">
        <v>11</v>
      </c>
      <c r="C524" s="1" t="s">
        <v>536</v>
      </c>
      <c r="D524" s="7">
        <v>44559</v>
      </c>
      <c r="E524" s="7">
        <v>44577</v>
      </c>
      <c r="F524" s="7">
        <v>44701</v>
      </c>
      <c r="G524" s="1" t="s">
        <v>38</v>
      </c>
      <c r="H524" s="8">
        <v>143916.65</v>
      </c>
      <c r="I524" s="8">
        <v>127814.85</v>
      </c>
      <c r="J524" s="1">
        <f>IF(COUNTIF($C$4:C524,C524)=1,1,0)</f>
        <v>1</v>
      </c>
      <c r="K524" s="1">
        <f t="shared" si="8"/>
        <v>2021</v>
      </c>
    </row>
    <row r="525" spans="2:11" x14ac:dyDescent="0.45">
      <c r="B525" s="1" t="s">
        <v>11</v>
      </c>
      <c r="C525" s="1" t="s">
        <v>537</v>
      </c>
      <c r="D525" s="7">
        <v>45662</v>
      </c>
      <c r="E525" s="7">
        <v>45687</v>
      </c>
      <c r="F525" s="7">
        <v>45752</v>
      </c>
      <c r="G525" s="1" t="s">
        <v>20</v>
      </c>
      <c r="H525" s="8">
        <v>159360.4</v>
      </c>
      <c r="I525" s="8">
        <v>76102.490000000005</v>
      </c>
      <c r="J525" s="1">
        <f>IF(COUNTIF($C$4:C525,C525)=1,1,0)</f>
        <v>1</v>
      </c>
      <c r="K525" s="1">
        <f t="shared" si="8"/>
        <v>2025</v>
      </c>
    </row>
    <row r="526" spans="2:11" x14ac:dyDescent="0.45">
      <c r="B526" s="1" t="s">
        <v>11</v>
      </c>
      <c r="C526" s="1" t="s">
        <v>538</v>
      </c>
      <c r="D526" s="7">
        <v>45980</v>
      </c>
      <c r="E526" s="7">
        <v>45992</v>
      </c>
      <c r="F526" s="7">
        <v>46003</v>
      </c>
      <c r="G526" s="1" t="s">
        <v>16</v>
      </c>
      <c r="H526" s="8">
        <v>5280445.01</v>
      </c>
      <c r="I526" s="8">
        <v>3470949.56</v>
      </c>
      <c r="J526" s="1">
        <f>IF(COUNTIF($C$4:C526,C526)=1,1,0)</f>
        <v>1</v>
      </c>
      <c r="K526" s="1">
        <f t="shared" si="8"/>
        <v>2025</v>
      </c>
    </row>
    <row r="527" spans="2:11" x14ac:dyDescent="0.45">
      <c r="B527" s="1" t="s">
        <v>11</v>
      </c>
      <c r="C527" s="1" t="s">
        <v>539</v>
      </c>
      <c r="D527" s="7">
        <v>45475</v>
      </c>
      <c r="E527" s="7">
        <v>45495</v>
      </c>
      <c r="F527" s="7">
        <v>45662</v>
      </c>
      <c r="G527" s="1" t="s">
        <v>13</v>
      </c>
      <c r="H527" s="8">
        <v>7410365.04</v>
      </c>
      <c r="I527" s="8">
        <v>4090439.71</v>
      </c>
      <c r="J527" s="1">
        <f>IF(COUNTIF($C$4:C527,C527)=1,1,0)</f>
        <v>1</v>
      </c>
      <c r="K527" s="1">
        <f t="shared" si="8"/>
        <v>2024</v>
      </c>
    </row>
    <row r="528" spans="2:11" x14ac:dyDescent="0.45">
      <c r="B528" s="1" t="s">
        <v>11</v>
      </c>
      <c r="C528" s="1" t="s">
        <v>540</v>
      </c>
      <c r="D528" s="7">
        <v>44427</v>
      </c>
      <c r="E528" s="7">
        <v>44432</v>
      </c>
      <c r="F528" s="7">
        <v>44561</v>
      </c>
      <c r="G528" s="1" t="s">
        <v>16</v>
      </c>
      <c r="H528" s="8">
        <v>5640971.1799999997</v>
      </c>
      <c r="I528" s="8">
        <v>2824703.55</v>
      </c>
      <c r="J528" s="1">
        <f>IF(COUNTIF($C$4:C528,C528)=1,1,0)</f>
        <v>1</v>
      </c>
      <c r="K528" s="1">
        <f t="shared" si="8"/>
        <v>2021</v>
      </c>
    </row>
    <row r="529" spans="2:11" x14ac:dyDescent="0.45">
      <c r="B529" s="1" t="s">
        <v>11</v>
      </c>
      <c r="C529" s="1" t="s">
        <v>541</v>
      </c>
      <c r="D529" s="7">
        <v>45022</v>
      </c>
      <c r="E529" s="7">
        <v>45050</v>
      </c>
      <c r="F529" s="7">
        <v>45154</v>
      </c>
      <c r="G529" s="1" t="s">
        <v>22</v>
      </c>
      <c r="H529" s="8">
        <v>1778336.9</v>
      </c>
      <c r="I529" s="8">
        <v>883897.18</v>
      </c>
      <c r="J529" s="1">
        <f>IF(COUNTIF($C$4:C529,C529)=1,1,0)</f>
        <v>1</v>
      </c>
      <c r="K529" s="1">
        <f t="shared" si="8"/>
        <v>2023</v>
      </c>
    </row>
    <row r="530" spans="2:11" x14ac:dyDescent="0.45">
      <c r="B530" s="1" t="s">
        <v>11</v>
      </c>
      <c r="C530" s="1" t="s">
        <v>542</v>
      </c>
      <c r="D530" s="7">
        <v>43803</v>
      </c>
      <c r="E530" s="7">
        <v>43832</v>
      </c>
      <c r="F530" s="7">
        <v>44059</v>
      </c>
      <c r="G530" s="1" t="s">
        <v>41</v>
      </c>
      <c r="H530" s="8">
        <v>862877.21</v>
      </c>
      <c r="I530" s="8">
        <v>607761.64</v>
      </c>
      <c r="J530" s="1">
        <f>IF(COUNTIF($C$4:C530,C530)=1,1,0)</f>
        <v>1</v>
      </c>
      <c r="K530" s="1">
        <f t="shared" si="8"/>
        <v>2019</v>
      </c>
    </row>
    <row r="531" spans="2:11" x14ac:dyDescent="0.45">
      <c r="B531" s="1" t="s">
        <v>11</v>
      </c>
      <c r="C531" s="1" t="s">
        <v>543</v>
      </c>
      <c r="D531" s="7">
        <v>44135</v>
      </c>
      <c r="E531" s="7">
        <v>44148</v>
      </c>
      <c r="F531" s="7">
        <v>44359</v>
      </c>
      <c r="G531" s="1" t="s">
        <v>38</v>
      </c>
      <c r="H531" s="8">
        <v>110706.4</v>
      </c>
      <c r="I531" s="8">
        <v>89125.69</v>
      </c>
      <c r="J531" s="1">
        <f>IF(COUNTIF($C$4:C531,C531)=1,1,0)</f>
        <v>1</v>
      </c>
      <c r="K531" s="1">
        <f t="shared" si="8"/>
        <v>2020</v>
      </c>
    </row>
    <row r="532" spans="2:11" x14ac:dyDescent="0.45">
      <c r="B532" s="1" t="s">
        <v>11</v>
      </c>
      <c r="C532" s="1" t="s">
        <v>544</v>
      </c>
      <c r="D532" s="7">
        <v>45580</v>
      </c>
      <c r="E532" s="7">
        <v>45603</v>
      </c>
      <c r="F532" s="7">
        <v>45809</v>
      </c>
      <c r="G532" s="1" t="s">
        <v>20</v>
      </c>
      <c r="H532" s="8">
        <v>119628525.73999999</v>
      </c>
      <c r="I532" s="8">
        <v>87149707.450000003</v>
      </c>
      <c r="J532" s="1">
        <f>IF(COUNTIF($C$4:C532,C532)=1,1,0)</f>
        <v>1</v>
      </c>
      <c r="K532" s="1">
        <f t="shared" si="8"/>
        <v>2024</v>
      </c>
    </row>
    <row r="533" spans="2:11" x14ac:dyDescent="0.45">
      <c r="B533" s="1" t="s">
        <v>11</v>
      </c>
      <c r="C533" s="1" t="s">
        <v>545</v>
      </c>
      <c r="D533" s="7">
        <v>44776</v>
      </c>
      <c r="E533" s="7">
        <v>44790</v>
      </c>
      <c r="F533" s="7">
        <v>44813</v>
      </c>
      <c r="G533" s="1" t="s">
        <v>20</v>
      </c>
      <c r="H533" s="8">
        <v>45386624.68</v>
      </c>
      <c r="I533" s="8">
        <v>23398942.739999998</v>
      </c>
      <c r="J533" s="1">
        <f>IF(COUNTIF($C$4:C533,C533)=1,1,0)</f>
        <v>1</v>
      </c>
      <c r="K533" s="1">
        <f t="shared" si="8"/>
        <v>2022</v>
      </c>
    </row>
    <row r="534" spans="2:11" x14ac:dyDescent="0.45">
      <c r="B534" s="1" t="s">
        <v>11</v>
      </c>
      <c r="C534" s="1" t="s">
        <v>546</v>
      </c>
      <c r="D534" s="7">
        <v>45238</v>
      </c>
      <c r="E534" s="7">
        <v>45260</v>
      </c>
      <c r="F534" s="7">
        <v>45345</v>
      </c>
      <c r="G534" s="1" t="s">
        <v>38</v>
      </c>
      <c r="H534" s="8">
        <v>750937.64</v>
      </c>
      <c r="I534" s="8">
        <v>594990.15</v>
      </c>
      <c r="J534" s="1">
        <f>IF(COUNTIF($C$4:C534,C534)=1,1,0)</f>
        <v>1</v>
      </c>
      <c r="K534" s="1">
        <f t="shared" si="8"/>
        <v>2023</v>
      </c>
    </row>
    <row r="535" spans="2:11" x14ac:dyDescent="0.45">
      <c r="B535" s="1" t="s">
        <v>11</v>
      </c>
      <c r="C535" s="1" t="s">
        <v>547</v>
      </c>
      <c r="D535" s="7">
        <v>45002</v>
      </c>
      <c r="E535" s="7">
        <v>45032</v>
      </c>
      <c r="F535" s="7">
        <v>45226</v>
      </c>
      <c r="G535" s="1" t="s">
        <v>38</v>
      </c>
      <c r="H535" s="8">
        <v>1303909.1399999999</v>
      </c>
      <c r="I535" s="8">
        <v>1030774.04</v>
      </c>
      <c r="J535" s="1">
        <f>IF(COUNTIF($C$4:C535,C535)=1,1,0)</f>
        <v>1</v>
      </c>
      <c r="K535" s="1">
        <f t="shared" si="8"/>
        <v>2023</v>
      </c>
    </row>
    <row r="536" spans="2:11" x14ac:dyDescent="0.45">
      <c r="B536" s="1" t="s">
        <v>11</v>
      </c>
      <c r="C536" s="1" t="s">
        <v>548</v>
      </c>
      <c r="D536" s="7">
        <v>45785</v>
      </c>
      <c r="E536" s="7">
        <v>45797</v>
      </c>
      <c r="F536" s="7">
        <v>45892</v>
      </c>
      <c r="G536" s="1" t="s">
        <v>13</v>
      </c>
      <c r="H536" s="8">
        <v>6291775.4800000004</v>
      </c>
      <c r="I536" s="8">
        <v>3279215.61</v>
      </c>
      <c r="J536" s="1">
        <f>IF(COUNTIF($C$4:C536,C536)=1,1,0)</f>
        <v>1</v>
      </c>
      <c r="K536" s="1">
        <f t="shared" si="8"/>
        <v>2025</v>
      </c>
    </row>
    <row r="537" spans="2:11" x14ac:dyDescent="0.45">
      <c r="B537" s="1" t="s">
        <v>11</v>
      </c>
      <c r="C537" s="1" t="s">
        <v>549</v>
      </c>
      <c r="D537" s="7">
        <v>45288</v>
      </c>
      <c r="E537" s="7">
        <v>45311</v>
      </c>
      <c r="F537" s="7">
        <v>45373</v>
      </c>
      <c r="G537" s="1" t="s">
        <v>38</v>
      </c>
      <c r="H537" s="8">
        <v>605849.35</v>
      </c>
      <c r="I537" s="8">
        <v>450958.55</v>
      </c>
      <c r="J537" s="1">
        <f>IF(COUNTIF($C$4:C537,C537)=1,1,0)</f>
        <v>1</v>
      </c>
      <c r="K537" s="1">
        <f t="shared" si="8"/>
        <v>2023</v>
      </c>
    </row>
    <row r="538" spans="2:11" x14ac:dyDescent="0.45">
      <c r="B538" s="1" t="s">
        <v>11</v>
      </c>
      <c r="C538" s="1" t="s">
        <v>550</v>
      </c>
      <c r="D538" s="7">
        <v>45311</v>
      </c>
      <c r="E538" s="7">
        <v>45323</v>
      </c>
      <c r="F538" s="7">
        <v>45353</v>
      </c>
      <c r="G538" s="1" t="s">
        <v>13</v>
      </c>
      <c r="H538" s="8">
        <v>25877808.559999999</v>
      </c>
      <c r="I538" s="8">
        <v>15214270.75</v>
      </c>
      <c r="J538" s="1">
        <f>IF(COUNTIF($C$4:C538,C538)=1,1,0)</f>
        <v>1</v>
      </c>
      <c r="K538" s="1">
        <f t="shared" si="8"/>
        <v>2024</v>
      </c>
    </row>
    <row r="539" spans="2:11" x14ac:dyDescent="0.45">
      <c r="B539" s="1" t="s">
        <v>11</v>
      </c>
      <c r="C539" s="1" t="s">
        <v>551</v>
      </c>
      <c r="D539" s="7">
        <v>44798</v>
      </c>
      <c r="E539" s="7">
        <v>44811</v>
      </c>
      <c r="F539" s="7">
        <v>44909</v>
      </c>
      <c r="G539" s="1" t="s">
        <v>41</v>
      </c>
      <c r="H539" s="8">
        <v>738890</v>
      </c>
      <c r="I539" s="8">
        <v>570883.97</v>
      </c>
      <c r="J539" s="1">
        <f>IF(COUNTIF($C$4:C539,C539)=1,1,0)</f>
        <v>1</v>
      </c>
      <c r="K539" s="1">
        <f t="shared" si="8"/>
        <v>2022</v>
      </c>
    </row>
    <row r="540" spans="2:11" x14ac:dyDescent="0.45">
      <c r="B540" s="1" t="s">
        <v>11</v>
      </c>
      <c r="C540" s="1" t="s">
        <v>552</v>
      </c>
      <c r="D540" s="7">
        <v>43908</v>
      </c>
      <c r="E540" s="7">
        <v>43909</v>
      </c>
      <c r="F540" s="7">
        <v>43989</v>
      </c>
      <c r="G540" s="1" t="s">
        <v>13</v>
      </c>
      <c r="H540" s="8">
        <v>34939253.390000001</v>
      </c>
      <c r="I540" s="8">
        <v>17910727.899999999</v>
      </c>
      <c r="J540" s="1">
        <f>IF(COUNTIF($C$4:C540,C540)=1,1,0)</f>
        <v>1</v>
      </c>
      <c r="K540" s="1">
        <f t="shared" si="8"/>
        <v>2020</v>
      </c>
    </row>
    <row r="541" spans="2:11" x14ac:dyDescent="0.45">
      <c r="B541" s="1" t="s">
        <v>11</v>
      </c>
      <c r="C541" s="1" t="s">
        <v>553</v>
      </c>
      <c r="D541" s="7">
        <v>44474</v>
      </c>
      <c r="E541" s="7">
        <v>44491</v>
      </c>
      <c r="F541" s="7">
        <v>44599</v>
      </c>
      <c r="G541" s="1" t="s">
        <v>13</v>
      </c>
      <c r="H541" s="8">
        <v>27090073.41</v>
      </c>
      <c r="I541" s="8">
        <v>18925001.77</v>
      </c>
      <c r="J541" s="1">
        <f>IF(COUNTIF($C$4:C541,C541)=1,1,0)</f>
        <v>1</v>
      </c>
      <c r="K541" s="1">
        <f t="shared" si="8"/>
        <v>2021</v>
      </c>
    </row>
    <row r="542" spans="2:11" x14ac:dyDescent="0.45">
      <c r="B542" s="1" t="s">
        <v>11</v>
      </c>
      <c r="C542" s="1" t="s">
        <v>554</v>
      </c>
      <c r="D542" s="7">
        <v>45470</v>
      </c>
      <c r="E542" s="7">
        <v>45497</v>
      </c>
      <c r="F542" s="7">
        <v>45692</v>
      </c>
      <c r="G542" s="1" t="s">
        <v>13</v>
      </c>
      <c r="H542" s="8">
        <v>385530.58</v>
      </c>
      <c r="I542" s="8">
        <v>309207.56</v>
      </c>
      <c r="J542" s="1">
        <f>IF(COUNTIF($C$4:C542,C542)=1,1,0)</f>
        <v>1</v>
      </c>
      <c r="K542" s="1">
        <f t="shared" si="8"/>
        <v>2024</v>
      </c>
    </row>
    <row r="543" spans="2:11" x14ac:dyDescent="0.45">
      <c r="B543" s="1" t="s">
        <v>11</v>
      </c>
      <c r="C543" s="1" t="s">
        <v>555</v>
      </c>
      <c r="D543" s="7">
        <v>45361</v>
      </c>
      <c r="E543" s="7">
        <v>45382</v>
      </c>
      <c r="F543" s="7">
        <v>45587</v>
      </c>
      <c r="G543" s="1" t="s">
        <v>16</v>
      </c>
      <c r="H543" s="8">
        <v>2420957.34</v>
      </c>
      <c r="I543" s="8">
        <v>1519181.09</v>
      </c>
      <c r="J543" s="1">
        <f>IF(COUNTIF($C$4:C543,C543)=1,1,0)</f>
        <v>1</v>
      </c>
      <c r="K543" s="1">
        <f t="shared" si="8"/>
        <v>2024</v>
      </c>
    </row>
    <row r="544" spans="2:11" x14ac:dyDescent="0.45">
      <c r="B544" s="1" t="s">
        <v>11</v>
      </c>
      <c r="C544" s="1" t="s">
        <v>556</v>
      </c>
      <c r="D544" s="7">
        <v>44564</v>
      </c>
      <c r="E544" s="7">
        <v>44591</v>
      </c>
      <c r="F544" s="7">
        <v>44616</v>
      </c>
      <c r="G544" s="1" t="s">
        <v>22</v>
      </c>
      <c r="H544" s="8">
        <v>41904212.759999998</v>
      </c>
      <c r="I544" s="8">
        <v>30974095.18</v>
      </c>
      <c r="J544" s="1">
        <f>IF(COUNTIF($C$4:C544,C544)=1,1,0)</f>
        <v>1</v>
      </c>
      <c r="K544" s="1">
        <f t="shared" si="8"/>
        <v>2022</v>
      </c>
    </row>
    <row r="545" spans="2:11" x14ac:dyDescent="0.45">
      <c r="B545" s="1" t="s">
        <v>11</v>
      </c>
      <c r="C545" s="1" t="s">
        <v>557</v>
      </c>
      <c r="D545" s="7">
        <v>44159</v>
      </c>
      <c r="E545" s="7">
        <v>44172</v>
      </c>
      <c r="F545" s="7">
        <v>44290</v>
      </c>
      <c r="G545" s="1" t="s">
        <v>22</v>
      </c>
      <c r="H545" s="8">
        <v>24576074.649999999</v>
      </c>
      <c r="I545" s="8">
        <v>13438058.640000001</v>
      </c>
      <c r="J545" s="1">
        <f>IF(COUNTIF($C$4:C545,C545)=1,1,0)</f>
        <v>1</v>
      </c>
      <c r="K545" s="1">
        <f t="shared" si="8"/>
        <v>2020</v>
      </c>
    </row>
    <row r="546" spans="2:11" x14ac:dyDescent="0.45">
      <c r="B546" s="1" t="s">
        <v>11</v>
      </c>
      <c r="C546" s="1" t="s">
        <v>558</v>
      </c>
      <c r="D546" s="7">
        <v>43987</v>
      </c>
      <c r="E546" s="7">
        <v>43997</v>
      </c>
      <c r="F546" s="7">
        <v>44232</v>
      </c>
      <c r="G546" s="1" t="s">
        <v>16</v>
      </c>
      <c r="H546" s="8">
        <v>1434312.39</v>
      </c>
      <c r="I546" s="8">
        <v>1075101.3</v>
      </c>
      <c r="J546" s="1">
        <f>IF(COUNTIF($C$4:C546,C546)=1,1,0)</f>
        <v>1</v>
      </c>
      <c r="K546" s="1">
        <f t="shared" si="8"/>
        <v>2020</v>
      </c>
    </row>
    <row r="547" spans="2:11" x14ac:dyDescent="0.45">
      <c r="B547" s="1" t="s">
        <v>11</v>
      </c>
      <c r="C547" s="1" t="s">
        <v>559</v>
      </c>
      <c r="D547" s="7">
        <v>45983</v>
      </c>
      <c r="E547" s="7">
        <v>46011</v>
      </c>
      <c r="F547" s="7">
        <v>46133</v>
      </c>
      <c r="G547" s="1" t="s">
        <v>22</v>
      </c>
      <c r="H547" s="8">
        <v>20409523.030000001</v>
      </c>
      <c r="I547" s="8">
        <v>8980281</v>
      </c>
      <c r="J547" s="1">
        <f>IF(COUNTIF($C$4:C547,C547)=1,1,0)</f>
        <v>1</v>
      </c>
      <c r="K547" s="1">
        <f t="shared" si="8"/>
        <v>2025</v>
      </c>
    </row>
    <row r="548" spans="2:11" x14ac:dyDescent="0.45">
      <c r="B548" s="1" t="s">
        <v>11</v>
      </c>
      <c r="C548" s="1" t="s">
        <v>560</v>
      </c>
      <c r="D548" s="7">
        <v>44480</v>
      </c>
      <c r="E548" s="7">
        <v>44499</v>
      </c>
      <c r="F548" s="7">
        <v>44506</v>
      </c>
      <c r="G548" s="1" t="s">
        <v>41</v>
      </c>
      <c r="H548" s="8">
        <v>1320315.57</v>
      </c>
      <c r="I548" s="8">
        <v>1047202.24</v>
      </c>
      <c r="J548" s="1">
        <f>IF(COUNTIF($C$4:C548,C548)=1,1,0)</f>
        <v>1</v>
      </c>
      <c r="K548" s="1">
        <f t="shared" si="8"/>
        <v>2021</v>
      </c>
    </row>
    <row r="549" spans="2:11" x14ac:dyDescent="0.45">
      <c r="B549" s="1" t="s">
        <v>11</v>
      </c>
      <c r="C549" s="1" t="s">
        <v>561</v>
      </c>
      <c r="D549" s="7">
        <v>44677</v>
      </c>
      <c r="E549" s="7">
        <v>44705</v>
      </c>
      <c r="F549" s="7">
        <v>44827</v>
      </c>
      <c r="G549" s="1" t="s">
        <v>13</v>
      </c>
      <c r="H549" s="8">
        <v>365337.7</v>
      </c>
      <c r="I549" s="8">
        <v>271087.49</v>
      </c>
      <c r="J549" s="1">
        <f>IF(COUNTIF($C$4:C549,C549)=1,1,0)</f>
        <v>1</v>
      </c>
      <c r="K549" s="1">
        <f t="shared" si="8"/>
        <v>2022</v>
      </c>
    </row>
    <row r="550" spans="2:11" x14ac:dyDescent="0.45">
      <c r="B550" s="1" t="s">
        <v>11</v>
      </c>
      <c r="C550" s="1" t="s">
        <v>562</v>
      </c>
      <c r="D550" s="7">
        <v>44032</v>
      </c>
      <c r="E550" s="7">
        <v>44046</v>
      </c>
      <c r="F550" s="7">
        <v>44130</v>
      </c>
      <c r="G550" s="1" t="s">
        <v>20</v>
      </c>
      <c r="H550" s="8">
        <v>1022830.9</v>
      </c>
      <c r="I550" s="8">
        <v>717373.14</v>
      </c>
      <c r="J550" s="1">
        <f>IF(COUNTIF($C$4:C550,C550)=1,1,0)</f>
        <v>1</v>
      </c>
      <c r="K550" s="1">
        <f t="shared" si="8"/>
        <v>2020</v>
      </c>
    </row>
    <row r="551" spans="2:11" x14ac:dyDescent="0.45">
      <c r="B551" s="1" t="s">
        <v>11</v>
      </c>
      <c r="C551" s="1" t="s">
        <v>563</v>
      </c>
      <c r="D551" s="7">
        <v>44604</v>
      </c>
      <c r="E551" s="7">
        <v>44623</v>
      </c>
      <c r="F551" s="7">
        <v>44641</v>
      </c>
      <c r="G551" s="1" t="s">
        <v>20</v>
      </c>
      <c r="H551" s="8">
        <v>20522205.68</v>
      </c>
      <c r="I551" s="8">
        <v>8447453.0700000003</v>
      </c>
      <c r="J551" s="1">
        <f>IF(COUNTIF($C$4:C551,C551)=1,1,0)</f>
        <v>1</v>
      </c>
      <c r="K551" s="1">
        <f t="shared" si="8"/>
        <v>2022</v>
      </c>
    </row>
    <row r="552" spans="2:11" x14ac:dyDescent="0.45">
      <c r="B552" s="1" t="s">
        <v>11</v>
      </c>
      <c r="C552" s="1" t="s">
        <v>564</v>
      </c>
      <c r="D552" s="7">
        <v>45999</v>
      </c>
      <c r="E552" s="7">
        <v>46017</v>
      </c>
      <c r="F552" s="7">
        <v>46159</v>
      </c>
      <c r="G552" s="1" t="s">
        <v>20</v>
      </c>
      <c r="H552" s="8">
        <v>63052787.450000003</v>
      </c>
      <c r="I552" s="8">
        <v>39032684.439999998</v>
      </c>
      <c r="J552" s="1">
        <f>IF(COUNTIF($C$4:C552,C552)=1,1,0)</f>
        <v>1</v>
      </c>
      <c r="K552" s="1">
        <f t="shared" si="8"/>
        <v>2025</v>
      </c>
    </row>
    <row r="553" spans="2:11" x14ac:dyDescent="0.45">
      <c r="B553" s="1" t="s">
        <v>11</v>
      </c>
      <c r="C553" s="1" t="s">
        <v>565</v>
      </c>
      <c r="D553" s="7">
        <v>44413</v>
      </c>
      <c r="E553" s="7">
        <v>44414</v>
      </c>
      <c r="F553" s="7">
        <v>44426</v>
      </c>
      <c r="G553" s="1" t="s">
        <v>20</v>
      </c>
      <c r="H553" s="8">
        <v>2865685.95</v>
      </c>
      <c r="I553" s="8">
        <v>2278432.67</v>
      </c>
      <c r="J553" s="1">
        <f>IF(COUNTIF($C$4:C553,C553)=1,1,0)</f>
        <v>1</v>
      </c>
      <c r="K553" s="1">
        <f t="shared" si="8"/>
        <v>2021</v>
      </c>
    </row>
    <row r="554" spans="2:11" x14ac:dyDescent="0.45">
      <c r="B554" s="1" t="s">
        <v>11</v>
      </c>
      <c r="C554" s="1" t="s">
        <v>566</v>
      </c>
      <c r="D554" s="7">
        <v>44180</v>
      </c>
      <c r="E554" s="7">
        <v>44198</v>
      </c>
      <c r="F554" s="7">
        <v>44366</v>
      </c>
      <c r="G554" s="1" t="s">
        <v>41</v>
      </c>
      <c r="H554" s="8">
        <v>20834.12</v>
      </c>
      <c r="I554" s="8">
        <v>15901.64</v>
      </c>
      <c r="J554" s="1">
        <f>IF(COUNTIF($C$4:C554,C554)=1,1,0)</f>
        <v>1</v>
      </c>
      <c r="K554" s="1">
        <f t="shared" si="8"/>
        <v>2020</v>
      </c>
    </row>
    <row r="555" spans="2:11" x14ac:dyDescent="0.45">
      <c r="B555" s="1" t="s">
        <v>11</v>
      </c>
      <c r="C555" s="1" t="s">
        <v>567</v>
      </c>
      <c r="D555" s="7">
        <v>45835</v>
      </c>
      <c r="E555" s="7">
        <v>45835</v>
      </c>
      <c r="F555" s="7">
        <v>45989</v>
      </c>
      <c r="G555" s="1" t="s">
        <v>22</v>
      </c>
      <c r="H555" s="8">
        <v>17375471.66</v>
      </c>
      <c r="I555" s="8">
        <v>8844200.7300000004</v>
      </c>
      <c r="J555" s="1">
        <f>IF(COUNTIF($C$4:C555,C555)=1,1,0)</f>
        <v>1</v>
      </c>
      <c r="K555" s="1">
        <f t="shared" si="8"/>
        <v>2025</v>
      </c>
    </row>
    <row r="556" spans="2:11" x14ac:dyDescent="0.45">
      <c r="B556" s="1" t="s">
        <v>11</v>
      </c>
      <c r="C556" s="1" t="s">
        <v>568</v>
      </c>
      <c r="D556" s="7">
        <v>44408</v>
      </c>
      <c r="E556" s="7">
        <v>44412</v>
      </c>
      <c r="F556" s="7">
        <v>44499</v>
      </c>
      <c r="G556" s="1" t="s">
        <v>22</v>
      </c>
      <c r="H556" s="8">
        <v>48007417.960000001</v>
      </c>
      <c r="I556" s="8">
        <v>27600394.100000001</v>
      </c>
      <c r="J556" s="1">
        <f>IF(COUNTIF($C$4:C556,C556)=1,1,0)</f>
        <v>1</v>
      </c>
      <c r="K556" s="1">
        <f t="shared" si="8"/>
        <v>2021</v>
      </c>
    </row>
    <row r="557" spans="2:11" x14ac:dyDescent="0.45">
      <c r="B557" s="1" t="s">
        <v>11</v>
      </c>
      <c r="C557" s="1" t="s">
        <v>569</v>
      </c>
      <c r="D557" s="7">
        <v>45658</v>
      </c>
      <c r="E557" s="7">
        <v>45663</v>
      </c>
      <c r="F557" s="7">
        <v>45803</v>
      </c>
      <c r="G557" s="1" t="s">
        <v>22</v>
      </c>
      <c r="H557" s="8">
        <v>43211675.270000003</v>
      </c>
      <c r="I557" s="8">
        <v>17409454.129999999</v>
      </c>
      <c r="J557" s="1">
        <f>IF(COUNTIF($C$4:C557,C557)=1,1,0)</f>
        <v>1</v>
      </c>
      <c r="K557" s="1">
        <f t="shared" si="8"/>
        <v>2025</v>
      </c>
    </row>
    <row r="558" spans="2:11" x14ac:dyDescent="0.45">
      <c r="B558" s="1" t="s">
        <v>11</v>
      </c>
      <c r="C558" s="1" t="s">
        <v>570</v>
      </c>
      <c r="D558" s="7">
        <v>45424</v>
      </c>
      <c r="E558" s="7">
        <v>45440</v>
      </c>
      <c r="F558" s="7">
        <v>45545</v>
      </c>
      <c r="G558" s="1" t="s">
        <v>38</v>
      </c>
      <c r="H558" s="8">
        <v>614094.09</v>
      </c>
      <c r="I558" s="8">
        <v>446715.48</v>
      </c>
      <c r="J558" s="1">
        <f>IF(COUNTIF($C$4:C558,C558)=1,1,0)</f>
        <v>1</v>
      </c>
      <c r="K558" s="1">
        <f t="shared" si="8"/>
        <v>2024</v>
      </c>
    </row>
    <row r="559" spans="2:11" x14ac:dyDescent="0.45">
      <c r="B559" s="1" t="s">
        <v>11</v>
      </c>
      <c r="C559" s="1" t="s">
        <v>571</v>
      </c>
      <c r="D559" s="7">
        <v>45636</v>
      </c>
      <c r="E559" s="7">
        <v>45640</v>
      </c>
      <c r="F559" s="7">
        <v>45809</v>
      </c>
      <c r="G559" s="1" t="s">
        <v>38</v>
      </c>
      <c r="H559" s="8">
        <v>252941.21</v>
      </c>
      <c r="I559" s="8">
        <v>204081.33</v>
      </c>
      <c r="J559" s="1">
        <f>IF(COUNTIF($C$4:C559,C559)=1,1,0)</f>
        <v>1</v>
      </c>
      <c r="K559" s="1">
        <f t="shared" si="8"/>
        <v>2024</v>
      </c>
    </row>
    <row r="560" spans="2:11" x14ac:dyDescent="0.45">
      <c r="B560" s="1" t="s">
        <v>11</v>
      </c>
      <c r="C560" s="1" t="s">
        <v>572</v>
      </c>
      <c r="D560" s="7">
        <v>45435</v>
      </c>
      <c r="E560" s="7">
        <v>45448</v>
      </c>
      <c r="F560" s="7">
        <v>45584</v>
      </c>
      <c r="G560" s="1" t="s">
        <v>20</v>
      </c>
      <c r="H560" s="8">
        <v>46895999.600000001</v>
      </c>
      <c r="I560" s="8">
        <v>22842210.359999999</v>
      </c>
      <c r="J560" s="1">
        <f>IF(COUNTIF($C$4:C560,C560)=1,1,0)</f>
        <v>1</v>
      </c>
      <c r="K560" s="1">
        <f t="shared" si="8"/>
        <v>2024</v>
      </c>
    </row>
    <row r="561" spans="2:11" x14ac:dyDescent="0.45">
      <c r="B561" s="1" t="s">
        <v>11</v>
      </c>
      <c r="C561" s="1" t="s">
        <v>573</v>
      </c>
      <c r="D561" s="7">
        <v>45262</v>
      </c>
      <c r="E561" s="7">
        <v>45263</v>
      </c>
      <c r="F561" s="7">
        <v>45417</v>
      </c>
      <c r="G561" s="1" t="s">
        <v>16</v>
      </c>
      <c r="H561" s="8">
        <v>1346239.87</v>
      </c>
      <c r="I561" s="8">
        <v>996257.84</v>
      </c>
      <c r="J561" s="1">
        <f>IF(COUNTIF($C$4:C561,C561)=1,1,0)</f>
        <v>1</v>
      </c>
      <c r="K561" s="1">
        <f t="shared" si="8"/>
        <v>2023</v>
      </c>
    </row>
    <row r="562" spans="2:11" x14ac:dyDescent="0.45">
      <c r="B562" s="1" t="s">
        <v>11</v>
      </c>
      <c r="C562" s="1" t="s">
        <v>574</v>
      </c>
      <c r="D562" s="7">
        <v>43275</v>
      </c>
      <c r="E562" s="7">
        <v>43301</v>
      </c>
      <c r="F562" s="7">
        <v>43488</v>
      </c>
      <c r="G562" s="1" t="s">
        <v>16</v>
      </c>
      <c r="H562" s="8">
        <v>2244351.7599999998</v>
      </c>
      <c r="I562" s="8">
        <v>1730555.17</v>
      </c>
      <c r="J562" s="1">
        <f>IF(COUNTIF($C$4:C562,C562)=1,1,0)</f>
        <v>1</v>
      </c>
      <c r="K562" s="1">
        <f t="shared" si="8"/>
        <v>2018</v>
      </c>
    </row>
    <row r="563" spans="2:11" x14ac:dyDescent="0.45">
      <c r="B563" s="1" t="s">
        <v>11</v>
      </c>
      <c r="C563" s="1" t="s">
        <v>575</v>
      </c>
      <c r="D563" s="7">
        <v>45785</v>
      </c>
      <c r="E563" s="7">
        <v>45789</v>
      </c>
      <c r="F563" s="7">
        <v>45994</v>
      </c>
      <c r="G563" s="1" t="s">
        <v>41</v>
      </c>
      <c r="H563" s="8">
        <v>1035707.08</v>
      </c>
      <c r="I563" s="8">
        <v>872991.16</v>
      </c>
      <c r="J563" s="1">
        <f>IF(COUNTIF($C$4:C563,C563)=1,1,0)</f>
        <v>1</v>
      </c>
      <c r="K563" s="1">
        <f t="shared" si="8"/>
        <v>2025</v>
      </c>
    </row>
    <row r="564" spans="2:11" x14ac:dyDescent="0.45">
      <c r="B564" s="1" t="s">
        <v>11</v>
      </c>
      <c r="C564" s="1" t="s">
        <v>576</v>
      </c>
      <c r="D564" s="7">
        <v>43442</v>
      </c>
      <c r="E564" s="7">
        <v>43451</v>
      </c>
      <c r="F564" s="7">
        <v>43580</v>
      </c>
      <c r="G564" s="1" t="s">
        <v>38</v>
      </c>
      <c r="H564" s="8">
        <v>277541.84000000003</v>
      </c>
      <c r="I564" s="8">
        <v>244041.77</v>
      </c>
      <c r="J564" s="1">
        <f>IF(COUNTIF($C$4:C564,C564)=1,1,0)</f>
        <v>1</v>
      </c>
      <c r="K564" s="1">
        <f t="shared" si="8"/>
        <v>2018</v>
      </c>
    </row>
    <row r="565" spans="2:11" x14ac:dyDescent="0.45">
      <c r="B565" s="1" t="s">
        <v>11</v>
      </c>
      <c r="C565" s="1" t="s">
        <v>577</v>
      </c>
      <c r="D565" s="7">
        <v>44719</v>
      </c>
      <c r="E565" s="7">
        <v>44730</v>
      </c>
      <c r="F565" s="7">
        <v>44816</v>
      </c>
      <c r="G565" s="1" t="s">
        <v>20</v>
      </c>
      <c r="H565" s="8">
        <v>1565387.44</v>
      </c>
      <c r="I565" s="8">
        <v>1126185.67</v>
      </c>
      <c r="J565" s="1">
        <f>IF(COUNTIF($C$4:C565,C565)=1,1,0)</f>
        <v>1</v>
      </c>
      <c r="K565" s="1">
        <f t="shared" si="8"/>
        <v>2022</v>
      </c>
    </row>
    <row r="566" spans="2:11" x14ac:dyDescent="0.45">
      <c r="B566" s="1" t="s">
        <v>11</v>
      </c>
      <c r="C566" s="1" t="s">
        <v>578</v>
      </c>
      <c r="D566" s="7">
        <v>43261</v>
      </c>
      <c r="E566" s="7">
        <v>43284</v>
      </c>
      <c r="F566" s="7">
        <v>43481</v>
      </c>
      <c r="G566" s="1" t="s">
        <v>13</v>
      </c>
      <c r="H566" s="8">
        <v>516274.59</v>
      </c>
      <c r="I566" s="8">
        <v>415348.8</v>
      </c>
      <c r="J566" s="1">
        <f>IF(COUNTIF($C$4:C566,C566)=1,1,0)</f>
        <v>1</v>
      </c>
      <c r="K566" s="1">
        <f t="shared" si="8"/>
        <v>2018</v>
      </c>
    </row>
    <row r="567" spans="2:11" x14ac:dyDescent="0.45">
      <c r="B567" s="1" t="s">
        <v>11</v>
      </c>
      <c r="C567" s="1" t="s">
        <v>579</v>
      </c>
      <c r="D567" s="7">
        <v>43907</v>
      </c>
      <c r="E567" s="7">
        <v>43936</v>
      </c>
      <c r="F567" s="7">
        <v>44086</v>
      </c>
      <c r="G567" s="1" t="s">
        <v>22</v>
      </c>
      <c r="H567" s="8">
        <v>30084785.010000002</v>
      </c>
      <c r="I567" s="8">
        <v>15052521.91</v>
      </c>
      <c r="J567" s="1">
        <f>IF(COUNTIF($C$4:C567,C567)=1,1,0)</f>
        <v>1</v>
      </c>
      <c r="K567" s="1">
        <f t="shared" si="8"/>
        <v>2020</v>
      </c>
    </row>
    <row r="568" spans="2:11" x14ac:dyDescent="0.45">
      <c r="B568" s="1" t="s">
        <v>11</v>
      </c>
      <c r="C568" s="1" t="s">
        <v>580</v>
      </c>
      <c r="D568" s="7">
        <v>45119</v>
      </c>
      <c r="E568" s="7">
        <v>45119</v>
      </c>
      <c r="F568" s="7">
        <v>45349</v>
      </c>
      <c r="G568" s="1" t="s">
        <v>16</v>
      </c>
      <c r="H568" s="8">
        <v>1003724.31</v>
      </c>
      <c r="I568" s="8">
        <v>662371.19999999995</v>
      </c>
      <c r="J568" s="1">
        <f>IF(COUNTIF($C$4:C568,C568)=1,1,0)</f>
        <v>1</v>
      </c>
      <c r="K568" s="1">
        <f t="shared" si="8"/>
        <v>2023</v>
      </c>
    </row>
    <row r="569" spans="2:11" x14ac:dyDescent="0.45">
      <c r="B569" s="1" t="s">
        <v>11</v>
      </c>
      <c r="C569" s="1" t="s">
        <v>581</v>
      </c>
      <c r="D569" s="7">
        <v>43542</v>
      </c>
      <c r="E569" s="7">
        <v>43547</v>
      </c>
      <c r="F569" s="7">
        <v>43704</v>
      </c>
      <c r="G569" s="1" t="s">
        <v>38</v>
      </c>
      <c r="H569" s="8">
        <v>801149.12</v>
      </c>
      <c r="I569" s="8">
        <v>635612.02</v>
      </c>
      <c r="J569" s="1">
        <f>IF(COUNTIF($C$4:C569,C569)=1,1,0)</f>
        <v>1</v>
      </c>
      <c r="K569" s="1">
        <f t="shared" si="8"/>
        <v>2019</v>
      </c>
    </row>
    <row r="570" spans="2:11" x14ac:dyDescent="0.45">
      <c r="B570" s="1" t="s">
        <v>11</v>
      </c>
      <c r="C570" s="1" t="s">
        <v>582</v>
      </c>
      <c r="D570" s="7">
        <v>44174</v>
      </c>
      <c r="E570" s="7">
        <v>44190</v>
      </c>
      <c r="F570" s="7">
        <v>44363</v>
      </c>
      <c r="G570" s="1" t="s">
        <v>16</v>
      </c>
      <c r="H570" s="8">
        <v>16408657.92</v>
      </c>
      <c r="I570" s="8">
        <v>9299632.9600000009</v>
      </c>
      <c r="J570" s="1">
        <f>IF(COUNTIF($C$4:C570,C570)=1,1,0)</f>
        <v>1</v>
      </c>
      <c r="K570" s="1">
        <f t="shared" si="8"/>
        <v>2020</v>
      </c>
    </row>
    <row r="571" spans="2:11" x14ac:dyDescent="0.45">
      <c r="B571" s="1" t="s">
        <v>11</v>
      </c>
      <c r="C571" s="1" t="s">
        <v>583</v>
      </c>
      <c r="D571" s="7">
        <v>44097</v>
      </c>
      <c r="E571" s="7">
        <v>44122</v>
      </c>
      <c r="F571" s="7">
        <v>44282</v>
      </c>
      <c r="G571" s="1" t="s">
        <v>16</v>
      </c>
      <c r="H571" s="8">
        <v>540684.23</v>
      </c>
      <c r="I571" s="8">
        <v>288462.65000000002</v>
      </c>
      <c r="J571" s="1">
        <f>IF(COUNTIF($C$4:C571,C571)=1,1,0)</f>
        <v>1</v>
      </c>
      <c r="K571" s="1">
        <f t="shared" si="8"/>
        <v>2020</v>
      </c>
    </row>
    <row r="572" spans="2:11" x14ac:dyDescent="0.45">
      <c r="B572" s="1" t="s">
        <v>11</v>
      </c>
      <c r="C572" s="1" t="s">
        <v>584</v>
      </c>
      <c r="D572" s="7">
        <v>43329</v>
      </c>
      <c r="E572" s="7">
        <v>43335</v>
      </c>
      <c r="F572" s="7">
        <v>43429</v>
      </c>
      <c r="G572" s="1" t="s">
        <v>20</v>
      </c>
      <c r="H572" s="8">
        <v>11649668</v>
      </c>
      <c r="I572" s="8">
        <v>7557637.2199999997</v>
      </c>
      <c r="J572" s="1">
        <f>IF(COUNTIF($C$4:C572,C572)=1,1,0)</f>
        <v>1</v>
      </c>
      <c r="K572" s="1">
        <f t="shared" si="8"/>
        <v>2018</v>
      </c>
    </row>
    <row r="573" spans="2:11" x14ac:dyDescent="0.45">
      <c r="B573" s="1" t="s">
        <v>11</v>
      </c>
      <c r="C573" s="1" t="s">
        <v>585</v>
      </c>
      <c r="D573" s="7">
        <v>44573</v>
      </c>
      <c r="E573" s="7">
        <v>44577</v>
      </c>
      <c r="F573" s="7">
        <v>44681</v>
      </c>
      <c r="G573" s="1" t="s">
        <v>16</v>
      </c>
      <c r="H573" s="8">
        <v>4818118.99</v>
      </c>
      <c r="I573" s="8">
        <v>3363773.32</v>
      </c>
      <c r="J573" s="1">
        <f>IF(COUNTIF($C$4:C573,C573)=1,1,0)</f>
        <v>1</v>
      </c>
      <c r="K573" s="1">
        <f t="shared" si="8"/>
        <v>2022</v>
      </c>
    </row>
    <row r="574" spans="2:11" x14ac:dyDescent="0.45">
      <c r="B574" s="1" t="s">
        <v>11</v>
      </c>
      <c r="C574" s="1" t="s">
        <v>586</v>
      </c>
      <c r="D574" s="7">
        <v>46031</v>
      </c>
      <c r="E574" s="7">
        <v>46031</v>
      </c>
      <c r="F574" s="7">
        <v>46201</v>
      </c>
      <c r="G574" s="1" t="s">
        <v>13</v>
      </c>
      <c r="H574" s="8">
        <v>803450.45</v>
      </c>
      <c r="I574" s="8">
        <v>584789.05000000005</v>
      </c>
      <c r="J574" s="1">
        <f>IF(COUNTIF($C$4:C574,C574)=1,1,0)</f>
        <v>1</v>
      </c>
      <c r="K574" s="1">
        <f t="shared" si="8"/>
        <v>2026</v>
      </c>
    </row>
    <row r="575" spans="2:11" x14ac:dyDescent="0.45">
      <c r="B575" s="1" t="s">
        <v>11</v>
      </c>
      <c r="C575" s="1" t="s">
        <v>587</v>
      </c>
      <c r="D575" s="7">
        <v>44449</v>
      </c>
      <c r="E575" s="7">
        <v>44463</v>
      </c>
      <c r="F575" s="7">
        <v>44657</v>
      </c>
      <c r="G575" s="1" t="s">
        <v>13</v>
      </c>
      <c r="H575" s="8">
        <v>2111513.2000000002</v>
      </c>
      <c r="I575" s="8">
        <v>1624359.37</v>
      </c>
      <c r="J575" s="1">
        <f>IF(COUNTIF($C$4:C575,C575)=1,1,0)</f>
        <v>1</v>
      </c>
      <c r="K575" s="1">
        <f t="shared" si="8"/>
        <v>2021</v>
      </c>
    </row>
    <row r="576" spans="2:11" x14ac:dyDescent="0.45">
      <c r="B576" s="1" t="s">
        <v>11</v>
      </c>
      <c r="C576" s="1" t="s">
        <v>588</v>
      </c>
      <c r="D576" s="7">
        <v>44518</v>
      </c>
      <c r="E576" s="7">
        <v>44533</v>
      </c>
      <c r="F576" s="7">
        <v>44765</v>
      </c>
      <c r="G576" s="1" t="s">
        <v>22</v>
      </c>
      <c r="H576" s="8">
        <v>15055819.84</v>
      </c>
      <c r="I576" s="8">
        <v>11303159.17</v>
      </c>
      <c r="J576" s="1">
        <f>IF(COUNTIF($C$4:C576,C576)=1,1,0)</f>
        <v>1</v>
      </c>
      <c r="K576" s="1">
        <f t="shared" si="8"/>
        <v>2021</v>
      </c>
    </row>
    <row r="577" spans="2:11" x14ac:dyDescent="0.45">
      <c r="B577" s="1" t="s">
        <v>11</v>
      </c>
      <c r="C577" s="1" t="s">
        <v>589</v>
      </c>
      <c r="D577" s="7">
        <v>46054</v>
      </c>
      <c r="E577" s="7">
        <v>46063</v>
      </c>
      <c r="F577" s="7">
        <v>46159</v>
      </c>
      <c r="G577" s="1" t="s">
        <v>41</v>
      </c>
      <c r="H577" s="8">
        <v>89371.81</v>
      </c>
      <c r="I577" s="8">
        <v>64101</v>
      </c>
      <c r="J577" s="1">
        <f>IF(COUNTIF($C$4:C577,C577)=1,1,0)</f>
        <v>1</v>
      </c>
      <c r="K577" s="1">
        <f t="shared" si="8"/>
        <v>2026</v>
      </c>
    </row>
    <row r="578" spans="2:11" x14ac:dyDescent="0.45">
      <c r="B578" s="1" t="s">
        <v>11</v>
      </c>
      <c r="C578" s="1" t="s">
        <v>590</v>
      </c>
      <c r="D578" s="7">
        <v>43402</v>
      </c>
      <c r="E578" s="7">
        <v>43432</v>
      </c>
      <c r="F578" s="7">
        <v>43636</v>
      </c>
      <c r="G578" s="1" t="s">
        <v>41</v>
      </c>
      <c r="H578" s="8">
        <v>178053.9</v>
      </c>
      <c r="I578" s="8">
        <v>131900.46</v>
      </c>
      <c r="J578" s="1">
        <f>IF(COUNTIF($C$4:C578,C578)=1,1,0)</f>
        <v>1</v>
      </c>
      <c r="K578" s="1">
        <f t="shared" si="8"/>
        <v>2018</v>
      </c>
    </row>
    <row r="579" spans="2:11" x14ac:dyDescent="0.45">
      <c r="B579" s="1" t="s">
        <v>11</v>
      </c>
      <c r="C579" s="1" t="s">
        <v>591</v>
      </c>
      <c r="D579" s="7">
        <v>46346</v>
      </c>
      <c r="E579" s="7">
        <v>46347</v>
      </c>
      <c r="F579" s="7">
        <v>46366</v>
      </c>
      <c r="G579" s="1" t="s">
        <v>41</v>
      </c>
      <c r="H579" s="8">
        <v>726668.9</v>
      </c>
      <c r="I579" s="8">
        <v>624683.75</v>
      </c>
      <c r="J579" s="1">
        <f>IF(COUNTIF($C$4:C579,C579)=1,1,0)</f>
        <v>1</v>
      </c>
      <c r="K579" s="1">
        <f t="shared" si="8"/>
        <v>2026</v>
      </c>
    </row>
    <row r="580" spans="2:11" x14ac:dyDescent="0.45">
      <c r="B580" s="1" t="s">
        <v>11</v>
      </c>
      <c r="C580" s="1" t="s">
        <v>592</v>
      </c>
      <c r="D580" s="7">
        <v>44987</v>
      </c>
      <c r="E580" s="7">
        <v>44992</v>
      </c>
      <c r="F580" s="7">
        <v>45148</v>
      </c>
      <c r="G580" s="1" t="s">
        <v>13</v>
      </c>
      <c r="H580" s="8">
        <v>54581169.009999998</v>
      </c>
      <c r="I580" s="8">
        <v>34446502.450000003</v>
      </c>
      <c r="J580" s="1">
        <f>IF(COUNTIF($C$4:C580,C580)=1,1,0)</f>
        <v>1</v>
      </c>
      <c r="K580" s="1">
        <f t="shared" si="8"/>
        <v>2023</v>
      </c>
    </row>
    <row r="581" spans="2:11" x14ac:dyDescent="0.45">
      <c r="B581" s="1" t="s">
        <v>11</v>
      </c>
      <c r="C581" s="1" t="s">
        <v>593</v>
      </c>
      <c r="D581" s="7">
        <v>43879</v>
      </c>
      <c r="E581" s="7">
        <v>43908</v>
      </c>
      <c r="F581" s="7">
        <v>43945</v>
      </c>
      <c r="G581" s="1" t="s">
        <v>13</v>
      </c>
      <c r="H581" s="8">
        <v>367467.6</v>
      </c>
      <c r="I581" s="8">
        <v>315706.12</v>
      </c>
      <c r="J581" s="1">
        <f>IF(COUNTIF($C$4:C581,C581)=1,1,0)</f>
        <v>1</v>
      </c>
      <c r="K581" s="1">
        <f t="shared" ref="K581:K644" si="9">YEAR(D581)</f>
        <v>2020</v>
      </c>
    </row>
    <row r="582" spans="2:11" x14ac:dyDescent="0.45">
      <c r="B582" s="1" t="s">
        <v>11</v>
      </c>
      <c r="C582" s="1" t="s">
        <v>594</v>
      </c>
      <c r="D582" s="7">
        <v>46001</v>
      </c>
      <c r="E582" s="7">
        <v>46008</v>
      </c>
      <c r="F582" s="7">
        <v>46110</v>
      </c>
      <c r="G582" s="1" t="s">
        <v>20</v>
      </c>
      <c r="H582" s="8">
        <v>1631007.48</v>
      </c>
      <c r="I582" s="8">
        <v>1099271.1000000001</v>
      </c>
      <c r="J582" s="1">
        <f>IF(COUNTIF($C$4:C582,C582)=1,1,0)</f>
        <v>1</v>
      </c>
      <c r="K582" s="1">
        <f t="shared" si="9"/>
        <v>2025</v>
      </c>
    </row>
    <row r="583" spans="2:11" x14ac:dyDescent="0.45">
      <c r="B583" s="1" t="s">
        <v>11</v>
      </c>
      <c r="C583" s="1" t="s">
        <v>595</v>
      </c>
      <c r="D583" s="7">
        <v>43474</v>
      </c>
      <c r="E583" s="7">
        <v>43498</v>
      </c>
      <c r="F583" s="7">
        <v>43592</v>
      </c>
      <c r="G583" s="1" t="s">
        <v>41</v>
      </c>
      <c r="H583" s="8">
        <v>196894.66</v>
      </c>
      <c r="I583" s="8">
        <v>142296.84</v>
      </c>
      <c r="J583" s="1">
        <f>IF(COUNTIF($C$4:C583,C583)=1,1,0)</f>
        <v>1</v>
      </c>
      <c r="K583" s="1">
        <f t="shared" si="9"/>
        <v>2019</v>
      </c>
    </row>
    <row r="584" spans="2:11" x14ac:dyDescent="0.45">
      <c r="B584" s="1" t="s">
        <v>11</v>
      </c>
      <c r="C584" s="1" t="s">
        <v>596</v>
      </c>
      <c r="D584" s="7">
        <v>43363</v>
      </c>
      <c r="E584" s="7">
        <v>43386</v>
      </c>
      <c r="F584" s="7">
        <v>43611</v>
      </c>
      <c r="G584" s="1" t="s">
        <v>41</v>
      </c>
      <c r="H584" s="8">
        <v>609179.16</v>
      </c>
      <c r="I584" s="8">
        <v>483064.87</v>
      </c>
      <c r="J584" s="1">
        <f>IF(COUNTIF($C$4:C584,C584)=1,1,0)</f>
        <v>1</v>
      </c>
      <c r="K584" s="1">
        <f t="shared" si="9"/>
        <v>2018</v>
      </c>
    </row>
    <row r="585" spans="2:11" x14ac:dyDescent="0.45">
      <c r="B585" s="1" t="s">
        <v>11</v>
      </c>
      <c r="C585" s="1" t="s">
        <v>597</v>
      </c>
      <c r="D585" s="7">
        <v>43841</v>
      </c>
      <c r="E585" s="7">
        <v>43851</v>
      </c>
      <c r="F585" s="7">
        <v>43915</v>
      </c>
      <c r="G585" s="1" t="s">
        <v>13</v>
      </c>
      <c r="H585" s="8">
        <v>99216.26</v>
      </c>
      <c r="I585" s="8">
        <v>78899.94</v>
      </c>
      <c r="J585" s="1">
        <f>IF(COUNTIF($C$4:C585,C585)=1,1,0)</f>
        <v>1</v>
      </c>
      <c r="K585" s="1">
        <f t="shared" si="9"/>
        <v>2020</v>
      </c>
    </row>
    <row r="586" spans="2:11" x14ac:dyDescent="0.45">
      <c r="B586" s="1" t="s">
        <v>11</v>
      </c>
      <c r="C586" s="1" t="s">
        <v>598</v>
      </c>
      <c r="D586" s="7">
        <v>45656</v>
      </c>
      <c r="E586" s="7">
        <v>45683</v>
      </c>
      <c r="F586" s="7">
        <v>45726</v>
      </c>
      <c r="G586" s="1" t="s">
        <v>20</v>
      </c>
      <c r="H586" s="8">
        <v>392391.12</v>
      </c>
      <c r="I586" s="8">
        <v>247923.67</v>
      </c>
      <c r="J586" s="1">
        <f>IF(COUNTIF($C$4:C586,C586)=1,1,0)</f>
        <v>1</v>
      </c>
      <c r="K586" s="1">
        <f t="shared" si="9"/>
        <v>2024</v>
      </c>
    </row>
    <row r="587" spans="2:11" x14ac:dyDescent="0.45">
      <c r="B587" s="1" t="s">
        <v>11</v>
      </c>
      <c r="C587" s="1" t="s">
        <v>599</v>
      </c>
      <c r="D587" s="7">
        <v>43996</v>
      </c>
      <c r="E587" s="7">
        <v>44000</v>
      </c>
      <c r="F587" s="7">
        <v>44166</v>
      </c>
      <c r="G587" s="1" t="s">
        <v>20</v>
      </c>
      <c r="H587" s="8">
        <v>11894664.24</v>
      </c>
      <c r="I587" s="8">
        <v>8650772.75</v>
      </c>
      <c r="J587" s="1">
        <f>IF(COUNTIF($C$4:C587,C587)=1,1,0)</f>
        <v>1</v>
      </c>
      <c r="K587" s="1">
        <f t="shared" si="9"/>
        <v>2020</v>
      </c>
    </row>
    <row r="588" spans="2:11" x14ac:dyDescent="0.45">
      <c r="B588" s="1" t="s">
        <v>11</v>
      </c>
      <c r="C588" s="1" t="s">
        <v>600</v>
      </c>
      <c r="D588" s="7">
        <v>45588</v>
      </c>
      <c r="E588" s="7">
        <v>45608</v>
      </c>
      <c r="F588" s="7">
        <v>45674</v>
      </c>
      <c r="G588" s="1" t="s">
        <v>13</v>
      </c>
      <c r="H588" s="8">
        <v>512647.47</v>
      </c>
      <c r="I588" s="8">
        <v>370652.47</v>
      </c>
      <c r="J588" s="1">
        <f>IF(COUNTIF($C$4:C588,C588)=1,1,0)</f>
        <v>1</v>
      </c>
      <c r="K588" s="1">
        <f t="shared" si="9"/>
        <v>2024</v>
      </c>
    </row>
    <row r="589" spans="2:11" x14ac:dyDescent="0.45">
      <c r="B589" s="1" t="s">
        <v>11</v>
      </c>
      <c r="C589" s="1" t="s">
        <v>601</v>
      </c>
      <c r="D589" s="7">
        <v>43775</v>
      </c>
      <c r="E589" s="7">
        <v>43786</v>
      </c>
      <c r="F589" s="7">
        <v>43925</v>
      </c>
      <c r="G589" s="1" t="s">
        <v>22</v>
      </c>
      <c r="H589" s="8">
        <v>113141228.52</v>
      </c>
      <c r="I589" s="8">
        <v>44624722.390000001</v>
      </c>
      <c r="J589" s="1">
        <f>IF(COUNTIF($C$4:C589,C589)=1,1,0)</f>
        <v>1</v>
      </c>
      <c r="K589" s="1">
        <f t="shared" si="9"/>
        <v>2019</v>
      </c>
    </row>
    <row r="590" spans="2:11" x14ac:dyDescent="0.45">
      <c r="B590" s="1" t="s">
        <v>11</v>
      </c>
      <c r="C590" s="1" t="s">
        <v>602</v>
      </c>
      <c r="D590" s="7">
        <v>46089</v>
      </c>
      <c r="E590" s="7">
        <v>46096</v>
      </c>
      <c r="F590" s="7">
        <v>46179</v>
      </c>
      <c r="G590" s="1" t="s">
        <v>41</v>
      </c>
      <c r="H590" s="8">
        <v>253975.15</v>
      </c>
      <c r="I590" s="8">
        <v>199245.98</v>
      </c>
      <c r="J590" s="1">
        <f>IF(COUNTIF($C$4:C590,C590)=1,1,0)</f>
        <v>1</v>
      </c>
      <c r="K590" s="1">
        <f t="shared" si="9"/>
        <v>2026</v>
      </c>
    </row>
    <row r="591" spans="2:11" x14ac:dyDescent="0.45">
      <c r="B591" s="1" t="s">
        <v>11</v>
      </c>
      <c r="C591" s="1" t="s">
        <v>603</v>
      </c>
      <c r="D591" s="7">
        <v>43275</v>
      </c>
      <c r="E591" s="7">
        <v>43283</v>
      </c>
      <c r="F591" s="7">
        <v>43358</v>
      </c>
      <c r="G591" s="1" t="s">
        <v>22</v>
      </c>
      <c r="H591" s="8">
        <v>17320720.510000002</v>
      </c>
      <c r="I591" s="8">
        <v>11097751.15</v>
      </c>
      <c r="J591" s="1">
        <f>IF(COUNTIF($C$4:C591,C591)=1,1,0)</f>
        <v>1</v>
      </c>
      <c r="K591" s="1">
        <f t="shared" si="9"/>
        <v>2018</v>
      </c>
    </row>
    <row r="592" spans="2:11" x14ac:dyDescent="0.45">
      <c r="B592" s="1" t="s">
        <v>11</v>
      </c>
      <c r="C592" s="1" t="s">
        <v>604</v>
      </c>
      <c r="D592" s="7">
        <v>45688</v>
      </c>
      <c r="E592" s="7">
        <v>45713</v>
      </c>
      <c r="F592" s="7">
        <v>45899</v>
      </c>
      <c r="G592" s="1" t="s">
        <v>38</v>
      </c>
      <c r="H592" s="8">
        <v>846718.06</v>
      </c>
      <c r="I592" s="8">
        <v>681351.54</v>
      </c>
      <c r="J592" s="1">
        <f>IF(COUNTIF($C$4:C592,C592)=1,1,0)</f>
        <v>1</v>
      </c>
      <c r="K592" s="1">
        <f t="shared" si="9"/>
        <v>2025</v>
      </c>
    </row>
    <row r="593" spans="2:11" x14ac:dyDescent="0.45">
      <c r="B593" s="1" t="s">
        <v>11</v>
      </c>
      <c r="C593" s="1" t="s">
        <v>605</v>
      </c>
      <c r="D593" s="7">
        <v>44688</v>
      </c>
      <c r="E593" s="7">
        <v>44706</v>
      </c>
      <c r="F593" s="7">
        <v>44739</v>
      </c>
      <c r="G593" s="1" t="s">
        <v>22</v>
      </c>
      <c r="H593" s="8">
        <v>13694673.949999999</v>
      </c>
      <c r="I593" s="8">
        <v>7594247.8099999996</v>
      </c>
      <c r="J593" s="1">
        <f>IF(COUNTIF($C$4:C593,C593)=1,1,0)</f>
        <v>1</v>
      </c>
      <c r="K593" s="1">
        <f t="shared" si="9"/>
        <v>2022</v>
      </c>
    </row>
    <row r="594" spans="2:11" x14ac:dyDescent="0.45">
      <c r="B594" s="1" t="s">
        <v>11</v>
      </c>
      <c r="C594" s="1" t="s">
        <v>606</v>
      </c>
      <c r="D594" s="7">
        <v>45101</v>
      </c>
      <c r="E594" s="7">
        <v>45110</v>
      </c>
      <c r="F594" s="7">
        <v>45180</v>
      </c>
      <c r="G594" s="1" t="s">
        <v>22</v>
      </c>
      <c r="H594" s="8">
        <v>74396242.530000001</v>
      </c>
      <c r="I594" s="8">
        <v>34917630.189999998</v>
      </c>
      <c r="J594" s="1">
        <f>IF(COUNTIF($C$4:C594,C594)=1,1,0)</f>
        <v>1</v>
      </c>
      <c r="K594" s="1">
        <f t="shared" si="9"/>
        <v>2023</v>
      </c>
    </row>
    <row r="595" spans="2:11" x14ac:dyDescent="0.45">
      <c r="B595" s="1" t="s">
        <v>11</v>
      </c>
      <c r="C595" s="1" t="s">
        <v>607</v>
      </c>
      <c r="D595" s="7">
        <v>44569</v>
      </c>
      <c r="E595" s="7">
        <v>44577</v>
      </c>
      <c r="F595" s="7">
        <v>44757</v>
      </c>
      <c r="G595" s="1" t="s">
        <v>20</v>
      </c>
      <c r="H595" s="8">
        <v>36463150.530000001</v>
      </c>
      <c r="I595" s="8">
        <v>18478878.120000001</v>
      </c>
      <c r="J595" s="1">
        <f>IF(COUNTIF($C$4:C595,C595)=1,1,0)</f>
        <v>1</v>
      </c>
      <c r="K595" s="1">
        <f t="shared" si="9"/>
        <v>2022</v>
      </c>
    </row>
    <row r="596" spans="2:11" x14ac:dyDescent="0.45">
      <c r="B596" s="1" t="s">
        <v>11</v>
      </c>
      <c r="C596" s="1" t="s">
        <v>608</v>
      </c>
      <c r="D596" s="7">
        <v>45277</v>
      </c>
      <c r="E596" s="7">
        <v>45286</v>
      </c>
      <c r="F596" s="7">
        <v>45369</v>
      </c>
      <c r="G596" s="1" t="s">
        <v>20</v>
      </c>
      <c r="H596" s="8">
        <v>262717.53999999998</v>
      </c>
      <c r="I596" s="8">
        <v>188063.92</v>
      </c>
      <c r="J596" s="1">
        <f>IF(COUNTIF($C$4:C596,C596)=1,1,0)</f>
        <v>1</v>
      </c>
      <c r="K596" s="1">
        <f t="shared" si="9"/>
        <v>2023</v>
      </c>
    </row>
    <row r="597" spans="2:11" x14ac:dyDescent="0.45">
      <c r="B597" s="1" t="s">
        <v>11</v>
      </c>
      <c r="C597" s="1" t="s">
        <v>609</v>
      </c>
      <c r="D597" s="7">
        <v>44466</v>
      </c>
      <c r="E597" s="7">
        <v>44490</v>
      </c>
      <c r="F597" s="7">
        <v>44539</v>
      </c>
      <c r="G597" s="1" t="s">
        <v>16</v>
      </c>
      <c r="H597" s="8">
        <v>9646834.25</v>
      </c>
      <c r="I597" s="8">
        <v>7429669.2400000002</v>
      </c>
      <c r="J597" s="1">
        <f>IF(COUNTIF($C$4:C597,C597)=1,1,0)</f>
        <v>1</v>
      </c>
      <c r="K597" s="1">
        <f t="shared" si="9"/>
        <v>2021</v>
      </c>
    </row>
    <row r="598" spans="2:11" x14ac:dyDescent="0.45">
      <c r="B598" s="1" t="s">
        <v>11</v>
      </c>
      <c r="C598" s="1" t="s">
        <v>610</v>
      </c>
      <c r="D598" s="7">
        <v>46170</v>
      </c>
      <c r="E598" s="7">
        <v>46194</v>
      </c>
      <c r="F598" s="7">
        <v>46206</v>
      </c>
      <c r="G598" s="1" t="s">
        <v>16</v>
      </c>
      <c r="H598" s="8">
        <v>6059257.4299999997</v>
      </c>
      <c r="I598" s="8">
        <v>3355078.47</v>
      </c>
      <c r="J598" s="1">
        <f>IF(COUNTIF($C$4:C598,C598)=1,1,0)</f>
        <v>1</v>
      </c>
      <c r="K598" s="1">
        <f t="shared" si="9"/>
        <v>2026</v>
      </c>
    </row>
    <row r="599" spans="2:11" x14ac:dyDescent="0.45">
      <c r="B599" s="1" t="s">
        <v>11</v>
      </c>
      <c r="C599" s="1" t="s">
        <v>611</v>
      </c>
      <c r="D599" s="7">
        <v>45203</v>
      </c>
      <c r="E599" s="7">
        <v>45212</v>
      </c>
      <c r="F599" s="7">
        <v>45388</v>
      </c>
      <c r="G599" s="1" t="s">
        <v>20</v>
      </c>
      <c r="H599" s="8">
        <v>18097395.239999998</v>
      </c>
      <c r="I599" s="8">
        <v>9224596.4600000009</v>
      </c>
      <c r="J599" s="1">
        <f>IF(COUNTIF($C$4:C599,C599)=1,1,0)</f>
        <v>1</v>
      </c>
      <c r="K599" s="1">
        <f t="shared" si="9"/>
        <v>2023</v>
      </c>
    </row>
    <row r="600" spans="2:11" x14ac:dyDescent="0.45">
      <c r="B600" s="1" t="s">
        <v>11</v>
      </c>
      <c r="C600" s="1" t="s">
        <v>612</v>
      </c>
      <c r="D600" s="7">
        <v>45206</v>
      </c>
      <c r="E600" s="7">
        <v>45225</v>
      </c>
      <c r="F600" s="7">
        <v>45368</v>
      </c>
      <c r="G600" s="1" t="s">
        <v>13</v>
      </c>
      <c r="H600" s="8">
        <v>63992030.520000003</v>
      </c>
      <c r="I600" s="8">
        <v>40269265.710000001</v>
      </c>
      <c r="J600" s="1">
        <f>IF(COUNTIF($C$4:C600,C600)=1,1,0)</f>
        <v>1</v>
      </c>
      <c r="K600" s="1">
        <f t="shared" si="9"/>
        <v>2023</v>
      </c>
    </row>
    <row r="601" spans="2:11" x14ac:dyDescent="0.45">
      <c r="B601" s="1" t="s">
        <v>11</v>
      </c>
      <c r="C601" s="1" t="s">
        <v>613</v>
      </c>
      <c r="D601" s="7">
        <v>46086</v>
      </c>
      <c r="E601" s="7">
        <v>46116</v>
      </c>
      <c r="F601" s="7">
        <v>46156</v>
      </c>
      <c r="G601" s="1" t="s">
        <v>20</v>
      </c>
      <c r="H601" s="8">
        <v>85606564.170000002</v>
      </c>
      <c r="I601" s="8">
        <v>51417264.539999999</v>
      </c>
      <c r="J601" s="1">
        <f>IF(COUNTIF($C$4:C601,C601)=1,1,0)</f>
        <v>1</v>
      </c>
      <c r="K601" s="1">
        <f t="shared" si="9"/>
        <v>2026</v>
      </c>
    </row>
    <row r="602" spans="2:11" x14ac:dyDescent="0.45">
      <c r="B602" s="1" t="s">
        <v>11</v>
      </c>
      <c r="C602" s="1" t="s">
        <v>614</v>
      </c>
      <c r="D602" s="7">
        <v>43233</v>
      </c>
      <c r="E602" s="7">
        <v>43237</v>
      </c>
      <c r="F602" s="7">
        <v>43417</v>
      </c>
      <c r="G602" s="1" t="s">
        <v>20</v>
      </c>
      <c r="H602" s="8">
        <v>2274434.5299999998</v>
      </c>
      <c r="I602" s="8">
        <v>1760645.77</v>
      </c>
      <c r="J602" s="1">
        <f>IF(COUNTIF($C$4:C602,C602)=1,1,0)</f>
        <v>1</v>
      </c>
      <c r="K602" s="1">
        <f t="shared" si="9"/>
        <v>2018</v>
      </c>
    </row>
    <row r="603" spans="2:11" x14ac:dyDescent="0.45">
      <c r="B603" s="1" t="s">
        <v>11</v>
      </c>
      <c r="C603" s="1" t="s">
        <v>615</v>
      </c>
      <c r="D603" s="7">
        <v>45495</v>
      </c>
      <c r="E603" s="7">
        <v>45512</v>
      </c>
      <c r="F603" s="7">
        <v>45746</v>
      </c>
      <c r="G603" s="1" t="s">
        <v>16</v>
      </c>
      <c r="H603" s="8">
        <v>6666020.9900000002</v>
      </c>
      <c r="I603" s="8">
        <v>5293352.57</v>
      </c>
      <c r="J603" s="1">
        <f>IF(COUNTIF($C$4:C603,C603)=1,1,0)</f>
        <v>1</v>
      </c>
      <c r="K603" s="1">
        <f t="shared" si="9"/>
        <v>2024</v>
      </c>
    </row>
    <row r="604" spans="2:11" x14ac:dyDescent="0.45">
      <c r="B604" s="1" t="s">
        <v>11</v>
      </c>
      <c r="C604" s="1" t="s">
        <v>616</v>
      </c>
      <c r="D604" s="7">
        <v>45858</v>
      </c>
      <c r="E604" s="7">
        <v>45877</v>
      </c>
      <c r="F604" s="7">
        <v>46051</v>
      </c>
      <c r="G604" s="1" t="s">
        <v>20</v>
      </c>
      <c r="H604" s="8">
        <v>215481.21</v>
      </c>
      <c r="I604" s="8">
        <v>125766.59</v>
      </c>
      <c r="J604" s="1">
        <f>IF(COUNTIF($C$4:C604,C604)=1,1,0)</f>
        <v>1</v>
      </c>
      <c r="K604" s="1">
        <f t="shared" si="9"/>
        <v>2025</v>
      </c>
    </row>
    <row r="605" spans="2:11" x14ac:dyDescent="0.45">
      <c r="B605" s="1" t="s">
        <v>11</v>
      </c>
      <c r="C605" s="1" t="s">
        <v>617</v>
      </c>
      <c r="D605" s="7">
        <v>44083</v>
      </c>
      <c r="E605" s="7">
        <v>44091</v>
      </c>
      <c r="F605" s="7">
        <v>44289</v>
      </c>
      <c r="G605" s="1" t="s">
        <v>20</v>
      </c>
      <c r="H605" s="8">
        <v>1608921.68</v>
      </c>
      <c r="I605" s="8">
        <v>1161471.69</v>
      </c>
      <c r="J605" s="1">
        <f>IF(COUNTIF($C$4:C605,C605)=1,1,0)</f>
        <v>1</v>
      </c>
      <c r="K605" s="1">
        <f t="shared" si="9"/>
        <v>2020</v>
      </c>
    </row>
    <row r="606" spans="2:11" x14ac:dyDescent="0.45">
      <c r="B606" s="1" t="s">
        <v>11</v>
      </c>
      <c r="C606" s="1" t="s">
        <v>618</v>
      </c>
      <c r="D606" s="7">
        <v>43864</v>
      </c>
      <c r="E606" s="7">
        <v>43874</v>
      </c>
      <c r="F606" s="7">
        <v>44020</v>
      </c>
      <c r="G606" s="1" t="s">
        <v>41</v>
      </c>
      <c r="H606" s="8">
        <v>173809.57</v>
      </c>
      <c r="I606" s="8">
        <v>137725.47</v>
      </c>
      <c r="J606" s="1">
        <f>IF(COUNTIF($C$4:C606,C606)=1,1,0)</f>
        <v>1</v>
      </c>
      <c r="K606" s="1">
        <f t="shared" si="9"/>
        <v>2020</v>
      </c>
    </row>
    <row r="607" spans="2:11" x14ac:dyDescent="0.45">
      <c r="B607" s="1" t="s">
        <v>11</v>
      </c>
      <c r="C607" s="1" t="s">
        <v>619</v>
      </c>
      <c r="D607" s="7">
        <v>45809</v>
      </c>
      <c r="E607" s="7">
        <v>45827</v>
      </c>
      <c r="F607" s="7">
        <v>45997</v>
      </c>
      <c r="G607" s="1" t="s">
        <v>13</v>
      </c>
      <c r="H607" s="8">
        <v>97760560.189999998</v>
      </c>
      <c r="I607" s="8">
        <v>55676127.450000003</v>
      </c>
      <c r="J607" s="1">
        <f>IF(COUNTIF($C$4:C607,C607)=1,1,0)</f>
        <v>1</v>
      </c>
      <c r="K607" s="1">
        <f t="shared" si="9"/>
        <v>2025</v>
      </c>
    </row>
    <row r="608" spans="2:11" x14ac:dyDescent="0.45">
      <c r="B608" s="1" t="s">
        <v>11</v>
      </c>
      <c r="C608" s="1" t="s">
        <v>620</v>
      </c>
      <c r="D608" s="7">
        <v>45313</v>
      </c>
      <c r="E608" s="7">
        <v>45314</v>
      </c>
      <c r="F608" s="7">
        <v>45537</v>
      </c>
      <c r="G608" s="1" t="s">
        <v>22</v>
      </c>
      <c r="H608" s="8">
        <v>36217441.159999996</v>
      </c>
      <c r="I608" s="8">
        <v>20252161.960000001</v>
      </c>
      <c r="J608" s="1">
        <f>IF(COUNTIF($C$4:C608,C608)=1,1,0)</f>
        <v>1</v>
      </c>
      <c r="K608" s="1">
        <f t="shared" si="9"/>
        <v>2024</v>
      </c>
    </row>
    <row r="609" spans="2:11" x14ac:dyDescent="0.45">
      <c r="B609" s="1" t="s">
        <v>11</v>
      </c>
      <c r="C609" s="1" t="s">
        <v>621</v>
      </c>
      <c r="D609" s="7">
        <v>43358</v>
      </c>
      <c r="E609" s="7">
        <v>43360</v>
      </c>
      <c r="F609" s="7">
        <v>43412</v>
      </c>
      <c r="G609" s="1" t="s">
        <v>22</v>
      </c>
      <c r="H609" s="8">
        <v>15735846.550000001</v>
      </c>
      <c r="I609" s="8">
        <v>5742220.3499999996</v>
      </c>
      <c r="J609" s="1">
        <f>IF(COUNTIF($C$4:C609,C609)=1,1,0)</f>
        <v>1</v>
      </c>
      <c r="K609" s="1">
        <f t="shared" si="9"/>
        <v>2018</v>
      </c>
    </row>
    <row r="610" spans="2:11" x14ac:dyDescent="0.45">
      <c r="B610" s="1" t="s">
        <v>11</v>
      </c>
      <c r="C610" s="1" t="s">
        <v>622</v>
      </c>
      <c r="D610" s="7">
        <v>45168</v>
      </c>
      <c r="E610" s="7">
        <v>45194</v>
      </c>
      <c r="F610" s="7">
        <v>45258</v>
      </c>
      <c r="G610" s="1" t="s">
        <v>16</v>
      </c>
      <c r="H610" s="8">
        <v>868144.67</v>
      </c>
      <c r="I610" s="8">
        <v>450046.44</v>
      </c>
      <c r="J610" s="1">
        <f>IF(COUNTIF($C$4:C610,C610)=1,1,0)</f>
        <v>1</v>
      </c>
      <c r="K610" s="1">
        <f t="shared" si="9"/>
        <v>2023</v>
      </c>
    </row>
    <row r="611" spans="2:11" x14ac:dyDescent="0.45">
      <c r="B611" s="1" t="s">
        <v>11</v>
      </c>
      <c r="C611" s="1" t="s">
        <v>623</v>
      </c>
      <c r="D611" s="7">
        <v>45114</v>
      </c>
      <c r="E611" s="7">
        <v>45129</v>
      </c>
      <c r="F611" s="7">
        <v>45200</v>
      </c>
      <c r="G611" s="1" t="s">
        <v>22</v>
      </c>
      <c r="H611" s="8">
        <v>24268375.600000001</v>
      </c>
      <c r="I611" s="8">
        <v>10359403.74</v>
      </c>
      <c r="J611" s="1">
        <f>IF(COUNTIF($C$4:C611,C611)=1,1,0)</f>
        <v>1</v>
      </c>
      <c r="K611" s="1">
        <f t="shared" si="9"/>
        <v>2023</v>
      </c>
    </row>
    <row r="612" spans="2:11" x14ac:dyDescent="0.45">
      <c r="B612" s="1" t="s">
        <v>11</v>
      </c>
      <c r="C612" s="1" t="s">
        <v>624</v>
      </c>
      <c r="D612" s="7">
        <v>45112</v>
      </c>
      <c r="E612" s="7">
        <v>45133</v>
      </c>
      <c r="F612" s="7">
        <v>45198</v>
      </c>
      <c r="G612" s="1" t="s">
        <v>22</v>
      </c>
      <c r="H612" s="8">
        <v>3201873.65</v>
      </c>
      <c r="I612" s="8">
        <v>1673126.65</v>
      </c>
      <c r="J612" s="1">
        <f>IF(COUNTIF($C$4:C612,C612)=1,1,0)</f>
        <v>1</v>
      </c>
      <c r="K612" s="1">
        <f t="shared" si="9"/>
        <v>2023</v>
      </c>
    </row>
    <row r="613" spans="2:11" x14ac:dyDescent="0.45">
      <c r="B613" s="1" t="s">
        <v>11</v>
      </c>
      <c r="C613" s="1" t="s">
        <v>625</v>
      </c>
      <c r="D613" s="7">
        <v>43307</v>
      </c>
      <c r="E613" s="7">
        <v>43324</v>
      </c>
      <c r="F613" s="7">
        <v>43407</v>
      </c>
      <c r="G613" s="1" t="s">
        <v>16</v>
      </c>
      <c r="H613" s="8">
        <v>6259163.7999999998</v>
      </c>
      <c r="I613" s="8">
        <v>4753326.3899999997</v>
      </c>
      <c r="J613" s="1">
        <f>IF(COUNTIF($C$4:C613,C613)=1,1,0)</f>
        <v>1</v>
      </c>
      <c r="K613" s="1">
        <f t="shared" si="9"/>
        <v>2018</v>
      </c>
    </row>
    <row r="614" spans="2:11" x14ac:dyDescent="0.45">
      <c r="B614" s="1" t="s">
        <v>11</v>
      </c>
      <c r="C614" s="1" t="s">
        <v>626</v>
      </c>
      <c r="D614" s="7">
        <v>44682</v>
      </c>
      <c r="E614" s="7">
        <v>44705</v>
      </c>
      <c r="F614" s="7">
        <v>44752</v>
      </c>
      <c r="G614" s="1" t="s">
        <v>16</v>
      </c>
      <c r="H614" s="8">
        <v>2449280.38</v>
      </c>
      <c r="I614" s="8">
        <v>1612260.57</v>
      </c>
      <c r="J614" s="1">
        <f>IF(COUNTIF($C$4:C614,C614)=1,1,0)</f>
        <v>1</v>
      </c>
      <c r="K614" s="1">
        <f t="shared" si="9"/>
        <v>2022</v>
      </c>
    </row>
    <row r="615" spans="2:11" x14ac:dyDescent="0.45">
      <c r="B615" s="1" t="s">
        <v>11</v>
      </c>
      <c r="C615" s="1" t="s">
        <v>627</v>
      </c>
      <c r="D615" s="7">
        <v>43443</v>
      </c>
      <c r="E615" s="7">
        <v>43443</v>
      </c>
      <c r="F615" s="7">
        <v>43646</v>
      </c>
      <c r="G615" s="1" t="s">
        <v>22</v>
      </c>
      <c r="H615" s="8">
        <v>10414123.59</v>
      </c>
      <c r="I615" s="8">
        <v>4562261.72</v>
      </c>
      <c r="J615" s="1">
        <f>IF(COUNTIF($C$4:C615,C615)=1,1,0)</f>
        <v>1</v>
      </c>
      <c r="K615" s="1">
        <f t="shared" si="9"/>
        <v>2018</v>
      </c>
    </row>
    <row r="616" spans="2:11" x14ac:dyDescent="0.45">
      <c r="B616" s="1" t="s">
        <v>11</v>
      </c>
      <c r="C616" s="1" t="s">
        <v>628</v>
      </c>
      <c r="D616" s="7">
        <v>44106</v>
      </c>
      <c r="E616" s="7">
        <v>44124</v>
      </c>
      <c r="F616" s="7">
        <v>44143</v>
      </c>
      <c r="G616" s="1" t="s">
        <v>20</v>
      </c>
      <c r="H616" s="8">
        <v>1219467.94</v>
      </c>
      <c r="I616" s="8">
        <v>731670.66</v>
      </c>
      <c r="J616" s="1">
        <f>IF(COUNTIF($C$4:C616,C616)=1,1,0)</f>
        <v>1</v>
      </c>
      <c r="K616" s="1">
        <f t="shared" si="9"/>
        <v>2020</v>
      </c>
    </row>
    <row r="617" spans="2:11" x14ac:dyDescent="0.45">
      <c r="B617" s="1" t="s">
        <v>11</v>
      </c>
      <c r="C617" s="1" t="s">
        <v>629</v>
      </c>
      <c r="D617" s="7">
        <v>45052</v>
      </c>
      <c r="E617" s="7">
        <v>45060</v>
      </c>
      <c r="F617" s="7">
        <v>45237</v>
      </c>
      <c r="G617" s="1" t="s">
        <v>22</v>
      </c>
      <c r="H617" s="8">
        <v>42206111</v>
      </c>
      <c r="I617" s="8">
        <v>29511942.449999999</v>
      </c>
      <c r="J617" s="1">
        <f>IF(COUNTIF($C$4:C617,C617)=1,1,0)</f>
        <v>1</v>
      </c>
      <c r="K617" s="1">
        <f t="shared" si="9"/>
        <v>2023</v>
      </c>
    </row>
    <row r="618" spans="2:11" x14ac:dyDescent="0.45">
      <c r="B618" s="1" t="s">
        <v>11</v>
      </c>
      <c r="C618" s="1" t="s">
        <v>630</v>
      </c>
      <c r="D618" s="7">
        <v>44482</v>
      </c>
      <c r="E618" s="7">
        <v>44486</v>
      </c>
      <c r="F618" s="7">
        <v>44657</v>
      </c>
      <c r="G618" s="1" t="s">
        <v>13</v>
      </c>
      <c r="H618" s="8">
        <v>12066064</v>
      </c>
      <c r="I618" s="8">
        <v>5971087.8499999996</v>
      </c>
      <c r="J618" s="1">
        <f>IF(COUNTIF($C$4:C618,C618)=1,1,0)</f>
        <v>1</v>
      </c>
      <c r="K618" s="1">
        <f t="shared" si="9"/>
        <v>2021</v>
      </c>
    </row>
    <row r="619" spans="2:11" x14ac:dyDescent="0.45">
      <c r="B619" s="1" t="s">
        <v>11</v>
      </c>
      <c r="C619" s="1" t="s">
        <v>631</v>
      </c>
      <c r="D619" s="7">
        <v>45352</v>
      </c>
      <c r="E619" s="7">
        <v>45379</v>
      </c>
      <c r="F619" s="7">
        <v>45491</v>
      </c>
      <c r="G619" s="1" t="s">
        <v>20</v>
      </c>
      <c r="H619" s="8">
        <v>31930755.670000002</v>
      </c>
      <c r="I619" s="8">
        <v>20331604.43</v>
      </c>
      <c r="J619" s="1">
        <f>IF(COUNTIF($C$4:C619,C619)=1,1,0)</f>
        <v>1</v>
      </c>
      <c r="K619" s="1">
        <f t="shared" si="9"/>
        <v>2024</v>
      </c>
    </row>
    <row r="620" spans="2:11" x14ac:dyDescent="0.45">
      <c r="B620" s="1" t="s">
        <v>11</v>
      </c>
      <c r="C620" s="1" t="s">
        <v>632</v>
      </c>
      <c r="D620" s="7">
        <v>44137</v>
      </c>
      <c r="E620" s="7">
        <v>44140</v>
      </c>
      <c r="F620" s="7">
        <v>44337</v>
      </c>
      <c r="G620" s="1" t="s">
        <v>13</v>
      </c>
      <c r="H620" s="8">
        <v>135052.10999999999</v>
      </c>
      <c r="I620" s="8">
        <v>106004.67</v>
      </c>
      <c r="J620" s="1">
        <f>IF(COUNTIF($C$4:C620,C620)=1,1,0)</f>
        <v>1</v>
      </c>
      <c r="K620" s="1">
        <f t="shared" si="9"/>
        <v>2020</v>
      </c>
    </row>
    <row r="621" spans="2:11" x14ac:dyDescent="0.45">
      <c r="B621" s="1" t="s">
        <v>11</v>
      </c>
      <c r="C621" s="1" t="s">
        <v>633</v>
      </c>
      <c r="D621" s="7">
        <v>43849</v>
      </c>
      <c r="E621" s="7">
        <v>43850</v>
      </c>
      <c r="F621" s="7">
        <v>43998</v>
      </c>
      <c r="G621" s="1" t="s">
        <v>20</v>
      </c>
      <c r="H621" s="8">
        <v>971777.38</v>
      </c>
      <c r="I621" s="8">
        <v>734950.85</v>
      </c>
      <c r="J621" s="1">
        <f>IF(COUNTIF($C$4:C621,C621)=1,1,0)</f>
        <v>1</v>
      </c>
      <c r="K621" s="1">
        <f t="shared" si="9"/>
        <v>2020</v>
      </c>
    </row>
    <row r="622" spans="2:11" x14ac:dyDescent="0.45">
      <c r="B622" s="1" t="s">
        <v>11</v>
      </c>
      <c r="C622" s="1" t="s">
        <v>634</v>
      </c>
      <c r="D622" s="7">
        <v>45410</v>
      </c>
      <c r="E622" s="7">
        <v>45413</v>
      </c>
      <c r="F622" s="7">
        <v>45516</v>
      </c>
      <c r="G622" s="1" t="s">
        <v>20</v>
      </c>
      <c r="H622" s="8">
        <v>245820.79</v>
      </c>
      <c r="I622" s="8">
        <v>113892.56</v>
      </c>
      <c r="J622" s="1">
        <f>IF(COUNTIF($C$4:C622,C622)=1,1,0)</f>
        <v>1</v>
      </c>
      <c r="K622" s="1">
        <f t="shared" si="9"/>
        <v>2024</v>
      </c>
    </row>
    <row r="623" spans="2:11" x14ac:dyDescent="0.45">
      <c r="B623" s="1" t="s">
        <v>11</v>
      </c>
      <c r="C623" s="1" t="s">
        <v>635</v>
      </c>
      <c r="D623" s="7">
        <v>43208</v>
      </c>
      <c r="E623" s="7">
        <v>43210</v>
      </c>
      <c r="F623" s="7">
        <v>43334</v>
      </c>
      <c r="G623" s="1" t="s">
        <v>20</v>
      </c>
      <c r="H623" s="8">
        <v>1191902.21</v>
      </c>
      <c r="I623" s="8">
        <v>788714.68</v>
      </c>
      <c r="J623" s="1">
        <f>IF(COUNTIF($C$4:C623,C623)=1,1,0)</f>
        <v>1</v>
      </c>
      <c r="K623" s="1">
        <f t="shared" si="9"/>
        <v>2018</v>
      </c>
    </row>
    <row r="624" spans="2:11" x14ac:dyDescent="0.45">
      <c r="B624" s="1" t="s">
        <v>11</v>
      </c>
      <c r="C624" s="1" t="s">
        <v>636</v>
      </c>
      <c r="D624" s="7">
        <v>43245</v>
      </c>
      <c r="E624" s="7">
        <v>43253</v>
      </c>
      <c r="F624" s="7">
        <v>43295</v>
      </c>
      <c r="G624" s="1" t="s">
        <v>16</v>
      </c>
      <c r="H624" s="8">
        <v>6407892.5</v>
      </c>
      <c r="I624" s="8">
        <v>3309225.45</v>
      </c>
      <c r="J624" s="1">
        <f>IF(COUNTIF($C$4:C624,C624)=1,1,0)</f>
        <v>1</v>
      </c>
      <c r="K624" s="1">
        <f t="shared" si="9"/>
        <v>2018</v>
      </c>
    </row>
    <row r="625" spans="2:11" x14ac:dyDescent="0.45">
      <c r="B625" s="1" t="s">
        <v>11</v>
      </c>
      <c r="C625" s="1" t="s">
        <v>637</v>
      </c>
      <c r="D625" s="7">
        <v>43596</v>
      </c>
      <c r="E625" s="7">
        <v>43596</v>
      </c>
      <c r="F625" s="7">
        <v>43643</v>
      </c>
      <c r="G625" s="1" t="s">
        <v>41</v>
      </c>
      <c r="H625" s="8">
        <v>354584.48</v>
      </c>
      <c r="I625" s="8">
        <v>282591.35999999999</v>
      </c>
      <c r="J625" s="1">
        <f>IF(COUNTIF($C$4:C625,C625)=1,1,0)</f>
        <v>1</v>
      </c>
      <c r="K625" s="1">
        <f t="shared" si="9"/>
        <v>2019</v>
      </c>
    </row>
    <row r="626" spans="2:11" x14ac:dyDescent="0.45">
      <c r="B626" s="1" t="s">
        <v>11</v>
      </c>
      <c r="C626" s="1" t="s">
        <v>638</v>
      </c>
      <c r="D626" s="7">
        <v>43744</v>
      </c>
      <c r="E626" s="7">
        <v>43751</v>
      </c>
      <c r="F626" s="7">
        <v>43770</v>
      </c>
      <c r="G626" s="1" t="s">
        <v>20</v>
      </c>
      <c r="H626" s="8">
        <v>24706567.489999998</v>
      </c>
      <c r="I626" s="8">
        <v>11665482.76</v>
      </c>
      <c r="J626" s="1">
        <f>IF(COUNTIF($C$4:C626,C626)=1,1,0)</f>
        <v>1</v>
      </c>
      <c r="K626" s="1">
        <f t="shared" si="9"/>
        <v>2019</v>
      </c>
    </row>
    <row r="627" spans="2:11" x14ac:dyDescent="0.45">
      <c r="B627" s="1" t="s">
        <v>11</v>
      </c>
      <c r="C627" s="1" t="s">
        <v>639</v>
      </c>
      <c r="D627" s="7">
        <v>44454</v>
      </c>
      <c r="E627" s="7">
        <v>44457</v>
      </c>
      <c r="F627" s="7">
        <v>44510</v>
      </c>
      <c r="G627" s="1" t="s">
        <v>13</v>
      </c>
      <c r="H627" s="8">
        <v>14426820.82</v>
      </c>
      <c r="I627" s="8">
        <v>9013754.9900000002</v>
      </c>
      <c r="J627" s="1">
        <f>IF(COUNTIF($C$4:C627,C627)=1,1,0)</f>
        <v>1</v>
      </c>
      <c r="K627" s="1">
        <f t="shared" si="9"/>
        <v>2021</v>
      </c>
    </row>
    <row r="628" spans="2:11" x14ac:dyDescent="0.45">
      <c r="B628" s="1" t="s">
        <v>11</v>
      </c>
      <c r="C628" s="1" t="s">
        <v>640</v>
      </c>
      <c r="D628" s="7">
        <v>45248</v>
      </c>
      <c r="E628" s="7">
        <v>45258</v>
      </c>
      <c r="F628" s="7">
        <v>45447</v>
      </c>
      <c r="G628" s="1" t="s">
        <v>13</v>
      </c>
      <c r="H628" s="8">
        <v>319703.57</v>
      </c>
      <c r="I628" s="8">
        <v>277259.02</v>
      </c>
      <c r="J628" s="1">
        <f>IF(COUNTIF($C$4:C628,C628)=1,1,0)</f>
        <v>1</v>
      </c>
      <c r="K628" s="1">
        <f t="shared" si="9"/>
        <v>2023</v>
      </c>
    </row>
    <row r="629" spans="2:11" x14ac:dyDescent="0.45">
      <c r="B629" s="1" t="s">
        <v>11</v>
      </c>
      <c r="C629" s="1" t="s">
        <v>641</v>
      </c>
      <c r="D629" s="7">
        <v>45125</v>
      </c>
      <c r="E629" s="7">
        <v>45151</v>
      </c>
      <c r="F629" s="7">
        <v>45327</v>
      </c>
      <c r="G629" s="1" t="s">
        <v>38</v>
      </c>
      <c r="H629" s="8">
        <v>503012.19</v>
      </c>
      <c r="I629" s="8">
        <v>378970.3</v>
      </c>
      <c r="J629" s="1">
        <f>IF(COUNTIF($C$4:C629,C629)=1,1,0)</f>
        <v>1</v>
      </c>
      <c r="K629" s="1">
        <f t="shared" si="9"/>
        <v>2023</v>
      </c>
    </row>
    <row r="630" spans="2:11" x14ac:dyDescent="0.45">
      <c r="B630" s="1" t="s">
        <v>11</v>
      </c>
      <c r="C630" s="1" t="s">
        <v>642</v>
      </c>
      <c r="D630" s="7">
        <v>45024</v>
      </c>
      <c r="E630" s="7">
        <v>45039</v>
      </c>
      <c r="F630" s="7">
        <v>45160</v>
      </c>
      <c r="G630" s="1" t="s">
        <v>13</v>
      </c>
      <c r="H630" s="8">
        <v>1152511.33</v>
      </c>
      <c r="I630" s="8">
        <v>780999.93</v>
      </c>
      <c r="J630" s="1">
        <f>IF(COUNTIF($C$4:C630,C630)=1,1,0)</f>
        <v>1</v>
      </c>
      <c r="K630" s="1">
        <f t="shared" si="9"/>
        <v>2023</v>
      </c>
    </row>
    <row r="631" spans="2:11" x14ac:dyDescent="0.45">
      <c r="B631" s="1" t="s">
        <v>11</v>
      </c>
      <c r="C631" s="1" t="s">
        <v>643</v>
      </c>
      <c r="D631" s="7">
        <v>44895</v>
      </c>
      <c r="E631" s="7">
        <v>44905</v>
      </c>
      <c r="F631" s="7">
        <v>45119</v>
      </c>
      <c r="G631" s="1" t="s">
        <v>22</v>
      </c>
      <c r="H631" s="8">
        <v>34091912.219999999</v>
      </c>
      <c r="I631" s="8">
        <v>12860708.050000001</v>
      </c>
      <c r="J631" s="1">
        <f>IF(COUNTIF($C$4:C631,C631)=1,1,0)</f>
        <v>1</v>
      </c>
      <c r="K631" s="1">
        <f t="shared" si="9"/>
        <v>2022</v>
      </c>
    </row>
    <row r="632" spans="2:11" x14ac:dyDescent="0.45">
      <c r="B632" s="1" t="s">
        <v>11</v>
      </c>
      <c r="C632" s="1" t="s">
        <v>644</v>
      </c>
      <c r="D632" s="7">
        <v>45256</v>
      </c>
      <c r="E632" s="7">
        <v>45267</v>
      </c>
      <c r="F632" s="7">
        <v>45334</v>
      </c>
      <c r="G632" s="1" t="s">
        <v>22</v>
      </c>
      <c r="H632" s="8">
        <v>32784526.780000001</v>
      </c>
      <c r="I632" s="8">
        <v>13938261.24</v>
      </c>
      <c r="J632" s="1">
        <f>IF(COUNTIF($C$4:C632,C632)=1,1,0)</f>
        <v>1</v>
      </c>
      <c r="K632" s="1">
        <f t="shared" si="9"/>
        <v>2023</v>
      </c>
    </row>
    <row r="633" spans="2:11" x14ac:dyDescent="0.45">
      <c r="B633" s="1" t="s">
        <v>11</v>
      </c>
      <c r="C633" s="1" t="s">
        <v>645</v>
      </c>
      <c r="D633" s="7">
        <v>44158</v>
      </c>
      <c r="E633" s="7">
        <v>44178</v>
      </c>
      <c r="F633" s="7">
        <v>44320</v>
      </c>
      <c r="G633" s="1" t="s">
        <v>18</v>
      </c>
      <c r="H633" s="8">
        <v>23085564.739999998</v>
      </c>
      <c r="I633" s="8">
        <v>14349537.91</v>
      </c>
      <c r="J633" s="1">
        <f>IF(COUNTIF($C$4:C633,C633)=1,1,0)</f>
        <v>1</v>
      </c>
      <c r="K633" s="1">
        <f t="shared" si="9"/>
        <v>2020</v>
      </c>
    </row>
    <row r="634" spans="2:11" x14ac:dyDescent="0.45">
      <c r="B634" s="1" t="s">
        <v>11</v>
      </c>
      <c r="C634" s="1" t="s">
        <v>646</v>
      </c>
      <c r="D634" s="7">
        <v>43926</v>
      </c>
      <c r="E634" s="7">
        <v>43945</v>
      </c>
      <c r="F634" s="7">
        <v>44176</v>
      </c>
      <c r="G634" s="1" t="s">
        <v>18</v>
      </c>
      <c r="H634" s="8">
        <v>216282779.15000001</v>
      </c>
      <c r="I634" s="8">
        <v>152126468.16999999</v>
      </c>
      <c r="J634" s="1">
        <f>IF(COUNTIF($C$4:C634,C634)=1,1,0)</f>
        <v>1</v>
      </c>
      <c r="K634" s="1">
        <f t="shared" si="9"/>
        <v>2020</v>
      </c>
    </row>
    <row r="635" spans="2:11" x14ac:dyDescent="0.45">
      <c r="B635" s="1" t="s">
        <v>11</v>
      </c>
      <c r="C635" s="1" t="s">
        <v>647</v>
      </c>
      <c r="D635" s="7">
        <v>45084</v>
      </c>
      <c r="E635" s="7">
        <v>45086</v>
      </c>
      <c r="F635" s="7">
        <v>45230</v>
      </c>
      <c r="G635" s="1" t="s">
        <v>16</v>
      </c>
      <c r="H635" s="8">
        <v>2759386.41</v>
      </c>
      <c r="I635" s="8">
        <v>1816893.43</v>
      </c>
      <c r="J635" s="1">
        <f>IF(COUNTIF($C$4:C635,C635)=1,1,0)</f>
        <v>1</v>
      </c>
      <c r="K635" s="1">
        <f t="shared" si="9"/>
        <v>2023</v>
      </c>
    </row>
    <row r="636" spans="2:11" x14ac:dyDescent="0.45">
      <c r="B636" s="1" t="s">
        <v>11</v>
      </c>
      <c r="C636" s="1" t="s">
        <v>648</v>
      </c>
      <c r="D636" s="7">
        <v>44194</v>
      </c>
      <c r="E636" s="7">
        <v>44195</v>
      </c>
      <c r="F636" s="7">
        <v>44233</v>
      </c>
      <c r="G636" s="1" t="s">
        <v>13</v>
      </c>
      <c r="H636" s="8">
        <v>2414657.75</v>
      </c>
      <c r="I636" s="8">
        <v>1727268.84</v>
      </c>
      <c r="J636" s="1">
        <f>IF(COUNTIF($C$4:C636,C636)=1,1,0)</f>
        <v>1</v>
      </c>
      <c r="K636" s="1">
        <f t="shared" si="9"/>
        <v>2020</v>
      </c>
    </row>
    <row r="637" spans="2:11" x14ac:dyDescent="0.45">
      <c r="B637" s="1" t="s">
        <v>11</v>
      </c>
      <c r="C637" s="1" t="s">
        <v>110</v>
      </c>
      <c r="D637" s="7">
        <v>43417</v>
      </c>
      <c r="E637" s="7">
        <v>43426</v>
      </c>
      <c r="F637" s="7">
        <v>43536</v>
      </c>
      <c r="G637" s="1" t="s">
        <v>41</v>
      </c>
      <c r="H637" s="8">
        <v>10743.63</v>
      </c>
      <c r="I637" s="8">
        <v>7683.58</v>
      </c>
      <c r="J637" s="1">
        <f>IF(COUNTIF($C$4:C637,C637)=1,1,0)</f>
        <v>0</v>
      </c>
      <c r="K637" s="1">
        <f t="shared" si="9"/>
        <v>2018</v>
      </c>
    </row>
    <row r="638" spans="2:11" x14ac:dyDescent="0.45">
      <c r="B638" s="1" t="s">
        <v>11</v>
      </c>
      <c r="C638" s="1" t="s">
        <v>649</v>
      </c>
      <c r="D638" s="7">
        <v>45593</v>
      </c>
      <c r="E638" s="7">
        <v>45594</v>
      </c>
      <c r="F638" s="7">
        <v>45669</v>
      </c>
      <c r="G638" s="1" t="s">
        <v>16</v>
      </c>
      <c r="H638" s="8">
        <v>11641444</v>
      </c>
      <c r="I638" s="8">
        <v>7811616.7599999998</v>
      </c>
      <c r="J638" s="1">
        <f>IF(COUNTIF($C$4:C638,C638)=1,1,0)</f>
        <v>1</v>
      </c>
      <c r="K638" s="1">
        <f t="shared" si="9"/>
        <v>2024</v>
      </c>
    </row>
    <row r="639" spans="2:11" x14ac:dyDescent="0.45">
      <c r="B639" s="1" t="s">
        <v>11</v>
      </c>
      <c r="C639" s="1" t="s">
        <v>650</v>
      </c>
      <c r="D639" s="7">
        <v>44062</v>
      </c>
      <c r="E639" s="7">
        <v>44073</v>
      </c>
      <c r="F639" s="7">
        <v>44275</v>
      </c>
      <c r="G639" s="1" t="s">
        <v>22</v>
      </c>
      <c r="H639" s="8">
        <v>9994638.9100000001</v>
      </c>
      <c r="I639" s="8">
        <v>5199188.6100000003</v>
      </c>
      <c r="J639" s="1">
        <f>IF(COUNTIF($C$4:C639,C639)=1,1,0)</f>
        <v>1</v>
      </c>
      <c r="K639" s="1">
        <f t="shared" si="9"/>
        <v>2020</v>
      </c>
    </row>
    <row r="640" spans="2:11" x14ac:dyDescent="0.45">
      <c r="B640" s="1" t="s">
        <v>11</v>
      </c>
      <c r="C640" s="1" t="s">
        <v>651</v>
      </c>
      <c r="D640" s="7">
        <v>45570</v>
      </c>
      <c r="E640" s="7">
        <v>45576</v>
      </c>
      <c r="F640" s="7">
        <v>45632</v>
      </c>
      <c r="G640" s="1" t="s">
        <v>38</v>
      </c>
      <c r="H640" s="8">
        <v>388441.1</v>
      </c>
      <c r="I640" s="8">
        <v>284778.07</v>
      </c>
      <c r="J640" s="1">
        <f>IF(COUNTIF($C$4:C640,C640)=1,1,0)</f>
        <v>1</v>
      </c>
      <c r="K640" s="1">
        <f t="shared" si="9"/>
        <v>2024</v>
      </c>
    </row>
    <row r="641" spans="2:11" x14ac:dyDescent="0.45">
      <c r="B641" s="1" t="s">
        <v>11</v>
      </c>
      <c r="C641" s="1" t="s">
        <v>652</v>
      </c>
      <c r="D641" s="7">
        <v>46134</v>
      </c>
      <c r="E641" s="7">
        <v>46164</v>
      </c>
      <c r="F641" s="7">
        <v>46288</v>
      </c>
      <c r="G641" s="1" t="s">
        <v>13</v>
      </c>
      <c r="H641" s="8">
        <v>261153.19</v>
      </c>
      <c r="I641" s="8">
        <v>176886.34</v>
      </c>
      <c r="J641" s="1">
        <f>IF(COUNTIF($C$4:C641,C641)=1,1,0)</f>
        <v>1</v>
      </c>
      <c r="K641" s="1">
        <f t="shared" si="9"/>
        <v>2026</v>
      </c>
    </row>
    <row r="642" spans="2:11" x14ac:dyDescent="0.45">
      <c r="B642" s="1" t="s">
        <v>11</v>
      </c>
      <c r="C642" s="1" t="s">
        <v>653</v>
      </c>
      <c r="D642" s="7">
        <v>46046</v>
      </c>
      <c r="E642" s="7">
        <v>46049</v>
      </c>
      <c r="F642" s="7">
        <v>46243</v>
      </c>
      <c r="G642" s="1" t="s">
        <v>13</v>
      </c>
      <c r="H642" s="8">
        <v>21512169.550000001</v>
      </c>
      <c r="I642" s="8">
        <v>9018041.3900000006</v>
      </c>
      <c r="J642" s="1">
        <f>IF(COUNTIF($C$4:C642,C642)=1,1,0)</f>
        <v>1</v>
      </c>
      <c r="K642" s="1">
        <f t="shared" si="9"/>
        <v>2026</v>
      </c>
    </row>
    <row r="643" spans="2:11" x14ac:dyDescent="0.45">
      <c r="B643" s="1" t="s">
        <v>11</v>
      </c>
      <c r="C643" s="1" t="s">
        <v>654</v>
      </c>
      <c r="D643" s="7">
        <v>43273</v>
      </c>
      <c r="E643" s="7">
        <v>43292</v>
      </c>
      <c r="F643" s="7">
        <v>43507</v>
      </c>
      <c r="G643" s="1" t="s">
        <v>16</v>
      </c>
      <c r="H643" s="8">
        <v>1993599.34</v>
      </c>
      <c r="I643" s="8">
        <v>1327957.8400000001</v>
      </c>
      <c r="J643" s="1">
        <f>IF(COUNTIF($C$4:C643,C643)=1,1,0)</f>
        <v>1</v>
      </c>
      <c r="K643" s="1">
        <f t="shared" si="9"/>
        <v>2018</v>
      </c>
    </row>
    <row r="644" spans="2:11" x14ac:dyDescent="0.45">
      <c r="B644" s="1" t="s">
        <v>11</v>
      </c>
      <c r="C644" s="1" t="s">
        <v>655</v>
      </c>
      <c r="D644" s="7">
        <v>45989</v>
      </c>
      <c r="E644" s="7">
        <v>46008</v>
      </c>
      <c r="F644" s="7">
        <v>46140</v>
      </c>
      <c r="G644" s="1" t="s">
        <v>13</v>
      </c>
      <c r="H644" s="8">
        <v>241008.12</v>
      </c>
      <c r="I644" s="8">
        <v>194606.17</v>
      </c>
      <c r="J644" s="1">
        <f>IF(COUNTIF($C$4:C644,C644)=1,1,0)</f>
        <v>1</v>
      </c>
      <c r="K644" s="1">
        <f t="shared" si="9"/>
        <v>2025</v>
      </c>
    </row>
    <row r="645" spans="2:11" x14ac:dyDescent="0.45">
      <c r="B645" s="1" t="s">
        <v>11</v>
      </c>
      <c r="C645" s="1" t="s">
        <v>656</v>
      </c>
      <c r="D645" s="7">
        <v>44796</v>
      </c>
      <c r="E645" s="7">
        <v>44821</v>
      </c>
      <c r="F645" s="7">
        <v>45001</v>
      </c>
      <c r="G645" s="1" t="s">
        <v>13</v>
      </c>
      <c r="H645" s="8">
        <v>142984.54</v>
      </c>
      <c r="I645" s="8">
        <v>119826.3</v>
      </c>
      <c r="J645" s="1">
        <f>IF(COUNTIF($C$4:C645,C645)=1,1,0)</f>
        <v>1</v>
      </c>
      <c r="K645" s="1">
        <f t="shared" ref="K645:K708" si="10">YEAR(D645)</f>
        <v>2022</v>
      </c>
    </row>
    <row r="646" spans="2:11" x14ac:dyDescent="0.45">
      <c r="B646" s="1" t="s">
        <v>11</v>
      </c>
      <c r="C646" s="1" t="s">
        <v>657</v>
      </c>
      <c r="D646" s="7">
        <v>43737</v>
      </c>
      <c r="E646" s="7">
        <v>43760</v>
      </c>
      <c r="F646" s="7">
        <v>43872</v>
      </c>
      <c r="G646" s="1" t="s">
        <v>16</v>
      </c>
      <c r="H646" s="8">
        <v>883357.01</v>
      </c>
      <c r="I646" s="8">
        <v>731766.08</v>
      </c>
      <c r="J646" s="1">
        <f>IF(COUNTIF($C$4:C646,C646)=1,1,0)</f>
        <v>1</v>
      </c>
      <c r="K646" s="1">
        <f t="shared" si="10"/>
        <v>2019</v>
      </c>
    </row>
    <row r="647" spans="2:11" x14ac:dyDescent="0.45">
      <c r="B647" s="1" t="s">
        <v>11</v>
      </c>
      <c r="C647" s="1" t="s">
        <v>658</v>
      </c>
      <c r="D647" s="7">
        <v>43136</v>
      </c>
      <c r="E647" s="7">
        <v>43142</v>
      </c>
      <c r="F647" s="7">
        <v>43185</v>
      </c>
      <c r="G647" s="1" t="s">
        <v>13</v>
      </c>
      <c r="H647" s="8">
        <v>21886373.420000002</v>
      </c>
      <c r="I647" s="8">
        <v>13796766.34</v>
      </c>
      <c r="J647" s="1">
        <f>IF(COUNTIF($C$4:C647,C647)=1,1,0)</f>
        <v>1</v>
      </c>
      <c r="K647" s="1">
        <f t="shared" si="10"/>
        <v>2018</v>
      </c>
    </row>
    <row r="648" spans="2:11" x14ac:dyDescent="0.45">
      <c r="B648" s="1" t="s">
        <v>11</v>
      </c>
      <c r="C648" s="1" t="s">
        <v>659</v>
      </c>
      <c r="D648" s="7">
        <v>44981</v>
      </c>
      <c r="E648" s="7">
        <v>44990</v>
      </c>
      <c r="F648" s="7">
        <v>45125</v>
      </c>
      <c r="G648" s="1" t="s">
        <v>13</v>
      </c>
      <c r="H648" s="8">
        <v>1094419.2</v>
      </c>
      <c r="I648" s="8">
        <v>826197.91</v>
      </c>
      <c r="J648" s="1">
        <f>IF(COUNTIF($C$4:C648,C648)=1,1,0)</f>
        <v>1</v>
      </c>
      <c r="K648" s="1">
        <f t="shared" si="10"/>
        <v>2023</v>
      </c>
    </row>
    <row r="649" spans="2:11" x14ac:dyDescent="0.45">
      <c r="B649" s="1" t="s">
        <v>11</v>
      </c>
      <c r="C649" s="1" t="s">
        <v>660</v>
      </c>
      <c r="D649" s="7">
        <v>45330</v>
      </c>
      <c r="E649" s="7">
        <v>45330</v>
      </c>
      <c r="F649" s="7">
        <v>45477</v>
      </c>
      <c r="G649" s="1" t="s">
        <v>38</v>
      </c>
      <c r="H649" s="8">
        <v>667723.6</v>
      </c>
      <c r="I649" s="8">
        <v>451376.27</v>
      </c>
      <c r="J649" s="1">
        <f>IF(COUNTIF($C$4:C649,C649)=1,1,0)</f>
        <v>1</v>
      </c>
      <c r="K649" s="1">
        <f t="shared" si="10"/>
        <v>2024</v>
      </c>
    </row>
    <row r="650" spans="2:11" x14ac:dyDescent="0.45">
      <c r="B650" s="1" t="s">
        <v>11</v>
      </c>
      <c r="C650" s="1" t="s">
        <v>661</v>
      </c>
      <c r="D650" s="7">
        <v>43734</v>
      </c>
      <c r="E650" s="7">
        <v>43752</v>
      </c>
      <c r="F650" s="7">
        <v>43967</v>
      </c>
      <c r="G650" s="1" t="s">
        <v>22</v>
      </c>
      <c r="H650" s="8">
        <v>14992571.67</v>
      </c>
      <c r="I650" s="8">
        <v>10268567.6</v>
      </c>
      <c r="J650" s="1">
        <f>IF(COUNTIF($C$4:C650,C650)=1,1,0)</f>
        <v>1</v>
      </c>
      <c r="K650" s="1">
        <f t="shared" si="10"/>
        <v>2019</v>
      </c>
    </row>
    <row r="651" spans="2:11" x14ac:dyDescent="0.45">
      <c r="B651" s="1" t="s">
        <v>11</v>
      </c>
      <c r="C651" s="1" t="s">
        <v>662</v>
      </c>
      <c r="D651" s="7">
        <v>45904</v>
      </c>
      <c r="E651" s="7">
        <v>45926</v>
      </c>
      <c r="F651" s="7">
        <v>46095</v>
      </c>
      <c r="G651" s="1" t="s">
        <v>13</v>
      </c>
      <c r="H651" s="8">
        <v>3477717.2</v>
      </c>
      <c r="I651" s="8">
        <v>2613368.6800000002</v>
      </c>
      <c r="J651" s="1">
        <f>IF(COUNTIF($C$4:C651,C651)=1,1,0)</f>
        <v>1</v>
      </c>
      <c r="K651" s="1">
        <f t="shared" si="10"/>
        <v>2025</v>
      </c>
    </row>
    <row r="652" spans="2:11" x14ac:dyDescent="0.45">
      <c r="B652" s="1" t="s">
        <v>11</v>
      </c>
      <c r="C652" s="1" t="s">
        <v>663</v>
      </c>
      <c r="D652" s="7">
        <v>45471</v>
      </c>
      <c r="E652" s="7">
        <v>45496</v>
      </c>
      <c r="F652" s="7">
        <v>45699</v>
      </c>
      <c r="G652" s="1" t="s">
        <v>22</v>
      </c>
      <c r="H652" s="8">
        <v>30061335.98</v>
      </c>
      <c r="I652" s="8">
        <v>15942827.779999999</v>
      </c>
      <c r="J652" s="1">
        <f>IF(COUNTIF($C$4:C652,C652)=1,1,0)</f>
        <v>1</v>
      </c>
      <c r="K652" s="1">
        <f t="shared" si="10"/>
        <v>2024</v>
      </c>
    </row>
    <row r="653" spans="2:11" x14ac:dyDescent="0.45">
      <c r="B653" s="1" t="s">
        <v>11</v>
      </c>
      <c r="C653" s="1" t="s">
        <v>664</v>
      </c>
      <c r="D653" s="7">
        <v>44675</v>
      </c>
      <c r="E653" s="7">
        <v>44701</v>
      </c>
      <c r="F653" s="7">
        <v>44918</v>
      </c>
      <c r="G653" s="1" t="s">
        <v>20</v>
      </c>
      <c r="H653" s="8">
        <v>616147.35</v>
      </c>
      <c r="I653" s="8">
        <v>396032.29</v>
      </c>
      <c r="J653" s="1">
        <f>IF(COUNTIF($C$4:C653,C653)=1,1,0)</f>
        <v>1</v>
      </c>
      <c r="K653" s="1">
        <f t="shared" si="10"/>
        <v>2022</v>
      </c>
    </row>
    <row r="654" spans="2:11" x14ac:dyDescent="0.45">
      <c r="B654" s="1" t="s">
        <v>11</v>
      </c>
      <c r="C654" s="1" t="s">
        <v>665</v>
      </c>
      <c r="D654" s="7">
        <v>44347</v>
      </c>
      <c r="E654" s="7">
        <v>44366</v>
      </c>
      <c r="F654" s="7">
        <v>44483</v>
      </c>
      <c r="G654" s="1" t="s">
        <v>22</v>
      </c>
      <c r="H654" s="8">
        <v>27385379.550000001</v>
      </c>
      <c r="I654" s="8">
        <v>12397151.310000001</v>
      </c>
      <c r="J654" s="1">
        <f>IF(COUNTIF($C$4:C654,C654)=1,1,0)</f>
        <v>1</v>
      </c>
      <c r="K654" s="1">
        <f t="shared" si="10"/>
        <v>2021</v>
      </c>
    </row>
    <row r="655" spans="2:11" x14ac:dyDescent="0.45">
      <c r="B655" s="1" t="s">
        <v>11</v>
      </c>
      <c r="C655" s="1" t="s">
        <v>666</v>
      </c>
      <c r="D655" s="7">
        <v>45975</v>
      </c>
      <c r="E655" s="7">
        <v>45980</v>
      </c>
      <c r="F655" s="7">
        <v>45995</v>
      </c>
      <c r="G655" s="1" t="s">
        <v>20</v>
      </c>
      <c r="H655" s="8">
        <v>49874410.759999998</v>
      </c>
      <c r="I655" s="8">
        <v>32145694.609999999</v>
      </c>
      <c r="J655" s="1">
        <f>IF(COUNTIF($C$4:C655,C655)=1,1,0)</f>
        <v>1</v>
      </c>
      <c r="K655" s="1">
        <f t="shared" si="10"/>
        <v>2025</v>
      </c>
    </row>
    <row r="656" spans="2:11" x14ac:dyDescent="0.45">
      <c r="B656" s="1" t="s">
        <v>11</v>
      </c>
      <c r="C656" s="1" t="s">
        <v>667</v>
      </c>
      <c r="D656" s="7">
        <v>43751</v>
      </c>
      <c r="E656" s="7">
        <v>43754</v>
      </c>
      <c r="F656" s="7">
        <v>43831</v>
      </c>
      <c r="G656" s="1" t="s">
        <v>22</v>
      </c>
      <c r="H656" s="8">
        <v>2017668.72</v>
      </c>
      <c r="I656" s="8">
        <v>929054.04</v>
      </c>
      <c r="J656" s="1">
        <f>IF(COUNTIF($C$4:C656,C656)=1,1,0)</f>
        <v>1</v>
      </c>
      <c r="K656" s="1">
        <f t="shared" si="10"/>
        <v>2019</v>
      </c>
    </row>
    <row r="657" spans="2:11" x14ac:dyDescent="0.45">
      <c r="B657" s="1" t="s">
        <v>11</v>
      </c>
      <c r="C657" s="1" t="s">
        <v>668</v>
      </c>
      <c r="D657" s="7">
        <v>44003</v>
      </c>
      <c r="E657" s="7">
        <v>44031</v>
      </c>
      <c r="F657" s="7">
        <v>44125</v>
      </c>
      <c r="G657" s="1" t="s">
        <v>20</v>
      </c>
      <c r="H657" s="8">
        <v>1055924.17</v>
      </c>
      <c r="I657" s="8">
        <v>769527.69</v>
      </c>
      <c r="J657" s="1">
        <f>IF(COUNTIF($C$4:C657,C657)=1,1,0)</f>
        <v>1</v>
      </c>
      <c r="K657" s="1">
        <f t="shared" si="10"/>
        <v>2020</v>
      </c>
    </row>
    <row r="658" spans="2:11" x14ac:dyDescent="0.45">
      <c r="B658" s="1" t="s">
        <v>11</v>
      </c>
      <c r="C658" s="1" t="s">
        <v>669</v>
      </c>
      <c r="D658" s="7">
        <v>45714</v>
      </c>
      <c r="E658" s="7">
        <v>45730</v>
      </c>
      <c r="F658" s="7">
        <v>45745</v>
      </c>
      <c r="G658" s="1" t="s">
        <v>38</v>
      </c>
      <c r="H658" s="8">
        <v>183174.35</v>
      </c>
      <c r="I658" s="8">
        <v>143426.85</v>
      </c>
      <c r="J658" s="1">
        <f>IF(COUNTIF($C$4:C658,C658)=1,1,0)</f>
        <v>1</v>
      </c>
      <c r="K658" s="1">
        <f t="shared" si="10"/>
        <v>2025</v>
      </c>
    </row>
    <row r="659" spans="2:11" x14ac:dyDescent="0.45">
      <c r="B659" s="1" t="s">
        <v>11</v>
      </c>
      <c r="C659" s="1" t="s">
        <v>670</v>
      </c>
      <c r="D659" s="7">
        <v>43606</v>
      </c>
      <c r="E659" s="7">
        <v>43632</v>
      </c>
      <c r="F659" s="7">
        <v>43666</v>
      </c>
      <c r="G659" s="1" t="s">
        <v>16</v>
      </c>
      <c r="H659" s="8">
        <v>114271.44</v>
      </c>
      <c r="I659" s="8">
        <v>70928.34</v>
      </c>
      <c r="J659" s="1">
        <f>IF(COUNTIF($C$4:C659,C659)=1,1,0)</f>
        <v>1</v>
      </c>
      <c r="K659" s="1">
        <f t="shared" si="10"/>
        <v>2019</v>
      </c>
    </row>
    <row r="660" spans="2:11" x14ac:dyDescent="0.45">
      <c r="B660" s="1" t="s">
        <v>11</v>
      </c>
      <c r="C660" s="1" t="s">
        <v>671</v>
      </c>
      <c r="D660" s="7">
        <v>43996</v>
      </c>
      <c r="E660" s="7">
        <v>44005</v>
      </c>
      <c r="F660" s="7">
        <v>44221</v>
      </c>
      <c r="G660" s="1" t="s">
        <v>22</v>
      </c>
      <c r="H660" s="8">
        <v>10368154.539999999</v>
      </c>
      <c r="I660" s="8">
        <v>4003721.22</v>
      </c>
      <c r="J660" s="1">
        <f>IF(COUNTIF($C$4:C660,C660)=1,1,0)</f>
        <v>1</v>
      </c>
      <c r="K660" s="1">
        <f t="shared" si="10"/>
        <v>2020</v>
      </c>
    </row>
    <row r="661" spans="2:11" x14ac:dyDescent="0.45">
      <c r="B661" s="1" t="s">
        <v>11</v>
      </c>
      <c r="C661" s="1" t="s">
        <v>672</v>
      </c>
      <c r="D661" s="7">
        <v>44646</v>
      </c>
      <c r="E661" s="7">
        <v>44670</v>
      </c>
      <c r="F661" s="7">
        <v>44779</v>
      </c>
      <c r="G661" s="1" t="s">
        <v>18</v>
      </c>
      <c r="H661" s="8">
        <v>1253993.02</v>
      </c>
      <c r="I661" s="8">
        <v>967014.37</v>
      </c>
      <c r="J661" s="1">
        <f>IF(COUNTIF($C$4:C661,C661)=1,1,0)</f>
        <v>1</v>
      </c>
      <c r="K661" s="1">
        <f t="shared" si="10"/>
        <v>2022</v>
      </c>
    </row>
    <row r="662" spans="2:11" x14ac:dyDescent="0.45">
      <c r="B662" s="1" t="s">
        <v>11</v>
      </c>
      <c r="C662" s="1" t="s">
        <v>673</v>
      </c>
      <c r="D662" s="7">
        <v>45295</v>
      </c>
      <c r="E662" s="7">
        <v>45320</v>
      </c>
      <c r="F662" s="7">
        <v>45541</v>
      </c>
      <c r="G662" s="1" t="s">
        <v>20</v>
      </c>
      <c r="H662" s="8">
        <v>324189.26</v>
      </c>
      <c r="I662" s="8">
        <v>237682.6</v>
      </c>
      <c r="J662" s="1">
        <f>IF(COUNTIF($C$4:C662,C662)=1,1,0)</f>
        <v>1</v>
      </c>
      <c r="K662" s="1">
        <f t="shared" si="10"/>
        <v>2024</v>
      </c>
    </row>
    <row r="663" spans="2:11" x14ac:dyDescent="0.45">
      <c r="B663" s="1" t="s">
        <v>11</v>
      </c>
      <c r="C663" s="1" t="s">
        <v>674</v>
      </c>
      <c r="D663" s="7">
        <v>44536</v>
      </c>
      <c r="E663" s="7">
        <v>44539</v>
      </c>
      <c r="F663" s="7">
        <v>44632</v>
      </c>
      <c r="G663" s="1" t="s">
        <v>22</v>
      </c>
      <c r="H663" s="8">
        <v>6203544.4299999997</v>
      </c>
      <c r="I663" s="8">
        <v>4141310.97</v>
      </c>
      <c r="J663" s="1">
        <f>IF(COUNTIF($C$4:C663,C663)=1,1,0)</f>
        <v>1</v>
      </c>
      <c r="K663" s="1">
        <f t="shared" si="10"/>
        <v>2021</v>
      </c>
    </row>
    <row r="664" spans="2:11" x14ac:dyDescent="0.45">
      <c r="B664" s="1" t="s">
        <v>11</v>
      </c>
      <c r="C664" s="1" t="s">
        <v>675</v>
      </c>
      <c r="D664" s="7">
        <v>44760</v>
      </c>
      <c r="E664" s="7">
        <v>44777</v>
      </c>
      <c r="F664" s="7">
        <v>44907</v>
      </c>
      <c r="G664" s="1" t="s">
        <v>18</v>
      </c>
      <c r="H664" s="8">
        <v>2470640.15</v>
      </c>
      <c r="I664" s="8">
        <v>1777993.42</v>
      </c>
      <c r="J664" s="1">
        <f>IF(COUNTIF($C$4:C664,C664)=1,1,0)</f>
        <v>1</v>
      </c>
      <c r="K664" s="1">
        <f t="shared" si="10"/>
        <v>2022</v>
      </c>
    </row>
    <row r="665" spans="2:11" x14ac:dyDescent="0.45">
      <c r="B665" s="1" t="s">
        <v>11</v>
      </c>
      <c r="C665" s="1" t="s">
        <v>676</v>
      </c>
      <c r="D665" s="7">
        <v>44788</v>
      </c>
      <c r="E665" s="7">
        <v>44799</v>
      </c>
      <c r="F665" s="7">
        <v>44897</v>
      </c>
      <c r="G665" s="1" t="s">
        <v>20</v>
      </c>
      <c r="H665" s="8">
        <v>728761.82</v>
      </c>
      <c r="I665" s="8">
        <v>456840.62</v>
      </c>
      <c r="J665" s="1">
        <f>IF(COUNTIF($C$4:C665,C665)=1,1,0)</f>
        <v>1</v>
      </c>
      <c r="K665" s="1">
        <f t="shared" si="10"/>
        <v>2022</v>
      </c>
    </row>
    <row r="666" spans="2:11" x14ac:dyDescent="0.45">
      <c r="B666" s="1" t="s">
        <v>11</v>
      </c>
      <c r="C666" s="1" t="s">
        <v>677</v>
      </c>
      <c r="D666" s="7">
        <v>44312</v>
      </c>
      <c r="E666" s="7">
        <v>44321</v>
      </c>
      <c r="F666" s="7">
        <v>44371</v>
      </c>
      <c r="G666" s="1" t="s">
        <v>20</v>
      </c>
      <c r="H666" s="8">
        <v>711197.25</v>
      </c>
      <c r="I666" s="8">
        <v>507533.59</v>
      </c>
      <c r="J666" s="1">
        <f>IF(COUNTIF($C$4:C666,C666)=1,1,0)</f>
        <v>1</v>
      </c>
      <c r="K666" s="1">
        <f t="shared" si="10"/>
        <v>2021</v>
      </c>
    </row>
    <row r="667" spans="2:11" x14ac:dyDescent="0.45">
      <c r="B667" s="1" t="s">
        <v>11</v>
      </c>
      <c r="C667" s="1" t="s">
        <v>678</v>
      </c>
      <c r="D667" s="7">
        <v>46179</v>
      </c>
      <c r="E667" s="7">
        <v>46209</v>
      </c>
      <c r="F667" s="7">
        <v>46319</v>
      </c>
      <c r="G667" s="1" t="s">
        <v>13</v>
      </c>
      <c r="H667" s="8">
        <v>678825.63</v>
      </c>
      <c r="I667" s="8">
        <v>528125.42000000004</v>
      </c>
      <c r="J667" s="1">
        <f>IF(COUNTIF($C$4:C667,C667)=1,1,0)</f>
        <v>1</v>
      </c>
      <c r="K667" s="1">
        <f t="shared" si="10"/>
        <v>2026</v>
      </c>
    </row>
    <row r="668" spans="2:11" x14ac:dyDescent="0.45">
      <c r="B668" s="1" t="s">
        <v>11</v>
      </c>
      <c r="C668" s="1" t="s">
        <v>679</v>
      </c>
      <c r="D668" s="7">
        <v>45672</v>
      </c>
      <c r="E668" s="7">
        <v>45688</v>
      </c>
      <c r="F668" s="7">
        <v>45905</v>
      </c>
      <c r="G668" s="1" t="s">
        <v>20</v>
      </c>
      <c r="H668" s="8">
        <v>400710.33</v>
      </c>
      <c r="I668" s="8">
        <v>254250.02</v>
      </c>
      <c r="J668" s="1">
        <f>IF(COUNTIF($C$4:C668,C668)=1,1,0)</f>
        <v>1</v>
      </c>
      <c r="K668" s="1">
        <f t="shared" si="10"/>
        <v>2025</v>
      </c>
    </row>
    <row r="669" spans="2:11" x14ac:dyDescent="0.45">
      <c r="B669" s="1" t="s">
        <v>11</v>
      </c>
      <c r="C669" s="1" t="s">
        <v>680</v>
      </c>
      <c r="D669" s="7">
        <v>43642</v>
      </c>
      <c r="E669" s="7">
        <v>43655</v>
      </c>
      <c r="F669" s="7">
        <v>43878</v>
      </c>
      <c r="G669" s="1" t="s">
        <v>18</v>
      </c>
      <c r="H669" s="8">
        <v>2029474.98</v>
      </c>
      <c r="I669" s="8">
        <v>1739332.01</v>
      </c>
      <c r="J669" s="1">
        <f>IF(COUNTIF($C$4:C669,C669)=1,1,0)</f>
        <v>1</v>
      </c>
      <c r="K669" s="1">
        <f t="shared" si="10"/>
        <v>2019</v>
      </c>
    </row>
    <row r="670" spans="2:11" x14ac:dyDescent="0.45">
      <c r="B670" s="1" t="s">
        <v>11</v>
      </c>
      <c r="C670" s="1" t="s">
        <v>681</v>
      </c>
      <c r="D670" s="7">
        <v>44751</v>
      </c>
      <c r="E670" s="7">
        <v>44765</v>
      </c>
      <c r="F670" s="7">
        <v>45003</v>
      </c>
      <c r="G670" s="1" t="s">
        <v>13</v>
      </c>
      <c r="H670" s="8">
        <v>19131700.940000001</v>
      </c>
      <c r="I670" s="8">
        <v>7906011.2300000004</v>
      </c>
      <c r="J670" s="1">
        <f>IF(COUNTIF($C$4:C670,C670)=1,1,0)</f>
        <v>1</v>
      </c>
      <c r="K670" s="1">
        <f t="shared" si="10"/>
        <v>2022</v>
      </c>
    </row>
    <row r="671" spans="2:11" x14ac:dyDescent="0.45">
      <c r="B671" s="1" t="s">
        <v>11</v>
      </c>
      <c r="C671" s="1" t="s">
        <v>682</v>
      </c>
      <c r="D671" s="7">
        <v>43729</v>
      </c>
      <c r="E671" s="7">
        <v>43739</v>
      </c>
      <c r="F671" s="7">
        <v>43864</v>
      </c>
      <c r="G671" s="1" t="s">
        <v>20</v>
      </c>
      <c r="H671" s="8">
        <v>7909172.3899999997</v>
      </c>
      <c r="I671" s="8">
        <v>2721011.6</v>
      </c>
      <c r="J671" s="1">
        <f>IF(COUNTIF($C$4:C671,C671)=1,1,0)</f>
        <v>1</v>
      </c>
      <c r="K671" s="1">
        <f t="shared" si="10"/>
        <v>2019</v>
      </c>
    </row>
    <row r="672" spans="2:11" x14ac:dyDescent="0.45">
      <c r="B672" s="1" t="s">
        <v>11</v>
      </c>
      <c r="C672" s="1" t="s">
        <v>683</v>
      </c>
      <c r="D672" s="7">
        <v>44173</v>
      </c>
      <c r="E672" s="7">
        <v>44176</v>
      </c>
      <c r="F672" s="7">
        <v>44330</v>
      </c>
      <c r="G672" s="1" t="s">
        <v>22</v>
      </c>
      <c r="H672" s="8">
        <v>57743890.780000001</v>
      </c>
      <c r="I672" s="8">
        <v>29732495.030000001</v>
      </c>
      <c r="J672" s="1">
        <f>IF(COUNTIF($C$4:C672,C672)=1,1,0)</f>
        <v>1</v>
      </c>
      <c r="K672" s="1">
        <f t="shared" si="10"/>
        <v>2020</v>
      </c>
    </row>
    <row r="673" spans="2:11" x14ac:dyDescent="0.45">
      <c r="B673" s="1" t="s">
        <v>11</v>
      </c>
      <c r="C673" s="1" t="s">
        <v>684</v>
      </c>
      <c r="D673" s="7">
        <v>45750</v>
      </c>
      <c r="E673" s="7">
        <v>45757</v>
      </c>
      <c r="F673" s="7">
        <v>45888</v>
      </c>
      <c r="G673" s="1" t="s">
        <v>41</v>
      </c>
      <c r="H673" s="8">
        <v>118303.43</v>
      </c>
      <c r="I673" s="8">
        <v>101996.76</v>
      </c>
      <c r="J673" s="1">
        <f>IF(COUNTIF($C$4:C673,C673)=1,1,0)</f>
        <v>1</v>
      </c>
      <c r="K673" s="1">
        <f t="shared" si="10"/>
        <v>2025</v>
      </c>
    </row>
    <row r="674" spans="2:11" x14ac:dyDescent="0.45">
      <c r="B674" s="1" t="s">
        <v>11</v>
      </c>
      <c r="C674" s="1" t="s">
        <v>685</v>
      </c>
      <c r="D674" s="7">
        <v>44587</v>
      </c>
      <c r="E674" s="7">
        <v>44603</v>
      </c>
      <c r="F674" s="7">
        <v>44793</v>
      </c>
      <c r="G674" s="1" t="s">
        <v>13</v>
      </c>
      <c r="H674" s="8">
        <v>403432.55</v>
      </c>
      <c r="I674" s="8">
        <v>148694.82999999999</v>
      </c>
      <c r="J674" s="1">
        <f>IF(COUNTIF($C$4:C674,C674)=1,1,0)</f>
        <v>1</v>
      </c>
      <c r="K674" s="1">
        <f t="shared" si="10"/>
        <v>2022</v>
      </c>
    </row>
    <row r="675" spans="2:11" x14ac:dyDescent="0.45">
      <c r="B675" s="1" t="s">
        <v>11</v>
      </c>
      <c r="C675" s="1" t="s">
        <v>686</v>
      </c>
      <c r="D675" s="7">
        <v>44596</v>
      </c>
      <c r="E675" s="7">
        <v>44614</v>
      </c>
      <c r="F675" s="7">
        <v>44751</v>
      </c>
      <c r="G675" s="1" t="s">
        <v>20</v>
      </c>
      <c r="H675" s="8">
        <v>163051044.78999999</v>
      </c>
      <c r="I675" s="8">
        <v>98289285.379999995</v>
      </c>
      <c r="J675" s="1">
        <f>IF(COUNTIF($C$4:C675,C675)=1,1,0)</f>
        <v>1</v>
      </c>
      <c r="K675" s="1">
        <f t="shared" si="10"/>
        <v>2022</v>
      </c>
    </row>
    <row r="676" spans="2:11" x14ac:dyDescent="0.45">
      <c r="B676" s="1" t="s">
        <v>11</v>
      </c>
      <c r="C676" s="1" t="s">
        <v>687</v>
      </c>
      <c r="D676" s="7">
        <v>45066</v>
      </c>
      <c r="E676" s="7">
        <v>45090</v>
      </c>
      <c r="F676" s="7">
        <v>45135</v>
      </c>
      <c r="G676" s="1" t="s">
        <v>38</v>
      </c>
      <c r="H676" s="8">
        <v>789563.22</v>
      </c>
      <c r="I676" s="8">
        <v>649509.99</v>
      </c>
      <c r="J676" s="1">
        <f>IF(COUNTIF($C$4:C676,C676)=1,1,0)</f>
        <v>1</v>
      </c>
      <c r="K676" s="1">
        <f t="shared" si="10"/>
        <v>2023</v>
      </c>
    </row>
    <row r="677" spans="2:11" x14ac:dyDescent="0.45">
      <c r="B677" s="1" t="s">
        <v>11</v>
      </c>
      <c r="C677" s="1" t="s">
        <v>688</v>
      </c>
      <c r="D677" s="7">
        <v>46086</v>
      </c>
      <c r="E677" s="7">
        <v>46110</v>
      </c>
      <c r="F677" s="7">
        <v>46337</v>
      </c>
      <c r="G677" s="1" t="s">
        <v>13</v>
      </c>
      <c r="H677" s="8">
        <v>131385.68</v>
      </c>
      <c r="I677" s="8">
        <v>114618.63</v>
      </c>
      <c r="J677" s="1">
        <f>IF(COUNTIF($C$4:C677,C677)=1,1,0)</f>
        <v>1</v>
      </c>
      <c r="K677" s="1">
        <f t="shared" si="10"/>
        <v>2026</v>
      </c>
    </row>
    <row r="678" spans="2:11" x14ac:dyDescent="0.45">
      <c r="B678" s="1" t="s">
        <v>11</v>
      </c>
      <c r="C678" s="1" t="s">
        <v>689</v>
      </c>
      <c r="D678" s="7">
        <v>45081</v>
      </c>
      <c r="E678" s="7">
        <v>45103</v>
      </c>
      <c r="F678" s="7">
        <v>45234</v>
      </c>
      <c r="G678" s="1" t="s">
        <v>20</v>
      </c>
      <c r="H678" s="8">
        <v>23904374.170000002</v>
      </c>
      <c r="I678" s="8">
        <v>12489191.859999999</v>
      </c>
      <c r="J678" s="1">
        <f>IF(COUNTIF($C$4:C678,C678)=1,1,0)</f>
        <v>1</v>
      </c>
      <c r="K678" s="1">
        <f t="shared" si="10"/>
        <v>2023</v>
      </c>
    </row>
    <row r="679" spans="2:11" x14ac:dyDescent="0.45">
      <c r="B679" s="1" t="s">
        <v>11</v>
      </c>
      <c r="C679" s="1" t="s">
        <v>690</v>
      </c>
      <c r="D679" s="7">
        <v>45351</v>
      </c>
      <c r="E679" s="7">
        <v>45360</v>
      </c>
      <c r="F679" s="7">
        <v>45599</v>
      </c>
      <c r="G679" s="1" t="s">
        <v>18</v>
      </c>
      <c r="H679" s="8">
        <v>4539677.3099999996</v>
      </c>
      <c r="I679" s="8">
        <v>3229280.38</v>
      </c>
      <c r="J679" s="1">
        <f>IF(COUNTIF($C$4:C679,C679)=1,1,0)</f>
        <v>1</v>
      </c>
      <c r="K679" s="1">
        <f t="shared" si="10"/>
        <v>2024</v>
      </c>
    </row>
    <row r="680" spans="2:11" x14ac:dyDescent="0.45">
      <c r="B680" s="1" t="s">
        <v>11</v>
      </c>
      <c r="C680" s="1" t="s">
        <v>691</v>
      </c>
      <c r="D680" s="7">
        <v>44237</v>
      </c>
      <c r="E680" s="7">
        <v>44258</v>
      </c>
      <c r="F680" s="7">
        <v>44323</v>
      </c>
      <c r="G680" s="1" t="s">
        <v>13</v>
      </c>
      <c r="H680" s="8">
        <v>596823.68000000005</v>
      </c>
      <c r="I680" s="8">
        <v>507850.79</v>
      </c>
      <c r="J680" s="1">
        <f>IF(COUNTIF($C$4:C680,C680)=1,1,0)</f>
        <v>1</v>
      </c>
      <c r="K680" s="1">
        <f t="shared" si="10"/>
        <v>2021</v>
      </c>
    </row>
    <row r="681" spans="2:11" x14ac:dyDescent="0.45">
      <c r="B681" s="1" t="s">
        <v>11</v>
      </c>
      <c r="C681" s="1" t="s">
        <v>692</v>
      </c>
      <c r="D681" s="7">
        <v>45203</v>
      </c>
      <c r="E681" s="7">
        <v>45228</v>
      </c>
      <c r="F681" s="7">
        <v>45247</v>
      </c>
      <c r="G681" s="1" t="s">
        <v>13</v>
      </c>
      <c r="H681" s="8">
        <v>20753733.559999999</v>
      </c>
      <c r="I681" s="8">
        <v>5711574.2199999997</v>
      </c>
      <c r="J681" s="1">
        <f>IF(COUNTIF($C$4:C681,C681)=1,1,0)</f>
        <v>1</v>
      </c>
      <c r="K681" s="1">
        <f t="shared" si="10"/>
        <v>2023</v>
      </c>
    </row>
    <row r="682" spans="2:11" x14ac:dyDescent="0.45">
      <c r="B682" s="1" t="s">
        <v>11</v>
      </c>
      <c r="C682" s="1" t="s">
        <v>693</v>
      </c>
      <c r="D682" s="7">
        <v>45639</v>
      </c>
      <c r="E682" s="7">
        <v>45639</v>
      </c>
      <c r="F682" s="7">
        <v>45706</v>
      </c>
      <c r="G682" s="1" t="s">
        <v>38</v>
      </c>
      <c r="H682" s="8">
        <v>430996.58</v>
      </c>
      <c r="I682" s="8">
        <v>376796.34</v>
      </c>
      <c r="J682" s="1">
        <f>IF(COUNTIF($C$4:C682,C682)=1,1,0)</f>
        <v>1</v>
      </c>
      <c r="K682" s="1">
        <f t="shared" si="10"/>
        <v>2024</v>
      </c>
    </row>
    <row r="683" spans="2:11" x14ac:dyDescent="0.45">
      <c r="B683" s="1" t="s">
        <v>11</v>
      </c>
      <c r="C683" s="1" t="s">
        <v>694</v>
      </c>
      <c r="D683" s="7">
        <v>44954</v>
      </c>
      <c r="E683" s="7">
        <v>44984</v>
      </c>
      <c r="F683" s="7">
        <v>45165</v>
      </c>
      <c r="G683" s="1" t="s">
        <v>18</v>
      </c>
      <c r="H683" s="8">
        <v>2382886.4700000002</v>
      </c>
      <c r="I683" s="8">
        <v>1733339.5</v>
      </c>
      <c r="J683" s="1">
        <f>IF(COUNTIF($C$4:C683,C683)=1,1,0)</f>
        <v>1</v>
      </c>
      <c r="K683" s="1">
        <f t="shared" si="10"/>
        <v>2023</v>
      </c>
    </row>
    <row r="684" spans="2:11" x14ac:dyDescent="0.45">
      <c r="B684" s="1" t="s">
        <v>11</v>
      </c>
      <c r="C684" s="1" t="s">
        <v>695</v>
      </c>
      <c r="D684" s="7">
        <v>44506</v>
      </c>
      <c r="E684" s="7">
        <v>44515</v>
      </c>
      <c r="F684" s="7">
        <v>44656</v>
      </c>
      <c r="G684" s="1" t="s">
        <v>20</v>
      </c>
      <c r="H684" s="8">
        <v>2239354.36</v>
      </c>
      <c r="I684" s="8">
        <v>1340529.53</v>
      </c>
      <c r="J684" s="1">
        <f>IF(COUNTIF($C$4:C684,C684)=1,1,0)</f>
        <v>1</v>
      </c>
      <c r="K684" s="1">
        <f t="shared" si="10"/>
        <v>2021</v>
      </c>
    </row>
    <row r="685" spans="2:11" x14ac:dyDescent="0.45">
      <c r="B685" s="1" t="s">
        <v>11</v>
      </c>
      <c r="C685" s="1" t="s">
        <v>696</v>
      </c>
      <c r="D685" s="7">
        <v>44081</v>
      </c>
      <c r="E685" s="7">
        <v>44088</v>
      </c>
      <c r="F685" s="7">
        <v>44137</v>
      </c>
      <c r="G685" s="1" t="s">
        <v>20</v>
      </c>
      <c r="H685" s="8">
        <v>74083958.109999999</v>
      </c>
      <c r="I685" s="8">
        <v>51068493.380000003</v>
      </c>
      <c r="J685" s="1">
        <f>IF(COUNTIF($C$4:C685,C685)=1,1,0)</f>
        <v>1</v>
      </c>
      <c r="K685" s="1">
        <f t="shared" si="10"/>
        <v>2020</v>
      </c>
    </row>
    <row r="686" spans="2:11" x14ac:dyDescent="0.45">
      <c r="B686" s="1" t="s">
        <v>11</v>
      </c>
      <c r="C686" s="1" t="s">
        <v>697</v>
      </c>
      <c r="D686" s="7">
        <v>44314</v>
      </c>
      <c r="E686" s="7">
        <v>44344</v>
      </c>
      <c r="F686" s="7">
        <v>44392</v>
      </c>
      <c r="G686" s="1" t="s">
        <v>20</v>
      </c>
      <c r="H686" s="8">
        <v>2128124.4500000002</v>
      </c>
      <c r="I686" s="8">
        <v>1222452.71</v>
      </c>
      <c r="J686" s="1">
        <f>IF(COUNTIF($C$4:C686,C686)=1,1,0)</f>
        <v>1</v>
      </c>
      <c r="K686" s="1">
        <f t="shared" si="10"/>
        <v>2021</v>
      </c>
    </row>
    <row r="687" spans="2:11" x14ac:dyDescent="0.45">
      <c r="B687" s="1" t="s">
        <v>11</v>
      </c>
      <c r="C687" s="1" t="s">
        <v>698</v>
      </c>
      <c r="D687" s="7">
        <v>43572</v>
      </c>
      <c r="E687" s="7">
        <v>43574</v>
      </c>
      <c r="F687" s="7">
        <v>43656</v>
      </c>
      <c r="G687" s="1" t="s">
        <v>20</v>
      </c>
      <c r="H687" s="8">
        <v>51040294.009999998</v>
      </c>
      <c r="I687" s="8">
        <v>24942474.420000002</v>
      </c>
      <c r="J687" s="1">
        <f>IF(COUNTIF($C$4:C687,C687)=1,1,0)</f>
        <v>1</v>
      </c>
      <c r="K687" s="1">
        <f t="shared" si="10"/>
        <v>2019</v>
      </c>
    </row>
    <row r="688" spans="2:11" x14ac:dyDescent="0.45">
      <c r="B688" s="1" t="s">
        <v>11</v>
      </c>
      <c r="C688" s="1" t="s">
        <v>699</v>
      </c>
      <c r="D688" s="7">
        <v>45503</v>
      </c>
      <c r="E688" s="7">
        <v>45505</v>
      </c>
      <c r="F688" s="7">
        <v>45644</v>
      </c>
      <c r="G688" s="1" t="s">
        <v>20</v>
      </c>
      <c r="H688" s="8">
        <v>147989398.25999999</v>
      </c>
      <c r="I688" s="8">
        <v>109645577.58</v>
      </c>
      <c r="J688" s="1">
        <f>IF(COUNTIF($C$4:C688,C688)=1,1,0)</f>
        <v>1</v>
      </c>
      <c r="K688" s="1">
        <f t="shared" si="10"/>
        <v>2024</v>
      </c>
    </row>
    <row r="689" spans="2:11" x14ac:dyDescent="0.45">
      <c r="B689" s="1" t="s">
        <v>11</v>
      </c>
      <c r="C689" s="1" t="s">
        <v>700</v>
      </c>
      <c r="D689" s="7">
        <v>44041</v>
      </c>
      <c r="E689" s="7">
        <v>44057</v>
      </c>
      <c r="F689" s="7">
        <v>44158</v>
      </c>
      <c r="G689" s="1" t="s">
        <v>18</v>
      </c>
      <c r="H689" s="8">
        <v>10790460.27</v>
      </c>
      <c r="I689" s="8">
        <v>7750699.1600000001</v>
      </c>
      <c r="J689" s="1">
        <f>IF(COUNTIF($C$4:C689,C689)=1,1,0)</f>
        <v>1</v>
      </c>
      <c r="K689" s="1">
        <f t="shared" si="10"/>
        <v>2020</v>
      </c>
    </row>
    <row r="690" spans="2:11" x14ac:dyDescent="0.45">
      <c r="B690" s="1" t="s">
        <v>11</v>
      </c>
      <c r="C690" s="1" t="s">
        <v>701</v>
      </c>
      <c r="D690" s="7">
        <v>45262</v>
      </c>
      <c r="E690" s="7">
        <v>45281</v>
      </c>
      <c r="F690" s="7">
        <v>45416</v>
      </c>
      <c r="G690" s="1" t="s">
        <v>13</v>
      </c>
      <c r="H690" s="8">
        <v>18205519.489999998</v>
      </c>
      <c r="I690" s="8">
        <v>10647225.630000001</v>
      </c>
      <c r="J690" s="1">
        <f>IF(COUNTIF($C$4:C690,C690)=1,1,0)</f>
        <v>1</v>
      </c>
      <c r="K690" s="1">
        <f t="shared" si="10"/>
        <v>2023</v>
      </c>
    </row>
    <row r="691" spans="2:11" x14ac:dyDescent="0.45">
      <c r="B691" s="1" t="s">
        <v>11</v>
      </c>
      <c r="C691" s="1" t="s">
        <v>702</v>
      </c>
      <c r="D691" s="7">
        <v>43382</v>
      </c>
      <c r="E691" s="7">
        <v>43397</v>
      </c>
      <c r="F691" s="7">
        <v>43426</v>
      </c>
      <c r="G691" s="1" t="s">
        <v>20</v>
      </c>
      <c r="H691" s="8">
        <v>34732.339999999997</v>
      </c>
      <c r="I691" s="8">
        <v>24491.29</v>
      </c>
      <c r="J691" s="1">
        <f>IF(COUNTIF($C$4:C691,C691)=1,1,0)</f>
        <v>1</v>
      </c>
      <c r="K691" s="1">
        <f t="shared" si="10"/>
        <v>2018</v>
      </c>
    </row>
    <row r="692" spans="2:11" x14ac:dyDescent="0.45">
      <c r="B692" s="1" t="s">
        <v>11</v>
      </c>
      <c r="C692" s="1" t="s">
        <v>700</v>
      </c>
      <c r="D692" s="7">
        <v>44153</v>
      </c>
      <c r="E692" s="7">
        <v>44182</v>
      </c>
      <c r="F692" s="7">
        <v>44189</v>
      </c>
      <c r="G692" s="1" t="s">
        <v>18</v>
      </c>
      <c r="H692" s="8">
        <v>3756371.65</v>
      </c>
      <c r="I692" s="8">
        <v>2334646.04</v>
      </c>
      <c r="J692" s="1">
        <f>IF(COUNTIF($C$4:C692,C692)=1,1,0)</f>
        <v>0</v>
      </c>
      <c r="K692" s="1">
        <f t="shared" si="10"/>
        <v>2020</v>
      </c>
    </row>
    <row r="693" spans="2:11" x14ac:dyDescent="0.45">
      <c r="B693" s="1" t="s">
        <v>11</v>
      </c>
      <c r="C693" s="1" t="s">
        <v>703</v>
      </c>
      <c r="D693" s="7">
        <v>45251</v>
      </c>
      <c r="E693" s="7">
        <v>45271</v>
      </c>
      <c r="F693" s="7">
        <v>45344</v>
      </c>
      <c r="G693" s="1" t="s">
        <v>41</v>
      </c>
      <c r="H693" s="8">
        <v>749534.94</v>
      </c>
      <c r="I693" s="8">
        <v>575759.84</v>
      </c>
      <c r="J693" s="1">
        <f>IF(COUNTIF($C$4:C693,C693)=1,1,0)</f>
        <v>1</v>
      </c>
      <c r="K693" s="1">
        <f t="shared" si="10"/>
        <v>2023</v>
      </c>
    </row>
    <row r="694" spans="2:11" x14ac:dyDescent="0.45">
      <c r="B694" s="1" t="s">
        <v>11</v>
      </c>
      <c r="C694" s="1" t="s">
        <v>704</v>
      </c>
      <c r="D694" s="7">
        <v>45436</v>
      </c>
      <c r="E694" s="7">
        <v>45437</v>
      </c>
      <c r="F694" s="7">
        <v>45673</v>
      </c>
      <c r="G694" s="1" t="s">
        <v>20</v>
      </c>
      <c r="H694" s="8">
        <v>1128990.72</v>
      </c>
      <c r="I694" s="8">
        <v>826864.61</v>
      </c>
      <c r="J694" s="1">
        <f>IF(COUNTIF($C$4:C694,C694)=1,1,0)</f>
        <v>1</v>
      </c>
      <c r="K694" s="1">
        <f t="shared" si="10"/>
        <v>2024</v>
      </c>
    </row>
    <row r="695" spans="2:11" x14ac:dyDescent="0.45">
      <c r="B695" s="1" t="s">
        <v>11</v>
      </c>
      <c r="C695" s="1" t="s">
        <v>705</v>
      </c>
      <c r="D695" s="7">
        <v>43396</v>
      </c>
      <c r="E695" s="7">
        <v>43396</v>
      </c>
      <c r="F695" s="7">
        <v>43447</v>
      </c>
      <c r="G695" s="1" t="s">
        <v>20</v>
      </c>
      <c r="H695" s="8">
        <v>885139.86</v>
      </c>
      <c r="I695" s="8">
        <v>590426.14</v>
      </c>
      <c r="J695" s="1">
        <f>IF(COUNTIF($C$4:C695,C695)=1,1,0)</f>
        <v>1</v>
      </c>
      <c r="K695" s="1">
        <f t="shared" si="10"/>
        <v>2018</v>
      </c>
    </row>
    <row r="696" spans="2:11" x14ac:dyDescent="0.45">
      <c r="B696" s="1" t="s">
        <v>11</v>
      </c>
      <c r="C696" s="1" t="s">
        <v>706</v>
      </c>
      <c r="D696" s="7">
        <v>45509</v>
      </c>
      <c r="E696" s="7">
        <v>45510</v>
      </c>
      <c r="F696" s="7">
        <v>45542</v>
      </c>
      <c r="G696" s="1" t="s">
        <v>18</v>
      </c>
      <c r="H696" s="8">
        <v>935947.25</v>
      </c>
      <c r="I696" s="8">
        <v>827031.6</v>
      </c>
      <c r="J696" s="1">
        <f>IF(COUNTIF($C$4:C696,C696)=1,1,0)</f>
        <v>1</v>
      </c>
      <c r="K696" s="1">
        <f t="shared" si="10"/>
        <v>2024</v>
      </c>
    </row>
    <row r="697" spans="2:11" x14ac:dyDescent="0.45">
      <c r="B697" s="1" t="s">
        <v>11</v>
      </c>
      <c r="C697" s="1" t="s">
        <v>707</v>
      </c>
      <c r="D697" s="7">
        <v>43726</v>
      </c>
      <c r="E697" s="7">
        <v>43726</v>
      </c>
      <c r="F697" s="7">
        <v>43810</v>
      </c>
      <c r="G697" s="1" t="s">
        <v>20</v>
      </c>
      <c r="H697" s="8">
        <v>578798.68000000005</v>
      </c>
      <c r="I697" s="8">
        <v>437775.23</v>
      </c>
      <c r="J697" s="1">
        <f>IF(COUNTIF($C$4:C697,C697)=1,1,0)</f>
        <v>1</v>
      </c>
      <c r="K697" s="1">
        <f t="shared" si="10"/>
        <v>2019</v>
      </c>
    </row>
    <row r="698" spans="2:11" x14ac:dyDescent="0.45">
      <c r="B698" s="1" t="s">
        <v>11</v>
      </c>
      <c r="C698" s="1" t="s">
        <v>708</v>
      </c>
      <c r="D698" s="7">
        <v>43344</v>
      </c>
      <c r="E698" s="7">
        <v>43354</v>
      </c>
      <c r="F698" s="7">
        <v>43407</v>
      </c>
      <c r="G698" s="1" t="s">
        <v>13</v>
      </c>
      <c r="H698" s="8">
        <v>914029.9</v>
      </c>
      <c r="I698" s="8">
        <v>795237.84</v>
      </c>
      <c r="J698" s="1">
        <f>IF(COUNTIF($C$4:C698,C698)=1,1,0)</f>
        <v>1</v>
      </c>
      <c r="K698" s="1">
        <f t="shared" si="10"/>
        <v>2018</v>
      </c>
    </row>
    <row r="699" spans="2:11" x14ac:dyDescent="0.45">
      <c r="B699" s="1" t="s">
        <v>11</v>
      </c>
      <c r="C699" s="1" t="s">
        <v>709</v>
      </c>
      <c r="D699" s="7">
        <v>44075</v>
      </c>
      <c r="E699" s="7">
        <v>44101</v>
      </c>
      <c r="F699" s="7">
        <v>44284</v>
      </c>
      <c r="G699" s="1" t="s">
        <v>13</v>
      </c>
      <c r="H699" s="8">
        <v>1049522.48</v>
      </c>
      <c r="I699" s="8">
        <v>907387.92</v>
      </c>
      <c r="J699" s="1">
        <f>IF(COUNTIF($C$4:C699,C699)=1,1,0)</f>
        <v>1</v>
      </c>
      <c r="K699" s="1">
        <f t="shared" si="10"/>
        <v>2020</v>
      </c>
    </row>
    <row r="700" spans="2:11" x14ac:dyDescent="0.45">
      <c r="B700" s="1" t="s">
        <v>11</v>
      </c>
      <c r="C700" s="1" t="s">
        <v>710</v>
      </c>
      <c r="D700" s="7">
        <v>45457</v>
      </c>
      <c r="E700" s="7">
        <v>45482</v>
      </c>
      <c r="F700" s="7">
        <v>45578</v>
      </c>
      <c r="G700" s="1" t="s">
        <v>22</v>
      </c>
      <c r="H700" s="8">
        <v>7244518.8099999996</v>
      </c>
      <c r="I700" s="8">
        <v>4031216.09</v>
      </c>
      <c r="J700" s="1">
        <f>IF(COUNTIF($C$4:C700,C700)=1,1,0)</f>
        <v>1</v>
      </c>
      <c r="K700" s="1">
        <f t="shared" si="10"/>
        <v>2024</v>
      </c>
    </row>
    <row r="701" spans="2:11" x14ac:dyDescent="0.45">
      <c r="B701" s="1" t="s">
        <v>11</v>
      </c>
      <c r="C701" s="1" t="s">
        <v>711</v>
      </c>
      <c r="D701" s="7">
        <v>44134</v>
      </c>
      <c r="E701" s="7">
        <v>44159</v>
      </c>
      <c r="F701" s="7">
        <v>44175</v>
      </c>
      <c r="G701" s="1" t="s">
        <v>18</v>
      </c>
      <c r="H701" s="8">
        <v>4277010.22</v>
      </c>
      <c r="I701" s="8">
        <v>3237166.85</v>
      </c>
      <c r="J701" s="1">
        <f>IF(COUNTIF($C$4:C701,C701)=1,1,0)</f>
        <v>1</v>
      </c>
      <c r="K701" s="1">
        <f t="shared" si="10"/>
        <v>2020</v>
      </c>
    </row>
    <row r="702" spans="2:11" x14ac:dyDescent="0.45">
      <c r="B702" s="1" t="s">
        <v>11</v>
      </c>
      <c r="C702" s="1" t="s">
        <v>712</v>
      </c>
      <c r="D702" s="7">
        <v>44364</v>
      </c>
      <c r="E702" s="7">
        <v>44386</v>
      </c>
      <c r="F702" s="7">
        <v>44407</v>
      </c>
      <c r="G702" s="1" t="s">
        <v>16</v>
      </c>
      <c r="H702" s="8">
        <v>1986930.86</v>
      </c>
      <c r="I702" s="8">
        <v>1449814.81</v>
      </c>
      <c r="J702" s="1">
        <f>IF(COUNTIF($C$4:C702,C702)=1,1,0)</f>
        <v>1</v>
      </c>
      <c r="K702" s="1">
        <f t="shared" si="10"/>
        <v>2021</v>
      </c>
    </row>
    <row r="703" spans="2:11" x14ac:dyDescent="0.45">
      <c r="B703" s="1" t="s">
        <v>11</v>
      </c>
      <c r="C703" s="1" t="s">
        <v>713</v>
      </c>
      <c r="D703" s="7">
        <v>45794</v>
      </c>
      <c r="E703" s="7">
        <v>45805</v>
      </c>
      <c r="F703" s="7">
        <v>45878</v>
      </c>
      <c r="G703" s="1" t="s">
        <v>20</v>
      </c>
      <c r="H703" s="8">
        <v>279431.38</v>
      </c>
      <c r="I703" s="8">
        <v>188834.68</v>
      </c>
      <c r="J703" s="1">
        <f>IF(COUNTIF($C$4:C703,C703)=1,1,0)</f>
        <v>1</v>
      </c>
      <c r="K703" s="1">
        <f t="shared" si="10"/>
        <v>2025</v>
      </c>
    </row>
    <row r="704" spans="2:11" x14ac:dyDescent="0.45">
      <c r="B704" s="1" t="s">
        <v>11</v>
      </c>
      <c r="C704" s="1" t="s">
        <v>714</v>
      </c>
      <c r="D704" s="7">
        <v>45671</v>
      </c>
      <c r="E704" s="7">
        <v>45674</v>
      </c>
      <c r="F704" s="7">
        <v>45903</v>
      </c>
      <c r="G704" s="1" t="s">
        <v>38</v>
      </c>
      <c r="H704" s="8">
        <v>2594627.64</v>
      </c>
      <c r="I704" s="8">
        <v>1826823.87</v>
      </c>
      <c r="J704" s="1">
        <f>IF(COUNTIF($C$4:C704,C704)=1,1,0)</f>
        <v>1</v>
      </c>
      <c r="K704" s="1">
        <f t="shared" si="10"/>
        <v>2025</v>
      </c>
    </row>
    <row r="705" spans="2:11" x14ac:dyDescent="0.45">
      <c r="B705" s="1" t="s">
        <v>11</v>
      </c>
      <c r="C705" s="1" t="s">
        <v>715</v>
      </c>
      <c r="D705" s="7">
        <v>44146</v>
      </c>
      <c r="E705" s="7">
        <v>44155</v>
      </c>
      <c r="F705" s="7">
        <v>44208</v>
      </c>
      <c r="G705" s="1" t="s">
        <v>18</v>
      </c>
      <c r="H705" s="8">
        <v>493385604.80000001</v>
      </c>
      <c r="I705" s="8">
        <v>274700162.01999998</v>
      </c>
      <c r="J705" s="1">
        <f>IF(COUNTIF($C$4:C705,C705)=1,1,0)</f>
        <v>1</v>
      </c>
      <c r="K705" s="1">
        <f t="shared" si="10"/>
        <v>2020</v>
      </c>
    </row>
    <row r="706" spans="2:11" x14ac:dyDescent="0.45">
      <c r="B706" s="1" t="s">
        <v>11</v>
      </c>
      <c r="C706" s="1" t="s">
        <v>716</v>
      </c>
      <c r="D706" s="7">
        <v>44922</v>
      </c>
      <c r="E706" s="7">
        <v>44930</v>
      </c>
      <c r="F706" s="7">
        <v>44959</v>
      </c>
      <c r="G706" s="1" t="s">
        <v>20</v>
      </c>
      <c r="H706" s="8">
        <v>9259840.75</v>
      </c>
      <c r="I706" s="8">
        <v>5105897.13</v>
      </c>
      <c r="J706" s="1">
        <f>IF(COUNTIF($C$4:C706,C706)=1,1,0)</f>
        <v>1</v>
      </c>
      <c r="K706" s="1">
        <f t="shared" si="10"/>
        <v>2022</v>
      </c>
    </row>
    <row r="707" spans="2:11" x14ac:dyDescent="0.45">
      <c r="B707" s="1" t="s">
        <v>11</v>
      </c>
      <c r="C707" s="1" t="s">
        <v>717</v>
      </c>
      <c r="D707" s="7">
        <v>43420</v>
      </c>
      <c r="E707" s="7">
        <v>43445</v>
      </c>
      <c r="F707" s="7">
        <v>43659</v>
      </c>
      <c r="G707" s="1" t="s">
        <v>41</v>
      </c>
      <c r="H707" s="8">
        <v>285179.44</v>
      </c>
      <c r="I707" s="8">
        <v>249701.55</v>
      </c>
      <c r="J707" s="1">
        <f>IF(COUNTIF($C$4:C707,C707)=1,1,0)</f>
        <v>1</v>
      </c>
      <c r="K707" s="1">
        <f t="shared" si="10"/>
        <v>2018</v>
      </c>
    </row>
    <row r="708" spans="2:11" x14ac:dyDescent="0.45">
      <c r="B708" s="1" t="s">
        <v>11</v>
      </c>
      <c r="C708" s="1" t="s">
        <v>718</v>
      </c>
      <c r="D708" s="7">
        <v>44071</v>
      </c>
      <c r="E708" s="7">
        <v>44079</v>
      </c>
      <c r="F708" s="7">
        <v>44253</v>
      </c>
      <c r="G708" s="1" t="s">
        <v>38</v>
      </c>
      <c r="H708" s="8">
        <v>932486.01</v>
      </c>
      <c r="I708" s="8">
        <v>651831.73</v>
      </c>
      <c r="J708" s="1">
        <f>IF(COUNTIF($C$4:C708,C708)=1,1,0)</f>
        <v>1</v>
      </c>
      <c r="K708" s="1">
        <f t="shared" si="10"/>
        <v>2020</v>
      </c>
    </row>
    <row r="709" spans="2:11" x14ac:dyDescent="0.45">
      <c r="B709" s="1" t="s">
        <v>11</v>
      </c>
      <c r="C709" s="1" t="s">
        <v>719</v>
      </c>
      <c r="D709" s="7">
        <v>44372</v>
      </c>
      <c r="E709" s="7">
        <v>44399</v>
      </c>
      <c r="F709" s="7">
        <v>44408</v>
      </c>
      <c r="G709" s="1" t="s">
        <v>20</v>
      </c>
      <c r="H709" s="8">
        <v>105675828.77</v>
      </c>
      <c r="I709" s="8">
        <v>77123251.049999997</v>
      </c>
      <c r="J709" s="1">
        <f>IF(COUNTIF($C$4:C709,C709)=1,1,0)</f>
        <v>1</v>
      </c>
      <c r="K709" s="1">
        <f t="shared" ref="K709:K772" si="11">YEAR(D709)</f>
        <v>2021</v>
      </c>
    </row>
    <row r="710" spans="2:11" x14ac:dyDescent="0.45">
      <c r="B710" s="1" t="s">
        <v>11</v>
      </c>
      <c r="C710" s="1" t="s">
        <v>720</v>
      </c>
      <c r="D710" s="7">
        <v>45231</v>
      </c>
      <c r="E710" s="7">
        <v>45231</v>
      </c>
      <c r="F710" s="7">
        <v>45449</v>
      </c>
      <c r="G710" s="1" t="s">
        <v>20</v>
      </c>
      <c r="H710" s="8">
        <v>212059.4</v>
      </c>
      <c r="I710" s="8">
        <v>113718.06</v>
      </c>
      <c r="J710" s="1">
        <f>IF(COUNTIF($C$4:C710,C710)=1,1,0)</f>
        <v>1</v>
      </c>
      <c r="K710" s="1">
        <f t="shared" si="11"/>
        <v>2023</v>
      </c>
    </row>
    <row r="711" spans="2:11" x14ac:dyDescent="0.45">
      <c r="B711" s="1" t="s">
        <v>11</v>
      </c>
      <c r="C711" s="1" t="s">
        <v>721</v>
      </c>
      <c r="D711" s="7">
        <v>44923</v>
      </c>
      <c r="E711" s="7">
        <v>44937</v>
      </c>
      <c r="F711" s="7">
        <v>45075</v>
      </c>
      <c r="G711" s="1" t="s">
        <v>16</v>
      </c>
      <c r="H711" s="8">
        <v>2356601.3199999998</v>
      </c>
      <c r="I711" s="8">
        <v>1657151.45</v>
      </c>
      <c r="J711" s="1">
        <f>IF(COUNTIF($C$4:C711,C711)=1,1,0)</f>
        <v>1</v>
      </c>
      <c r="K711" s="1">
        <f t="shared" si="11"/>
        <v>2022</v>
      </c>
    </row>
    <row r="712" spans="2:11" x14ac:dyDescent="0.45">
      <c r="B712" s="1" t="s">
        <v>11</v>
      </c>
      <c r="C712" s="1" t="s">
        <v>722</v>
      </c>
      <c r="D712" s="7">
        <v>43690</v>
      </c>
      <c r="E712" s="7">
        <v>43703</v>
      </c>
      <c r="F712" s="7">
        <v>43931</v>
      </c>
      <c r="G712" s="1" t="s">
        <v>38</v>
      </c>
      <c r="H712" s="8">
        <v>161653.18</v>
      </c>
      <c r="I712" s="8">
        <v>115199.19</v>
      </c>
      <c r="J712" s="1">
        <f>IF(COUNTIF($C$4:C712,C712)=1,1,0)</f>
        <v>1</v>
      </c>
      <c r="K712" s="1">
        <f t="shared" si="11"/>
        <v>2019</v>
      </c>
    </row>
    <row r="713" spans="2:11" x14ac:dyDescent="0.45">
      <c r="B713" s="1" t="s">
        <v>11</v>
      </c>
      <c r="C713" s="1" t="s">
        <v>723</v>
      </c>
      <c r="D713" s="7">
        <v>45587</v>
      </c>
      <c r="E713" s="7">
        <v>45613</v>
      </c>
      <c r="F713" s="7">
        <v>45780</v>
      </c>
      <c r="G713" s="1" t="s">
        <v>38</v>
      </c>
      <c r="H713" s="8">
        <v>566593.74</v>
      </c>
      <c r="I713" s="8">
        <v>429151.13</v>
      </c>
      <c r="J713" s="1">
        <f>IF(COUNTIF($C$4:C713,C713)=1,1,0)</f>
        <v>1</v>
      </c>
      <c r="K713" s="1">
        <f t="shared" si="11"/>
        <v>2024</v>
      </c>
    </row>
    <row r="714" spans="2:11" x14ac:dyDescent="0.45">
      <c r="B714" s="1" t="s">
        <v>11</v>
      </c>
      <c r="C714" s="1" t="s">
        <v>724</v>
      </c>
      <c r="D714" s="7">
        <v>45319</v>
      </c>
      <c r="E714" s="7">
        <v>45320</v>
      </c>
      <c r="F714" s="7">
        <v>45546</v>
      </c>
      <c r="G714" s="1" t="s">
        <v>20</v>
      </c>
      <c r="H714" s="8">
        <v>111318056.48999999</v>
      </c>
      <c r="I714" s="8">
        <v>56850948.780000001</v>
      </c>
      <c r="J714" s="1">
        <f>IF(COUNTIF($C$4:C714,C714)=1,1,0)</f>
        <v>1</v>
      </c>
      <c r="K714" s="1">
        <f t="shared" si="11"/>
        <v>2024</v>
      </c>
    </row>
    <row r="715" spans="2:11" x14ac:dyDescent="0.45">
      <c r="B715" s="1" t="s">
        <v>11</v>
      </c>
      <c r="C715" s="1" t="s">
        <v>725</v>
      </c>
      <c r="D715" s="7">
        <v>45529</v>
      </c>
      <c r="E715" s="7">
        <v>45534</v>
      </c>
      <c r="F715" s="7">
        <v>45569</v>
      </c>
      <c r="G715" s="1" t="s">
        <v>20</v>
      </c>
      <c r="H715" s="8">
        <v>1408664.17</v>
      </c>
      <c r="I715" s="8">
        <v>1044329.65</v>
      </c>
      <c r="J715" s="1">
        <f>IF(COUNTIF($C$4:C715,C715)=1,1,0)</f>
        <v>1</v>
      </c>
      <c r="K715" s="1">
        <f t="shared" si="11"/>
        <v>2024</v>
      </c>
    </row>
    <row r="716" spans="2:11" x14ac:dyDescent="0.45">
      <c r="B716" s="1" t="s">
        <v>11</v>
      </c>
      <c r="C716" s="1" t="s">
        <v>726</v>
      </c>
      <c r="D716" s="7">
        <v>43319</v>
      </c>
      <c r="E716" s="7">
        <v>43336</v>
      </c>
      <c r="F716" s="7">
        <v>43435</v>
      </c>
      <c r="G716" s="1" t="s">
        <v>20</v>
      </c>
      <c r="H716" s="8">
        <v>1327242.1000000001</v>
      </c>
      <c r="I716" s="8">
        <v>786919.98</v>
      </c>
      <c r="J716" s="1">
        <f>IF(COUNTIF($C$4:C716,C716)=1,1,0)</f>
        <v>1</v>
      </c>
      <c r="K716" s="1">
        <f t="shared" si="11"/>
        <v>2018</v>
      </c>
    </row>
    <row r="717" spans="2:11" x14ac:dyDescent="0.45">
      <c r="B717" s="1" t="s">
        <v>11</v>
      </c>
      <c r="C717" s="1" t="s">
        <v>727</v>
      </c>
      <c r="D717" s="7">
        <v>44366</v>
      </c>
      <c r="E717" s="7">
        <v>44368</v>
      </c>
      <c r="F717" s="7">
        <v>44536</v>
      </c>
      <c r="G717" s="1" t="s">
        <v>16</v>
      </c>
      <c r="H717" s="8">
        <v>6881760.21</v>
      </c>
      <c r="I717" s="8">
        <v>4837920.7</v>
      </c>
      <c r="J717" s="1">
        <f>IF(COUNTIF($C$4:C717,C717)=1,1,0)</f>
        <v>1</v>
      </c>
      <c r="K717" s="1">
        <f t="shared" si="11"/>
        <v>2021</v>
      </c>
    </row>
    <row r="718" spans="2:11" x14ac:dyDescent="0.45">
      <c r="B718" s="1" t="s">
        <v>11</v>
      </c>
      <c r="C718" s="1" t="s">
        <v>728</v>
      </c>
      <c r="D718" s="7">
        <v>44706</v>
      </c>
      <c r="E718" s="7">
        <v>44716</v>
      </c>
      <c r="F718" s="7">
        <v>44746</v>
      </c>
      <c r="G718" s="1" t="s">
        <v>16</v>
      </c>
      <c r="H718" s="8">
        <v>9160114.3100000005</v>
      </c>
      <c r="I718" s="8">
        <v>4506975.22</v>
      </c>
      <c r="J718" s="1">
        <f>IF(COUNTIF($C$4:C718,C718)=1,1,0)</f>
        <v>1</v>
      </c>
      <c r="K718" s="1">
        <f t="shared" si="11"/>
        <v>2022</v>
      </c>
    </row>
    <row r="719" spans="2:11" x14ac:dyDescent="0.45">
      <c r="B719" s="1" t="s">
        <v>11</v>
      </c>
      <c r="C719" s="1" t="s">
        <v>729</v>
      </c>
      <c r="D719" s="7">
        <v>44745</v>
      </c>
      <c r="E719" s="7">
        <v>44766</v>
      </c>
      <c r="F719" s="7">
        <v>44848</v>
      </c>
      <c r="G719" s="1" t="s">
        <v>20</v>
      </c>
      <c r="H719" s="8">
        <v>99033401.760000005</v>
      </c>
      <c r="I719" s="8">
        <v>40347611.350000001</v>
      </c>
      <c r="J719" s="1">
        <f>IF(COUNTIF($C$4:C719,C719)=1,1,0)</f>
        <v>1</v>
      </c>
      <c r="K719" s="1">
        <f t="shared" si="11"/>
        <v>2022</v>
      </c>
    </row>
    <row r="720" spans="2:11" x14ac:dyDescent="0.45">
      <c r="B720" s="1" t="s">
        <v>11</v>
      </c>
      <c r="C720" s="1" t="s">
        <v>730</v>
      </c>
      <c r="D720" s="7">
        <v>44121</v>
      </c>
      <c r="E720" s="7">
        <v>44147</v>
      </c>
      <c r="F720" s="7">
        <v>44320</v>
      </c>
      <c r="G720" s="1" t="s">
        <v>38</v>
      </c>
      <c r="H720" s="8">
        <v>384825.29</v>
      </c>
      <c r="I720" s="8">
        <v>251340.84</v>
      </c>
      <c r="J720" s="1">
        <f>IF(COUNTIF($C$4:C720,C720)=1,1,0)</f>
        <v>1</v>
      </c>
      <c r="K720" s="1">
        <f t="shared" si="11"/>
        <v>2020</v>
      </c>
    </row>
    <row r="721" spans="2:11" x14ac:dyDescent="0.45">
      <c r="B721" s="1" t="s">
        <v>11</v>
      </c>
      <c r="C721" s="1" t="s">
        <v>731</v>
      </c>
      <c r="D721" s="7">
        <v>45203</v>
      </c>
      <c r="E721" s="7">
        <v>45230</v>
      </c>
      <c r="F721" s="7">
        <v>45243</v>
      </c>
      <c r="G721" s="1" t="s">
        <v>38</v>
      </c>
      <c r="H721" s="8">
        <v>271142.96999999997</v>
      </c>
      <c r="I721" s="8">
        <v>206206.2</v>
      </c>
      <c r="J721" s="1">
        <f>IF(COUNTIF($C$4:C721,C721)=1,1,0)</f>
        <v>1</v>
      </c>
      <c r="K721" s="1">
        <f t="shared" si="11"/>
        <v>2023</v>
      </c>
    </row>
    <row r="722" spans="2:11" x14ac:dyDescent="0.45">
      <c r="B722" s="1" t="s">
        <v>11</v>
      </c>
      <c r="C722" s="1" t="s">
        <v>732</v>
      </c>
      <c r="D722" s="7">
        <v>43871</v>
      </c>
      <c r="E722" s="7">
        <v>43899</v>
      </c>
      <c r="F722" s="7">
        <v>44000</v>
      </c>
      <c r="G722" s="1" t="s">
        <v>20</v>
      </c>
      <c r="H722" s="8">
        <v>1758896.83</v>
      </c>
      <c r="I722" s="8">
        <v>1209628.83</v>
      </c>
      <c r="J722" s="1">
        <f>IF(COUNTIF($C$4:C722,C722)=1,1,0)</f>
        <v>1</v>
      </c>
      <c r="K722" s="1">
        <f t="shared" si="11"/>
        <v>2020</v>
      </c>
    </row>
    <row r="723" spans="2:11" x14ac:dyDescent="0.45">
      <c r="B723" s="1" t="s">
        <v>11</v>
      </c>
      <c r="C723" s="1" t="s">
        <v>733</v>
      </c>
      <c r="D723" s="7">
        <v>45496</v>
      </c>
      <c r="E723" s="7">
        <v>45496</v>
      </c>
      <c r="F723" s="7">
        <v>45570</v>
      </c>
      <c r="G723" s="1" t="s">
        <v>22</v>
      </c>
      <c r="H723" s="8">
        <v>17670915.219999999</v>
      </c>
      <c r="I723" s="8">
        <v>12941946.5</v>
      </c>
      <c r="J723" s="1">
        <f>IF(COUNTIF($C$4:C723,C723)=1,1,0)</f>
        <v>1</v>
      </c>
      <c r="K723" s="1">
        <f t="shared" si="11"/>
        <v>2024</v>
      </c>
    </row>
    <row r="724" spans="2:11" x14ac:dyDescent="0.45">
      <c r="B724" s="1" t="s">
        <v>11</v>
      </c>
      <c r="C724" s="1" t="s">
        <v>734</v>
      </c>
      <c r="D724" s="7">
        <v>46073</v>
      </c>
      <c r="E724" s="7">
        <v>46090</v>
      </c>
      <c r="F724" s="7">
        <v>46097</v>
      </c>
      <c r="G724" s="1" t="s">
        <v>38</v>
      </c>
      <c r="H724" s="8">
        <v>122218.86</v>
      </c>
      <c r="I724" s="8">
        <v>88368.19</v>
      </c>
      <c r="J724" s="1">
        <f>IF(COUNTIF($C$4:C724,C724)=1,1,0)</f>
        <v>1</v>
      </c>
      <c r="K724" s="1">
        <f t="shared" si="11"/>
        <v>2026</v>
      </c>
    </row>
    <row r="725" spans="2:11" x14ac:dyDescent="0.45">
      <c r="B725" s="1" t="s">
        <v>11</v>
      </c>
      <c r="C725" s="1" t="s">
        <v>735</v>
      </c>
      <c r="D725" s="7">
        <v>44157</v>
      </c>
      <c r="E725" s="7">
        <v>44185</v>
      </c>
      <c r="F725" s="7">
        <v>44262</v>
      </c>
      <c r="G725" s="1" t="s">
        <v>18</v>
      </c>
      <c r="H725" s="8">
        <v>235146489.12</v>
      </c>
      <c r="I725" s="8">
        <v>105430793.31999999</v>
      </c>
      <c r="J725" s="1">
        <f>IF(COUNTIF($C$4:C725,C725)=1,1,0)</f>
        <v>1</v>
      </c>
      <c r="K725" s="1">
        <f t="shared" si="11"/>
        <v>2020</v>
      </c>
    </row>
    <row r="726" spans="2:11" x14ac:dyDescent="0.45">
      <c r="B726" s="1" t="s">
        <v>11</v>
      </c>
      <c r="C726" s="1" t="s">
        <v>736</v>
      </c>
      <c r="D726" s="7">
        <v>46281</v>
      </c>
      <c r="E726" s="7">
        <v>46298</v>
      </c>
      <c r="F726" s="7">
        <v>46489</v>
      </c>
      <c r="G726" s="1" t="s">
        <v>38</v>
      </c>
      <c r="H726" s="8">
        <v>888231.35</v>
      </c>
      <c r="I726" s="8">
        <v>645984.98</v>
      </c>
      <c r="J726" s="1">
        <f>IF(COUNTIF($C$4:C726,C726)=1,1,0)</f>
        <v>1</v>
      </c>
      <c r="K726" s="1">
        <f t="shared" si="11"/>
        <v>2026</v>
      </c>
    </row>
    <row r="727" spans="2:11" x14ac:dyDescent="0.45">
      <c r="B727" s="1" t="s">
        <v>11</v>
      </c>
      <c r="C727" s="1" t="s">
        <v>737</v>
      </c>
      <c r="D727" s="7">
        <v>44699</v>
      </c>
      <c r="E727" s="7">
        <v>44699</v>
      </c>
      <c r="F727" s="7">
        <v>44856</v>
      </c>
      <c r="G727" s="1" t="s">
        <v>38</v>
      </c>
      <c r="H727" s="8">
        <v>462890.88</v>
      </c>
      <c r="I727" s="8">
        <v>389208.34</v>
      </c>
      <c r="J727" s="1">
        <f>IF(COUNTIF($C$4:C727,C727)=1,1,0)</f>
        <v>1</v>
      </c>
      <c r="K727" s="1">
        <f t="shared" si="11"/>
        <v>2022</v>
      </c>
    </row>
    <row r="728" spans="2:11" x14ac:dyDescent="0.45">
      <c r="B728" s="1" t="s">
        <v>11</v>
      </c>
      <c r="C728" s="1" t="s">
        <v>738</v>
      </c>
      <c r="D728" s="7">
        <v>46174</v>
      </c>
      <c r="E728" s="7">
        <v>46198</v>
      </c>
      <c r="F728" s="7">
        <v>46438</v>
      </c>
      <c r="G728" s="1" t="s">
        <v>41</v>
      </c>
      <c r="H728" s="8">
        <v>137538.60999999999</v>
      </c>
      <c r="I728" s="8">
        <v>103744.5</v>
      </c>
      <c r="J728" s="1">
        <f>IF(COUNTIF($C$4:C728,C728)=1,1,0)</f>
        <v>1</v>
      </c>
      <c r="K728" s="1">
        <f t="shared" si="11"/>
        <v>2026</v>
      </c>
    </row>
    <row r="729" spans="2:11" x14ac:dyDescent="0.45">
      <c r="B729" s="1" t="s">
        <v>11</v>
      </c>
      <c r="C729" s="1" t="s">
        <v>15</v>
      </c>
      <c r="D729" s="7">
        <v>45214</v>
      </c>
      <c r="E729" s="7">
        <v>45226</v>
      </c>
      <c r="F729" s="7">
        <v>45419</v>
      </c>
      <c r="G729" s="1" t="s">
        <v>16</v>
      </c>
      <c r="H729" s="8">
        <v>2373217.23</v>
      </c>
      <c r="I729" s="8">
        <v>1540280.3</v>
      </c>
      <c r="J729" s="1">
        <f>IF(COUNTIF($C$4:C729,C729)=1,1,0)</f>
        <v>0</v>
      </c>
      <c r="K729" s="1">
        <f t="shared" si="11"/>
        <v>2023</v>
      </c>
    </row>
    <row r="730" spans="2:11" x14ac:dyDescent="0.45">
      <c r="B730" s="1" t="s">
        <v>11</v>
      </c>
      <c r="C730" s="1" t="s">
        <v>739</v>
      </c>
      <c r="D730" s="7">
        <v>44409</v>
      </c>
      <c r="E730" s="7">
        <v>44420</v>
      </c>
      <c r="F730" s="7">
        <v>44640</v>
      </c>
      <c r="G730" s="1" t="s">
        <v>13</v>
      </c>
      <c r="H730" s="8">
        <v>13313608.189999999</v>
      </c>
      <c r="I730" s="8">
        <v>5961526.4400000004</v>
      </c>
      <c r="J730" s="1">
        <f>IF(COUNTIF($C$4:C730,C730)=1,1,0)</f>
        <v>1</v>
      </c>
      <c r="K730" s="1">
        <f t="shared" si="11"/>
        <v>2021</v>
      </c>
    </row>
    <row r="731" spans="2:11" x14ac:dyDescent="0.45">
      <c r="B731" s="1" t="s">
        <v>11</v>
      </c>
      <c r="C731" s="1" t="s">
        <v>740</v>
      </c>
      <c r="D731" s="7">
        <v>43797</v>
      </c>
      <c r="E731" s="7">
        <v>43810</v>
      </c>
      <c r="F731" s="7">
        <v>43836</v>
      </c>
      <c r="G731" s="1" t="s">
        <v>41</v>
      </c>
      <c r="H731" s="8">
        <v>462430</v>
      </c>
      <c r="I731" s="8">
        <v>352256.99</v>
      </c>
      <c r="J731" s="1">
        <f>IF(COUNTIF($C$4:C731,C731)=1,1,0)</f>
        <v>1</v>
      </c>
      <c r="K731" s="1">
        <f t="shared" si="11"/>
        <v>2019</v>
      </c>
    </row>
    <row r="732" spans="2:11" x14ac:dyDescent="0.45">
      <c r="B732" s="1" t="s">
        <v>11</v>
      </c>
      <c r="C732" s="1" t="s">
        <v>741</v>
      </c>
      <c r="D732" s="7">
        <v>46217</v>
      </c>
      <c r="E732" s="7">
        <v>46234</v>
      </c>
      <c r="F732" s="7">
        <v>46285</v>
      </c>
      <c r="G732" s="1" t="s">
        <v>13</v>
      </c>
      <c r="H732" s="8">
        <v>16914844.120000001</v>
      </c>
      <c r="I732" s="8">
        <v>7601315.7300000004</v>
      </c>
      <c r="J732" s="1">
        <f>IF(COUNTIF($C$4:C732,C732)=1,1,0)</f>
        <v>1</v>
      </c>
      <c r="K732" s="1">
        <f t="shared" si="11"/>
        <v>2026</v>
      </c>
    </row>
    <row r="733" spans="2:11" x14ac:dyDescent="0.45">
      <c r="B733" s="1" t="s">
        <v>11</v>
      </c>
      <c r="C733" s="1" t="s">
        <v>742</v>
      </c>
      <c r="D733" s="7">
        <v>43362</v>
      </c>
      <c r="E733" s="7">
        <v>43380</v>
      </c>
      <c r="F733" s="7">
        <v>43508</v>
      </c>
      <c r="G733" s="1" t="s">
        <v>20</v>
      </c>
      <c r="H733" s="8">
        <v>1147734.45</v>
      </c>
      <c r="I733" s="8">
        <v>903150.49</v>
      </c>
      <c r="J733" s="1">
        <f>IF(COUNTIF($C$4:C733,C733)=1,1,0)</f>
        <v>1</v>
      </c>
      <c r="K733" s="1">
        <f t="shared" si="11"/>
        <v>2018</v>
      </c>
    </row>
    <row r="734" spans="2:11" x14ac:dyDescent="0.45">
      <c r="B734" s="1" t="s">
        <v>11</v>
      </c>
      <c r="C734" s="1" t="s">
        <v>743</v>
      </c>
      <c r="D734" s="7">
        <v>46178</v>
      </c>
      <c r="E734" s="7">
        <v>46199</v>
      </c>
      <c r="F734" s="7">
        <v>46305</v>
      </c>
      <c r="G734" s="1" t="s">
        <v>18</v>
      </c>
      <c r="H734" s="8">
        <v>2064134.35</v>
      </c>
      <c r="I734" s="8">
        <v>1276120.43</v>
      </c>
      <c r="J734" s="1">
        <f>IF(COUNTIF($C$4:C734,C734)=1,1,0)</f>
        <v>1</v>
      </c>
      <c r="K734" s="1">
        <f t="shared" si="11"/>
        <v>2026</v>
      </c>
    </row>
    <row r="735" spans="2:11" x14ac:dyDescent="0.45">
      <c r="B735" s="1" t="s">
        <v>11</v>
      </c>
      <c r="C735" s="1" t="s">
        <v>744</v>
      </c>
      <c r="D735" s="7">
        <v>44973</v>
      </c>
      <c r="E735" s="7">
        <v>44991</v>
      </c>
      <c r="F735" s="7">
        <v>45157</v>
      </c>
      <c r="G735" s="1" t="s">
        <v>22</v>
      </c>
      <c r="H735" s="8">
        <v>13755500.43</v>
      </c>
      <c r="I735" s="8">
        <v>5148261.71</v>
      </c>
      <c r="J735" s="1">
        <f>IF(COUNTIF($C$4:C735,C735)=1,1,0)</f>
        <v>1</v>
      </c>
      <c r="K735" s="1">
        <f t="shared" si="11"/>
        <v>2023</v>
      </c>
    </row>
    <row r="736" spans="2:11" x14ac:dyDescent="0.45">
      <c r="B736" s="1" t="s">
        <v>11</v>
      </c>
      <c r="C736" s="1" t="s">
        <v>745</v>
      </c>
      <c r="D736" s="7">
        <v>45831</v>
      </c>
      <c r="E736" s="7">
        <v>45854</v>
      </c>
      <c r="F736" s="7">
        <v>45934</v>
      </c>
      <c r="G736" s="1" t="s">
        <v>38</v>
      </c>
      <c r="H736" s="8">
        <v>558287.57999999996</v>
      </c>
      <c r="I736" s="8">
        <v>341644.57</v>
      </c>
      <c r="J736" s="1">
        <f>IF(COUNTIF($C$4:C736,C736)=1,1,0)</f>
        <v>1</v>
      </c>
      <c r="K736" s="1">
        <f t="shared" si="11"/>
        <v>2025</v>
      </c>
    </row>
    <row r="737" spans="2:11" x14ac:dyDescent="0.45">
      <c r="B737" s="1" t="s">
        <v>11</v>
      </c>
      <c r="C737" s="1" t="s">
        <v>746</v>
      </c>
      <c r="D737" s="7">
        <v>45766</v>
      </c>
      <c r="E737" s="7">
        <v>45767</v>
      </c>
      <c r="F737" s="7">
        <v>45833</v>
      </c>
      <c r="G737" s="1" t="s">
        <v>41</v>
      </c>
      <c r="H737" s="8">
        <v>1306377.23</v>
      </c>
      <c r="I737" s="8">
        <v>1008204.33</v>
      </c>
      <c r="J737" s="1">
        <f>IF(COUNTIF($C$4:C737,C737)=1,1,0)</f>
        <v>1</v>
      </c>
      <c r="K737" s="1">
        <f t="shared" si="11"/>
        <v>2025</v>
      </c>
    </row>
    <row r="738" spans="2:11" x14ac:dyDescent="0.45">
      <c r="B738" s="1" t="s">
        <v>11</v>
      </c>
      <c r="C738" s="1" t="s">
        <v>747</v>
      </c>
      <c r="D738" s="7">
        <v>45378</v>
      </c>
      <c r="E738" s="7">
        <v>45397</v>
      </c>
      <c r="F738" s="7">
        <v>45532</v>
      </c>
      <c r="G738" s="1" t="s">
        <v>38</v>
      </c>
      <c r="H738" s="8">
        <v>170192.21</v>
      </c>
      <c r="I738" s="8">
        <v>130150.81</v>
      </c>
      <c r="J738" s="1">
        <f>IF(COUNTIF($C$4:C738,C738)=1,1,0)</f>
        <v>1</v>
      </c>
      <c r="K738" s="1">
        <f t="shared" si="11"/>
        <v>2024</v>
      </c>
    </row>
    <row r="739" spans="2:11" x14ac:dyDescent="0.45">
      <c r="B739" s="1" t="s">
        <v>11</v>
      </c>
      <c r="C739" s="1" t="s">
        <v>748</v>
      </c>
      <c r="D739" s="7">
        <v>44519</v>
      </c>
      <c r="E739" s="7">
        <v>44540</v>
      </c>
      <c r="F739" s="7">
        <v>44578</v>
      </c>
      <c r="G739" s="1" t="s">
        <v>38</v>
      </c>
      <c r="H739" s="8">
        <v>273792.48</v>
      </c>
      <c r="I739" s="8">
        <v>191905.43</v>
      </c>
      <c r="J739" s="1">
        <f>IF(COUNTIF($C$4:C739,C739)=1,1,0)</f>
        <v>1</v>
      </c>
      <c r="K739" s="1">
        <f t="shared" si="11"/>
        <v>2021</v>
      </c>
    </row>
    <row r="740" spans="2:11" x14ac:dyDescent="0.45">
      <c r="B740" s="1" t="s">
        <v>11</v>
      </c>
      <c r="C740" s="1" t="s">
        <v>749</v>
      </c>
      <c r="D740" s="7">
        <v>44062</v>
      </c>
      <c r="E740" s="7">
        <v>44065</v>
      </c>
      <c r="F740" s="7">
        <v>44217</v>
      </c>
      <c r="G740" s="1" t="s">
        <v>13</v>
      </c>
      <c r="H740" s="8">
        <v>11587860.09</v>
      </c>
      <c r="I740" s="8">
        <v>8238983.3200000003</v>
      </c>
      <c r="J740" s="1">
        <f>IF(COUNTIF($C$4:C740,C740)=1,1,0)</f>
        <v>1</v>
      </c>
      <c r="K740" s="1">
        <f t="shared" si="11"/>
        <v>2020</v>
      </c>
    </row>
    <row r="741" spans="2:11" x14ac:dyDescent="0.45">
      <c r="B741" s="1" t="s">
        <v>11</v>
      </c>
      <c r="C741" s="1" t="s">
        <v>750</v>
      </c>
      <c r="D741" s="7">
        <v>44137</v>
      </c>
      <c r="E741" s="7">
        <v>44159</v>
      </c>
      <c r="F741" s="7">
        <v>44362</v>
      </c>
      <c r="G741" s="1" t="s">
        <v>13</v>
      </c>
      <c r="H741" s="8">
        <v>648232.59</v>
      </c>
      <c r="I741" s="8">
        <v>489460.15</v>
      </c>
      <c r="J741" s="1">
        <f>IF(COUNTIF($C$4:C741,C741)=1,1,0)</f>
        <v>1</v>
      </c>
      <c r="K741" s="1">
        <f t="shared" si="11"/>
        <v>2020</v>
      </c>
    </row>
    <row r="742" spans="2:11" x14ac:dyDescent="0.45">
      <c r="B742" s="1" t="s">
        <v>11</v>
      </c>
      <c r="C742" s="1" t="s">
        <v>751</v>
      </c>
      <c r="D742" s="7">
        <v>46278</v>
      </c>
      <c r="E742" s="7">
        <v>46304</v>
      </c>
      <c r="F742" s="7">
        <v>46462</v>
      </c>
      <c r="G742" s="1" t="s">
        <v>41</v>
      </c>
      <c r="H742" s="8">
        <v>354248.3</v>
      </c>
      <c r="I742" s="8">
        <v>279653.53999999998</v>
      </c>
      <c r="J742" s="1">
        <f>IF(COUNTIF($C$4:C742,C742)=1,1,0)</f>
        <v>1</v>
      </c>
      <c r="K742" s="1">
        <f t="shared" si="11"/>
        <v>2026</v>
      </c>
    </row>
    <row r="743" spans="2:11" x14ac:dyDescent="0.45">
      <c r="B743" s="1" t="s">
        <v>11</v>
      </c>
      <c r="C743" s="1" t="s">
        <v>752</v>
      </c>
      <c r="D743" s="7">
        <v>44386</v>
      </c>
      <c r="E743" s="7">
        <v>44389</v>
      </c>
      <c r="F743" s="7">
        <v>44418</v>
      </c>
      <c r="G743" s="1" t="s">
        <v>13</v>
      </c>
      <c r="H743" s="8">
        <v>1214585.28</v>
      </c>
      <c r="I743" s="8">
        <v>904508.11</v>
      </c>
      <c r="J743" s="1">
        <f>IF(COUNTIF($C$4:C743,C743)=1,1,0)</f>
        <v>1</v>
      </c>
      <c r="K743" s="1">
        <f t="shared" si="11"/>
        <v>2021</v>
      </c>
    </row>
    <row r="744" spans="2:11" x14ac:dyDescent="0.45">
      <c r="B744" s="1" t="s">
        <v>11</v>
      </c>
      <c r="C744" s="1" t="s">
        <v>753</v>
      </c>
      <c r="D744" s="7">
        <v>44989</v>
      </c>
      <c r="E744" s="7">
        <v>45019</v>
      </c>
      <c r="F744" s="7">
        <v>45054</v>
      </c>
      <c r="G744" s="1" t="s">
        <v>22</v>
      </c>
      <c r="H744" s="8">
        <v>142431264.65000001</v>
      </c>
      <c r="I744" s="8">
        <v>95775594.819999993</v>
      </c>
      <c r="J744" s="1">
        <f>IF(COUNTIF($C$4:C744,C744)=1,1,0)</f>
        <v>1</v>
      </c>
      <c r="K744" s="1">
        <f t="shared" si="11"/>
        <v>2023</v>
      </c>
    </row>
    <row r="745" spans="2:11" x14ac:dyDescent="0.45">
      <c r="B745" s="1" t="s">
        <v>11</v>
      </c>
      <c r="C745" s="1" t="s">
        <v>754</v>
      </c>
      <c r="D745" s="7">
        <v>44254</v>
      </c>
      <c r="E745" s="7">
        <v>44278</v>
      </c>
      <c r="F745" s="7">
        <v>44468</v>
      </c>
      <c r="G745" s="1" t="s">
        <v>20</v>
      </c>
      <c r="H745" s="8">
        <v>39873467.350000001</v>
      </c>
      <c r="I745" s="8">
        <v>26159760</v>
      </c>
      <c r="J745" s="1">
        <f>IF(COUNTIF($C$4:C745,C745)=1,1,0)</f>
        <v>1</v>
      </c>
      <c r="K745" s="1">
        <f t="shared" si="11"/>
        <v>2021</v>
      </c>
    </row>
    <row r="746" spans="2:11" x14ac:dyDescent="0.45">
      <c r="B746" s="1" t="s">
        <v>11</v>
      </c>
      <c r="C746" s="1" t="s">
        <v>755</v>
      </c>
      <c r="D746" s="7">
        <v>43184</v>
      </c>
      <c r="E746" s="7">
        <v>43205</v>
      </c>
      <c r="F746" s="7">
        <v>43217</v>
      </c>
      <c r="G746" s="1" t="s">
        <v>38</v>
      </c>
      <c r="H746" s="8">
        <v>340409.12</v>
      </c>
      <c r="I746" s="8">
        <v>240759.26</v>
      </c>
      <c r="J746" s="1">
        <f>IF(COUNTIF($C$4:C746,C746)=1,1,0)</f>
        <v>1</v>
      </c>
      <c r="K746" s="1">
        <f t="shared" si="11"/>
        <v>2018</v>
      </c>
    </row>
    <row r="747" spans="2:11" x14ac:dyDescent="0.45">
      <c r="B747" s="1" t="s">
        <v>11</v>
      </c>
      <c r="C747" s="1" t="s">
        <v>756</v>
      </c>
      <c r="D747" s="7">
        <v>44465</v>
      </c>
      <c r="E747" s="7">
        <v>44467</v>
      </c>
      <c r="F747" s="7">
        <v>44474</v>
      </c>
      <c r="G747" s="1" t="s">
        <v>22</v>
      </c>
      <c r="H747" s="8">
        <v>94492597.799999997</v>
      </c>
      <c r="I747" s="8">
        <v>54694419.229999997</v>
      </c>
      <c r="J747" s="1">
        <f>IF(COUNTIF($C$4:C747,C747)=1,1,0)</f>
        <v>1</v>
      </c>
      <c r="K747" s="1">
        <f t="shared" si="11"/>
        <v>2021</v>
      </c>
    </row>
    <row r="748" spans="2:11" x14ac:dyDescent="0.45">
      <c r="B748" s="1" t="s">
        <v>11</v>
      </c>
      <c r="C748" s="1" t="s">
        <v>757</v>
      </c>
      <c r="D748" s="7">
        <v>43162</v>
      </c>
      <c r="E748" s="7">
        <v>43185</v>
      </c>
      <c r="F748" s="7">
        <v>43371</v>
      </c>
      <c r="G748" s="1" t="s">
        <v>38</v>
      </c>
      <c r="H748" s="8">
        <v>2013588.38</v>
      </c>
      <c r="I748" s="8">
        <v>1326680.23</v>
      </c>
      <c r="J748" s="1">
        <f>IF(COUNTIF($C$4:C748,C748)=1,1,0)</f>
        <v>1</v>
      </c>
      <c r="K748" s="1">
        <f t="shared" si="11"/>
        <v>2018</v>
      </c>
    </row>
    <row r="749" spans="2:11" x14ac:dyDescent="0.45">
      <c r="B749" s="1" t="s">
        <v>11</v>
      </c>
      <c r="C749" s="1" t="s">
        <v>758</v>
      </c>
      <c r="D749" s="7">
        <v>45849</v>
      </c>
      <c r="E749" s="7">
        <v>45856</v>
      </c>
      <c r="F749" s="7">
        <v>46047</v>
      </c>
      <c r="G749" s="1" t="s">
        <v>20</v>
      </c>
      <c r="H749" s="8">
        <v>1460646.23</v>
      </c>
      <c r="I749" s="8">
        <v>1127836.95</v>
      </c>
      <c r="J749" s="1">
        <f>IF(COUNTIF($C$4:C749,C749)=1,1,0)</f>
        <v>1</v>
      </c>
      <c r="K749" s="1">
        <f t="shared" si="11"/>
        <v>2025</v>
      </c>
    </row>
    <row r="750" spans="2:11" x14ac:dyDescent="0.45">
      <c r="B750" s="1" t="s">
        <v>11</v>
      </c>
      <c r="C750" s="1" t="s">
        <v>51</v>
      </c>
      <c r="D750" s="7">
        <v>45582</v>
      </c>
      <c r="E750" s="7">
        <v>45592</v>
      </c>
      <c r="F750" s="7">
        <v>45636</v>
      </c>
      <c r="G750" s="1" t="s">
        <v>16</v>
      </c>
      <c r="H750" s="8">
        <v>7326697.0300000003</v>
      </c>
      <c r="I750" s="8">
        <v>5141866.8099999996</v>
      </c>
      <c r="J750" s="1">
        <f>IF(COUNTIF($C$4:C750,C750)=1,1,0)</f>
        <v>0</v>
      </c>
      <c r="K750" s="1">
        <f t="shared" si="11"/>
        <v>2024</v>
      </c>
    </row>
    <row r="751" spans="2:11" x14ac:dyDescent="0.45">
      <c r="B751" s="1" t="s">
        <v>11</v>
      </c>
      <c r="C751" s="1" t="s">
        <v>759</v>
      </c>
      <c r="D751" s="7">
        <v>43223</v>
      </c>
      <c r="E751" s="7">
        <v>43224</v>
      </c>
      <c r="F751" s="7">
        <v>43353</v>
      </c>
      <c r="G751" s="1" t="s">
        <v>212</v>
      </c>
      <c r="H751" s="8">
        <v>41173618.880000003</v>
      </c>
      <c r="I751" s="8">
        <v>30790434.260000002</v>
      </c>
      <c r="J751" s="1">
        <f>IF(COUNTIF($C$4:C751,C751)=1,1,0)</f>
        <v>1</v>
      </c>
      <c r="K751" s="1">
        <f t="shared" si="11"/>
        <v>2018</v>
      </c>
    </row>
    <row r="752" spans="2:11" x14ac:dyDescent="0.45">
      <c r="B752" s="1" t="s">
        <v>11</v>
      </c>
      <c r="C752" s="1" t="s">
        <v>760</v>
      </c>
      <c r="D752" s="7">
        <v>44446</v>
      </c>
      <c r="E752" s="7">
        <v>44456</v>
      </c>
      <c r="F752" s="7">
        <v>44592</v>
      </c>
      <c r="G752" s="1" t="s">
        <v>18</v>
      </c>
      <c r="H752" s="8">
        <v>11498937.060000001</v>
      </c>
      <c r="I752" s="8">
        <v>9536266.9600000009</v>
      </c>
      <c r="J752" s="1">
        <f>IF(COUNTIF($C$4:C752,C752)=1,1,0)</f>
        <v>1</v>
      </c>
      <c r="K752" s="1">
        <f t="shared" si="11"/>
        <v>2021</v>
      </c>
    </row>
    <row r="753" spans="2:11" x14ac:dyDescent="0.45">
      <c r="B753" s="1" t="s">
        <v>11</v>
      </c>
      <c r="C753" s="1" t="s">
        <v>761</v>
      </c>
      <c r="D753" s="7">
        <v>44016</v>
      </c>
      <c r="E753" s="7">
        <v>44038</v>
      </c>
      <c r="F753" s="7">
        <v>44047</v>
      </c>
      <c r="G753" s="1" t="s">
        <v>18</v>
      </c>
      <c r="H753" s="8">
        <v>237293807.72</v>
      </c>
      <c r="I753" s="8">
        <v>126098115.95999999</v>
      </c>
      <c r="J753" s="1">
        <f>IF(COUNTIF($C$4:C753,C753)=1,1,0)</f>
        <v>1</v>
      </c>
      <c r="K753" s="1">
        <f t="shared" si="11"/>
        <v>2020</v>
      </c>
    </row>
    <row r="754" spans="2:11" x14ac:dyDescent="0.45">
      <c r="B754" s="1" t="s">
        <v>11</v>
      </c>
      <c r="C754" s="1" t="s">
        <v>762</v>
      </c>
      <c r="D754" s="7">
        <v>45093</v>
      </c>
      <c r="E754" s="7">
        <v>45094</v>
      </c>
      <c r="F754" s="7">
        <v>45289</v>
      </c>
      <c r="G754" s="1" t="s">
        <v>41</v>
      </c>
      <c r="H754" s="8">
        <v>325598.71999999997</v>
      </c>
      <c r="I754" s="8">
        <v>230784.74</v>
      </c>
      <c r="J754" s="1">
        <f>IF(COUNTIF($C$4:C754,C754)=1,1,0)</f>
        <v>1</v>
      </c>
      <c r="K754" s="1">
        <f t="shared" si="11"/>
        <v>2023</v>
      </c>
    </row>
    <row r="755" spans="2:11" x14ac:dyDescent="0.45">
      <c r="B755" s="1" t="s">
        <v>11</v>
      </c>
      <c r="C755" s="1" t="s">
        <v>763</v>
      </c>
      <c r="D755" s="7">
        <v>43528</v>
      </c>
      <c r="E755" s="7">
        <v>43549</v>
      </c>
      <c r="F755" s="7">
        <v>43767</v>
      </c>
      <c r="G755" s="1" t="s">
        <v>16</v>
      </c>
      <c r="H755" s="8">
        <v>8950830.0999999996</v>
      </c>
      <c r="I755" s="8">
        <v>5478340.8099999996</v>
      </c>
      <c r="J755" s="1">
        <f>IF(COUNTIF($C$4:C755,C755)=1,1,0)</f>
        <v>1</v>
      </c>
      <c r="K755" s="1">
        <f t="shared" si="11"/>
        <v>2019</v>
      </c>
    </row>
    <row r="756" spans="2:11" x14ac:dyDescent="0.45">
      <c r="B756" s="1" t="s">
        <v>11</v>
      </c>
      <c r="C756" s="1" t="s">
        <v>764</v>
      </c>
      <c r="D756" s="7">
        <v>46061</v>
      </c>
      <c r="E756" s="7">
        <v>46079</v>
      </c>
      <c r="F756" s="7">
        <v>46123</v>
      </c>
      <c r="G756" s="1" t="s">
        <v>16</v>
      </c>
      <c r="H756" s="8">
        <v>11129362.76</v>
      </c>
      <c r="I756" s="8">
        <v>7477735.8499999996</v>
      </c>
      <c r="J756" s="1">
        <f>IF(COUNTIF($C$4:C756,C756)=1,1,0)</f>
        <v>1</v>
      </c>
      <c r="K756" s="1">
        <f t="shared" si="11"/>
        <v>2026</v>
      </c>
    </row>
    <row r="757" spans="2:11" x14ac:dyDescent="0.45">
      <c r="B757" s="1" t="s">
        <v>11</v>
      </c>
      <c r="C757" s="1" t="s">
        <v>765</v>
      </c>
      <c r="D757" s="7">
        <v>45039</v>
      </c>
      <c r="E757" s="7">
        <v>45049</v>
      </c>
      <c r="F757" s="7">
        <v>45097</v>
      </c>
      <c r="G757" s="1" t="s">
        <v>20</v>
      </c>
      <c r="H757" s="8">
        <v>1349363.56</v>
      </c>
      <c r="I757" s="8">
        <v>956818.85</v>
      </c>
      <c r="J757" s="1">
        <f>IF(COUNTIF($C$4:C757,C757)=1,1,0)</f>
        <v>1</v>
      </c>
      <c r="K757" s="1">
        <f t="shared" si="11"/>
        <v>2023</v>
      </c>
    </row>
    <row r="758" spans="2:11" x14ac:dyDescent="0.45">
      <c r="B758" s="1" t="s">
        <v>11</v>
      </c>
      <c r="C758" s="1" t="s">
        <v>766</v>
      </c>
      <c r="D758" s="7">
        <v>44168</v>
      </c>
      <c r="E758" s="7">
        <v>44196</v>
      </c>
      <c r="F758" s="7">
        <v>44235</v>
      </c>
      <c r="G758" s="1" t="s">
        <v>41</v>
      </c>
      <c r="H758" s="8">
        <v>1616282.28</v>
      </c>
      <c r="I758" s="8">
        <v>1292929.67</v>
      </c>
      <c r="J758" s="1">
        <f>IF(COUNTIF($C$4:C758,C758)=1,1,0)</f>
        <v>1</v>
      </c>
      <c r="K758" s="1">
        <f t="shared" si="11"/>
        <v>2020</v>
      </c>
    </row>
    <row r="759" spans="2:11" x14ac:dyDescent="0.45">
      <c r="B759" s="1" t="s">
        <v>11</v>
      </c>
      <c r="C759" s="1" t="s">
        <v>767</v>
      </c>
      <c r="D759" s="7">
        <v>45809</v>
      </c>
      <c r="E759" s="7">
        <v>45809</v>
      </c>
      <c r="F759" s="7">
        <v>45982</v>
      </c>
      <c r="G759" s="1" t="s">
        <v>38</v>
      </c>
      <c r="H759" s="8">
        <v>982007.92</v>
      </c>
      <c r="I759" s="8">
        <v>824726.25</v>
      </c>
      <c r="J759" s="1">
        <f>IF(COUNTIF($C$4:C759,C759)=1,1,0)</f>
        <v>1</v>
      </c>
      <c r="K759" s="1">
        <f t="shared" si="11"/>
        <v>2025</v>
      </c>
    </row>
    <row r="760" spans="2:11" x14ac:dyDescent="0.45">
      <c r="B760" s="1" t="s">
        <v>11</v>
      </c>
      <c r="C760" s="1" t="s">
        <v>768</v>
      </c>
      <c r="D760" s="7">
        <v>44429</v>
      </c>
      <c r="E760" s="7">
        <v>44447</v>
      </c>
      <c r="F760" s="7">
        <v>44494</v>
      </c>
      <c r="G760" s="1" t="s">
        <v>41</v>
      </c>
      <c r="H760" s="8">
        <v>7531.1</v>
      </c>
      <c r="I760" s="8">
        <v>5962.26</v>
      </c>
      <c r="J760" s="1">
        <f>IF(COUNTIF($C$4:C760,C760)=1,1,0)</f>
        <v>1</v>
      </c>
      <c r="K760" s="1">
        <f t="shared" si="11"/>
        <v>2021</v>
      </c>
    </row>
    <row r="761" spans="2:11" x14ac:dyDescent="0.45">
      <c r="B761" s="1" t="s">
        <v>11</v>
      </c>
      <c r="C761" s="1" t="s">
        <v>769</v>
      </c>
      <c r="D761" s="7">
        <v>44864</v>
      </c>
      <c r="E761" s="7">
        <v>44884</v>
      </c>
      <c r="F761" s="7">
        <v>44973</v>
      </c>
      <c r="G761" s="1" t="s">
        <v>38</v>
      </c>
      <c r="H761" s="8">
        <v>1068564.08</v>
      </c>
      <c r="I761" s="8">
        <v>847950.86</v>
      </c>
      <c r="J761" s="1">
        <f>IF(COUNTIF($C$4:C761,C761)=1,1,0)</f>
        <v>1</v>
      </c>
      <c r="K761" s="1">
        <f t="shared" si="11"/>
        <v>2022</v>
      </c>
    </row>
    <row r="762" spans="2:11" x14ac:dyDescent="0.45">
      <c r="B762" s="1" t="s">
        <v>11</v>
      </c>
      <c r="C762" s="1" t="s">
        <v>770</v>
      </c>
      <c r="D762" s="7">
        <v>43286</v>
      </c>
      <c r="E762" s="7">
        <v>43296</v>
      </c>
      <c r="F762" s="7">
        <v>43399</v>
      </c>
      <c r="G762" s="1" t="s">
        <v>41</v>
      </c>
      <c r="H762" s="8">
        <v>80247.600000000006</v>
      </c>
      <c r="I762" s="8">
        <v>65575.06</v>
      </c>
      <c r="J762" s="1">
        <f>IF(COUNTIF($C$4:C762,C762)=1,1,0)</f>
        <v>1</v>
      </c>
      <c r="K762" s="1">
        <f t="shared" si="11"/>
        <v>2018</v>
      </c>
    </row>
    <row r="763" spans="2:11" x14ac:dyDescent="0.45">
      <c r="B763" s="1" t="s">
        <v>11</v>
      </c>
      <c r="C763" s="1" t="s">
        <v>771</v>
      </c>
      <c r="D763" s="7">
        <v>43259</v>
      </c>
      <c r="E763" s="7">
        <v>43271</v>
      </c>
      <c r="F763" s="7">
        <v>43318</v>
      </c>
      <c r="G763" s="1" t="s">
        <v>18</v>
      </c>
      <c r="H763" s="8">
        <v>1978714.33</v>
      </c>
      <c r="I763" s="8">
        <v>1295193.7</v>
      </c>
      <c r="J763" s="1">
        <f>IF(COUNTIF($C$4:C763,C763)=1,1,0)</f>
        <v>1</v>
      </c>
      <c r="K763" s="1">
        <f t="shared" si="11"/>
        <v>2018</v>
      </c>
    </row>
    <row r="764" spans="2:11" x14ac:dyDescent="0.45">
      <c r="B764" s="1" t="s">
        <v>11</v>
      </c>
      <c r="C764" s="1" t="s">
        <v>772</v>
      </c>
      <c r="D764" s="7">
        <v>44172</v>
      </c>
      <c r="E764" s="7">
        <v>44185</v>
      </c>
      <c r="F764" s="7">
        <v>44394</v>
      </c>
      <c r="G764" s="1" t="s">
        <v>18</v>
      </c>
      <c r="H764" s="8">
        <v>137334800.41</v>
      </c>
      <c r="I764" s="8">
        <v>60124503.130000003</v>
      </c>
      <c r="J764" s="1">
        <f>IF(COUNTIF($C$4:C764,C764)=1,1,0)</f>
        <v>1</v>
      </c>
      <c r="K764" s="1">
        <f t="shared" si="11"/>
        <v>2020</v>
      </c>
    </row>
    <row r="765" spans="2:11" x14ac:dyDescent="0.45">
      <c r="B765" s="1" t="s">
        <v>11</v>
      </c>
      <c r="C765" s="1" t="s">
        <v>773</v>
      </c>
      <c r="D765" s="7">
        <v>44630</v>
      </c>
      <c r="E765" s="7">
        <v>44639</v>
      </c>
      <c r="F765" s="7">
        <v>44853</v>
      </c>
      <c r="G765" s="1" t="s">
        <v>16</v>
      </c>
      <c r="H765" s="8">
        <v>7272791.4699999997</v>
      </c>
      <c r="I765" s="8">
        <v>4458025.9800000004</v>
      </c>
      <c r="J765" s="1">
        <f>IF(COUNTIF($C$4:C765,C765)=1,1,0)</f>
        <v>1</v>
      </c>
      <c r="K765" s="1">
        <f t="shared" si="11"/>
        <v>2022</v>
      </c>
    </row>
    <row r="766" spans="2:11" x14ac:dyDescent="0.45">
      <c r="B766" s="1" t="s">
        <v>11</v>
      </c>
      <c r="C766" s="1" t="s">
        <v>774</v>
      </c>
      <c r="D766" s="7">
        <v>43755</v>
      </c>
      <c r="E766" s="7">
        <v>43775</v>
      </c>
      <c r="F766" s="7">
        <v>43867</v>
      </c>
      <c r="G766" s="1" t="s">
        <v>38</v>
      </c>
      <c r="H766" s="8">
        <v>456166.31</v>
      </c>
      <c r="I766" s="8">
        <v>306438.3</v>
      </c>
      <c r="J766" s="1">
        <f>IF(COUNTIF($C$4:C766,C766)=1,1,0)</f>
        <v>1</v>
      </c>
      <c r="K766" s="1">
        <f t="shared" si="11"/>
        <v>2019</v>
      </c>
    </row>
    <row r="767" spans="2:11" x14ac:dyDescent="0.45">
      <c r="B767" s="1" t="s">
        <v>11</v>
      </c>
      <c r="C767" s="1" t="s">
        <v>775</v>
      </c>
      <c r="D767" s="7">
        <v>44968</v>
      </c>
      <c r="E767" s="7">
        <v>44970</v>
      </c>
      <c r="F767" s="7">
        <v>45010</v>
      </c>
      <c r="G767" s="1" t="s">
        <v>22</v>
      </c>
      <c r="H767" s="8">
        <v>6619970.1200000001</v>
      </c>
      <c r="I767" s="8">
        <v>3005897.84</v>
      </c>
      <c r="J767" s="1">
        <f>IF(COUNTIF($C$4:C767,C767)=1,1,0)</f>
        <v>1</v>
      </c>
      <c r="K767" s="1">
        <f t="shared" si="11"/>
        <v>2023</v>
      </c>
    </row>
    <row r="768" spans="2:11" x14ac:dyDescent="0.45">
      <c r="B768" s="1" t="s">
        <v>11</v>
      </c>
      <c r="C768" s="1" t="s">
        <v>776</v>
      </c>
      <c r="D768" s="7">
        <v>44557</v>
      </c>
      <c r="E768" s="7">
        <v>44586</v>
      </c>
      <c r="F768" s="7">
        <v>44688</v>
      </c>
      <c r="G768" s="1" t="s">
        <v>212</v>
      </c>
      <c r="H768" s="8">
        <v>21840987.109999999</v>
      </c>
      <c r="I768" s="8">
        <v>11243163.65</v>
      </c>
      <c r="J768" s="1">
        <f>IF(COUNTIF($C$4:C768,C768)=1,1,0)</f>
        <v>1</v>
      </c>
      <c r="K768" s="1">
        <f t="shared" si="11"/>
        <v>2021</v>
      </c>
    </row>
    <row r="769" spans="2:11" x14ac:dyDescent="0.45">
      <c r="B769" s="1" t="s">
        <v>11</v>
      </c>
      <c r="C769" s="1" t="s">
        <v>777</v>
      </c>
      <c r="D769" s="7">
        <v>44867</v>
      </c>
      <c r="E769" s="7">
        <v>44868</v>
      </c>
      <c r="F769" s="7">
        <v>45071</v>
      </c>
      <c r="G769" s="1" t="s">
        <v>20</v>
      </c>
      <c r="H769" s="8">
        <v>57136352.359999999</v>
      </c>
      <c r="I769" s="8">
        <v>33848374.5</v>
      </c>
      <c r="J769" s="1">
        <f>IF(COUNTIF($C$4:C769,C769)=1,1,0)</f>
        <v>1</v>
      </c>
      <c r="K769" s="1">
        <f t="shared" si="11"/>
        <v>2022</v>
      </c>
    </row>
    <row r="770" spans="2:11" x14ac:dyDescent="0.45">
      <c r="B770" s="1" t="s">
        <v>11</v>
      </c>
      <c r="C770" s="1" t="s">
        <v>778</v>
      </c>
      <c r="D770" s="7">
        <v>44386</v>
      </c>
      <c r="E770" s="7">
        <v>44405</v>
      </c>
      <c r="F770" s="7">
        <v>44621</v>
      </c>
      <c r="G770" s="1" t="s">
        <v>38</v>
      </c>
      <c r="H770" s="8">
        <v>1104221.1599999999</v>
      </c>
      <c r="I770" s="8">
        <v>914168.36</v>
      </c>
      <c r="J770" s="1">
        <f>IF(COUNTIF($C$4:C770,C770)=1,1,0)</f>
        <v>1</v>
      </c>
      <c r="K770" s="1">
        <f t="shared" si="11"/>
        <v>2021</v>
      </c>
    </row>
    <row r="771" spans="2:11" x14ac:dyDescent="0.45">
      <c r="B771" s="1" t="s">
        <v>11</v>
      </c>
      <c r="C771" s="1" t="s">
        <v>779</v>
      </c>
      <c r="D771" s="7">
        <v>44382</v>
      </c>
      <c r="E771" s="7">
        <v>44400</v>
      </c>
      <c r="F771" s="7">
        <v>44454</v>
      </c>
      <c r="G771" s="1" t="s">
        <v>22</v>
      </c>
      <c r="H771" s="8">
        <v>90916809.120000005</v>
      </c>
      <c r="I771" s="8">
        <v>43181294.119999997</v>
      </c>
      <c r="J771" s="1">
        <f>IF(COUNTIF($C$4:C771,C771)=1,1,0)</f>
        <v>1</v>
      </c>
      <c r="K771" s="1">
        <f t="shared" si="11"/>
        <v>2021</v>
      </c>
    </row>
    <row r="772" spans="2:11" x14ac:dyDescent="0.45">
      <c r="B772" s="1" t="s">
        <v>11</v>
      </c>
      <c r="C772" s="1" t="s">
        <v>780</v>
      </c>
      <c r="D772" s="7">
        <v>43718</v>
      </c>
      <c r="E772" s="7">
        <v>43722</v>
      </c>
      <c r="F772" s="7">
        <v>43755</v>
      </c>
      <c r="G772" s="1" t="s">
        <v>41</v>
      </c>
      <c r="H772" s="8">
        <v>113417.19</v>
      </c>
      <c r="I772" s="8">
        <v>90600.4</v>
      </c>
      <c r="J772" s="1">
        <f>IF(COUNTIF($C$4:C772,C772)=1,1,0)</f>
        <v>1</v>
      </c>
      <c r="K772" s="1">
        <f t="shared" si="11"/>
        <v>2019</v>
      </c>
    </row>
    <row r="773" spans="2:11" x14ac:dyDescent="0.45">
      <c r="B773" s="1" t="s">
        <v>11</v>
      </c>
      <c r="C773" s="1" t="s">
        <v>781</v>
      </c>
      <c r="D773" s="7">
        <v>44825</v>
      </c>
      <c r="E773" s="7">
        <v>44834</v>
      </c>
      <c r="F773" s="7">
        <v>44872</v>
      </c>
      <c r="G773" s="1" t="s">
        <v>16</v>
      </c>
      <c r="H773" s="8">
        <v>1712019.73</v>
      </c>
      <c r="I773" s="8">
        <v>1422364.1</v>
      </c>
      <c r="J773" s="1">
        <f>IF(COUNTIF($C$4:C773,C773)=1,1,0)</f>
        <v>1</v>
      </c>
      <c r="K773" s="1">
        <f t="shared" ref="K773:K836" si="12">YEAR(D773)</f>
        <v>2022</v>
      </c>
    </row>
    <row r="774" spans="2:11" x14ac:dyDescent="0.45">
      <c r="B774" s="1" t="s">
        <v>11</v>
      </c>
      <c r="C774" s="1" t="s">
        <v>782</v>
      </c>
      <c r="D774" s="7">
        <v>43426</v>
      </c>
      <c r="E774" s="7">
        <v>43440</v>
      </c>
      <c r="F774" s="7">
        <v>43647</v>
      </c>
      <c r="G774" s="1" t="s">
        <v>41</v>
      </c>
      <c r="H774" s="8">
        <v>272938.37</v>
      </c>
      <c r="I774" s="8">
        <v>229656.41</v>
      </c>
      <c r="J774" s="1">
        <f>IF(COUNTIF($C$4:C774,C774)=1,1,0)</f>
        <v>1</v>
      </c>
      <c r="K774" s="1">
        <f t="shared" si="12"/>
        <v>2018</v>
      </c>
    </row>
    <row r="775" spans="2:11" x14ac:dyDescent="0.45">
      <c r="B775" s="1" t="s">
        <v>11</v>
      </c>
      <c r="C775" s="1" t="s">
        <v>783</v>
      </c>
      <c r="D775" s="7">
        <v>45918</v>
      </c>
      <c r="E775" s="7">
        <v>45929</v>
      </c>
      <c r="F775" s="7">
        <v>46026</v>
      </c>
      <c r="G775" s="1" t="s">
        <v>16</v>
      </c>
      <c r="H775" s="8">
        <v>923819.71</v>
      </c>
      <c r="I775" s="8">
        <v>652318.88</v>
      </c>
      <c r="J775" s="1">
        <f>IF(COUNTIF($C$4:C775,C775)=1,1,0)</f>
        <v>1</v>
      </c>
      <c r="K775" s="1">
        <f t="shared" si="12"/>
        <v>2025</v>
      </c>
    </row>
    <row r="776" spans="2:11" x14ac:dyDescent="0.45">
      <c r="B776" s="1" t="s">
        <v>11</v>
      </c>
      <c r="C776" s="1" t="s">
        <v>784</v>
      </c>
      <c r="D776" s="7">
        <v>45459</v>
      </c>
      <c r="E776" s="7">
        <v>45485</v>
      </c>
      <c r="F776" s="7">
        <v>45557</v>
      </c>
      <c r="G776" s="1" t="s">
        <v>20</v>
      </c>
      <c r="H776" s="8">
        <v>1378276.13</v>
      </c>
      <c r="I776" s="8">
        <v>728552.57</v>
      </c>
      <c r="J776" s="1">
        <f>IF(COUNTIF($C$4:C776,C776)=1,1,0)</f>
        <v>1</v>
      </c>
      <c r="K776" s="1">
        <f t="shared" si="12"/>
        <v>2024</v>
      </c>
    </row>
    <row r="777" spans="2:11" x14ac:dyDescent="0.45">
      <c r="B777" s="1" t="s">
        <v>11</v>
      </c>
      <c r="C777" s="1" t="s">
        <v>785</v>
      </c>
      <c r="D777" s="7">
        <v>45610</v>
      </c>
      <c r="E777" s="7">
        <v>45632</v>
      </c>
      <c r="F777" s="7">
        <v>45784</v>
      </c>
      <c r="G777" s="1" t="s">
        <v>22</v>
      </c>
      <c r="H777" s="8">
        <v>61782377.759999998</v>
      </c>
      <c r="I777" s="8">
        <v>37783090.18</v>
      </c>
      <c r="J777" s="1">
        <f>IF(COUNTIF($C$4:C777,C777)=1,1,0)</f>
        <v>1</v>
      </c>
      <c r="K777" s="1">
        <f t="shared" si="12"/>
        <v>2024</v>
      </c>
    </row>
    <row r="778" spans="2:11" x14ac:dyDescent="0.45">
      <c r="B778" s="1" t="s">
        <v>11</v>
      </c>
      <c r="C778" s="1" t="s">
        <v>786</v>
      </c>
      <c r="D778" s="7">
        <v>45308</v>
      </c>
      <c r="E778" s="7">
        <v>45330</v>
      </c>
      <c r="F778" s="7">
        <v>45354</v>
      </c>
      <c r="G778" s="1" t="s">
        <v>38</v>
      </c>
      <c r="H778" s="8">
        <v>1696212.2</v>
      </c>
      <c r="I778" s="8">
        <v>1554647.7</v>
      </c>
      <c r="J778" s="1">
        <f>IF(COUNTIF($C$4:C778,C778)=1,1,0)</f>
        <v>1</v>
      </c>
      <c r="K778" s="1">
        <f t="shared" si="12"/>
        <v>2024</v>
      </c>
    </row>
    <row r="779" spans="2:11" x14ac:dyDescent="0.45">
      <c r="B779" s="1" t="s">
        <v>11</v>
      </c>
      <c r="C779" s="1" t="s">
        <v>787</v>
      </c>
      <c r="D779" s="7">
        <v>46204</v>
      </c>
      <c r="E779" s="7">
        <v>46204</v>
      </c>
      <c r="F779" s="7">
        <v>46372</v>
      </c>
      <c r="G779" s="1" t="s">
        <v>38</v>
      </c>
      <c r="H779" s="8">
        <v>557280.31999999995</v>
      </c>
      <c r="I779" s="8">
        <v>418870.54</v>
      </c>
      <c r="J779" s="1">
        <f>IF(COUNTIF($C$4:C779,C779)=1,1,0)</f>
        <v>1</v>
      </c>
      <c r="K779" s="1">
        <f t="shared" si="12"/>
        <v>2026</v>
      </c>
    </row>
    <row r="780" spans="2:11" x14ac:dyDescent="0.45">
      <c r="B780" s="1" t="s">
        <v>11</v>
      </c>
      <c r="C780" s="1" t="s">
        <v>788</v>
      </c>
      <c r="D780" s="7">
        <v>44868</v>
      </c>
      <c r="E780" s="7">
        <v>44882</v>
      </c>
      <c r="F780" s="7">
        <v>44929</v>
      </c>
      <c r="G780" s="1" t="s">
        <v>20</v>
      </c>
      <c r="H780" s="8">
        <v>108804.43</v>
      </c>
      <c r="I780" s="8">
        <v>87315.95</v>
      </c>
      <c r="J780" s="1">
        <f>IF(COUNTIF($C$4:C780,C780)=1,1,0)</f>
        <v>1</v>
      </c>
      <c r="K780" s="1">
        <f t="shared" si="12"/>
        <v>2022</v>
      </c>
    </row>
    <row r="781" spans="2:11" x14ac:dyDescent="0.45">
      <c r="B781" s="1" t="s">
        <v>11</v>
      </c>
      <c r="C781" s="1" t="s">
        <v>789</v>
      </c>
      <c r="D781" s="7">
        <v>44272</v>
      </c>
      <c r="E781" s="7">
        <v>44280</v>
      </c>
      <c r="F781" s="7">
        <v>44321</v>
      </c>
      <c r="G781" s="1" t="s">
        <v>18</v>
      </c>
      <c r="H781" s="8">
        <v>4798029.42</v>
      </c>
      <c r="I781" s="8">
        <v>3595973.8</v>
      </c>
      <c r="J781" s="1">
        <f>IF(COUNTIF($C$4:C781,C781)=1,1,0)</f>
        <v>1</v>
      </c>
      <c r="K781" s="1">
        <f t="shared" si="12"/>
        <v>2021</v>
      </c>
    </row>
    <row r="782" spans="2:11" x14ac:dyDescent="0.45">
      <c r="B782" s="1" t="s">
        <v>11</v>
      </c>
      <c r="C782" s="1" t="s">
        <v>790</v>
      </c>
      <c r="D782" s="7">
        <v>45853</v>
      </c>
      <c r="E782" s="7">
        <v>45879</v>
      </c>
      <c r="F782" s="7">
        <v>45995</v>
      </c>
      <c r="G782" s="1" t="s">
        <v>20</v>
      </c>
      <c r="H782" s="8">
        <v>1395669.79</v>
      </c>
      <c r="I782" s="8">
        <v>961806.08</v>
      </c>
      <c r="J782" s="1">
        <f>IF(COUNTIF($C$4:C782,C782)=1,1,0)</f>
        <v>1</v>
      </c>
      <c r="K782" s="1">
        <f t="shared" si="12"/>
        <v>2025</v>
      </c>
    </row>
    <row r="783" spans="2:11" x14ac:dyDescent="0.45">
      <c r="B783" s="1" t="s">
        <v>11</v>
      </c>
      <c r="C783" s="1" t="s">
        <v>791</v>
      </c>
      <c r="D783" s="7">
        <v>44115</v>
      </c>
      <c r="E783" s="7">
        <v>44137</v>
      </c>
      <c r="F783" s="7">
        <v>44149</v>
      </c>
      <c r="G783" s="1" t="s">
        <v>212</v>
      </c>
      <c r="H783" s="8">
        <v>9516463.1099999994</v>
      </c>
      <c r="I783" s="8">
        <v>5757997.1100000003</v>
      </c>
      <c r="J783" s="1">
        <f>IF(COUNTIF($C$4:C783,C783)=1,1,0)</f>
        <v>1</v>
      </c>
      <c r="K783" s="1">
        <f t="shared" si="12"/>
        <v>2020</v>
      </c>
    </row>
    <row r="784" spans="2:11" x14ac:dyDescent="0.45">
      <c r="B784" s="1" t="s">
        <v>11</v>
      </c>
      <c r="C784" s="1" t="s">
        <v>792</v>
      </c>
      <c r="D784" s="7">
        <v>45191</v>
      </c>
      <c r="E784" s="7">
        <v>45209</v>
      </c>
      <c r="F784" s="7">
        <v>45410</v>
      </c>
      <c r="G784" s="1" t="s">
        <v>20</v>
      </c>
      <c r="H784" s="8">
        <v>2476652.62</v>
      </c>
      <c r="I784" s="8">
        <v>910979.54</v>
      </c>
      <c r="J784" s="1">
        <f>IF(COUNTIF($C$4:C784,C784)=1,1,0)</f>
        <v>1</v>
      </c>
      <c r="K784" s="1">
        <f t="shared" si="12"/>
        <v>2023</v>
      </c>
    </row>
    <row r="785" spans="2:11" x14ac:dyDescent="0.45">
      <c r="B785" s="1" t="s">
        <v>11</v>
      </c>
      <c r="C785" s="1" t="s">
        <v>793</v>
      </c>
      <c r="D785" s="7">
        <v>44771</v>
      </c>
      <c r="E785" s="7">
        <v>44791</v>
      </c>
      <c r="F785" s="7">
        <v>44863</v>
      </c>
      <c r="G785" s="1" t="s">
        <v>20</v>
      </c>
      <c r="H785" s="8">
        <v>1204086.82</v>
      </c>
      <c r="I785" s="8">
        <v>871396.32</v>
      </c>
      <c r="J785" s="1">
        <f>IF(COUNTIF($C$4:C785,C785)=1,1,0)</f>
        <v>1</v>
      </c>
      <c r="K785" s="1">
        <f t="shared" si="12"/>
        <v>2022</v>
      </c>
    </row>
    <row r="786" spans="2:11" x14ac:dyDescent="0.45">
      <c r="B786" s="1" t="s">
        <v>11</v>
      </c>
      <c r="C786" s="1" t="s">
        <v>794</v>
      </c>
      <c r="D786" s="7">
        <v>44182</v>
      </c>
      <c r="E786" s="7">
        <v>44200</v>
      </c>
      <c r="F786" s="7">
        <v>44310</v>
      </c>
      <c r="G786" s="1" t="s">
        <v>41</v>
      </c>
      <c r="H786" s="8">
        <v>8597.3799999999992</v>
      </c>
      <c r="I786" s="8">
        <v>7310.3</v>
      </c>
      <c r="J786" s="1">
        <f>IF(COUNTIF($C$4:C786,C786)=1,1,0)</f>
        <v>1</v>
      </c>
      <c r="K786" s="1">
        <f t="shared" si="12"/>
        <v>2020</v>
      </c>
    </row>
    <row r="787" spans="2:11" x14ac:dyDescent="0.45">
      <c r="B787" s="1" t="s">
        <v>11</v>
      </c>
      <c r="C787" s="1" t="s">
        <v>795</v>
      </c>
      <c r="D787" s="7">
        <v>46036</v>
      </c>
      <c r="E787" s="7">
        <v>46056</v>
      </c>
      <c r="F787" s="7">
        <v>46257</v>
      </c>
      <c r="G787" s="1" t="s">
        <v>41</v>
      </c>
      <c r="H787" s="8">
        <v>376178.91</v>
      </c>
      <c r="I787" s="8">
        <v>266876.69</v>
      </c>
      <c r="J787" s="1">
        <f>IF(COUNTIF($C$4:C787,C787)=1,1,0)</f>
        <v>1</v>
      </c>
      <c r="K787" s="1">
        <f t="shared" si="12"/>
        <v>2026</v>
      </c>
    </row>
    <row r="788" spans="2:11" x14ac:dyDescent="0.45">
      <c r="B788" s="1" t="s">
        <v>11</v>
      </c>
      <c r="C788" s="1" t="s">
        <v>796</v>
      </c>
      <c r="D788" s="7">
        <v>44366</v>
      </c>
      <c r="E788" s="7">
        <v>44388</v>
      </c>
      <c r="F788" s="7">
        <v>44487</v>
      </c>
      <c r="G788" s="1" t="s">
        <v>20</v>
      </c>
      <c r="H788" s="8">
        <v>160381261.43000001</v>
      </c>
      <c r="I788" s="8">
        <v>55213960.75</v>
      </c>
      <c r="J788" s="1">
        <f>IF(COUNTIF($C$4:C788,C788)=1,1,0)</f>
        <v>1</v>
      </c>
      <c r="K788" s="1">
        <f t="shared" si="12"/>
        <v>2021</v>
      </c>
    </row>
    <row r="789" spans="2:11" x14ac:dyDescent="0.45">
      <c r="B789" s="1" t="s">
        <v>11</v>
      </c>
      <c r="C789" s="1" t="s">
        <v>797</v>
      </c>
      <c r="D789" s="7">
        <v>45070</v>
      </c>
      <c r="E789" s="7">
        <v>45091</v>
      </c>
      <c r="F789" s="7">
        <v>45164</v>
      </c>
      <c r="G789" s="1" t="s">
        <v>16</v>
      </c>
      <c r="H789" s="8">
        <v>4661990.3899999997</v>
      </c>
      <c r="I789" s="8">
        <v>3653699.1</v>
      </c>
      <c r="J789" s="1">
        <f>IF(COUNTIF($C$4:C789,C789)=1,1,0)</f>
        <v>1</v>
      </c>
      <c r="K789" s="1">
        <f t="shared" si="12"/>
        <v>2023</v>
      </c>
    </row>
    <row r="790" spans="2:11" x14ac:dyDescent="0.45">
      <c r="B790" s="1" t="s">
        <v>11</v>
      </c>
      <c r="C790" s="1" t="s">
        <v>798</v>
      </c>
      <c r="D790" s="7">
        <v>43903</v>
      </c>
      <c r="E790" s="7">
        <v>43918</v>
      </c>
      <c r="F790" s="7">
        <v>43985</v>
      </c>
      <c r="G790" s="1" t="s">
        <v>212</v>
      </c>
      <c r="H790" s="8">
        <v>40459460.450000003</v>
      </c>
      <c r="I790" s="8">
        <v>22508486.52</v>
      </c>
      <c r="J790" s="1">
        <f>IF(COUNTIF($C$4:C790,C790)=1,1,0)</f>
        <v>1</v>
      </c>
      <c r="K790" s="1">
        <f t="shared" si="12"/>
        <v>2020</v>
      </c>
    </row>
    <row r="791" spans="2:11" x14ac:dyDescent="0.45">
      <c r="B791" s="1" t="s">
        <v>11</v>
      </c>
      <c r="C791" s="1" t="s">
        <v>799</v>
      </c>
      <c r="D791" s="7">
        <v>45463</v>
      </c>
      <c r="E791" s="7">
        <v>45492</v>
      </c>
      <c r="F791" s="7">
        <v>45696</v>
      </c>
      <c r="G791" s="1" t="s">
        <v>38</v>
      </c>
      <c r="H791" s="8">
        <v>451585.96</v>
      </c>
      <c r="I791" s="8">
        <v>363193.66</v>
      </c>
      <c r="J791" s="1">
        <f>IF(COUNTIF($C$4:C791,C791)=1,1,0)</f>
        <v>1</v>
      </c>
      <c r="K791" s="1">
        <f t="shared" si="12"/>
        <v>2024</v>
      </c>
    </row>
    <row r="792" spans="2:11" x14ac:dyDescent="0.45">
      <c r="B792" s="1" t="s">
        <v>11</v>
      </c>
      <c r="C792" s="1" t="s">
        <v>800</v>
      </c>
      <c r="D792" s="7">
        <v>44391</v>
      </c>
      <c r="E792" s="7">
        <v>44403</v>
      </c>
      <c r="F792" s="7">
        <v>44495</v>
      </c>
      <c r="G792" s="1" t="s">
        <v>41</v>
      </c>
      <c r="H792" s="8">
        <v>72985.899999999994</v>
      </c>
      <c r="I792" s="8">
        <v>49520.33</v>
      </c>
      <c r="J792" s="1">
        <f>IF(COUNTIF($C$4:C792,C792)=1,1,0)</f>
        <v>1</v>
      </c>
      <c r="K792" s="1">
        <f t="shared" si="12"/>
        <v>2021</v>
      </c>
    </row>
    <row r="793" spans="2:11" x14ac:dyDescent="0.45">
      <c r="B793" s="1" t="s">
        <v>11</v>
      </c>
      <c r="C793" s="1" t="s">
        <v>801</v>
      </c>
      <c r="D793" s="7">
        <v>44952</v>
      </c>
      <c r="E793" s="7">
        <v>44971</v>
      </c>
      <c r="F793" s="7">
        <v>44996</v>
      </c>
      <c r="G793" s="1" t="s">
        <v>38</v>
      </c>
      <c r="H793" s="8">
        <v>246149.98</v>
      </c>
      <c r="I793" s="8">
        <v>201872.96</v>
      </c>
      <c r="J793" s="1">
        <f>IF(COUNTIF($C$4:C793,C793)=1,1,0)</f>
        <v>1</v>
      </c>
      <c r="K793" s="1">
        <f t="shared" si="12"/>
        <v>2023</v>
      </c>
    </row>
    <row r="794" spans="2:11" x14ac:dyDescent="0.45">
      <c r="B794" s="1" t="s">
        <v>11</v>
      </c>
      <c r="C794" s="1" t="s">
        <v>802</v>
      </c>
      <c r="D794" s="7">
        <v>45893</v>
      </c>
      <c r="E794" s="7">
        <v>45910</v>
      </c>
      <c r="F794" s="7">
        <v>46035</v>
      </c>
      <c r="G794" s="1" t="s">
        <v>20</v>
      </c>
      <c r="H794" s="8">
        <v>14615060.800000001</v>
      </c>
      <c r="I794" s="8">
        <v>5491644.29</v>
      </c>
      <c r="J794" s="1">
        <f>IF(COUNTIF($C$4:C794,C794)=1,1,0)</f>
        <v>1</v>
      </c>
      <c r="K794" s="1">
        <f t="shared" si="12"/>
        <v>2025</v>
      </c>
    </row>
    <row r="795" spans="2:11" x14ac:dyDescent="0.45">
      <c r="B795" s="1" t="s">
        <v>11</v>
      </c>
      <c r="C795" s="1" t="s">
        <v>803</v>
      </c>
      <c r="D795" s="7">
        <v>45227</v>
      </c>
      <c r="E795" s="7">
        <v>45235</v>
      </c>
      <c r="F795" s="7">
        <v>45416</v>
      </c>
      <c r="G795" s="1" t="s">
        <v>212</v>
      </c>
      <c r="H795" s="8">
        <v>16273236</v>
      </c>
      <c r="I795" s="8">
        <v>8454208.1400000006</v>
      </c>
      <c r="J795" s="1">
        <f>IF(COUNTIF($C$4:C795,C795)=1,1,0)</f>
        <v>1</v>
      </c>
      <c r="K795" s="1">
        <f t="shared" si="12"/>
        <v>2023</v>
      </c>
    </row>
    <row r="796" spans="2:11" x14ac:dyDescent="0.45">
      <c r="B796" s="1" t="s">
        <v>11</v>
      </c>
      <c r="C796" s="1" t="s">
        <v>804</v>
      </c>
      <c r="D796" s="7">
        <v>45040</v>
      </c>
      <c r="E796" s="7">
        <v>45056</v>
      </c>
      <c r="F796" s="7">
        <v>45111</v>
      </c>
      <c r="G796" s="1" t="s">
        <v>38</v>
      </c>
      <c r="H796" s="8">
        <v>111253.9</v>
      </c>
      <c r="I796" s="8">
        <v>88056.68</v>
      </c>
      <c r="J796" s="1">
        <f>IF(COUNTIF($C$4:C796,C796)=1,1,0)</f>
        <v>1</v>
      </c>
      <c r="K796" s="1">
        <f t="shared" si="12"/>
        <v>2023</v>
      </c>
    </row>
    <row r="797" spans="2:11" x14ac:dyDescent="0.45">
      <c r="B797" s="1" t="s">
        <v>11</v>
      </c>
      <c r="C797" s="1" t="s">
        <v>805</v>
      </c>
      <c r="D797" s="7">
        <v>43340</v>
      </c>
      <c r="E797" s="7">
        <v>43342</v>
      </c>
      <c r="F797" s="7">
        <v>43371</v>
      </c>
      <c r="G797" s="1" t="s">
        <v>20</v>
      </c>
      <c r="H797" s="8">
        <v>84682813.900000006</v>
      </c>
      <c r="I797" s="8">
        <v>51673945.719999999</v>
      </c>
      <c r="J797" s="1">
        <f>IF(COUNTIF($C$4:C797,C797)=1,1,0)</f>
        <v>1</v>
      </c>
      <c r="K797" s="1">
        <f t="shared" si="12"/>
        <v>2018</v>
      </c>
    </row>
    <row r="798" spans="2:11" x14ac:dyDescent="0.45">
      <c r="B798" s="1" t="s">
        <v>11</v>
      </c>
      <c r="C798" s="1" t="s">
        <v>806</v>
      </c>
      <c r="D798" s="7">
        <v>44544</v>
      </c>
      <c r="E798" s="7">
        <v>44559</v>
      </c>
      <c r="F798" s="7">
        <v>44624</v>
      </c>
      <c r="G798" s="1" t="s">
        <v>16</v>
      </c>
      <c r="H798" s="8">
        <v>7937926.7400000002</v>
      </c>
      <c r="I798" s="8">
        <v>5345527.8600000003</v>
      </c>
      <c r="J798" s="1">
        <f>IF(COUNTIF($C$4:C798,C798)=1,1,0)</f>
        <v>1</v>
      </c>
      <c r="K798" s="1">
        <f t="shared" si="12"/>
        <v>2021</v>
      </c>
    </row>
    <row r="799" spans="2:11" x14ac:dyDescent="0.45">
      <c r="B799" s="1" t="s">
        <v>11</v>
      </c>
      <c r="C799" s="1" t="s">
        <v>807</v>
      </c>
      <c r="D799" s="7">
        <v>46013</v>
      </c>
      <c r="E799" s="7">
        <v>46039</v>
      </c>
      <c r="F799" s="7">
        <v>46130</v>
      </c>
      <c r="G799" s="1" t="s">
        <v>38</v>
      </c>
      <c r="H799" s="8">
        <v>717479.06</v>
      </c>
      <c r="I799" s="8">
        <v>574332.09</v>
      </c>
      <c r="J799" s="1">
        <f>IF(COUNTIF($C$4:C799,C799)=1,1,0)</f>
        <v>1</v>
      </c>
      <c r="K799" s="1">
        <f t="shared" si="12"/>
        <v>2025</v>
      </c>
    </row>
    <row r="800" spans="2:11" x14ac:dyDescent="0.45">
      <c r="B800" s="1" t="s">
        <v>11</v>
      </c>
      <c r="C800" s="1" t="s">
        <v>808</v>
      </c>
      <c r="D800" s="7">
        <v>43494</v>
      </c>
      <c r="E800" s="7">
        <v>43497</v>
      </c>
      <c r="F800" s="7">
        <v>43582</v>
      </c>
      <c r="G800" s="1" t="s">
        <v>20</v>
      </c>
      <c r="H800" s="8">
        <v>829736.29</v>
      </c>
      <c r="I800" s="8">
        <v>589273.42000000004</v>
      </c>
      <c r="J800" s="1">
        <f>IF(COUNTIF($C$4:C800,C800)=1,1,0)</f>
        <v>1</v>
      </c>
      <c r="K800" s="1">
        <f t="shared" si="12"/>
        <v>2019</v>
      </c>
    </row>
    <row r="801" spans="2:11" x14ac:dyDescent="0.45">
      <c r="B801" s="1" t="s">
        <v>11</v>
      </c>
      <c r="C801" s="1" t="s">
        <v>809</v>
      </c>
      <c r="D801" s="7">
        <v>45079</v>
      </c>
      <c r="E801" s="7">
        <v>45104</v>
      </c>
      <c r="F801" s="7">
        <v>45333</v>
      </c>
      <c r="G801" s="1" t="s">
        <v>212</v>
      </c>
      <c r="H801" s="8">
        <v>8038150.5599999996</v>
      </c>
      <c r="I801" s="8">
        <v>5934940.5899999999</v>
      </c>
      <c r="J801" s="1">
        <f>IF(COUNTIF($C$4:C801,C801)=1,1,0)</f>
        <v>1</v>
      </c>
      <c r="K801" s="1">
        <f t="shared" si="12"/>
        <v>2023</v>
      </c>
    </row>
    <row r="802" spans="2:11" x14ac:dyDescent="0.45">
      <c r="B802" s="1" t="s">
        <v>11</v>
      </c>
      <c r="C802" s="1" t="s">
        <v>810</v>
      </c>
      <c r="D802" s="7">
        <v>44980</v>
      </c>
      <c r="E802" s="7">
        <v>44989</v>
      </c>
      <c r="F802" s="7">
        <v>45199</v>
      </c>
      <c r="G802" s="1" t="s">
        <v>18</v>
      </c>
      <c r="H802" s="8">
        <v>801152.71</v>
      </c>
      <c r="I802" s="8">
        <v>695365.1</v>
      </c>
      <c r="J802" s="1">
        <f>IF(COUNTIF($C$4:C802,C802)=1,1,0)</f>
        <v>1</v>
      </c>
      <c r="K802" s="1">
        <f t="shared" si="12"/>
        <v>2023</v>
      </c>
    </row>
    <row r="803" spans="2:11" x14ac:dyDescent="0.45">
      <c r="B803" s="1" t="s">
        <v>11</v>
      </c>
      <c r="C803" s="1" t="s">
        <v>811</v>
      </c>
      <c r="D803" s="7">
        <v>43323</v>
      </c>
      <c r="E803" s="7">
        <v>43342</v>
      </c>
      <c r="F803" s="7">
        <v>43508</v>
      </c>
      <c r="G803" s="1" t="s">
        <v>38</v>
      </c>
      <c r="H803" s="8">
        <v>866585.5</v>
      </c>
      <c r="I803" s="8">
        <v>694355.31</v>
      </c>
      <c r="J803" s="1">
        <f>IF(COUNTIF($C$4:C803,C803)=1,1,0)</f>
        <v>1</v>
      </c>
      <c r="K803" s="1">
        <f t="shared" si="12"/>
        <v>2018</v>
      </c>
    </row>
    <row r="804" spans="2:11" x14ac:dyDescent="0.45">
      <c r="B804" s="1" t="s">
        <v>11</v>
      </c>
      <c r="C804" s="1" t="s">
        <v>812</v>
      </c>
      <c r="D804" s="7">
        <v>45071</v>
      </c>
      <c r="E804" s="7">
        <v>45077</v>
      </c>
      <c r="F804" s="7">
        <v>45231</v>
      </c>
      <c r="G804" s="1" t="s">
        <v>20</v>
      </c>
      <c r="H804" s="8">
        <v>23856820.920000002</v>
      </c>
      <c r="I804" s="8">
        <v>11184033.51</v>
      </c>
      <c r="J804" s="1">
        <f>IF(COUNTIF($C$4:C804,C804)=1,1,0)</f>
        <v>1</v>
      </c>
      <c r="K804" s="1">
        <f t="shared" si="12"/>
        <v>2023</v>
      </c>
    </row>
    <row r="805" spans="2:11" x14ac:dyDescent="0.45">
      <c r="B805" s="1" t="s">
        <v>11</v>
      </c>
      <c r="C805" s="1" t="s">
        <v>813</v>
      </c>
      <c r="D805" s="7">
        <v>44489</v>
      </c>
      <c r="E805" s="7">
        <v>44516</v>
      </c>
      <c r="F805" s="7">
        <v>44543</v>
      </c>
      <c r="G805" s="1" t="s">
        <v>20</v>
      </c>
      <c r="H805" s="8">
        <v>23234461.539999999</v>
      </c>
      <c r="I805" s="8">
        <v>10768253.390000001</v>
      </c>
      <c r="J805" s="1">
        <f>IF(COUNTIF($C$4:C805,C805)=1,1,0)</f>
        <v>1</v>
      </c>
      <c r="K805" s="1">
        <f t="shared" si="12"/>
        <v>2021</v>
      </c>
    </row>
    <row r="806" spans="2:11" x14ac:dyDescent="0.45">
      <c r="B806" s="1" t="s">
        <v>11</v>
      </c>
      <c r="C806" s="1" t="s">
        <v>814</v>
      </c>
      <c r="D806" s="7">
        <v>45806</v>
      </c>
      <c r="E806" s="7">
        <v>45815</v>
      </c>
      <c r="F806" s="7">
        <v>45913</v>
      </c>
      <c r="G806" s="1" t="s">
        <v>20</v>
      </c>
      <c r="H806" s="8">
        <v>129674365.63</v>
      </c>
      <c r="I806" s="8">
        <v>64447913.18</v>
      </c>
      <c r="J806" s="1">
        <f>IF(COUNTIF($C$4:C806,C806)=1,1,0)</f>
        <v>1</v>
      </c>
      <c r="K806" s="1">
        <f t="shared" si="12"/>
        <v>2025</v>
      </c>
    </row>
    <row r="807" spans="2:11" x14ac:dyDescent="0.45">
      <c r="B807" s="1" t="s">
        <v>11</v>
      </c>
      <c r="C807" s="1" t="s">
        <v>815</v>
      </c>
      <c r="D807" s="7">
        <v>44503</v>
      </c>
      <c r="E807" s="7">
        <v>44525</v>
      </c>
      <c r="F807" s="7">
        <v>44684</v>
      </c>
      <c r="G807" s="1" t="s">
        <v>41</v>
      </c>
      <c r="H807" s="8">
        <v>242823.4</v>
      </c>
      <c r="I807" s="8">
        <v>177077.14</v>
      </c>
      <c r="J807" s="1">
        <f>IF(COUNTIF($C$4:C807,C807)=1,1,0)</f>
        <v>1</v>
      </c>
      <c r="K807" s="1">
        <f t="shared" si="12"/>
        <v>2021</v>
      </c>
    </row>
    <row r="808" spans="2:11" x14ac:dyDescent="0.45">
      <c r="B808" s="1" t="s">
        <v>11</v>
      </c>
      <c r="C808" s="1" t="s">
        <v>816</v>
      </c>
      <c r="D808" s="7">
        <v>46211</v>
      </c>
      <c r="E808" s="7">
        <v>46237</v>
      </c>
      <c r="F808" s="7">
        <v>46297</v>
      </c>
      <c r="G808" s="1" t="s">
        <v>20</v>
      </c>
      <c r="H808" s="8">
        <v>732857.7</v>
      </c>
      <c r="I808" s="8">
        <v>560381.23</v>
      </c>
      <c r="J808" s="1">
        <f>IF(COUNTIF($C$4:C808,C808)=1,1,0)</f>
        <v>1</v>
      </c>
      <c r="K808" s="1">
        <f t="shared" si="12"/>
        <v>2026</v>
      </c>
    </row>
    <row r="809" spans="2:11" x14ac:dyDescent="0.45">
      <c r="B809" s="1" t="s">
        <v>11</v>
      </c>
      <c r="C809" s="1" t="s">
        <v>817</v>
      </c>
      <c r="D809" s="7">
        <v>43769</v>
      </c>
      <c r="E809" s="7">
        <v>43770</v>
      </c>
      <c r="F809" s="7">
        <v>43852</v>
      </c>
      <c r="G809" s="1" t="s">
        <v>22</v>
      </c>
      <c r="H809" s="8">
        <v>6321628.5199999996</v>
      </c>
      <c r="I809" s="8">
        <v>3174591.88</v>
      </c>
      <c r="J809" s="1">
        <f>IF(COUNTIF($C$4:C809,C809)=1,1,0)</f>
        <v>1</v>
      </c>
      <c r="K809" s="1">
        <f t="shared" si="12"/>
        <v>2019</v>
      </c>
    </row>
    <row r="810" spans="2:11" x14ac:dyDescent="0.45">
      <c r="B810" s="1" t="s">
        <v>11</v>
      </c>
      <c r="C810" s="1" t="s">
        <v>818</v>
      </c>
      <c r="D810" s="7">
        <v>43781</v>
      </c>
      <c r="E810" s="7">
        <v>43798</v>
      </c>
      <c r="F810" s="7">
        <v>43930</v>
      </c>
      <c r="G810" s="1" t="s">
        <v>41</v>
      </c>
      <c r="H810" s="8">
        <v>147669.99</v>
      </c>
      <c r="I810" s="8">
        <v>115938.77</v>
      </c>
      <c r="J810" s="1">
        <f>IF(COUNTIF($C$4:C810,C810)=1,1,0)</f>
        <v>1</v>
      </c>
      <c r="K810" s="1">
        <f t="shared" si="12"/>
        <v>2019</v>
      </c>
    </row>
    <row r="811" spans="2:11" x14ac:dyDescent="0.45">
      <c r="B811" s="1" t="s">
        <v>11</v>
      </c>
      <c r="C811" s="1" t="s">
        <v>819</v>
      </c>
      <c r="D811" s="7">
        <v>45294</v>
      </c>
      <c r="E811" s="7">
        <v>45300</v>
      </c>
      <c r="F811" s="7">
        <v>45482</v>
      </c>
      <c r="G811" s="1" t="s">
        <v>18</v>
      </c>
      <c r="H811" s="8">
        <v>2854648.73</v>
      </c>
      <c r="I811" s="8">
        <v>2163505.9300000002</v>
      </c>
      <c r="J811" s="1">
        <f>IF(COUNTIF($C$4:C811,C811)=1,1,0)</f>
        <v>1</v>
      </c>
      <c r="K811" s="1">
        <f t="shared" si="12"/>
        <v>2024</v>
      </c>
    </row>
    <row r="812" spans="2:11" x14ac:dyDescent="0.45">
      <c r="B812" s="1" t="s">
        <v>11</v>
      </c>
      <c r="C812" s="1" t="s">
        <v>820</v>
      </c>
      <c r="D812" s="7">
        <v>45205</v>
      </c>
      <c r="E812" s="7">
        <v>45235</v>
      </c>
      <c r="F812" s="7">
        <v>45392</v>
      </c>
      <c r="G812" s="1" t="s">
        <v>212</v>
      </c>
      <c r="H812" s="8">
        <v>24549446.57</v>
      </c>
      <c r="I812" s="8">
        <v>18716364.760000002</v>
      </c>
      <c r="J812" s="1">
        <f>IF(COUNTIF($C$4:C812,C812)=1,1,0)</f>
        <v>1</v>
      </c>
      <c r="K812" s="1">
        <f t="shared" si="12"/>
        <v>2023</v>
      </c>
    </row>
    <row r="813" spans="2:11" x14ac:dyDescent="0.45">
      <c r="B813" s="1" t="s">
        <v>11</v>
      </c>
      <c r="C813" s="1" t="s">
        <v>821</v>
      </c>
      <c r="D813" s="7">
        <v>44343</v>
      </c>
      <c r="E813" s="7">
        <v>44366</v>
      </c>
      <c r="F813" s="7">
        <v>44605</v>
      </c>
      <c r="G813" s="1" t="s">
        <v>16</v>
      </c>
      <c r="H813" s="8">
        <v>1628818.57</v>
      </c>
      <c r="I813" s="8">
        <v>959418.94</v>
      </c>
      <c r="J813" s="1">
        <f>IF(COUNTIF($C$4:C813,C813)=1,1,0)</f>
        <v>1</v>
      </c>
      <c r="K813" s="1">
        <f t="shared" si="12"/>
        <v>2021</v>
      </c>
    </row>
    <row r="814" spans="2:11" x14ac:dyDescent="0.45">
      <c r="B814" s="1" t="s">
        <v>11</v>
      </c>
      <c r="C814" s="1" t="s">
        <v>822</v>
      </c>
      <c r="D814" s="7">
        <v>46217</v>
      </c>
      <c r="E814" s="7">
        <v>46219</v>
      </c>
      <c r="F814" s="7">
        <v>46323</v>
      </c>
      <c r="G814" s="1" t="s">
        <v>18</v>
      </c>
      <c r="H814" s="8">
        <v>2447845.4700000002</v>
      </c>
      <c r="I814" s="8">
        <v>1904250.72</v>
      </c>
      <c r="J814" s="1">
        <f>IF(COUNTIF($C$4:C814,C814)=1,1,0)</f>
        <v>1</v>
      </c>
      <c r="K814" s="1">
        <f t="shared" si="12"/>
        <v>2026</v>
      </c>
    </row>
    <row r="815" spans="2:11" x14ac:dyDescent="0.45">
      <c r="B815" s="1" t="s">
        <v>11</v>
      </c>
      <c r="C815" s="1" t="s">
        <v>823</v>
      </c>
      <c r="D815" s="7">
        <v>45002</v>
      </c>
      <c r="E815" s="7">
        <v>45026</v>
      </c>
      <c r="F815" s="7">
        <v>45051</v>
      </c>
      <c r="G815" s="1" t="s">
        <v>20</v>
      </c>
      <c r="H815" s="8">
        <v>219293308.43000001</v>
      </c>
      <c r="I815" s="8">
        <v>171479809.75</v>
      </c>
      <c r="J815" s="1">
        <f>IF(COUNTIF($C$4:C815,C815)=1,1,0)</f>
        <v>1</v>
      </c>
      <c r="K815" s="1">
        <f t="shared" si="12"/>
        <v>2023</v>
      </c>
    </row>
    <row r="816" spans="2:11" x14ac:dyDescent="0.45">
      <c r="B816" s="1" t="s">
        <v>11</v>
      </c>
      <c r="C816" s="1" t="s">
        <v>824</v>
      </c>
      <c r="D816" s="7">
        <v>44403</v>
      </c>
      <c r="E816" s="7">
        <v>44418</v>
      </c>
      <c r="F816" s="7">
        <v>44581</v>
      </c>
      <c r="G816" s="1" t="s">
        <v>212</v>
      </c>
      <c r="H816" s="8">
        <v>1452327.23</v>
      </c>
      <c r="I816" s="8">
        <v>948355.81</v>
      </c>
      <c r="J816" s="1">
        <f>IF(COUNTIF($C$4:C816,C816)=1,1,0)</f>
        <v>1</v>
      </c>
      <c r="K816" s="1">
        <f t="shared" si="12"/>
        <v>2021</v>
      </c>
    </row>
    <row r="817" spans="2:11" x14ac:dyDescent="0.45">
      <c r="B817" s="1" t="s">
        <v>11</v>
      </c>
      <c r="C817" s="1" t="s">
        <v>825</v>
      </c>
      <c r="D817" s="7">
        <v>45990</v>
      </c>
      <c r="E817" s="7">
        <v>46019</v>
      </c>
      <c r="F817" s="7">
        <v>46172</v>
      </c>
      <c r="G817" s="1" t="s">
        <v>38</v>
      </c>
      <c r="H817" s="8">
        <v>353761.97</v>
      </c>
      <c r="I817" s="8">
        <v>294375.40000000002</v>
      </c>
      <c r="J817" s="1">
        <f>IF(COUNTIF($C$4:C817,C817)=1,1,0)</f>
        <v>1</v>
      </c>
      <c r="K817" s="1">
        <f t="shared" si="12"/>
        <v>2025</v>
      </c>
    </row>
    <row r="818" spans="2:11" x14ac:dyDescent="0.45">
      <c r="B818" s="1" t="s">
        <v>11</v>
      </c>
      <c r="C818" s="1" t="s">
        <v>826</v>
      </c>
      <c r="D818" s="7">
        <v>44865</v>
      </c>
      <c r="E818" s="7">
        <v>44890</v>
      </c>
      <c r="F818" s="7">
        <v>45031</v>
      </c>
      <c r="G818" s="1" t="s">
        <v>16</v>
      </c>
      <c r="H818" s="8">
        <v>1446268.29</v>
      </c>
      <c r="I818" s="8">
        <v>929941.51</v>
      </c>
      <c r="J818" s="1">
        <f>IF(COUNTIF($C$4:C818,C818)=1,1,0)</f>
        <v>1</v>
      </c>
      <c r="K818" s="1">
        <f t="shared" si="12"/>
        <v>2022</v>
      </c>
    </row>
    <row r="819" spans="2:11" x14ac:dyDescent="0.45">
      <c r="B819" s="1" t="s">
        <v>11</v>
      </c>
      <c r="C819" s="1" t="s">
        <v>827</v>
      </c>
      <c r="D819" s="7">
        <v>45176</v>
      </c>
      <c r="E819" s="7">
        <v>45180</v>
      </c>
      <c r="F819" s="7">
        <v>45405</v>
      </c>
      <c r="G819" s="1" t="s">
        <v>22</v>
      </c>
      <c r="H819" s="8">
        <v>11680156.33</v>
      </c>
      <c r="I819" s="8">
        <v>5337211.1100000003</v>
      </c>
      <c r="J819" s="1">
        <f>IF(COUNTIF($C$4:C819,C819)=1,1,0)</f>
        <v>1</v>
      </c>
      <c r="K819" s="1">
        <f t="shared" si="12"/>
        <v>2023</v>
      </c>
    </row>
    <row r="820" spans="2:11" x14ac:dyDescent="0.45">
      <c r="B820" s="1" t="s">
        <v>11</v>
      </c>
      <c r="C820" s="1" t="s">
        <v>828</v>
      </c>
      <c r="D820" s="7">
        <v>46054</v>
      </c>
      <c r="E820" s="7">
        <v>46073</v>
      </c>
      <c r="F820" s="7">
        <v>46294</v>
      </c>
      <c r="G820" s="1" t="s">
        <v>212</v>
      </c>
      <c r="H820" s="8">
        <v>78324070.569999993</v>
      </c>
      <c r="I820" s="8">
        <v>60247138.229999997</v>
      </c>
      <c r="J820" s="1">
        <f>IF(COUNTIF($C$4:C820,C820)=1,1,0)</f>
        <v>1</v>
      </c>
      <c r="K820" s="1">
        <f t="shared" si="12"/>
        <v>2026</v>
      </c>
    </row>
    <row r="821" spans="2:11" x14ac:dyDescent="0.45">
      <c r="B821" s="1" t="s">
        <v>11</v>
      </c>
      <c r="C821" s="1" t="s">
        <v>829</v>
      </c>
      <c r="D821" s="7">
        <v>44995</v>
      </c>
      <c r="E821" s="7">
        <v>45012</v>
      </c>
      <c r="F821" s="7">
        <v>45101</v>
      </c>
      <c r="G821" s="1" t="s">
        <v>22</v>
      </c>
      <c r="H821" s="8">
        <v>3205838.9</v>
      </c>
      <c r="I821" s="8">
        <v>1172118.8400000001</v>
      </c>
      <c r="J821" s="1">
        <f>IF(COUNTIF($C$4:C821,C821)=1,1,0)</f>
        <v>1</v>
      </c>
      <c r="K821" s="1">
        <f t="shared" si="12"/>
        <v>2023</v>
      </c>
    </row>
    <row r="822" spans="2:11" x14ac:dyDescent="0.45">
      <c r="B822" s="1" t="s">
        <v>11</v>
      </c>
      <c r="C822" s="1" t="s">
        <v>830</v>
      </c>
      <c r="D822" s="7">
        <v>45521</v>
      </c>
      <c r="E822" s="7">
        <v>45538</v>
      </c>
      <c r="F822" s="7">
        <v>45652</v>
      </c>
      <c r="G822" s="1" t="s">
        <v>18</v>
      </c>
      <c r="H822" s="8">
        <v>385769.36</v>
      </c>
      <c r="I822" s="8">
        <v>317947.05</v>
      </c>
      <c r="J822" s="1">
        <f>IF(COUNTIF($C$4:C822,C822)=1,1,0)</f>
        <v>1</v>
      </c>
      <c r="K822" s="1">
        <f t="shared" si="12"/>
        <v>2024</v>
      </c>
    </row>
    <row r="823" spans="2:11" x14ac:dyDescent="0.45">
      <c r="B823" s="1" t="s">
        <v>11</v>
      </c>
      <c r="C823" s="1" t="s">
        <v>831</v>
      </c>
      <c r="D823" s="7">
        <v>45486</v>
      </c>
      <c r="E823" s="7">
        <v>45495</v>
      </c>
      <c r="F823" s="7">
        <v>45639</v>
      </c>
      <c r="G823" s="1" t="s">
        <v>20</v>
      </c>
      <c r="H823" s="8">
        <v>319515.5</v>
      </c>
      <c r="I823" s="8">
        <v>171224.14</v>
      </c>
      <c r="J823" s="1">
        <f>IF(COUNTIF($C$4:C823,C823)=1,1,0)</f>
        <v>1</v>
      </c>
      <c r="K823" s="1">
        <f t="shared" si="12"/>
        <v>2024</v>
      </c>
    </row>
    <row r="824" spans="2:11" x14ac:dyDescent="0.45">
      <c r="B824" s="1" t="s">
        <v>11</v>
      </c>
      <c r="C824" s="1" t="s">
        <v>832</v>
      </c>
      <c r="D824" s="7">
        <v>45481</v>
      </c>
      <c r="E824" s="7">
        <v>45491</v>
      </c>
      <c r="F824" s="7">
        <v>45506</v>
      </c>
      <c r="G824" s="1" t="s">
        <v>20</v>
      </c>
      <c r="H824" s="8">
        <v>37464705.200000003</v>
      </c>
      <c r="I824" s="8">
        <v>23565072.949999999</v>
      </c>
      <c r="J824" s="1">
        <f>IF(COUNTIF($C$4:C824,C824)=1,1,0)</f>
        <v>1</v>
      </c>
      <c r="K824" s="1">
        <f t="shared" si="12"/>
        <v>2024</v>
      </c>
    </row>
    <row r="825" spans="2:11" x14ac:dyDescent="0.45">
      <c r="B825" s="1" t="s">
        <v>11</v>
      </c>
      <c r="C825" s="1" t="s">
        <v>833</v>
      </c>
      <c r="D825" s="7">
        <v>44429</v>
      </c>
      <c r="E825" s="7">
        <v>44435</v>
      </c>
      <c r="F825" s="7">
        <v>44579</v>
      </c>
      <c r="G825" s="1" t="s">
        <v>16</v>
      </c>
      <c r="H825" s="8">
        <v>3036244.34</v>
      </c>
      <c r="I825" s="8">
        <v>1654485.01</v>
      </c>
      <c r="J825" s="1">
        <f>IF(COUNTIF($C$4:C825,C825)=1,1,0)</f>
        <v>1</v>
      </c>
      <c r="K825" s="1">
        <f t="shared" si="12"/>
        <v>2021</v>
      </c>
    </row>
    <row r="826" spans="2:11" x14ac:dyDescent="0.45">
      <c r="B826" s="1" t="s">
        <v>11</v>
      </c>
      <c r="C826" s="1" t="s">
        <v>834</v>
      </c>
      <c r="D826" s="7">
        <v>43477</v>
      </c>
      <c r="E826" s="7">
        <v>43478</v>
      </c>
      <c r="F826" s="7">
        <v>43506</v>
      </c>
      <c r="G826" s="1" t="s">
        <v>41</v>
      </c>
      <c r="H826" s="8">
        <v>142687.9</v>
      </c>
      <c r="I826" s="8">
        <v>99444.93</v>
      </c>
      <c r="J826" s="1">
        <f>IF(COUNTIF($C$4:C826,C826)=1,1,0)</f>
        <v>1</v>
      </c>
      <c r="K826" s="1">
        <f t="shared" si="12"/>
        <v>2019</v>
      </c>
    </row>
    <row r="827" spans="2:11" x14ac:dyDescent="0.45">
      <c r="B827" s="1" t="s">
        <v>11</v>
      </c>
      <c r="C827" s="1" t="s">
        <v>835</v>
      </c>
      <c r="D827" s="7">
        <v>44057</v>
      </c>
      <c r="E827" s="7">
        <v>44069</v>
      </c>
      <c r="F827" s="7">
        <v>44257</v>
      </c>
      <c r="G827" s="1" t="s">
        <v>22</v>
      </c>
      <c r="H827" s="8">
        <v>27564537.68</v>
      </c>
      <c r="I827" s="8">
        <v>15274965.039999999</v>
      </c>
      <c r="J827" s="1">
        <f>IF(COUNTIF($C$4:C827,C827)=1,1,0)</f>
        <v>1</v>
      </c>
      <c r="K827" s="1">
        <f t="shared" si="12"/>
        <v>2020</v>
      </c>
    </row>
    <row r="828" spans="2:11" x14ac:dyDescent="0.45">
      <c r="B828" s="1" t="s">
        <v>11</v>
      </c>
      <c r="C828" s="1" t="s">
        <v>836</v>
      </c>
      <c r="D828" s="7">
        <v>46021</v>
      </c>
      <c r="E828" s="7">
        <v>46024</v>
      </c>
      <c r="F828" s="7">
        <v>46171</v>
      </c>
      <c r="G828" s="1" t="s">
        <v>38</v>
      </c>
      <c r="H828" s="8">
        <v>912711.76</v>
      </c>
      <c r="I828" s="8">
        <v>707742.98</v>
      </c>
      <c r="J828" s="1">
        <f>IF(COUNTIF($C$4:C828,C828)=1,1,0)</f>
        <v>1</v>
      </c>
      <c r="K828" s="1">
        <f t="shared" si="12"/>
        <v>2025</v>
      </c>
    </row>
    <row r="829" spans="2:11" x14ac:dyDescent="0.45">
      <c r="B829" s="1" t="s">
        <v>11</v>
      </c>
      <c r="C829" s="1" t="s">
        <v>837</v>
      </c>
      <c r="D829" s="7">
        <v>43571</v>
      </c>
      <c r="E829" s="7">
        <v>43591</v>
      </c>
      <c r="F829" s="7">
        <v>43710</v>
      </c>
      <c r="G829" s="1" t="s">
        <v>38</v>
      </c>
      <c r="H829" s="8">
        <v>170200.56</v>
      </c>
      <c r="I829" s="8">
        <v>144442.49</v>
      </c>
      <c r="J829" s="1">
        <f>IF(COUNTIF($C$4:C829,C829)=1,1,0)</f>
        <v>1</v>
      </c>
      <c r="K829" s="1">
        <f t="shared" si="12"/>
        <v>2019</v>
      </c>
    </row>
    <row r="830" spans="2:11" x14ac:dyDescent="0.45">
      <c r="B830" s="1" t="s">
        <v>11</v>
      </c>
      <c r="C830" s="1" t="s">
        <v>838</v>
      </c>
      <c r="D830" s="7">
        <v>44360</v>
      </c>
      <c r="E830" s="7">
        <v>44382</v>
      </c>
      <c r="F830" s="7">
        <v>44473</v>
      </c>
      <c r="G830" s="1" t="s">
        <v>20</v>
      </c>
      <c r="H830" s="8">
        <v>260003.82</v>
      </c>
      <c r="I830" s="8">
        <v>166971.54</v>
      </c>
      <c r="J830" s="1">
        <f>IF(COUNTIF($C$4:C830,C830)=1,1,0)</f>
        <v>1</v>
      </c>
      <c r="K830" s="1">
        <f t="shared" si="12"/>
        <v>2021</v>
      </c>
    </row>
    <row r="831" spans="2:11" x14ac:dyDescent="0.45">
      <c r="B831" s="1" t="s">
        <v>11</v>
      </c>
      <c r="C831" s="1" t="s">
        <v>839</v>
      </c>
      <c r="D831" s="7">
        <v>46237</v>
      </c>
      <c r="E831" s="7">
        <v>46258</v>
      </c>
      <c r="F831" s="7">
        <v>46276</v>
      </c>
      <c r="G831" s="1" t="s">
        <v>41</v>
      </c>
      <c r="H831" s="8">
        <v>331685.32</v>
      </c>
      <c r="I831" s="8">
        <v>307060.32</v>
      </c>
      <c r="J831" s="1">
        <f>IF(COUNTIF($C$4:C831,C831)=1,1,0)</f>
        <v>1</v>
      </c>
      <c r="K831" s="1">
        <f t="shared" si="12"/>
        <v>2026</v>
      </c>
    </row>
    <row r="832" spans="2:11" x14ac:dyDescent="0.45">
      <c r="B832" s="1" t="s">
        <v>11</v>
      </c>
      <c r="C832" s="1" t="s">
        <v>840</v>
      </c>
      <c r="D832" s="7">
        <v>44413</v>
      </c>
      <c r="E832" s="7">
        <v>44434</v>
      </c>
      <c r="F832" s="7">
        <v>44590</v>
      </c>
      <c r="G832" s="1" t="s">
        <v>38</v>
      </c>
      <c r="H832" s="8">
        <v>932741.56</v>
      </c>
      <c r="I832" s="8">
        <v>713603.9</v>
      </c>
      <c r="J832" s="1">
        <f>IF(COUNTIF($C$4:C832,C832)=1,1,0)</f>
        <v>1</v>
      </c>
      <c r="K832" s="1">
        <f t="shared" si="12"/>
        <v>2021</v>
      </c>
    </row>
    <row r="833" spans="2:11" x14ac:dyDescent="0.45">
      <c r="B833" s="1" t="s">
        <v>11</v>
      </c>
      <c r="C833" s="1" t="s">
        <v>841</v>
      </c>
      <c r="D833" s="7">
        <v>45215</v>
      </c>
      <c r="E833" s="7">
        <v>45233</v>
      </c>
      <c r="F833" s="7">
        <v>45346</v>
      </c>
      <c r="G833" s="1" t="s">
        <v>16</v>
      </c>
      <c r="H833" s="8">
        <v>1598954.14</v>
      </c>
      <c r="I833" s="8">
        <v>1109190.24</v>
      </c>
      <c r="J833" s="1">
        <f>IF(COUNTIF($C$4:C833,C833)=1,1,0)</f>
        <v>1</v>
      </c>
      <c r="K833" s="1">
        <f t="shared" si="12"/>
        <v>2023</v>
      </c>
    </row>
    <row r="834" spans="2:11" x14ac:dyDescent="0.45">
      <c r="B834" s="1" t="s">
        <v>11</v>
      </c>
      <c r="C834" s="1" t="s">
        <v>842</v>
      </c>
      <c r="D834" s="7">
        <v>44480</v>
      </c>
      <c r="E834" s="7">
        <v>44498</v>
      </c>
      <c r="F834" s="7">
        <v>44654</v>
      </c>
      <c r="G834" s="1" t="s">
        <v>41</v>
      </c>
      <c r="H834" s="8">
        <v>214483.49</v>
      </c>
      <c r="I834" s="8">
        <v>158449.29999999999</v>
      </c>
      <c r="J834" s="1">
        <f>IF(COUNTIF($C$4:C834,C834)=1,1,0)</f>
        <v>1</v>
      </c>
      <c r="K834" s="1">
        <f t="shared" si="12"/>
        <v>2021</v>
      </c>
    </row>
    <row r="835" spans="2:11" x14ac:dyDescent="0.45">
      <c r="B835" s="1" t="s">
        <v>11</v>
      </c>
      <c r="C835" s="1" t="s">
        <v>843</v>
      </c>
      <c r="D835" s="7">
        <v>44129</v>
      </c>
      <c r="E835" s="7">
        <v>44138</v>
      </c>
      <c r="F835" s="7">
        <v>44230</v>
      </c>
      <c r="G835" s="1" t="s">
        <v>38</v>
      </c>
      <c r="H835" s="8">
        <v>628348.32999999996</v>
      </c>
      <c r="I835" s="8">
        <v>418400.6</v>
      </c>
      <c r="J835" s="1">
        <f>IF(COUNTIF($C$4:C835,C835)=1,1,0)</f>
        <v>1</v>
      </c>
      <c r="K835" s="1">
        <f t="shared" si="12"/>
        <v>2020</v>
      </c>
    </row>
    <row r="836" spans="2:11" x14ac:dyDescent="0.45">
      <c r="B836" s="1" t="s">
        <v>11</v>
      </c>
      <c r="C836" s="1" t="s">
        <v>844</v>
      </c>
      <c r="D836" s="7">
        <v>44241</v>
      </c>
      <c r="E836" s="7">
        <v>44252</v>
      </c>
      <c r="F836" s="7">
        <v>44454</v>
      </c>
      <c r="G836" s="1" t="s">
        <v>212</v>
      </c>
      <c r="H836" s="8">
        <v>70247861.150000006</v>
      </c>
      <c r="I836" s="8">
        <v>49783498.840000004</v>
      </c>
      <c r="J836" s="1">
        <f>IF(COUNTIF($C$4:C836,C836)=1,1,0)</f>
        <v>1</v>
      </c>
      <c r="K836" s="1">
        <f t="shared" si="12"/>
        <v>2021</v>
      </c>
    </row>
    <row r="837" spans="2:11" x14ac:dyDescent="0.45">
      <c r="B837" s="1" t="s">
        <v>11</v>
      </c>
      <c r="C837" s="1" t="s">
        <v>845</v>
      </c>
      <c r="D837" s="7">
        <v>44454</v>
      </c>
      <c r="E837" s="7">
        <v>44470</v>
      </c>
      <c r="F837" s="7">
        <v>44514</v>
      </c>
      <c r="G837" s="1" t="s">
        <v>38</v>
      </c>
      <c r="H837" s="8">
        <v>306764.40000000002</v>
      </c>
      <c r="I837" s="8">
        <v>180645.5</v>
      </c>
      <c r="J837" s="1">
        <f>IF(COUNTIF($C$4:C837,C837)=1,1,0)</f>
        <v>1</v>
      </c>
      <c r="K837" s="1">
        <f t="shared" ref="K837:K900" si="13">YEAR(D837)</f>
        <v>2021</v>
      </c>
    </row>
    <row r="838" spans="2:11" x14ac:dyDescent="0.45">
      <c r="B838" s="1" t="s">
        <v>11</v>
      </c>
      <c r="C838" s="1" t="s">
        <v>846</v>
      </c>
      <c r="D838" s="7">
        <v>44536</v>
      </c>
      <c r="E838" s="7">
        <v>44566</v>
      </c>
      <c r="F838" s="7">
        <v>44735</v>
      </c>
      <c r="G838" s="1" t="s">
        <v>20</v>
      </c>
      <c r="H838" s="8">
        <v>588857.81000000006</v>
      </c>
      <c r="I838" s="8">
        <v>394717.31</v>
      </c>
      <c r="J838" s="1">
        <f>IF(COUNTIF($C$4:C838,C838)=1,1,0)</f>
        <v>1</v>
      </c>
      <c r="K838" s="1">
        <f t="shared" si="13"/>
        <v>2021</v>
      </c>
    </row>
    <row r="839" spans="2:11" x14ac:dyDescent="0.45">
      <c r="B839" s="1" t="s">
        <v>11</v>
      </c>
      <c r="C839" s="1" t="s">
        <v>847</v>
      </c>
      <c r="D839" s="7">
        <v>44087</v>
      </c>
      <c r="E839" s="7">
        <v>44117</v>
      </c>
      <c r="F839" s="7">
        <v>44165</v>
      </c>
      <c r="G839" s="1" t="s">
        <v>38</v>
      </c>
      <c r="H839" s="8">
        <v>488013.72</v>
      </c>
      <c r="I839" s="8">
        <v>380068.09</v>
      </c>
      <c r="J839" s="1">
        <f>IF(COUNTIF($C$4:C839,C839)=1,1,0)</f>
        <v>1</v>
      </c>
      <c r="K839" s="1">
        <f t="shared" si="13"/>
        <v>2020</v>
      </c>
    </row>
    <row r="840" spans="2:11" x14ac:dyDescent="0.45">
      <c r="B840" s="1" t="s">
        <v>11</v>
      </c>
      <c r="C840" s="1" t="s">
        <v>406</v>
      </c>
      <c r="D840" s="7">
        <v>44210</v>
      </c>
      <c r="E840" s="7">
        <v>44211</v>
      </c>
      <c r="F840" s="7">
        <v>44355</v>
      </c>
      <c r="G840" s="1" t="s">
        <v>18</v>
      </c>
      <c r="H840" s="8">
        <v>4225973.03</v>
      </c>
      <c r="I840" s="8">
        <v>3555950.08</v>
      </c>
      <c r="J840" s="1">
        <f>IF(COUNTIF($C$4:C840,C840)=1,1,0)</f>
        <v>0</v>
      </c>
      <c r="K840" s="1">
        <f t="shared" si="13"/>
        <v>2021</v>
      </c>
    </row>
    <row r="841" spans="2:11" x14ac:dyDescent="0.45">
      <c r="B841" s="1" t="s">
        <v>11</v>
      </c>
      <c r="C841" s="1" t="s">
        <v>848</v>
      </c>
      <c r="D841" s="7">
        <v>43949</v>
      </c>
      <c r="E841" s="7">
        <v>43960</v>
      </c>
      <c r="F841" s="7">
        <v>44025</v>
      </c>
      <c r="G841" s="1" t="s">
        <v>22</v>
      </c>
      <c r="H841" s="8">
        <v>21746986.149999999</v>
      </c>
      <c r="I841" s="8">
        <v>10898267.609999999</v>
      </c>
      <c r="J841" s="1">
        <f>IF(COUNTIF($C$4:C841,C841)=1,1,0)</f>
        <v>1</v>
      </c>
      <c r="K841" s="1">
        <f t="shared" si="13"/>
        <v>2020</v>
      </c>
    </row>
    <row r="842" spans="2:11" x14ac:dyDescent="0.45">
      <c r="B842" s="1" t="s">
        <v>11</v>
      </c>
      <c r="C842" s="1" t="s">
        <v>849</v>
      </c>
      <c r="D842" s="7">
        <v>44875</v>
      </c>
      <c r="E842" s="7">
        <v>44900</v>
      </c>
      <c r="F842" s="7">
        <v>44933</v>
      </c>
      <c r="G842" s="1" t="s">
        <v>212</v>
      </c>
      <c r="H842" s="8">
        <v>30624599.52</v>
      </c>
      <c r="I842" s="8">
        <v>18506051.960000001</v>
      </c>
      <c r="J842" s="1">
        <f>IF(COUNTIF($C$4:C842,C842)=1,1,0)</f>
        <v>1</v>
      </c>
      <c r="K842" s="1">
        <f t="shared" si="13"/>
        <v>2022</v>
      </c>
    </row>
    <row r="843" spans="2:11" x14ac:dyDescent="0.45">
      <c r="B843" s="1" t="s">
        <v>11</v>
      </c>
      <c r="C843" s="1" t="s">
        <v>850</v>
      </c>
      <c r="D843" s="7">
        <v>45267</v>
      </c>
      <c r="E843" s="7">
        <v>45275</v>
      </c>
      <c r="F843" s="7">
        <v>45297</v>
      </c>
      <c r="G843" s="1" t="s">
        <v>38</v>
      </c>
      <c r="H843" s="8">
        <v>609989.98</v>
      </c>
      <c r="I843" s="8">
        <v>504783.53</v>
      </c>
      <c r="J843" s="1">
        <f>IF(COUNTIF($C$4:C843,C843)=1,1,0)</f>
        <v>1</v>
      </c>
      <c r="K843" s="1">
        <f t="shared" si="13"/>
        <v>2023</v>
      </c>
    </row>
    <row r="844" spans="2:11" x14ac:dyDescent="0.45">
      <c r="B844" s="1" t="s">
        <v>11</v>
      </c>
      <c r="C844" s="1" t="s">
        <v>851</v>
      </c>
      <c r="D844" s="7">
        <v>44988</v>
      </c>
      <c r="E844" s="7">
        <v>44994</v>
      </c>
      <c r="F844" s="7">
        <v>45079</v>
      </c>
      <c r="G844" s="1" t="s">
        <v>16</v>
      </c>
      <c r="H844" s="8">
        <v>3534661.44</v>
      </c>
      <c r="I844" s="8">
        <v>2609252.4700000002</v>
      </c>
      <c r="J844" s="1">
        <f>IF(COUNTIF($C$4:C844,C844)=1,1,0)</f>
        <v>1</v>
      </c>
      <c r="K844" s="1">
        <f t="shared" si="13"/>
        <v>2023</v>
      </c>
    </row>
    <row r="845" spans="2:11" x14ac:dyDescent="0.45">
      <c r="B845" s="1" t="s">
        <v>11</v>
      </c>
      <c r="C845" s="1" t="s">
        <v>852</v>
      </c>
      <c r="D845" s="7">
        <v>44178</v>
      </c>
      <c r="E845" s="7">
        <v>44179</v>
      </c>
      <c r="F845" s="7">
        <v>44396</v>
      </c>
      <c r="G845" s="1" t="s">
        <v>20</v>
      </c>
      <c r="H845" s="8">
        <v>62760628.609999999</v>
      </c>
      <c r="I845" s="8">
        <v>50045592.270000003</v>
      </c>
      <c r="J845" s="1">
        <f>IF(COUNTIF($C$4:C845,C845)=1,1,0)</f>
        <v>1</v>
      </c>
      <c r="K845" s="1">
        <f t="shared" si="13"/>
        <v>2020</v>
      </c>
    </row>
    <row r="846" spans="2:11" x14ac:dyDescent="0.45">
      <c r="B846" s="1" t="s">
        <v>11</v>
      </c>
      <c r="C846" s="1" t="s">
        <v>853</v>
      </c>
      <c r="D846" s="7">
        <v>46103</v>
      </c>
      <c r="E846" s="7">
        <v>46103</v>
      </c>
      <c r="F846" s="7">
        <v>46212</v>
      </c>
      <c r="G846" s="1" t="s">
        <v>212</v>
      </c>
      <c r="H846" s="8">
        <v>5925537.3700000001</v>
      </c>
      <c r="I846" s="8">
        <v>3194287.52</v>
      </c>
      <c r="J846" s="1">
        <f>IF(COUNTIF($C$4:C846,C846)=1,1,0)</f>
        <v>1</v>
      </c>
      <c r="K846" s="1">
        <f t="shared" si="13"/>
        <v>2026</v>
      </c>
    </row>
    <row r="847" spans="2:11" x14ac:dyDescent="0.45">
      <c r="B847" s="1" t="s">
        <v>11</v>
      </c>
      <c r="C847" s="1" t="s">
        <v>854</v>
      </c>
      <c r="D847" s="7">
        <v>44938</v>
      </c>
      <c r="E847" s="7">
        <v>44956</v>
      </c>
      <c r="F847" s="7">
        <v>45016</v>
      </c>
      <c r="G847" s="1" t="s">
        <v>212</v>
      </c>
      <c r="H847" s="8">
        <v>4990945.2699999996</v>
      </c>
      <c r="I847" s="8">
        <v>3267137.04</v>
      </c>
      <c r="J847" s="1">
        <f>IF(COUNTIF($C$4:C847,C847)=1,1,0)</f>
        <v>1</v>
      </c>
      <c r="K847" s="1">
        <f t="shared" si="13"/>
        <v>2023</v>
      </c>
    </row>
    <row r="848" spans="2:11" x14ac:dyDescent="0.45">
      <c r="B848" s="1" t="s">
        <v>11</v>
      </c>
      <c r="C848" s="1" t="s">
        <v>855</v>
      </c>
      <c r="D848" s="7">
        <v>46207</v>
      </c>
      <c r="E848" s="7">
        <v>46232</v>
      </c>
      <c r="F848" s="7">
        <v>46277</v>
      </c>
      <c r="G848" s="1" t="s">
        <v>212</v>
      </c>
      <c r="H848" s="8">
        <v>18526181.629999999</v>
      </c>
      <c r="I848" s="8">
        <v>11006286.039999999</v>
      </c>
      <c r="J848" s="1">
        <f>IF(COUNTIF($C$4:C848,C848)=1,1,0)</f>
        <v>1</v>
      </c>
      <c r="K848" s="1">
        <f t="shared" si="13"/>
        <v>2026</v>
      </c>
    </row>
    <row r="849" spans="2:11" x14ac:dyDescent="0.45">
      <c r="B849" s="1" t="s">
        <v>11</v>
      </c>
      <c r="C849" s="1" t="s">
        <v>856</v>
      </c>
      <c r="D849" s="7">
        <v>44616</v>
      </c>
      <c r="E849" s="7">
        <v>44623</v>
      </c>
      <c r="F849" s="7">
        <v>44644</v>
      </c>
      <c r="G849" s="1" t="s">
        <v>22</v>
      </c>
      <c r="H849" s="8">
        <v>36933456.200000003</v>
      </c>
      <c r="I849" s="8">
        <v>18711334.350000001</v>
      </c>
      <c r="J849" s="1">
        <f>IF(COUNTIF($C$4:C849,C849)=1,1,0)</f>
        <v>1</v>
      </c>
      <c r="K849" s="1">
        <f t="shared" si="13"/>
        <v>2022</v>
      </c>
    </row>
    <row r="850" spans="2:11" x14ac:dyDescent="0.45">
      <c r="B850" s="1" t="s">
        <v>11</v>
      </c>
      <c r="C850" s="1" t="s">
        <v>857</v>
      </c>
      <c r="D850" s="7">
        <v>43979</v>
      </c>
      <c r="E850" s="7">
        <v>44006</v>
      </c>
      <c r="F850" s="7">
        <v>44076</v>
      </c>
      <c r="G850" s="1" t="s">
        <v>16</v>
      </c>
      <c r="H850" s="8">
        <v>810160.45</v>
      </c>
      <c r="I850" s="8">
        <v>631221.87</v>
      </c>
      <c r="J850" s="1">
        <f>IF(COUNTIF($C$4:C850,C850)=1,1,0)</f>
        <v>1</v>
      </c>
      <c r="K850" s="1">
        <f t="shared" si="13"/>
        <v>2020</v>
      </c>
    </row>
    <row r="851" spans="2:11" x14ac:dyDescent="0.45">
      <c r="B851" s="1" t="s">
        <v>11</v>
      </c>
      <c r="C851" s="1" t="s">
        <v>858</v>
      </c>
      <c r="D851" s="7">
        <v>43745</v>
      </c>
      <c r="E851" s="7">
        <v>43763</v>
      </c>
      <c r="F851" s="7">
        <v>43898</v>
      </c>
      <c r="G851" s="1" t="s">
        <v>41</v>
      </c>
      <c r="H851" s="8">
        <v>176460.06</v>
      </c>
      <c r="I851" s="8">
        <v>133813.10999999999</v>
      </c>
      <c r="J851" s="1">
        <f>IF(COUNTIF($C$4:C851,C851)=1,1,0)</f>
        <v>1</v>
      </c>
      <c r="K851" s="1">
        <f t="shared" si="13"/>
        <v>2019</v>
      </c>
    </row>
    <row r="852" spans="2:11" x14ac:dyDescent="0.45">
      <c r="B852" s="1" t="s">
        <v>11</v>
      </c>
      <c r="C852" s="1" t="s">
        <v>859</v>
      </c>
      <c r="D852" s="7">
        <v>45087</v>
      </c>
      <c r="E852" s="7">
        <v>45088</v>
      </c>
      <c r="F852" s="7">
        <v>45185</v>
      </c>
      <c r="G852" s="1" t="s">
        <v>20</v>
      </c>
      <c r="H852" s="8">
        <v>101496452.64</v>
      </c>
      <c r="I852" s="8">
        <v>45167761.640000001</v>
      </c>
      <c r="J852" s="1">
        <f>IF(COUNTIF($C$4:C852,C852)=1,1,0)</f>
        <v>1</v>
      </c>
      <c r="K852" s="1">
        <f t="shared" si="13"/>
        <v>2023</v>
      </c>
    </row>
    <row r="853" spans="2:11" x14ac:dyDescent="0.45">
      <c r="B853" s="1" t="s">
        <v>11</v>
      </c>
      <c r="C853" s="1" t="s">
        <v>860</v>
      </c>
      <c r="D853" s="7">
        <v>43550</v>
      </c>
      <c r="E853" s="7">
        <v>43562</v>
      </c>
      <c r="F853" s="7">
        <v>43667</v>
      </c>
      <c r="G853" s="1" t="s">
        <v>16</v>
      </c>
      <c r="H853" s="8">
        <v>444859.07</v>
      </c>
      <c r="I853" s="8">
        <v>335052.61</v>
      </c>
      <c r="J853" s="1">
        <f>IF(COUNTIF($C$4:C853,C853)=1,1,0)</f>
        <v>1</v>
      </c>
      <c r="K853" s="1">
        <f t="shared" si="13"/>
        <v>2019</v>
      </c>
    </row>
    <row r="854" spans="2:11" x14ac:dyDescent="0.45">
      <c r="B854" s="1" t="s">
        <v>11</v>
      </c>
      <c r="C854" s="1" t="s">
        <v>861</v>
      </c>
      <c r="D854" s="7">
        <v>44583</v>
      </c>
      <c r="E854" s="7">
        <v>44594</v>
      </c>
      <c r="F854" s="7">
        <v>44813</v>
      </c>
      <c r="G854" s="1" t="s">
        <v>41</v>
      </c>
      <c r="H854" s="8">
        <v>52166.58</v>
      </c>
      <c r="I854" s="8">
        <v>35557.269999999997</v>
      </c>
      <c r="J854" s="1">
        <f>IF(COUNTIF($C$4:C854,C854)=1,1,0)</f>
        <v>1</v>
      </c>
      <c r="K854" s="1">
        <f t="shared" si="13"/>
        <v>2022</v>
      </c>
    </row>
    <row r="855" spans="2:11" x14ac:dyDescent="0.45">
      <c r="B855" s="1" t="s">
        <v>11</v>
      </c>
      <c r="C855" s="1" t="s">
        <v>862</v>
      </c>
      <c r="D855" s="7">
        <v>43524</v>
      </c>
      <c r="E855" s="7">
        <v>43526</v>
      </c>
      <c r="F855" s="7">
        <v>43705</v>
      </c>
      <c r="G855" s="1" t="s">
        <v>44</v>
      </c>
      <c r="H855" s="8">
        <v>43404741.579999998</v>
      </c>
      <c r="I855" s="8">
        <v>20652029.41</v>
      </c>
      <c r="J855" s="1">
        <f>IF(COUNTIF($C$4:C855,C855)=1,1,0)</f>
        <v>1</v>
      </c>
      <c r="K855" s="1">
        <f t="shared" si="13"/>
        <v>2019</v>
      </c>
    </row>
    <row r="856" spans="2:11" x14ac:dyDescent="0.45">
      <c r="B856" s="1" t="s">
        <v>11</v>
      </c>
      <c r="C856" s="1" t="s">
        <v>863</v>
      </c>
      <c r="D856" s="7">
        <v>44116</v>
      </c>
      <c r="E856" s="7">
        <v>44136</v>
      </c>
      <c r="F856" s="7">
        <v>44350</v>
      </c>
      <c r="G856" s="1" t="s">
        <v>212</v>
      </c>
      <c r="H856" s="8">
        <v>28039287.75</v>
      </c>
      <c r="I856" s="8">
        <v>10824267.880000001</v>
      </c>
      <c r="J856" s="1">
        <f>IF(COUNTIF($C$4:C856,C856)=1,1,0)</f>
        <v>1</v>
      </c>
      <c r="K856" s="1">
        <f t="shared" si="13"/>
        <v>2020</v>
      </c>
    </row>
    <row r="857" spans="2:11" x14ac:dyDescent="0.45">
      <c r="B857" s="1" t="s">
        <v>11</v>
      </c>
      <c r="C857" s="1" t="s">
        <v>864</v>
      </c>
      <c r="D857" s="7">
        <v>44481</v>
      </c>
      <c r="E857" s="7">
        <v>44505</v>
      </c>
      <c r="F857" s="7">
        <v>44635</v>
      </c>
      <c r="G857" s="1" t="s">
        <v>212</v>
      </c>
      <c r="H857" s="8">
        <v>17617994.41</v>
      </c>
      <c r="I857" s="8">
        <v>7801855.4400000004</v>
      </c>
      <c r="J857" s="1">
        <f>IF(COUNTIF($C$4:C857,C857)=1,1,0)</f>
        <v>1</v>
      </c>
      <c r="K857" s="1">
        <f t="shared" si="13"/>
        <v>2021</v>
      </c>
    </row>
    <row r="858" spans="2:11" x14ac:dyDescent="0.45">
      <c r="B858" s="1" t="s">
        <v>11</v>
      </c>
      <c r="C858" s="1" t="s">
        <v>865</v>
      </c>
      <c r="D858" s="7">
        <v>45458</v>
      </c>
      <c r="E858" s="7">
        <v>45488</v>
      </c>
      <c r="F858" s="7">
        <v>45596</v>
      </c>
      <c r="G858" s="1" t="s">
        <v>44</v>
      </c>
      <c r="H858" s="8">
        <v>162488791.37</v>
      </c>
      <c r="I858" s="8">
        <v>76618785.120000005</v>
      </c>
      <c r="J858" s="1">
        <f>IF(COUNTIF($C$4:C858,C858)=1,1,0)</f>
        <v>1</v>
      </c>
      <c r="K858" s="1">
        <f t="shared" si="13"/>
        <v>2024</v>
      </c>
    </row>
    <row r="859" spans="2:11" x14ac:dyDescent="0.45">
      <c r="B859" s="1" t="s">
        <v>11</v>
      </c>
      <c r="C859" s="1" t="s">
        <v>866</v>
      </c>
      <c r="D859" s="7">
        <v>45653</v>
      </c>
      <c r="E859" s="7">
        <v>45667</v>
      </c>
      <c r="F859" s="7">
        <v>45900</v>
      </c>
      <c r="G859" s="1" t="s">
        <v>16</v>
      </c>
      <c r="H859" s="8">
        <v>4416574.91</v>
      </c>
      <c r="I859" s="8">
        <v>3129241.62</v>
      </c>
      <c r="J859" s="1">
        <f>IF(COUNTIF($C$4:C859,C859)=1,1,0)</f>
        <v>1</v>
      </c>
      <c r="K859" s="1">
        <f t="shared" si="13"/>
        <v>2024</v>
      </c>
    </row>
    <row r="860" spans="2:11" x14ac:dyDescent="0.45">
      <c r="B860" s="1" t="s">
        <v>11</v>
      </c>
      <c r="C860" s="1" t="s">
        <v>867</v>
      </c>
      <c r="D860" s="7">
        <v>45343</v>
      </c>
      <c r="E860" s="7">
        <v>45370</v>
      </c>
      <c r="F860" s="7">
        <v>45417</v>
      </c>
      <c r="G860" s="1" t="s">
        <v>44</v>
      </c>
      <c r="H860" s="8">
        <v>41291330.439999998</v>
      </c>
      <c r="I860" s="8">
        <v>21276575.100000001</v>
      </c>
      <c r="J860" s="1">
        <f>IF(COUNTIF($C$4:C860,C860)=1,1,0)</f>
        <v>1</v>
      </c>
      <c r="K860" s="1">
        <f t="shared" si="13"/>
        <v>2024</v>
      </c>
    </row>
    <row r="861" spans="2:11" x14ac:dyDescent="0.45">
      <c r="B861" s="1" t="s">
        <v>11</v>
      </c>
      <c r="C861" s="1" t="s">
        <v>868</v>
      </c>
      <c r="D861" s="7">
        <v>43615</v>
      </c>
      <c r="E861" s="7">
        <v>43631</v>
      </c>
      <c r="F861" s="7">
        <v>43763</v>
      </c>
      <c r="G861" s="1" t="s">
        <v>44</v>
      </c>
      <c r="H861" s="8">
        <v>89166610.310000002</v>
      </c>
      <c r="I861" s="8">
        <v>50306521.140000001</v>
      </c>
      <c r="J861" s="1">
        <f>IF(COUNTIF($C$4:C861,C861)=1,1,0)</f>
        <v>1</v>
      </c>
      <c r="K861" s="1">
        <f t="shared" si="13"/>
        <v>2019</v>
      </c>
    </row>
    <row r="862" spans="2:11" x14ac:dyDescent="0.45">
      <c r="B862" s="1" t="s">
        <v>11</v>
      </c>
      <c r="C862" s="1" t="s">
        <v>869</v>
      </c>
      <c r="D862" s="7">
        <v>45655</v>
      </c>
      <c r="E862" s="7">
        <v>45680</v>
      </c>
      <c r="F862" s="7">
        <v>45695</v>
      </c>
      <c r="G862" s="1" t="s">
        <v>212</v>
      </c>
      <c r="H862" s="8">
        <v>26751327.719999999</v>
      </c>
      <c r="I862" s="8">
        <v>14311705.060000001</v>
      </c>
      <c r="J862" s="1">
        <f>IF(COUNTIF($C$4:C862,C862)=1,1,0)</f>
        <v>1</v>
      </c>
      <c r="K862" s="1">
        <f t="shared" si="13"/>
        <v>2024</v>
      </c>
    </row>
    <row r="863" spans="2:11" x14ac:dyDescent="0.45">
      <c r="B863" s="1" t="s">
        <v>11</v>
      </c>
      <c r="C863" s="1" t="s">
        <v>870</v>
      </c>
      <c r="D863" s="7">
        <v>45122</v>
      </c>
      <c r="E863" s="7">
        <v>45127</v>
      </c>
      <c r="F863" s="7">
        <v>45231</v>
      </c>
      <c r="G863" s="1" t="s">
        <v>41</v>
      </c>
      <c r="H863" s="8">
        <v>1324474</v>
      </c>
      <c r="I863" s="8">
        <v>1143990.99</v>
      </c>
      <c r="J863" s="1">
        <f>IF(COUNTIF($C$4:C863,C863)=1,1,0)</f>
        <v>1</v>
      </c>
      <c r="K863" s="1">
        <f t="shared" si="13"/>
        <v>2023</v>
      </c>
    </row>
    <row r="864" spans="2:11" x14ac:dyDescent="0.45">
      <c r="B864" s="1" t="s">
        <v>11</v>
      </c>
      <c r="C864" s="1" t="s">
        <v>871</v>
      </c>
      <c r="D864" s="7">
        <v>45780</v>
      </c>
      <c r="E864" s="7">
        <v>45807</v>
      </c>
      <c r="F864" s="7">
        <v>45948</v>
      </c>
      <c r="G864" s="1" t="s">
        <v>22</v>
      </c>
      <c r="H864" s="8">
        <v>10751621.52</v>
      </c>
      <c r="I864" s="8">
        <v>3706406.06</v>
      </c>
      <c r="J864" s="1">
        <f>IF(COUNTIF($C$4:C864,C864)=1,1,0)</f>
        <v>1</v>
      </c>
      <c r="K864" s="1">
        <f t="shared" si="13"/>
        <v>2025</v>
      </c>
    </row>
    <row r="865" spans="2:11" x14ac:dyDescent="0.45">
      <c r="B865" s="1" t="s">
        <v>11</v>
      </c>
      <c r="C865" s="1" t="s">
        <v>872</v>
      </c>
      <c r="D865" s="7">
        <v>45164</v>
      </c>
      <c r="E865" s="7">
        <v>45194</v>
      </c>
      <c r="F865" s="7">
        <v>45313</v>
      </c>
      <c r="G865" s="1" t="s">
        <v>20</v>
      </c>
      <c r="H865" s="8">
        <v>1274560.6200000001</v>
      </c>
      <c r="I865" s="8">
        <v>734198.73</v>
      </c>
      <c r="J865" s="1">
        <f>IF(COUNTIF($C$4:C865,C865)=1,1,0)</f>
        <v>1</v>
      </c>
      <c r="K865" s="1">
        <f t="shared" si="13"/>
        <v>2023</v>
      </c>
    </row>
    <row r="866" spans="2:11" x14ac:dyDescent="0.45">
      <c r="B866" s="1" t="s">
        <v>11</v>
      </c>
      <c r="C866" s="1" t="s">
        <v>873</v>
      </c>
      <c r="D866" s="7">
        <v>45061</v>
      </c>
      <c r="E866" s="7">
        <v>45084</v>
      </c>
      <c r="F866" s="7">
        <v>45203</v>
      </c>
      <c r="G866" s="1" t="s">
        <v>22</v>
      </c>
      <c r="H866" s="8">
        <v>7610902.2999999998</v>
      </c>
      <c r="I866" s="8">
        <v>5043697.4800000004</v>
      </c>
      <c r="J866" s="1">
        <f>IF(COUNTIF($C$4:C866,C866)=1,1,0)</f>
        <v>1</v>
      </c>
      <c r="K866" s="1">
        <f t="shared" si="13"/>
        <v>2023</v>
      </c>
    </row>
    <row r="867" spans="2:11" x14ac:dyDescent="0.45">
      <c r="B867" s="1" t="s">
        <v>11</v>
      </c>
      <c r="C867" s="1" t="s">
        <v>874</v>
      </c>
      <c r="D867" s="7">
        <v>44487</v>
      </c>
      <c r="E867" s="7">
        <v>44514</v>
      </c>
      <c r="F867" s="7">
        <v>44739</v>
      </c>
      <c r="G867" s="1" t="s">
        <v>41</v>
      </c>
      <c r="H867" s="8">
        <v>528932.93999999994</v>
      </c>
      <c r="I867" s="8">
        <v>432333.23</v>
      </c>
      <c r="J867" s="1">
        <f>IF(COUNTIF($C$4:C867,C867)=1,1,0)</f>
        <v>1</v>
      </c>
      <c r="K867" s="1">
        <f t="shared" si="13"/>
        <v>2021</v>
      </c>
    </row>
    <row r="868" spans="2:11" x14ac:dyDescent="0.45">
      <c r="B868" s="1" t="s">
        <v>11</v>
      </c>
      <c r="C868" s="1" t="s">
        <v>875</v>
      </c>
      <c r="D868" s="7">
        <v>43905</v>
      </c>
      <c r="E868" s="7">
        <v>43925</v>
      </c>
      <c r="F868" s="7">
        <v>43938</v>
      </c>
      <c r="G868" s="1" t="s">
        <v>20</v>
      </c>
      <c r="H868" s="8">
        <v>69568564.219999999</v>
      </c>
      <c r="I868" s="8">
        <v>21781538.02</v>
      </c>
      <c r="J868" s="1">
        <f>IF(COUNTIF($C$4:C868,C868)=1,1,0)</f>
        <v>1</v>
      </c>
      <c r="K868" s="1">
        <f t="shared" si="13"/>
        <v>2020</v>
      </c>
    </row>
    <row r="869" spans="2:11" x14ac:dyDescent="0.45">
      <c r="B869" s="1" t="s">
        <v>11</v>
      </c>
      <c r="C869" s="1" t="s">
        <v>876</v>
      </c>
      <c r="D869" s="7">
        <v>45230</v>
      </c>
      <c r="E869" s="7">
        <v>45255</v>
      </c>
      <c r="F869" s="7">
        <v>45464</v>
      </c>
      <c r="G869" s="1" t="s">
        <v>41</v>
      </c>
      <c r="H869" s="8">
        <v>1049046.29</v>
      </c>
      <c r="I869" s="8">
        <v>767579.83</v>
      </c>
      <c r="J869" s="1">
        <f>IF(COUNTIF($C$4:C869,C869)=1,1,0)</f>
        <v>1</v>
      </c>
      <c r="K869" s="1">
        <f t="shared" si="13"/>
        <v>2023</v>
      </c>
    </row>
    <row r="870" spans="2:11" x14ac:dyDescent="0.45">
      <c r="B870" s="1" t="s">
        <v>11</v>
      </c>
      <c r="C870" s="1" t="s">
        <v>877</v>
      </c>
      <c r="D870" s="7">
        <v>44364</v>
      </c>
      <c r="E870" s="7">
        <v>44383</v>
      </c>
      <c r="F870" s="7">
        <v>44422</v>
      </c>
      <c r="G870" s="1" t="s">
        <v>212</v>
      </c>
      <c r="H870" s="8">
        <v>70440584.439999998</v>
      </c>
      <c r="I870" s="8">
        <v>34791574.729999997</v>
      </c>
      <c r="J870" s="1">
        <f>IF(COUNTIF($C$4:C870,C870)=1,1,0)</f>
        <v>1</v>
      </c>
      <c r="K870" s="1">
        <f t="shared" si="13"/>
        <v>2021</v>
      </c>
    </row>
    <row r="871" spans="2:11" x14ac:dyDescent="0.45">
      <c r="B871" s="1" t="s">
        <v>11</v>
      </c>
      <c r="C871" s="1" t="s">
        <v>878</v>
      </c>
      <c r="D871" s="7">
        <v>43717</v>
      </c>
      <c r="E871" s="7">
        <v>43722</v>
      </c>
      <c r="F871" s="7">
        <v>43934</v>
      </c>
      <c r="G871" s="1" t="s">
        <v>20</v>
      </c>
      <c r="H871" s="8">
        <v>463783.12</v>
      </c>
      <c r="I871" s="8">
        <v>349045.89</v>
      </c>
      <c r="J871" s="1">
        <f>IF(COUNTIF($C$4:C871,C871)=1,1,0)</f>
        <v>1</v>
      </c>
      <c r="K871" s="1">
        <f t="shared" si="13"/>
        <v>2019</v>
      </c>
    </row>
    <row r="872" spans="2:11" x14ac:dyDescent="0.45">
      <c r="B872" s="1" t="s">
        <v>11</v>
      </c>
      <c r="C872" s="1" t="s">
        <v>879</v>
      </c>
      <c r="D872" s="7">
        <v>46031</v>
      </c>
      <c r="E872" s="7">
        <v>46038</v>
      </c>
      <c r="F872" s="7">
        <v>46110</v>
      </c>
      <c r="G872" s="1" t="s">
        <v>22</v>
      </c>
      <c r="H872" s="8">
        <v>2565999.48</v>
      </c>
      <c r="I872" s="8">
        <v>994342.66</v>
      </c>
      <c r="J872" s="1">
        <f>IF(COUNTIF($C$4:C872,C872)=1,1,0)</f>
        <v>1</v>
      </c>
      <c r="K872" s="1">
        <f t="shared" si="13"/>
        <v>2026</v>
      </c>
    </row>
    <row r="873" spans="2:11" x14ac:dyDescent="0.45">
      <c r="B873" s="1" t="s">
        <v>11</v>
      </c>
      <c r="C873" s="1" t="s">
        <v>880</v>
      </c>
      <c r="D873" s="7">
        <v>43359</v>
      </c>
      <c r="E873" s="7">
        <v>43378</v>
      </c>
      <c r="F873" s="7">
        <v>43534</v>
      </c>
      <c r="G873" s="1" t="s">
        <v>20</v>
      </c>
      <c r="H873" s="8">
        <v>44940897.350000001</v>
      </c>
      <c r="I873" s="8">
        <v>23883738.960000001</v>
      </c>
      <c r="J873" s="1">
        <f>IF(COUNTIF($C$4:C873,C873)=1,1,0)</f>
        <v>1</v>
      </c>
      <c r="K873" s="1">
        <f t="shared" si="13"/>
        <v>2018</v>
      </c>
    </row>
    <row r="874" spans="2:11" x14ac:dyDescent="0.45">
      <c r="B874" s="1" t="s">
        <v>11</v>
      </c>
      <c r="C874" s="1" t="s">
        <v>881</v>
      </c>
      <c r="D874" s="7">
        <v>44549</v>
      </c>
      <c r="E874" s="7">
        <v>44565</v>
      </c>
      <c r="F874" s="7">
        <v>44751</v>
      </c>
      <c r="G874" s="1" t="s">
        <v>41</v>
      </c>
      <c r="H874" s="8">
        <v>2157869</v>
      </c>
      <c r="I874" s="8">
        <v>1417163.17</v>
      </c>
      <c r="J874" s="1">
        <f>IF(COUNTIF($C$4:C874,C874)=1,1,0)</f>
        <v>1</v>
      </c>
      <c r="K874" s="1">
        <f t="shared" si="13"/>
        <v>2021</v>
      </c>
    </row>
    <row r="875" spans="2:11" x14ac:dyDescent="0.45">
      <c r="B875" s="1" t="s">
        <v>11</v>
      </c>
      <c r="C875" s="1" t="s">
        <v>882</v>
      </c>
      <c r="D875" s="7">
        <v>43800</v>
      </c>
      <c r="E875" s="7">
        <v>43827</v>
      </c>
      <c r="F875" s="7">
        <v>43902</v>
      </c>
      <c r="G875" s="1" t="s">
        <v>20</v>
      </c>
      <c r="H875" s="8">
        <v>1140096.6499999999</v>
      </c>
      <c r="I875" s="8">
        <v>771571.63</v>
      </c>
      <c r="J875" s="1">
        <f>IF(COUNTIF($C$4:C875,C875)=1,1,0)</f>
        <v>1</v>
      </c>
      <c r="K875" s="1">
        <f t="shared" si="13"/>
        <v>2019</v>
      </c>
    </row>
    <row r="876" spans="2:11" x14ac:dyDescent="0.45">
      <c r="B876" s="1" t="s">
        <v>11</v>
      </c>
      <c r="C876" s="1" t="s">
        <v>883</v>
      </c>
      <c r="D876" s="7">
        <v>44212</v>
      </c>
      <c r="E876" s="7">
        <v>44229</v>
      </c>
      <c r="F876" s="7">
        <v>44431</v>
      </c>
      <c r="G876" s="1" t="s">
        <v>44</v>
      </c>
      <c r="H876" s="8">
        <v>740137510.20000005</v>
      </c>
      <c r="I876" s="8">
        <v>471101693.95999998</v>
      </c>
      <c r="J876" s="1">
        <f>IF(COUNTIF($C$4:C876,C876)=1,1,0)</f>
        <v>1</v>
      </c>
      <c r="K876" s="1">
        <f t="shared" si="13"/>
        <v>2021</v>
      </c>
    </row>
    <row r="877" spans="2:11" x14ac:dyDescent="0.45">
      <c r="B877" s="1" t="s">
        <v>11</v>
      </c>
      <c r="C877" s="1" t="s">
        <v>884</v>
      </c>
      <c r="D877" s="7">
        <v>43661</v>
      </c>
      <c r="E877" s="7">
        <v>43664</v>
      </c>
      <c r="F877" s="7">
        <v>43821</v>
      </c>
      <c r="G877" s="1" t="s">
        <v>38</v>
      </c>
      <c r="H877" s="8">
        <v>923330.19</v>
      </c>
      <c r="I877" s="8">
        <v>580407.76</v>
      </c>
      <c r="J877" s="1">
        <f>IF(COUNTIF($C$4:C877,C877)=1,1,0)</f>
        <v>1</v>
      </c>
      <c r="K877" s="1">
        <f t="shared" si="13"/>
        <v>2019</v>
      </c>
    </row>
    <row r="878" spans="2:11" x14ac:dyDescent="0.45">
      <c r="B878" s="1" t="s">
        <v>11</v>
      </c>
      <c r="C878" s="1" t="s">
        <v>885</v>
      </c>
      <c r="D878" s="7">
        <v>46074</v>
      </c>
      <c r="E878" s="7">
        <v>46076</v>
      </c>
      <c r="F878" s="7">
        <v>46288</v>
      </c>
      <c r="G878" s="1" t="s">
        <v>20</v>
      </c>
      <c r="H878" s="8">
        <v>7563134.1799999997</v>
      </c>
      <c r="I878" s="8">
        <v>3941344.95</v>
      </c>
      <c r="J878" s="1">
        <f>IF(COUNTIF($C$4:C878,C878)=1,1,0)</f>
        <v>1</v>
      </c>
      <c r="K878" s="1">
        <f t="shared" si="13"/>
        <v>2026</v>
      </c>
    </row>
    <row r="879" spans="2:11" x14ac:dyDescent="0.45">
      <c r="B879" s="1" t="s">
        <v>11</v>
      </c>
      <c r="C879" s="1" t="s">
        <v>886</v>
      </c>
      <c r="D879" s="7">
        <v>45653</v>
      </c>
      <c r="E879" s="7">
        <v>45675</v>
      </c>
      <c r="F879" s="7">
        <v>45842</v>
      </c>
      <c r="G879" s="1" t="s">
        <v>16</v>
      </c>
      <c r="H879" s="8">
        <v>1566120.2</v>
      </c>
      <c r="I879" s="8">
        <v>970993.88</v>
      </c>
      <c r="J879" s="1">
        <f>IF(COUNTIF($C$4:C879,C879)=1,1,0)</f>
        <v>1</v>
      </c>
      <c r="K879" s="1">
        <f t="shared" si="13"/>
        <v>2024</v>
      </c>
    </row>
    <row r="880" spans="2:11" x14ac:dyDescent="0.45">
      <c r="B880" s="1" t="s">
        <v>11</v>
      </c>
      <c r="C880" s="1" t="s">
        <v>887</v>
      </c>
      <c r="D880" s="7">
        <v>45792</v>
      </c>
      <c r="E880" s="7">
        <v>45809</v>
      </c>
      <c r="F880" s="7">
        <v>46025</v>
      </c>
      <c r="G880" s="1" t="s">
        <v>41</v>
      </c>
      <c r="H880" s="8">
        <v>57879.74</v>
      </c>
      <c r="I880" s="8">
        <v>45951.72</v>
      </c>
      <c r="J880" s="1">
        <f>IF(COUNTIF($C$4:C880,C880)=1,1,0)</f>
        <v>1</v>
      </c>
      <c r="K880" s="1">
        <f t="shared" si="13"/>
        <v>2025</v>
      </c>
    </row>
    <row r="881" spans="2:11" x14ac:dyDescent="0.45">
      <c r="B881" s="1" t="s">
        <v>11</v>
      </c>
      <c r="C881" s="1" t="s">
        <v>888</v>
      </c>
      <c r="D881" s="7">
        <v>46077</v>
      </c>
      <c r="E881" s="7">
        <v>46081</v>
      </c>
      <c r="F881" s="7">
        <v>46165</v>
      </c>
      <c r="G881" s="1" t="s">
        <v>20</v>
      </c>
      <c r="H881" s="8">
        <v>669905.56000000006</v>
      </c>
      <c r="I881" s="8">
        <v>429382.3</v>
      </c>
      <c r="J881" s="1">
        <f>IF(COUNTIF($C$4:C881,C881)=1,1,0)</f>
        <v>1</v>
      </c>
      <c r="K881" s="1">
        <f t="shared" si="13"/>
        <v>2026</v>
      </c>
    </row>
    <row r="882" spans="2:11" x14ac:dyDescent="0.45">
      <c r="B882" s="1" t="s">
        <v>11</v>
      </c>
      <c r="C882" s="1" t="s">
        <v>889</v>
      </c>
      <c r="D882" s="7">
        <v>43717</v>
      </c>
      <c r="E882" s="7">
        <v>43736</v>
      </c>
      <c r="F882" s="7">
        <v>43841</v>
      </c>
      <c r="G882" s="1" t="s">
        <v>212</v>
      </c>
      <c r="H882" s="8">
        <v>6703505.7300000004</v>
      </c>
      <c r="I882" s="8">
        <v>4018882.97</v>
      </c>
      <c r="J882" s="1">
        <f>IF(COUNTIF($C$4:C882,C882)=1,1,0)</f>
        <v>1</v>
      </c>
      <c r="K882" s="1">
        <f t="shared" si="13"/>
        <v>2019</v>
      </c>
    </row>
    <row r="883" spans="2:11" x14ac:dyDescent="0.45">
      <c r="B883" s="1" t="s">
        <v>11</v>
      </c>
      <c r="C883" s="1" t="s">
        <v>890</v>
      </c>
      <c r="D883" s="7">
        <v>45290</v>
      </c>
      <c r="E883" s="7">
        <v>45316</v>
      </c>
      <c r="F883" s="7">
        <v>45492</v>
      </c>
      <c r="G883" s="1" t="s">
        <v>22</v>
      </c>
      <c r="H883" s="8">
        <v>39375080.420000002</v>
      </c>
      <c r="I883" s="8">
        <v>22466072.289999999</v>
      </c>
      <c r="J883" s="1">
        <f>IF(COUNTIF($C$4:C883,C883)=1,1,0)</f>
        <v>1</v>
      </c>
      <c r="K883" s="1">
        <f t="shared" si="13"/>
        <v>2023</v>
      </c>
    </row>
    <row r="884" spans="2:11" x14ac:dyDescent="0.45">
      <c r="B884" s="1" t="s">
        <v>11</v>
      </c>
      <c r="C884" s="1" t="s">
        <v>891</v>
      </c>
      <c r="D884" s="7">
        <v>43783</v>
      </c>
      <c r="E884" s="7">
        <v>43803</v>
      </c>
      <c r="F884" s="7">
        <v>43858</v>
      </c>
      <c r="G884" s="1" t="s">
        <v>41</v>
      </c>
      <c r="H884" s="8">
        <v>92998.67</v>
      </c>
      <c r="I884" s="8">
        <v>75872.06</v>
      </c>
      <c r="J884" s="1">
        <f>IF(COUNTIF($C$4:C884,C884)=1,1,0)</f>
        <v>1</v>
      </c>
      <c r="K884" s="1">
        <f t="shared" si="13"/>
        <v>2019</v>
      </c>
    </row>
    <row r="885" spans="2:11" x14ac:dyDescent="0.45">
      <c r="B885" s="1" t="s">
        <v>11</v>
      </c>
      <c r="C885" s="1" t="s">
        <v>892</v>
      </c>
      <c r="D885" s="7">
        <v>45830</v>
      </c>
      <c r="E885" s="7">
        <v>45830</v>
      </c>
      <c r="F885" s="7">
        <v>45970</v>
      </c>
      <c r="G885" s="1" t="s">
        <v>20</v>
      </c>
      <c r="H885" s="8">
        <v>3543864.38</v>
      </c>
      <c r="I885" s="8">
        <v>2688051.63</v>
      </c>
      <c r="J885" s="1">
        <f>IF(COUNTIF($C$4:C885,C885)=1,1,0)</f>
        <v>1</v>
      </c>
      <c r="K885" s="1">
        <f t="shared" si="13"/>
        <v>2025</v>
      </c>
    </row>
    <row r="886" spans="2:11" x14ac:dyDescent="0.45">
      <c r="B886" s="1" t="s">
        <v>11</v>
      </c>
      <c r="C886" s="1" t="s">
        <v>893</v>
      </c>
      <c r="D886" s="7">
        <v>45480</v>
      </c>
      <c r="E886" s="7">
        <v>45483</v>
      </c>
      <c r="F886" s="7">
        <v>45658</v>
      </c>
      <c r="G886" s="1" t="s">
        <v>41</v>
      </c>
      <c r="H886" s="8">
        <v>167870.02</v>
      </c>
      <c r="I886" s="8">
        <v>150469.74</v>
      </c>
      <c r="J886" s="1">
        <f>IF(COUNTIF($C$4:C886,C886)=1,1,0)</f>
        <v>1</v>
      </c>
      <c r="K886" s="1">
        <f t="shared" si="13"/>
        <v>2024</v>
      </c>
    </row>
    <row r="887" spans="2:11" x14ac:dyDescent="0.45">
      <c r="B887" s="1" t="s">
        <v>11</v>
      </c>
      <c r="C887" s="1" t="s">
        <v>894</v>
      </c>
      <c r="D887" s="7">
        <v>43351</v>
      </c>
      <c r="E887" s="7">
        <v>43357</v>
      </c>
      <c r="F887" s="7">
        <v>43398</v>
      </c>
      <c r="G887" s="1" t="s">
        <v>22</v>
      </c>
      <c r="H887" s="8">
        <v>107889098.59999999</v>
      </c>
      <c r="I887" s="8">
        <v>50002997.869999997</v>
      </c>
      <c r="J887" s="1">
        <f>IF(COUNTIF($C$4:C887,C887)=1,1,0)</f>
        <v>1</v>
      </c>
      <c r="K887" s="1">
        <f t="shared" si="13"/>
        <v>2018</v>
      </c>
    </row>
    <row r="888" spans="2:11" x14ac:dyDescent="0.45">
      <c r="B888" s="1" t="s">
        <v>11</v>
      </c>
      <c r="C888" s="1" t="s">
        <v>895</v>
      </c>
      <c r="D888" s="7">
        <v>44995</v>
      </c>
      <c r="E888" s="7">
        <v>45000</v>
      </c>
      <c r="F888" s="7">
        <v>45109</v>
      </c>
      <c r="G888" s="1" t="s">
        <v>22</v>
      </c>
      <c r="H888" s="8">
        <v>794685.46</v>
      </c>
      <c r="I888" s="8">
        <v>354314.39</v>
      </c>
      <c r="J888" s="1">
        <f>IF(COUNTIF($C$4:C888,C888)=1,1,0)</f>
        <v>1</v>
      </c>
      <c r="K888" s="1">
        <f t="shared" si="13"/>
        <v>2023</v>
      </c>
    </row>
    <row r="889" spans="2:11" x14ac:dyDescent="0.45">
      <c r="B889" s="1" t="s">
        <v>11</v>
      </c>
      <c r="C889" s="1" t="s">
        <v>896</v>
      </c>
      <c r="D889" s="7">
        <v>44556</v>
      </c>
      <c r="E889" s="7">
        <v>44556</v>
      </c>
      <c r="F889" s="7">
        <v>44791</v>
      </c>
      <c r="G889" s="1" t="s">
        <v>212</v>
      </c>
      <c r="H889" s="8">
        <v>76621024.5</v>
      </c>
      <c r="I889" s="8">
        <v>29148300.739999998</v>
      </c>
      <c r="J889" s="1">
        <f>IF(COUNTIF($C$4:C889,C889)=1,1,0)</f>
        <v>1</v>
      </c>
      <c r="K889" s="1">
        <f t="shared" si="13"/>
        <v>2021</v>
      </c>
    </row>
    <row r="890" spans="2:11" x14ac:dyDescent="0.45">
      <c r="B890" s="1" t="s">
        <v>11</v>
      </c>
      <c r="C890" s="1" t="s">
        <v>897</v>
      </c>
      <c r="D890" s="7">
        <v>44447</v>
      </c>
      <c r="E890" s="7">
        <v>44462</v>
      </c>
      <c r="F890" s="7">
        <v>44542</v>
      </c>
      <c r="G890" s="1" t="s">
        <v>20</v>
      </c>
      <c r="H890" s="8">
        <v>1359371.84</v>
      </c>
      <c r="I890" s="8">
        <v>970619.28</v>
      </c>
      <c r="J890" s="1">
        <f>IF(COUNTIF($C$4:C890,C890)=1,1,0)</f>
        <v>1</v>
      </c>
      <c r="K890" s="1">
        <f t="shared" si="13"/>
        <v>2021</v>
      </c>
    </row>
    <row r="891" spans="2:11" x14ac:dyDescent="0.45">
      <c r="B891" s="1" t="s">
        <v>11</v>
      </c>
      <c r="C891" s="1" t="s">
        <v>898</v>
      </c>
      <c r="D891" s="7">
        <v>44892</v>
      </c>
      <c r="E891" s="7">
        <v>44911</v>
      </c>
      <c r="F891" s="7">
        <v>44933</v>
      </c>
      <c r="G891" s="1" t="s">
        <v>22</v>
      </c>
      <c r="H891" s="8">
        <v>69839088.060000002</v>
      </c>
      <c r="I891" s="8">
        <v>52547290.82</v>
      </c>
      <c r="J891" s="1">
        <f>IF(COUNTIF($C$4:C891,C891)=1,1,0)</f>
        <v>1</v>
      </c>
      <c r="K891" s="1">
        <f t="shared" si="13"/>
        <v>2022</v>
      </c>
    </row>
    <row r="892" spans="2:11" x14ac:dyDescent="0.45">
      <c r="B892" s="1" t="s">
        <v>11</v>
      </c>
      <c r="C892" s="1" t="s">
        <v>899</v>
      </c>
      <c r="D892" s="7">
        <v>44702</v>
      </c>
      <c r="E892" s="7">
        <v>44726</v>
      </c>
      <c r="F892" s="7">
        <v>44911</v>
      </c>
      <c r="G892" s="1" t="s">
        <v>44</v>
      </c>
      <c r="H892" s="8">
        <v>29119854.949999999</v>
      </c>
      <c r="I892" s="8">
        <v>18426172.809999999</v>
      </c>
      <c r="J892" s="1">
        <f>IF(COUNTIF($C$4:C892,C892)=1,1,0)</f>
        <v>1</v>
      </c>
      <c r="K892" s="1">
        <f t="shared" si="13"/>
        <v>2022</v>
      </c>
    </row>
    <row r="893" spans="2:11" x14ac:dyDescent="0.45">
      <c r="B893" s="1" t="s">
        <v>11</v>
      </c>
      <c r="C893" s="1" t="s">
        <v>900</v>
      </c>
      <c r="D893" s="7">
        <v>43822</v>
      </c>
      <c r="E893" s="7">
        <v>43823</v>
      </c>
      <c r="F893" s="7">
        <v>43880</v>
      </c>
      <c r="G893" s="1" t="s">
        <v>20</v>
      </c>
      <c r="H893" s="8">
        <v>117318706.25</v>
      </c>
      <c r="I893" s="8">
        <v>71314005.090000004</v>
      </c>
      <c r="J893" s="1">
        <f>IF(COUNTIF($C$4:C893,C893)=1,1,0)</f>
        <v>1</v>
      </c>
      <c r="K893" s="1">
        <f t="shared" si="13"/>
        <v>2019</v>
      </c>
    </row>
    <row r="894" spans="2:11" x14ac:dyDescent="0.45">
      <c r="B894" s="1" t="s">
        <v>11</v>
      </c>
      <c r="C894" s="1" t="s">
        <v>901</v>
      </c>
      <c r="D894" s="7">
        <v>45236</v>
      </c>
      <c r="E894" s="7">
        <v>45237</v>
      </c>
      <c r="F894" s="7">
        <v>45396</v>
      </c>
      <c r="G894" s="1" t="s">
        <v>44</v>
      </c>
      <c r="H894" s="8">
        <v>327651395.35000002</v>
      </c>
      <c r="I894" s="8">
        <v>166945475.43000001</v>
      </c>
      <c r="J894" s="1">
        <f>IF(COUNTIF($C$4:C894,C894)=1,1,0)</f>
        <v>1</v>
      </c>
      <c r="K894" s="1">
        <f t="shared" si="13"/>
        <v>2023</v>
      </c>
    </row>
    <row r="895" spans="2:11" x14ac:dyDescent="0.45">
      <c r="B895" s="1" t="s">
        <v>11</v>
      </c>
      <c r="C895" s="1" t="s">
        <v>902</v>
      </c>
      <c r="D895" s="7">
        <v>44756</v>
      </c>
      <c r="E895" s="7">
        <v>44763</v>
      </c>
      <c r="F895" s="7">
        <v>44803</v>
      </c>
      <c r="G895" s="1" t="s">
        <v>41</v>
      </c>
      <c r="H895" s="8">
        <v>70111.77</v>
      </c>
      <c r="I895" s="8">
        <v>51762.44</v>
      </c>
      <c r="J895" s="1">
        <f>IF(COUNTIF($C$4:C895,C895)=1,1,0)</f>
        <v>1</v>
      </c>
      <c r="K895" s="1">
        <f t="shared" si="13"/>
        <v>2022</v>
      </c>
    </row>
    <row r="896" spans="2:11" x14ac:dyDescent="0.45">
      <c r="B896" s="1" t="s">
        <v>11</v>
      </c>
      <c r="C896" s="1" t="s">
        <v>903</v>
      </c>
      <c r="D896" s="7">
        <v>44101</v>
      </c>
      <c r="E896" s="7">
        <v>44115</v>
      </c>
      <c r="F896" s="7">
        <v>44297</v>
      </c>
      <c r="G896" s="1" t="s">
        <v>41</v>
      </c>
      <c r="H896" s="8">
        <v>27809.62</v>
      </c>
      <c r="I896" s="8">
        <v>20168.07</v>
      </c>
      <c r="J896" s="1">
        <f>IF(COUNTIF($C$4:C896,C896)=1,1,0)</f>
        <v>1</v>
      </c>
      <c r="K896" s="1">
        <f t="shared" si="13"/>
        <v>2020</v>
      </c>
    </row>
    <row r="897" spans="2:11" x14ac:dyDescent="0.45">
      <c r="B897" s="1" t="s">
        <v>11</v>
      </c>
      <c r="C897" s="1" t="s">
        <v>904</v>
      </c>
      <c r="D897" s="7">
        <v>43458</v>
      </c>
      <c r="E897" s="7">
        <v>43479</v>
      </c>
      <c r="F897" s="7">
        <v>43678</v>
      </c>
      <c r="G897" s="1" t="s">
        <v>22</v>
      </c>
      <c r="H897" s="8">
        <v>11071816.17</v>
      </c>
      <c r="I897" s="8">
        <v>5445151.96</v>
      </c>
      <c r="J897" s="1">
        <f>IF(COUNTIF($C$4:C897,C897)=1,1,0)</f>
        <v>1</v>
      </c>
      <c r="K897" s="1">
        <f t="shared" si="13"/>
        <v>2018</v>
      </c>
    </row>
    <row r="898" spans="2:11" x14ac:dyDescent="0.45">
      <c r="B898" s="1" t="s">
        <v>11</v>
      </c>
      <c r="C898" s="1" t="s">
        <v>905</v>
      </c>
      <c r="D898" s="7">
        <v>46164</v>
      </c>
      <c r="E898" s="7">
        <v>46179</v>
      </c>
      <c r="F898" s="7">
        <v>46307</v>
      </c>
      <c r="G898" s="1" t="s">
        <v>20</v>
      </c>
      <c r="H898" s="8">
        <v>19557586.390000001</v>
      </c>
      <c r="I898" s="8">
        <v>8882750.7699999996</v>
      </c>
      <c r="J898" s="1">
        <f>IF(COUNTIF($C$4:C898,C898)=1,1,0)</f>
        <v>1</v>
      </c>
      <c r="K898" s="1">
        <f t="shared" si="13"/>
        <v>2026</v>
      </c>
    </row>
    <row r="899" spans="2:11" x14ac:dyDescent="0.45">
      <c r="B899" s="1" t="s">
        <v>11</v>
      </c>
      <c r="C899" s="1" t="s">
        <v>906</v>
      </c>
      <c r="D899" s="7">
        <v>43144</v>
      </c>
      <c r="E899" s="7">
        <v>43150</v>
      </c>
      <c r="F899" s="7">
        <v>43291</v>
      </c>
      <c r="G899" s="1" t="s">
        <v>20</v>
      </c>
      <c r="H899" s="8">
        <v>65415373.109999999</v>
      </c>
      <c r="I899" s="8">
        <v>34362426.159999996</v>
      </c>
      <c r="J899" s="1">
        <f>IF(COUNTIF($C$4:C899,C899)=1,1,0)</f>
        <v>1</v>
      </c>
      <c r="K899" s="1">
        <f t="shared" si="13"/>
        <v>2018</v>
      </c>
    </row>
    <row r="900" spans="2:11" x14ac:dyDescent="0.45">
      <c r="B900" s="1" t="s">
        <v>11</v>
      </c>
      <c r="C900" s="1" t="s">
        <v>907</v>
      </c>
      <c r="D900" s="7">
        <v>44239</v>
      </c>
      <c r="E900" s="7">
        <v>44260</v>
      </c>
      <c r="F900" s="7">
        <v>44396</v>
      </c>
      <c r="G900" s="1" t="s">
        <v>20</v>
      </c>
      <c r="H900" s="8">
        <v>114437534.87</v>
      </c>
      <c r="I900" s="8">
        <v>78318042.5</v>
      </c>
      <c r="J900" s="1">
        <f>IF(COUNTIF($C$4:C900,C900)=1,1,0)</f>
        <v>1</v>
      </c>
      <c r="K900" s="1">
        <f t="shared" si="13"/>
        <v>2021</v>
      </c>
    </row>
    <row r="901" spans="2:11" x14ac:dyDescent="0.45">
      <c r="B901" s="1" t="s">
        <v>11</v>
      </c>
      <c r="C901" s="1" t="s">
        <v>908</v>
      </c>
      <c r="D901" s="7">
        <v>46098</v>
      </c>
      <c r="E901" s="7">
        <v>46102</v>
      </c>
      <c r="F901" s="7">
        <v>46154</v>
      </c>
      <c r="G901" s="1" t="s">
        <v>44</v>
      </c>
      <c r="H901" s="8">
        <v>105689814.79000001</v>
      </c>
      <c r="I901" s="8">
        <v>72544564.5</v>
      </c>
      <c r="J901" s="1">
        <f>IF(COUNTIF($C$4:C901,C901)=1,1,0)</f>
        <v>1</v>
      </c>
      <c r="K901" s="1">
        <f t="shared" ref="K901:K964" si="14">YEAR(D901)</f>
        <v>2026</v>
      </c>
    </row>
    <row r="902" spans="2:11" x14ac:dyDescent="0.45">
      <c r="B902" s="1" t="s">
        <v>11</v>
      </c>
      <c r="C902" s="1" t="s">
        <v>909</v>
      </c>
      <c r="D902" s="7">
        <v>44393</v>
      </c>
      <c r="E902" s="7">
        <v>44412</v>
      </c>
      <c r="F902" s="7">
        <v>44586</v>
      </c>
      <c r="G902" s="1" t="s">
        <v>38</v>
      </c>
      <c r="H902" s="8">
        <v>523586.22</v>
      </c>
      <c r="I902" s="8">
        <v>347619</v>
      </c>
      <c r="J902" s="1">
        <f>IF(COUNTIF($C$4:C902,C902)=1,1,0)</f>
        <v>1</v>
      </c>
      <c r="K902" s="1">
        <f t="shared" si="14"/>
        <v>2021</v>
      </c>
    </row>
    <row r="903" spans="2:11" x14ac:dyDescent="0.45">
      <c r="B903" s="1" t="s">
        <v>11</v>
      </c>
      <c r="C903" s="1" t="s">
        <v>910</v>
      </c>
      <c r="D903" s="7">
        <v>45138</v>
      </c>
      <c r="E903" s="7">
        <v>45138</v>
      </c>
      <c r="F903" s="7">
        <v>45299</v>
      </c>
      <c r="G903" s="1" t="s">
        <v>16</v>
      </c>
      <c r="H903" s="8">
        <v>278441.49</v>
      </c>
      <c r="I903" s="8">
        <v>184952.49</v>
      </c>
      <c r="J903" s="1">
        <f>IF(COUNTIF($C$4:C903,C903)=1,1,0)</f>
        <v>1</v>
      </c>
      <c r="K903" s="1">
        <f t="shared" si="14"/>
        <v>2023</v>
      </c>
    </row>
    <row r="904" spans="2:11" x14ac:dyDescent="0.45">
      <c r="B904" s="1" t="s">
        <v>11</v>
      </c>
      <c r="C904" s="1" t="s">
        <v>911</v>
      </c>
      <c r="D904" s="7">
        <v>44349</v>
      </c>
      <c r="E904" s="7">
        <v>44378</v>
      </c>
      <c r="F904" s="7">
        <v>44462</v>
      </c>
      <c r="G904" s="1" t="s">
        <v>44</v>
      </c>
      <c r="H904" s="8">
        <v>524666210.20999998</v>
      </c>
      <c r="I904" s="8">
        <v>326058967.25</v>
      </c>
      <c r="J904" s="1">
        <f>IF(COUNTIF($C$4:C904,C904)=1,1,0)</f>
        <v>1</v>
      </c>
      <c r="K904" s="1">
        <f t="shared" si="14"/>
        <v>2021</v>
      </c>
    </row>
    <row r="905" spans="2:11" x14ac:dyDescent="0.45">
      <c r="B905" s="1" t="s">
        <v>11</v>
      </c>
      <c r="C905" s="1" t="s">
        <v>912</v>
      </c>
      <c r="D905" s="7">
        <v>44252</v>
      </c>
      <c r="E905" s="7">
        <v>44263</v>
      </c>
      <c r="F905" s="7">
        <v>44392</v>
      </c>
      <c r="G905" s="1" t="s">
        <v>20</v>
      </c>
      <c r="H905" s="8">
        <v>754447.51</v>
      </c>
      <c r="I905" s="8">
        <v>386821.41</v>
      </c>
      <c r="J905" s="1">
        <f>IF(COUNTIF($C$4:C905,C905)=1,1,0)</f>
        <v>1</v>
      </c>
      <c r="K905" s="1">
        <f t="shared" si="14"/>
        <v>2021</v>
      </c>
    </row>
    <row r="906" spans="2:11" x14ac:dyDescent="0.45">
      <c r="B906" s="1" t="s">
        <v>11</v>
      </c>
      <c r="C906" s="1" t="s">
        <v>913</v>
      </c>
      <c r="D906" s="7">
        <v>45961</v>
      </c>
      <c r="E906" s="7">
        <v>45982</v>
      </c>
      <c r="F906" s="7">
        <v>46086</v>
      </c>
      <c r="G906" s="1" t="s">
        <v>22</v>
      </c>
      <c r="H906" s="8">
        <v>5598415.25</v>
      </c>
      <c r="I906" s="8">
        <v>3222180.31</v>
      </c>
      <c r="J906" s="1">
        <f>IF(COUNTIF($C$4:C906,C906)=1,1,0)</f>
        <v>1</v>
      </c>
      <c r="K906" s="1">
        <f t="shared" si="14"/>
        <v>2025</v>
      </c>
    </row>
    <row r="907" spans="2:11" x14ac:dyDescent="0.45">
      <c r="B907" s="1" t="s">
        <v>11</v>
      </c>
      <c r="C907" s="1" t="s">
        <v>914</v>
      </c>
      <c r="D907" s="7">
        <v>43395</v>
      </c>
      <c r="E907" s="7">
        <v>43417</v>
      </c>
      <c r="F907" s="7">
        <v>43498</v>
      </c>
      <c r="G907" s="1" t="s">
        <v>16</v>
      </c>
      <c r="H907" s="8">
        <v>213557.83</v>
      </c>
      <c r="I907" s="8">
        <v>149752.99</v>
      </c>
      <c r="J907" s="1">
        <f>IF(COUNTIF($C$4:C907,C907)=1,1,0)</f>
        <v>1</v>
      </c>
      <c r="K907" s="1">
        <f t="shared" si="14"/>
        <v>2018</v>
      </c>
    </row>
    <row r="908" spans="2:11" x14ac:dyDescent="0.45">
      <c r="B908" s="1" t="s">
        <v>11</v>
      </c>
      <c r="C908" s="1" t="s">
        <v>915</v>
      </c>
      <c r="D908" s="7">
        <v>45640</v>
      </c>
      <c r="E908" s="7">
        <v>45663</v>
      </c>
      <c r="F908" s="7">
        <v>45854</v>
      </c>
      <c r="G908" s="1" t="s">
        <v>212</v>
      </c>
      <c r="H908" s="8">
        <v>41671821.450000003</v>
      </c>
      <c r="I908" s="8">
        <v>30173597.309999999</v>
      </c>
      <c r="J908" s="1">
        <f>IF(COUNTIF($C$4:C908,C908)=1,1,0)</f>
        <v>1</v>
      </c>
      <c r="K908" s="1">
        <f t="shared" si="14"/>
        <v>2024</v>
      </c>
    </row>
    <row r="909" spans="2:11" x14ac:dyDescent="0.45">
      <c r="B909" s="1" t="s">
        <v>11</v>
      </c>
      <c r="C909" s="1" t="s">
        <v>916</v>
      </c>
      <c r="D909" s="7">
        <v>46027</v>
      </c>
      <c r="E909" s="7">
        <v>46045</v>
      </c>
      <c r="F909" s="7">
        <v>46273</v>
      </c>
      <c r="G909" s="1" t="s">
        <v>20</v>
      </c>
      <c r="H909" s="8">
        <v>203830834.03</v>
      </c>
      <c r="I909" s="8">
        <v>85840690.640000001</v>
      </c>
      <c r="J909" s="1">
        <f>IF(COUNTIF($C$4:C909,C909)=1,1,0)</f>
        <v>1</v>
      </c>
      <c r="K909" s="1">
        <f t="shared" si="14"/>
        <v>2026</v>
      </c>
    </row>
    <row r="910" spans="2:11" x14ac:dyDescent="0.45">
      <c r="B910" s="1" t="s">
        <v>11</v>
      </c>
      <c r="C910" s="1" t="s">
        <v>917</v>
      </c>
      <c r="D910" s="7">
        <v>43962</v>
      </c>
      <c r="E910" s="7">
        <v>43964</v>
      </c>
      <c r="F910" s="7">
        <v>44059</v>
      </c>
      <c r="G910" s="1" t="s">
        <v>20</v>
      </c>
      <c r="H910" s="8">
        <v>943008.57</v>
      </c>
      <c r="I910" s="8">
        <v>706829.99</v>
      </c>
      <c r="J910" s="1">
        <f>IF(COUNTIF($C$4:C910,C910)=1,1,0)</f>
        <v>1</v>
      </c>
      <c r="K910" s="1">
        <f t="shared" si="14"/>
        <v>2020</v>
      </c>
    </row>
    <row r="911" spans="2:11" x14ac:dyDescent="0.45">
      <c r="B911" s="1" t="s">
        <v>11</v>
      </c>
      <c r="C911" s="1" t="s">
        <v>918</v>
      </c>
      <c r="D911" s="7">
        <v>43746</v>
      </c>
      <c r="E911" s="7">
        <v>43761</v>
      </c>
      <c r="F911" s="7">
        <v>43784</v>
      </c>
      <c r="G911" s="1" t="s">
        <v>41</v>
      </c>
      <c r="H911" s="8">
        <v>33940.75</v>
      </c>
      <c r="I911" s="8">
        <v>22284.41</v>
      </c>
      <c r="J911" s="1">
        <f>IF(COUNTIF($C$4:C911,C911)=1,1,0)</f>
        <v>1</v>
      </c>
      <c r="K911" s="1">
        <f t="shared" si="14"/>
        <v>2019</v>
      </c>
    </row>
    <row r="912" spans="2:11" x14ac:dyDescent="0.45">
      <c r="B912" s="1" t="s">
        <v>11</v>
      </c>
      <c r="C912" s="1" t="s">
        <v>919</v>
      </c>
      <c r="D912" s="7">
        <v>44231</v>
      </c>
      <c r="E912" s="7">
        <v>44256</v>
      </c>
      <c r="F912" s="7">
        <v>44375</v>
      </c>
      <c r="G912" s="1" t="s">
        <v>20</v>
      </c>
      <c r="H912" s="8">
        <v>1698194.87</v>
      </c>
      <c r="I912" s="8">
        <v>1146677.97</v>
      </c>
      <c r="J912" s="1">
        <f>IF(COUNTIF($C$4:C912,C912)=1,1,0)</f>
        <v>1</v>
      </c>
      <c r="K912" s="1">
        <f t="shared" si="14"/>
        <v>2021</v>
      </c>
    </row>
    <row r="913" spans="2:11" x14ac:dyDescent="0.45">
      <c r="B913" s="1" t="s">
        <v>11</v>
      </c>
      <c r="C913" s="1" t="s">
        <v>920</v>
      </c>
      <c r="D913" s="7">
        <v>43623</v>
      </c>
      <c r="E913" s="7">
        <v>43642</v>
      </c>
      <c r="F913" s="7">
        <v>43838</v>
      </c>
      <c r="G913" s="1" t="s">
        <v>22</v>
      </c>
      <c r="H913" s="8">
        <v>2718313.63</v>
      </c>
      <c r="I913" s="8">
        <v>1474549.11</v>
      </c>
      <c r="J913" s="1">
        <f>IF(COUNTIF($C$4:C913,C913)=1,1,0)</f>
        <v>1</v>
      </c>
      <c r="K913" s="1">
        <f t="shared" si="14"/>
        <v>2019</v>
      </c>
    </row>
    <row r="914" spans="2:11" x14ac:dyDescent="0.45">
      <c r="B914" s="1" t="s">
        <v>11</v>
      </c>
      <c r="C914" s="1" t="s">
        <v>921</v>
      </c>
      <c r="D914" s="7">
        <v>44742</v>
      </c>
      <c r="E914" s="7">
        <v>44743</v>
      </c>
      <c r="F914" s="7">
        <v>44923</v>
      </c>
      <c r="G914" s="1" t="s">
        <v>44</v>
      </c>
      <c r="H914" s="8">
        <v>41675217.090000004</v>
      </c>
      <c r="I914" s="8">
        <v>30044748.370000001</v>
      </c>
      <c r="J914" s="1">
        <f>IF(COUNTIF($C$4:C914,C914)=1,1,0)</f>
        <v>1</v>
      </c>
      <c r="K914" s="1">
        <f t="shared" si="14"/>
        <v>2022</v>
      </c>
    </row>
    <row r="915" spans="2:11" x14ac:dyDescent="0.45">
      <c r="B915" s="1" t="s">
        <v>11</v>
      </c>
      <c r="C915" s="1" t="s">
        <v>922</v>
      </c>
      <c r="D915" s="7">
        <v>44876</v>
      </c>
      <c r="E915" s="7">
        <v>44905</v>
      </c>
      <c r="F915" s="7">
        <v>44965</v>
      </c>
      <c r="G915" s="1" t="s">
        <v>212</v>
      </c>
      <c r="H915" s="8">
        <v>28479425.210000001</v>
      </c>
      <c r="I915" s="8">
        <v>13490774.26</v>
      </c>
      <c r="J915" s="1">
        <f>IF(COUNTIF($C$4:C915,C915)=1,1,0)</f>
        <v>1</v>
      </c>
      <c r="K915" s="1">
        <f t="shared" si="14"/>
        <v>2022</v>
      </c>
    </row>
    <row r="916" spans="2:11" x14ac:dyDescent="0.45">
      <c r="B916" s="1" t="s">
        <v>11</v>
      </c>
      <c r="C916" s="1" t="s">
        <v>923</v>
      </c>
      <c r="D916" s="7">
        <v>43739</v>
      </c>
      <c r="E916" s="7">
        <v>43750</v>
      </c>
      <c r="F916" s="7">
        <v>43922</v>
      </c>
      <c r="G916" s="1" t="s">
        <v>41</v>
      </c>
      <c r="H916" s="8">
        <v>32644.17</v>
      </c>
      <c r="I916" s="8">
        <v>28359.79</v>
      </c>
      <c r="J916" s="1">
        <f>IF(COUNTIF($C$4:C916,C916)=1,1,0)</f>
        <v>1</v>
      </c>
      <c r="K916" s="1">
        <f t="shared" si="14"/>
        <v>2019</v>
      </c>
    </row>
    <row r="917" spans="2:11" x14ac:dyDescent="0.45">
      <c r="B917" s="1" t="s">
        <v>11</v>
      </c>
      <c r="C917" s="1" t="s">
        <v>924</v>
      </c>
      <c r="D917" s="7">
        <v>44792</v>
      </c>
      <c r="E917" s="7">
        <v>44821</v>
      </c>
      <c r="F917" s="7">
        <v>44873</v>
      </c>
      <c r="G917" s="1" t="s">
        <v>20</v>
      </c>
      <c r="H917" s="8">
        <v>55464245.329999998</v>
      </c>
      <c r="I917" s="8">
        <v>38239844.450000003</v>
      </c>
      <c r="J917" s="1">
        <f>IF(COUNTIF($C$4:C917,C917)=1,1,0)</f>
        <v>1</v>
      </c>
      <c r="K917" s="1">
        <f t="shared" si="14"/>
        <v>2022</v>
      </c>
    </row>
    <row r="918" spans="2:11" x14ac:dyDescent="0.45">
      <c r="B918" s="1" t="s">
        <v>11</v>
      </c>
      <c r="C918" s="1" t="s">
        <v>925</v>
      </c>
      <c r="D918" s="7">
        <v>44708</v>
      </c>
      <c r="E918" s="7">
        <v>44712</v>
      </c>
      <c r="F918" s="7">
        <v>44786</v>
      </c>
      <c r="G918" s="1" t="s">
        <v>44</v>
      </c>
      <c r="H918" s="8">
        <v>47036486.380000003</v>
      </c>
      <c r="I918" s="8">
        <v>33546163.739999998</v>
      </c>
      <c r="J918" s="1">
        <f>IF(COUNTIF($C$4:C918,C918)=1,1,0)</f>
        <v>1</v>
      </c>
      <c r="K918" s="1">
        <f t="shared" si="14"/>
        <v>2022</v>
      </c>
    </row>
    <row r="919" spans="2:11" x14ac:dyDescent="0.45">
      <c r="B919" s="1" t="s">
        <v>11</v>
      </c>
      <c r="C919" s="1" t="s">
        <v>926</v>
      </c>
      <c r="D919" s="7">
        <v>43192</v>
      </c>
      <c r="E919" s="7">
        <v>43220</v>
      </c>
      <c r="F919" s="7">
        <v>43342</v>
      </c>
      <c r="G919" s="1" t="s">
        <v>16</v>
      </c>
      <c r="H919" s="8">
        <v>1941165.41</v>
      </c>
      <c r="I919" s="8">
        <v>1362654.62</v>
      </c>
      <c r="J919" s="1">
        <f>IF(COUNTIF($C$4:C919,C919)=1,1,0)</f>
        <v>1</v>
      </c>
      <c r="K919" s="1">
        <f t="shared" si="14"/>
        <v>2018</v>
      </c>
    </row>
    <row r="920" spans="2:11" x14ac:dyDescent="0.45">
      <c r="B920" s="1" t="s">
        <v>11</v>
      </c>
      <c r="C920" s="1" t="s">
        <v>927</v>
      </c>
      <c r="D920" s="7">
        <v>44978</v>
      </c>
      <c r="E920" s="7">
        <v>45002</v>
      </c>
      <c r="F920" s="7">
        <v>45039</v>
      </c>
      <c r="G920" s="1" t="s">
        <v>41</v>
      </c>
      <c r="H920" s="8">
        <v>27983.83</v>
      </c>
      <c r="I920" s="8">
        <v>21243.49</v>
      </c>
      <c r="J920" s="1">
        <f>IF(COUNTIF($C$4:C920,C920)=1,1,0)</f>
        <v>1</v>
      </c>
      <c r="K920" s="1">
        <f t="shared" si="14"/>
        <v>2023</v>
      </c>
    </row>
    <row r="921" spans="2:11" x14ac:dyDescent="0.45">
      <c r="B921" s="1" t="s">
        <v>11</v>
      </c>
      <c r="C921" s="1" t="s">
        <v>928</v>
      </c>
      <c r="D921" s="7">
        <v>44620</v>
      </c>
      <c r="E921" s="7">
        <v>44641</v>
      </c>
      <c r="F921" s="7">
        <v>44767</v>
      </c>
      <c r="G921" s="1" t="s">
        <v>18</v>
      </c>
      <c r="H921" s="8">
        <v>4106953.54</v>
      </c>
      <c r="I921" s="8">
        <v>2767349.36</v>
      </c>
      <c r="J921" s="1">
        <f>IF(COUNTIF($C$4:C921,C921)=1,1,0)</f>
        <v>1</v>
      </c>
      <c r="K921" s="1">
        <f t="shared" si="14"/>
        <v>2022</v>
      </c>
    </row>
    <row r="922" spans="2:11" x14ac:dyDescent="0.45">
      <c r="B922" s="1" t="s">
        <v>11</v>
      </c>
      <c r="C922" s="1" t="s">
        <v>929</v>
      </c>
      <c r="D922" s="7">
        <v>45609</v>
      </c>
      <c r="E922" s="7">
        <v>45621</v>
      </c>
      <c r="F922" s="7">
        <v>45851</v>
      </c>
      <c r="G922" s="1" t="s">
        <v>22</v>
      </c>
      <c r="H922" s="8">
        <v>6169935.1299999999</v>
      </c>
      <c r="I922" s="8">
        <v>3339507.17</v>
      </c>
      <c r="J922" s="1">
        <f>IF(COUNTIF($C$4:C922,C922)=1,1,0)</f>
        <v>1</v>
      </c>
      <c r="K922" s="1">
        <f t="shared" si="14"/>
        <v>2024</v>
      </c>
    </row>
    <row r="923" spans="2:11" x14ac:dyDescent="0.45">
      <c r="B923" s="1" t="s">
        <v>11</v>
      </c>
      <c r="C923" s="1" t="s">
        <v>930</v>
      </c>
      <c r="D923" s="7">
        <v>43533</v>
      </c>
      <c r="E923" s="7">
        <v>43535</v>
      </c>
      <c r="F923" s="7">
        <v>43602</v>
      </c>
      <c r="G923" s="1" t="s">
        <v>16</v>
      </c>
      <c r="H923" s="8">
        <v>865900.12</v>
      </c>
      <c r="I923" s="8">
        <v>574901.79</v>
      </c>
      <c r="J923" s="1">
        <f>IF(COUNTIF($C$4:C923,C923)=1,1,0)</f>
        <v>1</v>
      </c>
      <c r="K923" s="1">
        <f t="shared" si="14"/>
        <v>2019</v>
      </c>
    </row>
    <row r="924" spans="2:11" x14ac:dyDescent="0.45">
      <c r="B924" s="1" t="s">
        <v>11</v>
      </c>
      <c r="C924" s="1" t="s">
        <v>931</v>
      </c>
      <c r="D924" s="7">
        <v>45916</v>
      </c>
      <c r="E924" s="7">
        <v>45946</v>
      </c>
      <c r="F924" s="7">
        <v>46184</v>
      </c>
      <c r="G924" s="1" t="s">
        <v>44</v>
      </c>
      <c r="H924" s="8">
        <v>165980181.49000001</v>
      </c>
      <c r="I924" s="8">
        <v>56980024.780000001</v>
      </c>
      <c r="J924" s="1">
        <f>IF(COUNTIF($C$4:C924,C924)=1,1,0)</f>
        <v>1</v>
      </c>
      <c r="K924" s="1">
        <f t="shared" si="14"/>
        <v>2025</v>
      </c>
    </row>
    <row r="925" spans="2:11" x14ac:dyDescent="0.45">
      <c r="B925" s="1" t="s">
        <v>11</v>
      </c>
      <c r="C925" s="1" t="s">
        <v>932</v>
      </c>
      <c r="D925" s="7">
        <v>43768</v>
      </c>
      <c r="E925" s="7">
        <v>43776</v>
      </c>
      <c r="F925" s="7">
        <v>43794</v>
      </c>
      <c r="G925" s="1" t="s">
        <v>20</v>
      </c>
      <c r="H925" s="8">
        <v>32067084.190000001</v>
      </c>
      <c r="I925" s="8">
        <v>19506451.280000001</v>
      </c>
      <c r="J925" s="1">
        <f>IF(COUNTIF($C$4:C925,C925)=1,1,0)</f>
        <v>1</v>
      </c>
      <c r="K925" s="1">
        <f t="shared" si="14"/>
        <v>2019</v>
      </c>
    </row>
    <row r="926" spans="2:11" x14ac:dyDescent="0.45">
      <c r="B926" s="1" t="s">
        <v>11</v>
      </c>
      <c r="C926" s="1" t="s">
        <v>933</v>
      </c>
      <c r="D926" s="7">
        <v>43491</v>
      </c>
      <c r="E926" s="7">
        <v>43515</v>
      </c>
      <c r="F926" s="7">
        <v>43576</v>
      </c>
      <c r="G926" s="1" t="s">
        <v>20</v>
      </c>
      <c r="H926" s="8">
        <v>10492926.939999999</v>
      </c>
      <c r="I926" s="8">
        <v>7651926.7300000004</v>
      </c>
      <c r="J926" s="1">
        <f>IF(COUNTIF($C$4:C926,C926)=1,1,0)</f>
        <v>1</v>
      </c>
      <c r="K926" s="1">
        <f t="shared" si="14"/>
        <v>2019</v>
      </c>
    </row>
    <row r="927" spans="2:11" x14ac:dyDescent="0.45">
      <c r="B927" s="1" t="s">
        <v>11</v>
      </c>
      <c r="C927" s="1" t="s">
        <v>934</v>
      </c>
      <c r="D927" s="7">
        <v>45669</v>
      </c>
      <c r="E927" s="7">
        <v>45675</v>
      </c>
      <c r="F927" s="7">
        <v>45791</v>
      </c>
      <c r="G927" s="1" t="s">
        <v>41</v>
      </c>
      <c r="H927" s="8">
        <v>595987.06999999995</v>
      </c>
      <c r="I927" s="8">
        <v>511126.43</v>
      </c>
      <c r="J927" s="1">
        <f>IF(COUNTIF($C$4:C927,C927)=1,1,0)</f>
        <v>1</v>
      </c>
      <c r="K927" s="1">
        <f t="shared" si="14"/>
        <v>2025</v>
      </c>
    </row>
    <row r="928" spans="2:11" x14ac:dyDescent="0.45">
      <c r="B928" s="1" t="s">
        <v>11</v>
      </c>
      <c r="C928" s="1" t="s">
        <v>935</v>
      </c>
      <c r="D928" s="7">
        <v>44783</v>
      </c>
      <c r="E928" s="7">
        <v>44805</v>
      </c>
      <c r="F928" s="7">
        <v>44930</v>
      </c>
      <c r="G928" s="1" t="s">
        <v>38</v>
      </c>
      <c r="H928" s="8">
        <v>633771.21</v>
      </c>
      <c r="I928" s="8">
        <v>466357.84</v>
      </c>
      <c r="J928" s="1">
        <f>IF(COUNTIF($C$4:C928,C928)=1,1,0)</f>
        <v>1</v>
      </c>
      <c r="K928" s="1">
        <f t="shared" si="14"/>
        <v>2022</v>
      </c>
    </row>
    <row r="929" spans="2:11" x14ac:dyDescent="0.45">
      <c r="B929" s="1" t="s">
        <v>11</v>
      </c>
      <c r="C929" s="1" t="s">
        <v>936</v>
      </c>
      <c r="D929" s="7">
        <v>44621</v>
      </c>
      <c r="E929" s="7">
        <v>44637</v>
      </c>
      <c r="F929" s="7">
        <v>44668</v>
      </c>
      <c r="G929" s="1" t="s">
        <v>41</v>
      </c>
      <c r="H929" s="8">
        <v>315239.58</v>
      </c>
      <c r="I929" s="8">
        <v>260208.93</v>
      </c>
      <c r="J929" s="1">
        <f>IF(COUNTIF($C$4:C929,C929)=1,1,0)</f>
        <v>1</v>
      </c>
      <c r="K929" s="1">
        <f t="shared" si="14"/>
        <v>2022</v>
      </c>
    </row>
    <row r="930" spans="2:11" x14ac:dyDescent="0.45">
      <c r="B930" s="1" t="s">
        <v>11</v>
      </c>
      <c r="C930" s="1" t="s">
        <v>937</v>
      </c>
      <c r="D930" s="7">
        <v>45379</v>
      </c>
      <c r="E930" s="7">
        <v>45403</v>
      </c>
      <c r="F930" s="7">
        <v>45440</v>
      </c>
      <c r="G930" s="1" t="s">
        <v>16</v>
      </c>
      <c r="H930" s="8">
        <v>2619787.9500000002</v>
      </c>
      <c r="I930" s="8">
        <v>1845836.6</v>
      </c>
      <c r="J930" s="1">
        <f>IF(COUNTIF($C$4:C930,C930)=1,1,0)</f>
        <v>1</v>
      </c>
      <c r="K930" s="1">
        <f t="shared" si="14"/>
        <v>2024</v>
      </c>
    </row>
    <row r="931" spans="2:11" x14ac:dyDescent="0.45">
      <c r="B931" s="1" t="s">
        <v>11</v>
      </c>
      <c r="C931" s="1" t="s">
        <v>938</v>
      </c>
      <c r="D931" s="7">
        <v>44740</v>
      </c>
      <c r="E931" s="7">
        <v>44742</v>
      </c>
      <c r="F931" s="7">
        <v>44844</v>
      </c>
      <c r="G931" s="1" t="s">
        <v>44</v>
      </c>
      <c r="H931" s="8">
        <v>133826752.22</v>
      </c>
      <c r="I931" s="8">
        <v>52445889.560000002</v>
      </c>
      <c r="J931" s="1">
        <f>IF(COUNTIF($C$4:C931,C931)=1,1,0)</f>
        <v>1</v>
      </c>
      <c r="K931" s="1">
        <f t="shared" si="14"/>
        <v>2022</v>
      </c>
    </row>
    <row r="932" spans="2:11" x14ac:dyDescent="0.45">
      <c r="B932" s="1" t="s">
        <v>11</v>
      </c>
      <c r="C932" s="1" t="s">
        <v>939</v>
      </c>
      <c r="D932" s="7">
        <v>43487</v>
      </c>
      <c r="E932" s="7">
        <v>43509</v>
      </c>
      <c r="F932" s="7">
        <v>43635</v>
      </c>
      <c r="G932" s="1" t="s">
        <v>20</v>
      </c>
      <c r="H932" s="8">
        <v>41057158.130000003</v>
      </c>
      <c r="I932" s="8">
        <v>31722267.289999999</v>
      </c>
      <c r="J932" s="1">
        <f>IF(COUNTIF($C$4:C932,C932)=1,1,0)</f>
        <v>1</v>
      </c>
      <c r="K932" s="1">
        <f t="shared" si="14"/>
        <v>2019</v>
      </c>
    </row>
    <row r="933" spans="2:11" x14ac:dyDescent="0.45">
      <c r="B933" s="1" t="s">
        <v>11</v>
      </c>
      <c r="C933" s="1" t="s">
        <v>940</v>
      </c>
      <c r="D933" s="7">
        <v>45420</v>
      </c>
      <c r="E933" s="7">
        <v>45439</v>
      </c>
      <c r="F933" s="7">
        <v>45545</v>
      </c>
      <c r="G933" s="1" t="s">
        <v>212</v>
      </c>
      <c r="H933" s="8">
        <v>18297685.699999999</v>
      </c>
      <c r="I933" s="8">
        <v>7368568.3899999997</v>
      </c>
      <c r="J933" s="1">
        <f>IF(COUNTIF($C$4:C933,C933)=1,1,0)</f>
        <v>1</v>
      </c>
      <c r="K933" s="1">
        <f t="shared" si="14"/>
        <v>2024</v>
      </c>
    </row>
    <row r="934" spans="2:11" x14ac:dyDescent="0.45">
      <c r="B934" s="1" t="s">
        <v>11</v>
      </c>
      <c r="C934" s="1" t="s">
        <v>941</v>
      </c>
      <c r="D934" s="7">
        <v>43438</v>
      </c>
      <c r="E934" s="7">
        <v>43451</v>
      </c>
      <c r="F934" s="7">
        <v>43461</v>
      </c>
      <c r="G934" s="1" t="s">
        <v>212</v>
      </c>
      <c r="H934" s="8">
        <v>50222204.890000001</v>
      </c>
      <c r="I934" s="8">
        <v>34134111.049999997</v>
      </c>
      <c r="J934" s="1">
        <f>IF(COUNTIF($C$4:C934,C934)=1,1,0)</f>
        <v>1</v>
      </c>
      <c r="K934" s="1">
        <f t="shared" si="14"/>
        <v>2018</v>
      </c>
    </row>
    <row r="935" spans="2:11" x14ac:dyDescent="0.45">
      <c r="B935" s="1" t="s">
        <v>11</v>
      </c>
      <c r="C935" s="1" t="s">
        <v>942</v>
      </c>
      <c r="D935" s="7">
        <v>44523</v>
      </c>
      <c r="E935" s="7">
        <v>44540</v>
      </c>
      <c r="F935" s="7">
        <v>44628</v>
      </c>
      <c r="G935" s="1" t="s">
        <v>18</v>
      </c>
      <c r="H935" s="8">
        <v>11244053.6</v>
      </c>
      <c r="I935" s="8">
        <v>9011259.3300000001</v>
      </c>
      <c r="J935" s="1">
        <f>IF(COUNTIF($C$4:C935,C935)=1,1,0)</f>
        <v>1</v>
      </c>
      <c r="K935" s="1">
        <f t="shared" si="14"/>
        <v>2021</v>
      </c>
    </row>
    <row r="936" spans="2:11" x14ac:dyDescent="0.45">
      <c r="B936" s="1" t="s">
        <v>11</v>
      </c>
      <c r="C936" s="1" t="s">
        <v>943</v>
      </c>
      <c r="D936" s="7">
        <v>43770</v>
      </c>
      <c r="E936" s="7">
        <v>43787</v>
      </c>
      <c r="F936" s="7">
        <v>43928</v>
      </c>
      <c r="G936" s="1" t="s">
        <v>20</v>
      </c>
      <c r="H936" s="8">
        <v>126066630.34999999</v>
      </c>
      <c r="I936" s="8">
        <v>78841346.299999997</v>
      </c>
      <c r="J936" s="1">
        <f>IF(COUNTIF($C$4:C936,C936)=1,1,0)</f>
        <v>1</v>
      </c>
      <c r="K936" s="1">
        <f t="shared" si="14"/>
        <v>2019</v>
      </c>
    </row>
    <row r="937" spans="2:11" x14ac:dyDescent="0.45">
      <c r="B937" s="1" t="s">
        <v>11</v>
      </c>
      <c r="C937" s="1" t="s">
        <v>944</v>
      </c>
      <c r="D937" s="7">
        <v>44529</v>
      </c>
      <c r="E937" s="7">
        <v>44558</v>
      </c>
      <c r="F937" s="7">
        <v>44683</v>
      </c>
      <c r="G937" s="1" t="s">
        <v>18</v>
      </c>
      <c r="H937" s="8">
        <v>4718301.03</v>
      </c>
      <c r="I937" s="8">
        <v>3716976.32</v>
      </c>
      <c r="J937" s="1">
        <f>IF(COUNTIF($C$4:C937,C937)=1,1,0)</f>
        <v>1</v>
      </c>
      <c r="K937" s="1">
        <f t="shared" si="14"/>
        <v>2021</v>
      </c>
    </row>
    <row r="938" spans="2:11" x14ac:dyDescent="0.45">
      <c r="B938" s="1" t="s">
        <v>11</v>
      </c>
      <c r="C938" s="1" t="s">
        <v>945</v>
      </c>
      <c r="D938" s="7">
        <v>44026</v>
      </c>
      <c r="E938" s="7">
        <v>44052</v>
      </c>
      <c r="F938" s="7">
        <v>44188</v>
      </c>
      <c r="G938" s="1" t="s">
        <v>38</v>
      </c>
      <c r="H938" s="8">
        <v>390850.61</v>
      </c>
      <c r="I938" s="8">
        <v>350251.42</v>
      </c>
      <c r="J938" s="1">
        <f>IF(COUNTIF($C$4:C938,C938)=1,1,0)</f>
        <v>1</v>
      </c>
      <c r="K938" s="1">
        <f t="shared" si="14"/>
        <v>2020</v>
      </c>
    </row>
    <row r="939" spans="2:11" x14ac:dyDescent="0.45">
      <c r="B939" s="1" t="s">
        <v>11</v>
      </c>
      <c r="C939" s="1" t="s">
        <v>946</v>
      </c>
      <c r="D939" s="7">
        <v>43988</v>
      </c>
      <c r="E939" s="7">
        <v>43999</v>
      </c>
      <c r="F939" s="7">
        <v>44120</v>
      </c>
      <c r="G939" s="1" t="s">
        <v>16</v>
      </c>
      <c r="H939" s="8">
        <v>493707.56</v>
      </c>
      <c r="I939" s="8">
        <v>361629.03</v>
      </c>
      <c r="J939" s="1">
        <f>IF(COUNTIF($C$4:C939,C939)=1,1,0)</f>
        <v>1</v>
      </c>
      <c r="K939" s="1">
        <f t="shared" si="14"/>
        <v>2020</v>
      </c>
    </row>
    <row r="940" spans="2:11" x14ac:dyDescent="0.45">
      <c r="B940" s="1" t="s">
        <v>11</v>
      </c>
      <c r="C940" s="1" t="s">
        <v>947</v>
      </c>
      <c r="D940" s="7">
        <v>45260</v>
      </c>
      <c r="E940" s="7">
        <v>45270</v>
      </c>
      <c r="F940" s="7">
        <v>45314</v>
      </c>
      <c r="G940" s="1" t="s">
        <v>18</v>
      </c>
      <c r="H940" s="8">
        <v>1312577.27</v>
      </c>
      <c r="I940" s="8">
        <v>1117105.21</v>
      </c>
      <c r="J940" s="1">
        <f>IF(COUNTIF($C$4:C940,C940)=1,1,0)</f>
        <v>1</v>
      </c>
      <c r="K940" s="1">
        <f t="shared" si="14"/>
        <v>2023</v>
      </c>
    </row>
    <row r="941" spans="2:11" x14ac:dyDescent="0.45">
      <c r="B941" s="1" t="s">
        <v>11</v>
      </c>
      <c r="C941" s="1" t="s">
        <v>948</v>
      </c>
      <c r="D941" s="7">
        <v>43772</v>
      </c>
      <c r="E941" s="7">
        <v>43798</v>
      </c>
      <c r="F941" s="7">
        <v>43870</v>
      </c>
      <c r="G941" s="1" t="s">
        <v>18</v>
      </c>
      <c r="H941" s="8">
        <v>7080901.6100000003</v>
      </c>
      <c r="I941" s="8">
        <v>5208976.12</v>
      </c>
      <c r="J941" s="1">
        <f>IF(COUNTIF($C$4:C941,C941)=1,1,0)</f>
        <v>1</v>
      </c>
      <c r="K941" s="1">
        <f t="shared" si="14"/>
        <v>2019</v>
      </c>
    </row>
    <row r="942" spans="2:11" x14ac:dyDescent="0.45">
      <c r="B942" s="1" t="s">
        <v>11</v>
      </c>
      <c r="C942" s="1" t="s">
        <v>949</v>
      </c>
      <c r="D942" s="7">
        <v>45762</v>
      </c>
      <c r="E942" s="7">
        <v>45771</v>
      </c>
      <c r="F942" s="7">
        <v>45806</v>
      </c>
      <c r="G942" s="1" t="s">
        <v>41</v>
      </c>
      <c r="H942" s="8">
        <v>375291.58</v>
      </c>
      <c r="I942" s="8">
        <v>331773.51</v>
      </c>
      <c r="J942" s="1">
        <f>IF(COUNTIF($C$4:C942,C942)=1,1,0)</f>
        <v>1</v>
      </c>
      <c r="K942" s="1">
        <f t="shared" si="14"/>
        <v>2025</v>
      </c>
    </row>
    <row r="943" spans="2:11" x14ac:dyDescent="0.45">
      <c r="B943" s="1" t="s">
        <v>11</v>
      </c>
      <c r="C943" s="1" t="s">
        <v>950</v>
      </c>
      <c r="D943" s="7">
        <v>44308</v>
      </c>
      <c r="E943" s="7">
        <v>44311</v>
      </c>
      <c r="F943" s="7">
        <v>44417</v>
      </c>
      <c r="G943" s="1" t="s">
        <v>20</v>
      </c>
      <c r="H943" s="8">
        <v>1740360.52</v>
      </c>
      <c r="I943" s="8">
        <v>1115978.06</v>
      </c>
      <c r="J943" s="1">
        <f>IF(COUNTIF($C$4:C943,C943)=1,1,0)</f>
        <v>1</v>
      </c>
      <c r="K943" s="1">
        <f t="shared" si="14"/>
        <v>2021</v>
      </c>
    </row>
    <row r="944" spans="2:11" x14ac:dyDescent="0.45">
      <c r="B944" s="1" t="s">
        <v>11</v>
      </c>
      <c r="C944" s="1" t="s">
        <v>951</v>
      </c>
      <c r="D944" s="7">
        <v>44181</v>
      </c>
      <c r="E944" s="7">
        <v>44208</v>
      </c>
      <c r="F944" s="7">
        <v>44302</v>
      </c>
      <c r="G944" s="1" t="s">
        <v>38</v>
      </c>
      <c r="H944" s="8">
        <v>122334.17</v>
      </c>
      <c r="I944" s="8">
        <v>87979.89</v>
      </c>
      <c r="J944" s="1">
        <f>IF(COUNTIF($C$4:C944,C944)=1,1,0)</f>
        <v>1</v>
      </c>
      <c r="K944" s="1">
        <f t="shared" si="14"/>
        <v>2020</v>
      </c>
    </row>
    <row r="945" spans="2:11" x14ac:dyDescent="0.45">
      <c r="B945" s="1" t="s">
        <v>11</v>
      </c>
      <c r="C945" s="1" t="s">
        <v>952</v>
      </c>
      <c r="D945" s="7">
        <v>44709</v>
      </c>
      <c r="E945" s="7">
        <v>44739</v>
      </c>
      <c r="F945" s="7">
        <v>44795</v>
      </c>
      <c r="G945" s="1" t="s">
        <v>41</v>
      </c>
      <c r="H945" s="8">
        <v>36142.519999999997</v>
      </c>
      <c r="I945" s="8">
        <v>31967.86</v>
      </c>
      <c r="J945" s="1">
        <f>IF(COUNTIF($C$4:C945,C945)=1,1,0)</f>
        <v>1</v>
      </c>
      <c r="K945" s="1">
        <f t="shared" si="14"/>
        <v>2022</v>
      </c>
    </row>
    <row r="946" spans="2:11" x14ac:dyDescent="0.45">
      <c r="B946" s="1" t="s">
        <v>11</v>
      </c>
      <c r="C946" s="1" t="s">
        <v>953</v>
      </c>
      <c r="D946" s="7">
        <v>43798</v>
      </c>
      <c r="E946" s="7">
        <v>43821</v>
      </c>
      <c r="F946" s="7">
        <v>44029</v>
      </c>
      <c r="G946" s="1" t="s">
        <v>20</v>
      </c>
      <c r="H946" s="8">
        <v>388578.34</v>
      </c>
      <c r="I946" s="8">
        <v>192237.48</v>
      </c>
      <c r="J946" s="1">
        <f>IF(COUNTIF($C$4:C946,C946)=1,1,0)</f>
        <v>1</v>
      </c>
      <c r="K946" s="1">
        <f t="shared" si="14"/>
        <v>2019</v>
      </c>
    </row>
    <row r="947" spans="2:11" x14ac:dyDescent="0.45">
      <c r="B947" s="1" t="s">
        <v>11</v>
      </c>
      <c r="C947" s="1" t="s">
        <v>954</v>
      </c>
      <c r="D947" s="7">
        <v>44786</v>
      </c>
      <c r="E947" s="7">
        <v>44814</v>
      </c>
      <c r="F947" s="7">
        <v>44862</v>
      </c>
      <c r="G947" s="1" t="s">
        <v>22</v>
      </c>
      <c r="H947" s="8">
        <v>37798773.43</v>
      </c>
      <c r="I947" s="8">
        <v>24692304.309999999</v>
      </c>
      <c r="J947" s="1">
        <f>IF(COUNTIF($C$4:C947,C947)=1,1,0)</f>
        <v>1</v>
      </c>
      <c r="K947" s="1">
        <f t="shared" si="14"/>
        <v>2022</v>
      </c>
    </row>
    <row r="948" spans="2:11" x14ac:dyDescent="0.45">
      <c r="B948" s="1" t="s">
        <v>11</v>
      </c>
      <c r="C948" s="1" t="s">
        <v>955</v>
      </c>
      <c r="D948" s="7">
        <v>45095</v>
      </c>
      <c r="E948" s="7">
        <v>45113</v>
      </c>
      <c r="F948" s="7">
        <v>45221</v>
      </c>
      <c r="G948" s="1" t="s">
        <v>44</v>
      </c>
      <c r="H948" s="8">
        <v>117545348.09999999</v>
      </c>
      <c r="I948" s="8">
        <v>86213355.129999995</v>
      </c>
      <c r="J948" s="1">
        <f>IF(COUNTIF($C$4:C948,C948)=1,1,0)</f>
        <v>1</v>
      </c>
      <c r="K948" s="1">
        <f t="shared" si="14"/>
        <v>2023</v>
      </c>
    </row>
    <row r="949" spans="2:11" x14ac:dyDescent="0.45">
      <c r="B949" s="1" t="s">
        <v>11</v>
      </c>
      <c r="C949" s="1" t="s">
        <v>956</v>
      </c>
      <c r="D949" s="7">
        <v>45412</v>
      </c>
      <c r="E949" s="7">
        <v>45424</v>
      </c>
      <c r="F949" s="7">
        <v>45619</v>
      </c>
      <c r="G949" s="1" t="s">
        <v>38</v>
      </c>
      <c r="H949" s="8">
        <v>265267.42</v>
      </c>
      <c r="I949" s="8">
        <v>184385.61</v>
      </c>
      <c r="J949" s="1">
        <f>IF(COUNTIF($C$4:C949,C949)=1,1,0)</f>
        <v>1</v>
      </c>
      <c r="K949" s="1">
        <f t="shared" si="14"/>
        <v>2024</v>
      </c>
    </row>
    <row r="950" spans="2:11" x14ac:dyDescent="0.45">
      <c r="B950" s="1" t="s">
        <v>11</v>
      </c>
      <c r="C950" s="1" t="s">
        <v>957</v>
      </c>
      <c r="D950" s="7">
        <v>43527</v>
      </c>
      <c r="E950" s="7">
        <v>43547</v>
      </c>
      <c r="F950" s="7">
        <v>43776</v>
      </c>
      <c r="G950" s="1" t="s">
        <v>41</v>
      </c>
      <c r="H950" s="8">
        <v>172785.83</v>
      </c>
      <c r="I950" s="8">
        <v>125307.96</v>
      </c>
      <c r="J950" s="1">
        <f>IF(COUNTIF($C$4:C950,C950)=1,1,0)</f>
        <v>1</v>
      </c>
      <c r="K950" s="1">
        <f t="shared" si="14"/>
        <v>2019</v>
      </c>
    </row>
    <row r="951" spans="2:11" x14ac:dyDescent="0.45">
      <c r="B951" s="1" t="s">
        <v>11</v>
      </c>
      <c r="C951" s="1" t="s">
        <v>958</v>
      </c>
      <c r="D951" s="7">
        <v>45210</v>
      </c>
      <c r="E951" s="7">
        <v>45212</v>
      </c>
      <c r="F951" s="7">
        <v>45399</v>
      </c>
      <c r="G951" s="1" t="s">
        <v>20</v>
      </c>
      <c r="H951" s="8">
        <v>452224.31</v>
      </c>
      <c r="I951" s="8">
        <v>238881.1</v>
      </c>
      <c r="J951" s="1">
        <f>IF(COUNTIF($C$4:C951,C951)=1,1,0)</f>
        <v>1</v>
      </c>
      <c r="K951" s="1">
        <f t="shared" si="14"/>
        <v>2023</v>
      </c>
    </row>
    <row r="952" spans="2:11" x14ac:dyDescent="0.45">
      <c r="B952" s="1" t="s">
        <v>11</v>
      </c>
      <c r="C952" s="1" t="s">
        <v>959</v>
      </c>
      <c r="D952" s="7">
        <v>44354</v>
      </c>
      <c r="E952" s="7">
        <v>44383</v>
      </c>
      <c r="F952" s="7">
        <v>44599</v>
      </c>
      <c r="G952" s="1" t="s">
        <v>20</v>
      </c>
      <c r="H952" s="8">
        <v>65506383.18</v>
      </c>
      <c r="I952" s="8">
        <v>39850208.799999997</v>
      </c>
      <c r="J952" s="1">
        <f>IF(COUNTIF($C$4:C952,C952)=1,1,0)</f>
        <v>1</v>
      </c>
      <c r="K952" s="1">
        <f t="shared" si="14"/>
        <v>2021</v>
      </c>
    </row>
    <row r="953" spans="2:11" x14ac:dyDescent="0.45">
      <c r="B953" s="1" t="s">
        <v>11</v>
      </c>
      <c r="C953" s="1" t="s">
        <v>960</v>
      </c>
      <c r="D953" s="7">
        <v>43195</v>
      </c>
      <c r="E953" s="7">
        <v>43199</v>
      </c>
      <c r="F953" s="7">
        <v>43361</v>
      </c>
      <c r="G953" s="1" t="s">
        <v>20</v>
      </c>
      <c r="H953" s="8">
        <v>487202.9</v>
      </c>
      <c r="I953" s="8">
        <v>396386.2</v>
      </c>
      <c r="J953" s="1">
        <f>IF(COUNTIF($C$4:C953,C953)=1,1,0)</f>
        <v>1</v>
      </c>
      <c r="K953" s="1">
        <f t="shared" si="14"/>
        <v>2018</v>
      </c>
    </row>
    <row r="954" spans="2:11" x14ac:dyDescent="0.45">
      <c r="B954" s="1" t="s">
        <v>11</v>
      </c>
      <c r="C954" s="1" t="s">
        <v>961</v>
      </c>
      <c r="D954" s="7">
        <v>45594</v>
      </c>
      <c r="E954" s="7">
        <v>45620</v>
      </c>
      <c r="F954" s="7">
        <v>45859</v>
      </c>
      <c r="G954" s="1" t="s">
        <v>38</v>
      </c>
      <c r="H954" s="8">
        <v>204051.18</v>
      </c>
      <c r="I954" s="8">
        <v>137594.76</v>
      </c>
      <c r="J954" s="1">
        <f>IF(COUNTIF($C$4:C954,C954)=1,1,0)</f>
        <v>1</v>
      </c>
      <c r="K954" s="1">
        <f t="shared" si="14"/>
        <v>2024</v>
      </c>
    </row>
    <row r="955" spans="2:11" x14ac:dyDescent="0.45">
      <c r="B955" s="1" t="s">
        <v>11</v>
      </c>
      <c r="C955" s="1" t="s">
        <v>962</v>
      </c>
      <c r="D955" s="7">
        <v>45726</v>
      </c>
      <c r="E955" s="7">
        <v>45729</v>
      </c>
      <c r="F955" s="7">
        <v>45737</v>
      </c>
      <c r="G955" s="1" t="s">
        <v>212</v>
      </c>
      <c r="H955" s="8">
        <v>32649949.399999999</v>
      </c>
      <c r="I955" s="8">
        <v>16020451.470000001</v>
      </c>
      <c r="J955" s="1">
        <f>IF(COUNTIF($C$4:C955,C955)=1,1,0)</f>
        <v>1</v>
      </c>
      <c r="K955" s="1">
        <f t="shared" si="14"/>
        <v>2025</v>
      </c>
    </row>
    <row r="956" spans="2:11" x14ac:dyDescent="0.45">
      <c r="B956" s="1" t="s">
        <v>11</v>
      </c>
      <c r="C956" s="1" t="s">
        <v>963</v>
      </c>
      <c r="D956" s="7">
        <v>45068</v>
      </c>
      <c r="E956" s="7">
        <v>45071</v>
      </c>
      <c r="F956" s="7">
        <v>45230</v>
      </c>
      <c r="G956" s="1" t="s">
        <v>212</v>
      </c>
      <c r="H956" s="8">
        <v>127871304.34999999</v>
      </c>
      <c r="I956" s="8">
        <v>43285659.899999999</v>
      </c>
      <c r="J956" s="1">
        <f>IF(COUNTIF($C$4:C956,C956)=1,1,0)</f>
        <v>1</v>
      </c>
      <c r="K956" s="1">
        <f t="shared" si="14"/>
        <v>2023</v>
      </c>
    </row>
    <row r="957" spans="2:11" x14ac:dyDescent="0.45">
      <c r="B957" s="1" t="s">
        <v>11</v>
      </c>
      <c r="C957" s="1" t="s">
        <v>964</v>
      </c>
      <c r="D957" s="7">
        <v>44040</v>
      </c>
      <c r="E957" s="7">
        <v>44051</v>
      </c>
      <c r="F957" s="7">
        <v>44089</v>
      </c>
      <c r="G957" s="1" t="s">
        <v>212</v>
      </c>
      <c r="H957" s="8">
        <v>11782560.74</v>
      </c>
      <c r="I957" s="8">
        <v>6853293.6799999997</v>
      </c>
      <c r="J957" s="1">
        <f>IF(COUNTIF($C$4:C957,C957)=1,1,0)</f>
        <v>1</v>
      </c>
      <c r="K957" s="1">
        <f t="shared" si="14"/>
        <v>2020</v>
      </c>
    </row>
    <row r="958" spans="2:11" x14ac:dyDescent="0.45">
      <c r="B958" s="1" t="s">
        <v>11</v>
      </c>
      <c r="C958" s="1" t="s">
        <v>965</v>
      </c>
      <c r="D958" s="7">
        <v>43576</v>
      </c>
      <c r="E958" s="7">
        <v>43581</v>
      </c>
      <c r="F958" s="7">
        <v>43592</v>
      </c>
      <c r="G958" s="1" t="s">
        <v>212</v>
      </c>
      <c r="H958" s="8">
        <v>3079931.18</v>
      </c>
      <c r="I958" s="8">
        <v>2364115.21</v>
      </c>
      <c r="J958" s="1">
        <f>IF(COUNTIF($C$4:C958,C958)=1,1,0)</f>
        <v>1</v>
      </c>
      <c r="K958" s="1">
        <f t="shared" si="14"/>
        <v>2019</v>
      </c>
    </row>
    <row r="959" spans="2:11" x14ac:dyDescent="0.45">
      <c r="B959" s="1" t="s">
        <v>11</v>
      </c>
      <c r="C959" s="1" t="s">
        <v>966</v>
      </c>
      <c r="D959" s="7">
        <v>44603</v>
      </c>
      <c r="E959" s="7">
        <v>44627</v>
      </c>
      <c r="F959" s="7">
        <v>44671</v>
      </c>
      <c r="G959" s="1" t="s">
        <v>18</v>
      </c>
      <c r="H959" s="8">
        <v>1401320.95</v>
      </c>
      <c r="I959" s="8">
        <v>1093269.78</v>
      </c>
      <c r="J959" s="1">
        <f>IF(COUNTIF($C$4:C959,C959)=1,1,0)</f>
        <v>1</v>
      </c>
      <c r="K959" s="1">
        <f t="shared" si="14"/>
        <v>2022</v>
      </c>
    </row>
    <row r="960" spans="2:11" x14ac:dyDescent="0.45">
      <c r="B960" s="1" t="s">
        <v>11</v>
      </c>
      <c r="C960" s="1" t="s">
        <v>967</v>
      </c>
      <c r="D960" s="7">
        <v>44932</v>
      </c>
      <c r="E960" s="7">
        <v>44954</v>
      </c>
      <c r="F960" s="7">
        <v>45006</v>
      </c>
      <c r="G960" s="1" t="s">
        <v>20</v>
      </c>
      <c r="H960" s="8">
        <v>510354.95</v>
      </c>
      <c r="I960" s="8">
        <v>239569.8</v>
      </c>
      <c r="J960" s="1">
        <f>IF(COUNTIF($C$4:C960,C960)=1,1,0)</f>
        <v>1</v>
      </c>
      <c r="K960" s="1">
        <f t="shared" si="14"/>
        <v>2023</v>
      </c>
    </row>
    <row r="961" spans="2:11" x14ac:dyDescent="0.45">
      <c r="B961" s="1" t="s">
        <v>11</v>
      </c>
      <c r="C961" s="1" t="s">
        <v>968</v>
      </c>
      <c r="D961" s="7">
        <v>43817</v>
      </c>
      <c r="E961" s="7">
        <v>43837</v>
      </c>
      <c r="F961" s="7">
        <v>44025</v>
      </c>
      <c r="G961" s="1" t="s">
        <v>22</v>
      </c>
      <c r="H961" s="8">
        <v>13742149.93</v>
      </c>
      <c r="I961" s="8">
        <v>8451564.1099999994</v>
      </c>
      <c r="J961" s="1">
        <f>IF(COUNTIF($C$4:C961,C961)=1,1,0)</f>
        <v>1</v>
      </c>
      <c r="K961" s="1">
        <f t="shared" si="14"/>
        <v>2019</v>
      </c>
    </row>
    <row r="962" spans="2:11" x14ac:dyDescent="0.45">
      <c r="B962" s="1" t="s">
        <v>11</v>
      </c>
      <c r="C962" s="1" t="s">
        <v>969</v>
      </c>
      <c r="D962" s="7">
        <v>44946</v>
      </c>
      <c r="E962" s="7">
        <v>44959</v>
      </c>
      <c r="F962" s="7">
        <v>45019</v>
      </c>
      <c r="G962" s="1" t="s">
        <v>212</v>
      </c>
      <c r="H962" s="8">
        <v>16336462.16</v>
      </c>
      <c r="I962" s="8">
        <v>7495650.75</v>
      </c>
      <c r="J962" s="1">
        <f>IF(COUNTIF($C$4:C962,C962)=1,1,0)</f>
        <v>1</v>
      </c>
      <c r="K962" s="1">
        <f t="shared" si="14"/>
        <v>2023</v>
      </c>
    </row>
    <row r="963" spans="2:11" x14ac:dyDescent="0.45">
      <c r="B963" s="1" t="s">
        <v>11</v>
      </c>
      <c r="C963" s="1" t="s">
        <v>970</v>
      </c>
      <c r="D963" s="7">
        <v>44701</v>
      </c>
      <c r="E963" s="7">
        <v>44707</v>
      </c>
      <c r="F963" s="7">
        <v>44853</v>
      </c>
      <c r="G963" s="1" t="s">
        <v>16</v>
      </c>
      <c r="H963" s="8">
        <v>3015624.6</v>
      </c>
      <c r="I963" s="8">
        <v>1526794.72</v>
      </c>
      <c r="J963" s="1">
        <f>IF(COUNTIF($C$4:C963,C963)=1,1,0)</f>
        <v>1</v>
      </c>
      <c r="K963" s="1">
        <f t="shared" si="14"/>
        <v>2022</v>
      </c>
    </row>
    <row r="964" spans="2:11" x14ac:dyDescent="0.45">
      <c r="B964" s="1" t="s">
        <v>11</v>
      </c>
      <c r="C964" s="1" t="s">
        <v>971</v>
      </c>
      <c r="D964" s="7">
        <v>46051</v>
      </c>
      <c r="E964" s="7">
        <v>46075</v>
      </c>
      <c r="F964" s="7">
        <v>46212</v>
      </c>
      <c r="G964" s="1" t="s">
        <v>22</v>
      </c>
      <c r="H964" s="8">
        <v>14947925.9</v>
      </c>
      <c r="I964" s="8">
        <v>5918285.8799999999</v>
      </c>
      <c r="J964" s="1">
        <f>IF(COUNTIF($C$4:C964,C964)=1,1,0)</f>
        <v>1</v>
      </c>
      <c r="K964" s="1">
        <f t="shared" si="14"/>
        <v>2026</v>
      </c>
    </row>
    <row r="965" spans="2:11" x14ac:dyDescent="0.45">
      <c r="B965" s="1" t="s">
        <v>11</v>
      </c>
      <c r="C965" s="1" t="s">
        <v>972</v>
      </c>
      <c r="D965" s="7">
        <v>44119</v>
      </c>
      <c r="E965" s="7">
        <v>44126</v>
      </c>
      <c r="F965" s="7">
        <v>44139</v>
      </c>
      <c r="G965" s="1" t="s">
        <v>18</v>
      </c>
      <c r="H965" s="8">
        <v>52067924.060000002</v>
      </c>
      <c r="I965" s="8">
        <v>31589747.07</v>
      </c>
      <c r="J965" s="1">
        <f>IF(COUNTIF($C$4:C965,C965)=1,1,0)</f>
        <v>1</v>
      </c>
      <c r="K965" s="1">
        <f t="shared" ref="K965:K1028" si="15">YEAR(D965)</f>
        <v>2020</v>
      </c>
    </row>
    <row r="966" spans="2:11" x14ac:dyDescent="0.45">
      <c r="B966" s="1" t="s">
        <v>11</v>
      </c>
      <c r="C966" s="1" t="s">
        <v>973</v>
      </c>
      <c r="D966" s="7">
        <v>45680</v>
      </c>
      <c r="E966" s="7">
        <v>45698</v>
      </c>
      <c r="F966" s="7">
        <v>45730</v>
      </c>
      <c r="G966" s="1" t="s">
        <v>20</v>
      </c>
      <c r="H966" s="8">
        <v>98385219.030000001</v>
      </c>
      <c r="I966" s="8">
        <v>67186510.379999995</v>
      </c>
      <c r="J966" s="1">
        <f>IF(COUNTIF($C$4:C966,C966)=1,1,0)</f>
        <v>1</v>
      </c>
      <c r="K966" s="1">
        <f t="shared" si="15"/>
        <v>2025</v>
      </c>
    </row>
    <row r="967" spans="2:11" x14ac:dyDescent="0.45">
      <c r="B967" s="1" t="s">
        <v>11</v>
      </c>
      <c r="C967" s="1" t="s">
        <v>974</v>
      </c>
      <c r="D967" s="7">
        <v>45557</v>
      </c>
      <c r="E967" s="7">
        <v>45573</v>
      </c>
      <c r="F967" s="7">
        <v>45645</v>
      </c>
      <c r="G967" s="1" t="s">
        <v>212</v>
      </c>
      <c r="H967" s="8">
        <v>16156344.710000001</v>
      </c>
      <c r="I967" s="8">
        <v>7626210.8899999997</v>
      </c>
      <c r="J967" s="1">
        <f>IF(COUNTIF($C$4:C967,C967)=1,1,0)</f>
        <v>1</v>
      </c>
      <c r="K967" s="1">
        <f t="shared" si="15"/>
        <v>2024</v>
      </c>
    </row>
    <row r="968" spans="2:11" x14ac:dyDescent="0.45">
      <c r="B968" s="1" t="s">
        <v>11</v>
      </c>
      <c r="C968" s="1" t="s">
        <v>975</v>
      </c>
      <c r="D968" s="7">
        <v>44362</v>
      </c>
      <c r="E968" s="7">
        <v>44377</v>
      </c>
      <c r="F968" s="7">
        <v>44422</v>
      </c>
      <c r="G968" s="1" t="s">
        <v>212</v>
      </c>
      <c r="H968" s="8">
        <v>98989103.640000001</v>
      </c>
      <c r="I968" s="8">
        <v>34309544.590000004</v>
      </c>
      <c r="J968" s="1">
        <f>IF(COUNTIF($C$4:C968,C968)=1,1,0)</f>
        <v>1</v>
      </c>
      <c r="K968" s="1">
        <f t="shared" si="15"/>
        <v>2021</v>
      </c>
    </row>
    <row r="969" spans="2:11" x14ac:dyDescent="0.45">
      <c r="B969" s="1" t="s">
        <v>11</v>
      </c>
      <c r="C969" s="1" t="s">
        <v>976</v>
      </c>
      <c r="D969" s="7">
        <v>44872</v>
      </c>
      <c r="E969" s="7">
        <v>44886</v>
      </c>
      <c r="F969" s="7">
        <v>45059</v>
      </c>
      <c r="G969" s="1" t="s">
        <v>38</v>
      </c>
      <c r="H969" s="8">
        <v>104052.79</v>
      </c>
      <c r="I969" s="8">
        <v>90331.73</v>
      </c>
      <c r="J969" s="1">
        <f>IF(COUNTIF($C$4:C969,C969)=1,1,0)</f>
        <v>1</v>
      </c>
      <c r="K969" s="1">
        <f t="shared" si="15"/>
        <v>2022</v>
      </c>
    </row>
    <row r="970" spans="2:11" x14ac:dyDescent="0.45">
      <c r="B970" s="1" t="s">
        <v>11</v>
      </c>
      <c r="C970" s="1" t="s">
        <v>977</v>
      </c>
      <c r="D970" s="7">
        <v>44162</v>
      </c>
      <c r="E970" s="7">
        <v>44165</v>
      </c>
      <c r="F970" s="7">
        <v>44272</v>
      </c>
      <c r="G970" s="1" t="s">
        <v>22</v>
      </c>
      <c r="H970" s="8">
        <v>15276891.15</v>
      </c>
      <c r="I970" s="8">
        <v>7766423.8799999999</v>
      </c>
      <c r="J970" s="1">
        <f>IF(COUNTIF($C$4:C970,C970)=1,1,0)</f>
        <v>1</v>
      </c>
      <c r="K970" s="1">
        <f t="shared" si="15"/>
        <v>2020</v>
      </c>
    </row>
    <row r="971" spans="2:11" x14ac:dyDescent="0.45">
      <c r="B971" s="1" t="s">
        <v>11</v>
      </c>
      <c r="C971" s="1" t="s">
        <v>978</v>
      </c>
      <c r="D971" s="7">
        <v>43821</v>
      </c>
      <c r="E971" s="7">
        <v>43823</v>
      </c>
      <c r="F971" s="7">
        <v>43869</v>
      </c>
      <c r="G971" s="1" t="s">
        <v>20</v>
      </c>
      <c r="H971" s="8">
        <v>194267.55</v>
      </c>
      <c r="I971" s="8">
        <v>133761.66</v>
      </c>
      <c r="J971" s="1">
        <f>IF(COUNTIF($C$4:C971,C971)=1,1,0)</f>
        <v>1</v>
      </c>
      <c r="K971" s="1">
        <f t="shared" si="15"/>
        <v>2019</v>
      </c>
    </row>
    <row r="972" spans="2:11" x14ac:dyDescent="0.45">
      <c r="B972" s="1" t="s">
        <v>11</v>
      </c>
      <c r="C972" s="1" t="s">
        <v>979</v>
      </c>
      <c r="D972" s="7">
        <v>45015</v>
      </c>
      <c r="E972" s="7">
        <v>45042</v>
      </c>
      <c r="F972" s="7">
        <v>45197</v>
      </c>
      <c r="G972" s="1" t="s">
        <v>20</v>
      </c>
      <c r="H972" s="8">
        <v>461293.43</v>
      </c>
      <c r="I972" s="8">
        <v>252273.7</v>
      </c>
      <c r="J972" s="1">
        <f>IF(COUNTIF($C$4:C972,C972)=1,1,0)</f>
        <v>1</v>
      </c>
      <c r="K972" s="1">
        <f t="shared" si="15"/>
        <v>2023</v>
      </c>
    </row>
    <row r="973" spans="2:11" x14ac:dyDescent="0.45">
      <c r="B973" s="1" t="s">
        <v>11</v>
      </c>
      <c r="C973" s="1" t="s">
        <v>980</v>
      </c>
      <c r="D973" s="7">
        <v>44979</v>
      </c>
      <c r="E973" s="7">
        <v>45006</v>
      </c>
      <c r="F973" s="7">
        <v>45161</v>
      </c>
      <c r="G973" s="1" t="s">
        <v>22</v>
      </c>
      <c r="H973" s="8">
        <v>35513870.310000002</v>
      </c>
      <c r="I973" s="8">
        <v>20713911.800000001</v>
      </c>
      <c r="J973" s="1">
        <f>IF(COUNTIF($C$4:C973,C973)=1,1,0)</f>
        <v>1</v>
      </c>
      <c r="K973" s="1">
        <f t="shared" si="15"/>
        <v>2023</v>
      </c>
    </row>
    <row r="974" spans="2:11" x14ac:dyDescent="0.45">
      <c r="B974" s="1" t="s">
        <v>11</v>
      </c>
      <c r="C974" s="1" t="s">
        <v>981</v>
      </c>
      <c r="D974" s="7">
        <v>44055</v>
      </c>
      <c r="E974" s="7">
        <v>44078</v>
      </c>
      <c r="F974" s="7">
        <v>44203</v>
      </c>
      <c r="G974" s="1" t="s">
        <v>18</v>
      </c>
      <c r="H974" s="8">
        <v>65896061.32</v>
      </c>
      <c r="I974" s="8">
        <v>49345756.25</v>
      </c>
      <c r="J974" s="1">
        <f>IF(COUNTIF($C$4:C974,C974)=1,1,0)</f>
        <v>1</v>
      </c>
      <c r="K974" s="1">
        <f t="shared" si="15"/>
        <v>2020</v>
      </c>
    </row>
    <row r="975" spans="2:11" x14ac:dyDescent="0.45">
      <c r="B975" s="1" t="s">
        <v>11</v>
      </c>
      <c r="C975" s="1" t="s">
        <v>982</v>
      </c>
      <c r="D975" s="7">
        <v>45003</v>
      </c>
      <c r="E975" s="7">
        <v>45027</v>
      </c>
      <c r="F975" s="7">
        <v>45150</v>
      </c>
      <c r="G975" s="1" t="s">
        <v>18</v>
      </c>
      <c r="H975" s="8">
        <v>1244075.81</v>
      </c>
      <c r="I975" s="8">
        <v>869391.53</v>
      </c>
      <c r="J975" s="1">
        <f>IF(COUNTIF($C$4:C975,C975)=1,1,0)</f>
        <v>1</v>
      </c>
      <c r="K975" s="1">
        <f t="shared" si="15"/>
        <v>2023</v>
      </c>
    </row>
    <row r="976" spans="2:11" x14ac:dyDescent="0.45">
      <c r="B976" s="1" t="s">
        <v>11</v>
      </c>
      <c r="C976" s="1" t="s">
        <v>983</v>
      </c>
      <c r="D976" s="7">
        <v>44674</v>
      </c>
      <c r="E976" s="7">
        <v>44698</v>
      </c>
      <c r="F976" s="7">
        <v>44796</v>
      </c>
      <c r="G976" s="1" t="s">
        <v>20</v>
      </c>
      <c r="H976" s="8">
        <v>480518.31</v>
      </c>
      <c r="I976" s="8">
        <v>331659.96999999997</v>
      </c>
      <c r="J976" s="1">
        <f>IF(COUNTIF($C$4:C976,C976)=1,1,0)</f>
        <v>1</v>
      </c>
      <c r="K976" s="1">
        <f t="shared" si="15"/>
        <v>2022</v>
      </c>
    </row>
    <row r="977" spans="2:11" x14ac:dyDescent="0.45">
      <c r="B977" s="1" t="s">
        <v>11</v>
      </c>
      <c r="C977" s="1" t="s">
        <v>984</v>
      </c>
      <c r="D977" s="7">
        <v>44297</v>
      </c>
      <c r="E977" s="7">
        <v>44304</v>
      </c>
      <c r="F977" s="7">
        <v>44504</v>
      </c>
      <c r="G977" s="1" t="s">
        <v>18</v>
      </c>
      <c r="H977" s="8">
        <v>1299062.8700000001</v>
      </c>
      <c r="I977" s="8">
        <v>1071013.06</v>
      </c>
      <c r="J977" s="1">
        <f>IF(COUNTIF($C$4:C977,C977)=1,1,0)</f>
        <v>1</v>
      </c>
      <c r="K977" s="1">
        <f t="shared" si="15"/>
        <v>2021</v>
      </c>
    </row>
    <row r="978" spans="2:11" x14ac:dyDescent="0.45">
      <c r="B978" s="1" t="s">
        <v>11</v>
      </c>
      <c r="C978" s="1" t="s">
        <v>985</v>
      </c>
      <c r="D978" s="7">
        <v>45495</v>
      </c>
      <c r="E978" s="7">
        <v>45516</v>
      </c>
      <c r="F978" s="7">
        <v>45549</v>
      </c>
      <c r="G978" s="1" t="s">
        <v>41</v>
      </c>
      <c r="H978" s="8">
        <v>223500.05</v>
      </c>
      <c r="I978" s="8">
        <v>156133.07999999999</v>
      </c>
      <c r="J978" s="1">
        <f>IF(COUNTIF($C$4:C978,C978)=1,1,0)</f>
        <v>1</v>
      </c>
      <c r="K978" s="1">
        <f t="shared" si="15"/>
        <v>2024</v>
      </c>
    </row>
    <row r="979" spans="2:11" x14ac:dyDescent="0.45">
      <c r="B979" s="1" t="s">
        <v>11</v>
      </c>
      <c r="C979" s="1" t="s">
        <v>986</v>
      </c>
      <c r="D979" s="7">
        <v>44288</v>
      </c>
      <c r="E979" s="7">
        <v>44317</v>
      </c>
      <c r="F979" s="7">
        <v>44365</v>
      </c>
      <c r="G979" s="1" t="s">
        <v>18</v>
      </c>
      <c r="H979" s="8">
        <v>2037860.9</v>
      </c>
      <c r="I979" s="8">
        <v>1647508.05</v>
      </c>
      <c r="J979" s="1">
        <f>IF(COUNTIF($C$4:C979,C979)=1,1,0)</f>
        <v>1</v>
      </c>
      <c r="K979" s="1">
        <f t="shared" si="15"/>
        <v>2021</v>
      </c>
    </row>
    <row r="980" spans="2:11" x14ac:dyDescent="0.45">
      <c r="B980" s="1" t="s">
        <v>11</v>
      </c>
      <c r="C980" s="1" t="s">
        <v>987</v>
      </c>
      <c r="D980" s="7">
        <v>45466</v>
      </c>
      <c r="E980" s="7">
        <v>45487</v>
      </c>
      <c r="F980" s="7">
        <v>45714</v>
      </c>
      <c r="G980" s="1" t="s">
        <v>20</v>
      </c>
      <c r="H980" s="8">
        <v>85202758.370000005</v>
      </c>
      <c r="I980" s="8">
        <v>54145423.829999998</v>
      </c>
      <c r="J980" s="1">
        <f>IF(COUNTIF($C$4:C980,C980)=1,1,0)</f>
        <v>1</v>
      </c>
      <c r="K980" s="1">
        <f t="shared" si="15"/>
        <v>2024</v>
      </c>
    </row>
    <row r="981" spans="2:11" x14ac:dyDescent="0.45">
      <c r="B981" s="1" t="s">
        <v>11</v>
      </c>
      <c r="C981" s="1" t="s">
        <v>988</v>
      </c>
      <c r="D981" s="7">
        <v>44588</v>
      </c>
      <c r="E981" s="7">
        <v>44594</v>
      </c>
      <c r="F981" s="7">
        <v>44698</v>
      </c>
      <c r="G981" s="1" t="s">
        <v>22</v>
      </c>
      <c r="H981" s="8">
        <v>39492274.369999997</v>
      </c>
      <c r="I981" s="8">
        <v>23202685.059999999</v>
      </c>
      <c r="J981" s="1">
        <f>IF(COUNTIF($C$4:C981,C981)=1,1,0)</f>
        <v>1</v>
      </c>
      <c r="K981" s="1">
        <f t="shared" si="15"/>
        <v>2022</v>
      </c>
    </row>
    <row r="982" spans="2:11" x14ac:dyDescent="0.45">
      <c r="B982" s="1" t="s">
        <v>11</v>
      </c>
      <c r="C982" s="1" t="s">
        <v>989</v>
      </c>
      <c r="D982" s="7">
        <v>43547</v>
      </c>
      <c r="E982" s="7">
        <v>43577</v>
      </c>
      <c r="F982" s="7">
        <v>43637</v>
      </c>
      <c r="G982" s="1" t="s">
        <v>38</v>
      </c>
      <c r="H982" s="8">
        <v>2719315.14</v>
      </c>
      <c r="I982" s="8">
        <v>1990042.61</v>
      </c>
      <c r="J982" s="1">
        <f>IF(COUNTIF($C$4:C982,C982)=1,1,0)</f>
        <v>1</v>
      </c>
      <c r="K982" s="1">
        <f t="shared" si="15"/>
        <v>2019</v>
      </c>
    </row>
    <row r="983" spans="2:11" x14ac:dyDescent="0.45">
      <c r="B983" s="1" t="s">
        <v>11</v>
      </c>
      <c r="C983" s="1" t="s">
        <v>990</v>
      </c>
      <c r="D983" s="7">
        <v>46144</v>
      </c>
      <c r="E983" s="7">
        <v>46149</v>
      </c>
      <c r="F983" s="7">
        <v>46311</v>
      </c>
      <c r="G983" s="1" t="s">
        <v>212</v>
      </c>
      <c r="H983" s="8">
        <v>16499595.789999999</v>
      </c>
      <c r="I983" s="8">
        <v>7437814.1399999997</v>
      </c>
      <c r="J983" s="1">
        <f>IF(COUNTIF($C$4:C983,C983)=1,1,0)</f>
        <v>1</v>
      </c>
      <c r="K983" s="1">
        <f t="shared" si="15"/>
        <v>2026</v>
      </c>
    </row>
    <row r="984" spans="2:11" x14ac:dyDescent="0.45">
      <c r="B984" s="1" t="s">
        <v>11</v>
      </c>
      <c r="C984" s="1" t="s">
        <v>991</v>
      </c>
      <c r="D984" s="7">
        <v>43552</v>
      </c>
      <c r="E984" s="7">
        <v>43570</v>
      </c>
      <c r="F984" s="7">
        <v>43737</v>
      </c>
      <c r="G984" s="1" t="s">
        <v>38</v>
      </c>
      <c r="H984" s="8">
        <v>729253.1</v>
      </c>
      <c r="I984" s="8">
        <v>563945.4</v>
      </c>
      <c r="J984" s="1">
        <f>IF(COUNTIF($C$4:C984,C984)=1,1,0)</f>
        <v>1</v>
      </c>
      <c r="K984" s="1">
        <f t="shared" si="15"/>
        <v>2019</v>
      </c>
    </row>
    <row r="985" spans="2:11" x14ac:dyDescent="0.45">
      <c r="B985" s="1" t="s">
        <v>11</v>
      </c>
      <c r="C985" s="1" t="s">
        <v>992</v>
      </c>
      <c r="D985" s="7">
        <v>46017</v>
      </c>
      <c r="E985" s="7">
        <v>46018</v>
      </c>
      <c r="F985" s="7">
        <v>46226</v>
      </c>
      <c r="G985" s="1" t="s">
        <v>20</v>
      </c>
      <c r="H985" s="8">
        <v>51358040.719999999</v>
      </c>
      <c r="I985" s="8">
        <v>32235361.579999998</v>
      </c>
      <c r="J985" s="1">
        <f>IF(COUNTIF($C$4:C985,C985)=1,1,0)</f>
        <v>1</v>
      </c>
      <c r="K985" s="1">
        <f t="shared" si="15"/>
        <v>2025</v>
      </c>
    </row>
    <row r="986" spans="2:11" x14ac:dyDescent="0.45">
      <c r="B986" s="1" t="s">
        <v>11</v>
      </c>
      <c r="C986" s="1" t="s">
        <v>993</v>
      </c>
      <c r="D986" s="7">
        <v>45385</v>
      </c>
      <c r="E986" s="7">
        <v>45406</v>
      </c>
      <c r="F986" s="7">
        <v>45615</v>
      </c>
      <c r="G986" s="1" t="s">
        <v>212</v>
      </c>
      <c r="H986" s="8">
        <v>5105474.8099999996</v>
      </c>
      <c r="I986" s="8">
        <v>2945114.87</v>
      </c>
      <c r="J986" s="1">
        <f>IF(COUNTIF($C$4:C986,C986)=1,1,0)</f>
        <v>1</v>
      </c>
      <c r="K986" s="1">
        <f t="shared" si="15"/>
        <v>2024</v>
      </c>
    </row>
    <row r="987" spans="2:11" x14ac:dyDescent="0.45">
      <c r="B987" s="1" t="s">
        <v>11</v>
      </c>
      <c r="C987" s="1" t="s">
        <v>994</v>
      </c>
      <c r="D987" s="7">
        <v>43393</v>
      </c>
      <c r="E987" s="7">
        <v>43417</v>
      </c>
      <c r="F987" s="7">
        <v>43600</v>
      </c>
      <c r="G987" s="1" t="s">
        <v>18</v>
      </c>
      <c r="H987" s="8">
        <v>1104323.6200000001</v>
      </c>
      <c r="I987" s="8">
        <v>898963.35</v>
      </c>
      <c r="J987" s="1">
        <f>IF(COUNTIF($C$4:C987,C987)=1,1,0)</f>
        <v>1</v>
      </c>
      <c r="K987" s="1">
        <f t="shared" si="15"/>
        <v>2018</v>
      </c>
    </row>
    <row r="988" spans="2:11" x14ac:dyDescent="0.45">
      <c r="B988" s="1" t="s">
        <v>11</v>
      </c>
      <c r="C988" s="1" t="s">
        <v>995</v>
      </c>
      <c r="D988" s="7">
        <v>44657</v>
      </c>
      <c r="E988" s="7">
        <v>44666</v>
      </c>
      <c r="F988" s="7">
        <v>44721</v>
      </c>
      <c r="G988" s="1" t="s">
        <v>212</v>
      </c>
      <c r="H988" s="8">
        <v>132829947.90000001</v>
      </c>
      <c r="I988" s="8">
        <v>40264961.840000004</v>
      </c>
      <c r="J988" s="1">
        <f>IF(COUNTIF($C$4:C988,C988)=1,1,0)</f>
        <v>1</v>
      </c>
      <c r="K988" s="1">
        <f t="shared" si="15"/>
        <v>2022</v>
      </c>
    </row>
    <row r="989" spans="2:11" x14ac:dyDescent="0.45">
      <c r="B989" s="1" t="s">
        <v>11</v>
      </c>
      <c r="C989" s="1" t="s">
        <v>996</v>
      </c>
      <c r="D989" s="7">
        <v>45676</v>
      </c>
      <c r="E989" s="7">
        <v>45680</v>
      </c>
      <c r="F989" s="7">
        <v>45897</v>
      </c>
      <c r="G989" s="1" t="s">
        <v>212</v>
      </c>
      <c r="H989" s="8">
        <v>299315.09999999998</v>
      </c>
      <c r="I989" s="8">
        <v>169462.27</v>
      </c>
      <c r="J989" s="1">
        <f>IF(COUNTIF($C$4:C989,C989)=1,1,0)</f>
        <v>1</v>
      </c>
      <c r="K989" s="1">
        <f t="shared" si="15"/>
        <v>2025</v>
      </c>
    </row>
    <row r="990" spans="2:11" x14ac:dyDescent="0.45">
      <c r="B990" s="1" t="s">
        <v>11</v>
      </c>
      <c r="C990" s="1" t="s">
        <v>997</v>
      </c>
      <c r="D990" s="7">
        <v>43705</v>
      </c>
      <c r="E990" s="7">
        <v>43731</v>
      </c>
      <c r="F990" s="7">
        <v>43952</v>
      </c>
      <c r="G990" s="1" t="s">
        <v>212</v>
      </c>
      <c r="H990" s="8">
        <v>6508099.5899999999</v>
      </c>
      <c r="I990" s="8">
        <v>2886364.95</v>
      </c>
      <c r="J990" s="1">
        <f>IF(COUNTIF($C$4:C990,C990)=1,1,0)</f>
        <v>1</v>
      </c>
      <c r="K990" s="1">
        <f t="shared" si="15"/>
        <v>2019</v>
      </c>
    </row>
    <row r="991" spans="2:11" x14ac:dyDescent="0.45">
      <c r="B991" s="1" t="s">
        <v>11</v>
      </c>
      <c r="C991" s="1" t="s">
        <v>998</v>
      </c>
      <c r="D991" s="7">
        <v>45731</v>
      </c>
      <c r="E991" s="7">
        <v>45741</v>
      </c>
      <c r="F991" s="7">
        <v>45914</v>
      </c>
      <c r="G991" s="1" t="s">
        <v>38</v>
      </c>
      <c r="H991" s="8">
        <v>178422.52</v>
      </c>
      <c r="I991" s="8">
        <v>141761.91</v>
      </c>
      <c r="J991" s="1">
        <f>IF(COUNTIF($C$4:C991,C991)=1,1,0)</f>
        <v>1</v>
      </c>
      <c r="K991" s="1">
        <f t="shared" si="15"/>
        <v>2025</v>
      </c>
    </row>
    <row r="992" spans="2:11" x14ac:dyDescent="0.45">
      <c r="B992" s="1" t="s">
        <v>11</v>
      </c>
      <c r="C992" s="1" t="s">
        <v>999</v>
      </c>
      <c r="D992" s="7">
        <v>44315</v>
      </c>
      <c r="E992" s="7">
        <v>44337</v>
      </c>
      <c r="F992" s="7">
        <v>44540</v>
      </c>
      <c r="G992" s="1" t="s">
        <v>38</v>
      </c>
      <c r="H992" s="8">
        <v>717188.24</v>
      </c>
      <c r="I992" s="8">
        <v>489547.03</v>
      </c>
      <c r="J992" s="1">
        <f>IF(COUNTIF($C$4:C992,C992)=1,1,0)</f>
        <v>1</v>
      </c>
      <c r="K992" s="1">
        <f t="shared" si="15"/>
        <v>2021</v>
      </c>
    </row>
    <row r="993" spans="2:11" x14ac:dyDescent="0.45">
      <c r="B993" s="1" t="s">
        <v>11</v>
      </c>
      <c r="C993" s="1" t="s">
        <v>1000</v>
      </c>
      <c r="D993" s="7">
        <v>45590</v>
      </c>
      <c r="E993" s="7">
        <v>45607</v>
      </c>
      <c r="F993" s="7">
        <v>45731</v>
      </c>
      <c r="G993" s="1" t="s">
        <v>16</v>
      </c>
      <c r="H993" s="8">
        <v>991330.87</v>
      </c>
      <c r="I993" s="8">
        <v>653682.38</v>
      </c>
      <c r="J993" s="1">
        <f>IF(COUNTIF($C$4:C993,C993)=1,1,0)</f>
        <v>1</v>
      </c>
      <c r="K993" s="1">
        <f t="shared" si="15"/>
        <v>2024</v>
      </c>
    </row>
    <row r="994" spans="2:11" x14ac:dyDescent="0.45">
      <c r="B994" s="1" t="s">
        <v>11</v>
      </c>
      <c r="C994" s="1" t="s">
        <v>1001</v>
      </c>
      <c r="D994" s="7">
        <v>45654</v>
      </c>
      <c r="E994" s="7">
        <v>45669</v>
      </c>
      <c r="F994" s="7">
        <v>45755</v>
      </c>
      <c r="G994" s="1" t="s">
        <v>212</v>
      </c>
      <c r="H994" s="8">
        <v>30868169.199999999</v>
      </c>
      <c r="I994" s="8">
        <v>14949137.27</v>
      </c>
      <c r="J994" s="1">
        <f>IF(COUNTIF($C$4:C994,C994)=1,1,0)</f>
        <v>1</v>
      </c>
      <c r="K994" s="1">
        <f t="shared" si="15"/>
        <v>2024</v>
      </c>
    </row>
    <row r="995" spans="2:11" x14ac:dyDescent="0.45">
      <c r="B995" s="1" t="s">
        <v>11</v>
      </c>
      <c r="C995" s="1" t="s">
        <v>1002</v>
      </c>
      <c r="D995" s="7">
        <v>44091</v>
      </c>
      <c r="E995" s="7">
        <v>44091</v>
      </c>
      <c r="F995" s="7">
        <v>44230</v>
      </c>
      <c r="G995" s="1" t="s">
        <v>20</v>
      </c>
      <c r="H995" s="8">
        <v>13403966.82</v>
      </c>
      <c r="I995" s="8">
        <v>5465334.79</v>
      </c>
      <c r="J995" s="1">
        <f>IF(COUNTIF($C$4:C995,C995)=1,1,0)</f>
        <v>1</v>
      </c>
      <c r="K995" s="1">
        <f t="shared" si="15"/>
        <v>2020</v>
      </c>
    </row>
    <row r="996" spans="2:11" x14ac:dyDescent="0.45">
      <c r="B996" s="1" t="s">
        <v>11</v>
      </c>
      <c r="C996" s="1" t="s">
        <v>1003</v>
      </c>
      <c r="D996" s="7">
        <v>44319</v>
      </c>
      <c r="E996" s="7">
        <v>44322</v>
      </c>
      <c r="F996" s="7">
        <v>44403</v>
      </c>
      <c r="G996" s="1" t="s">
        <v>41</v>
      </c>
      <c r="H996" s="8">
        <v>129700.64</v>
      </c>
      <c r="I996" s="8">
        <v>113947.54</v>
      </c>
      <c r="J996" s="1">
        <f>IF(COUNTIF($C$4:C996,C996)=1,1,0)</f>
        <v>1</v>
      </c>
      <c r="K996" s="1">
        <f t="shared" si="15"/>
        <v>2021</v>
      </c>
    </row>
    <row r="997" spans="2:11" x14ac:dyDescent="0.45">
      <c r="B997" s="1" t="s">
        <v>11</v>
      </c>
      <c r="C997" s="1" t="s">
        <v>1004</v>
      </c>
      <c r="D997" s="7">
        <v>44352</v>
      </c>
      <c r="E997" s="7">
        <v>44374</v>
      </c>
      <c r="F997" s="7">
        <v>44572</v>
      </c>
      <c r="G997" s="1" t="s">
        <v>38</v>
      </c>
      <c r="H997" s="8">
        <v>372009.51</v>
      </c>
      <c r="I997" s="8">
        <v>306300.32</v>
      </c>
      <c r="J997" s="1">
        <f>IF(COUNTIF($C$4:C997,C997)=1,1,0)</f>
        <v>1</v>
      </c>
      <c r="K997" s="1">
        <f t="shared" si="15"/>
        <v>2021</v>
      </c>
    </row>
    <row r="998" spans="2:11" x14ac:dyDescent="0.45">
      <c r="B998" s="1" t="s">
        <v>11</v>
      </c>
      <c r="C998" s="1" t="s">
        <v>1005</v>
      </c>
      <c r="D998" s="7">
        <v>44431</v>
      </c>
      <c r="E998" s="7">
        <v>44453</v>
      </c>
      <c r="F998" s="7">
        <v>44561</v>
      </c>
      <c r="G998" s="1" t="s">
        <v>41</v>
      </c>
      <c r="H998" s="8">
        <v>533219.81999999995</v>
      </c>
      <c r="I998" s="8">
        <v>361547.07</v>
      </c>
      <c r="J998" s="1">
        <f>IF(COUNTIF($C$4:C998,C998)=1,1,0)</f>
        <v>1</v>
      </c>
      <c r="K998" s="1">
        <f t="shared" si="15"/>
        <v>2021</v>
      </c>
    </row>
    <row r="999" spans="2:11" x14ac:dyDescent="0.45">
      <c r="B999" s="1" t="s">
        <v>11</v>
      </c>
      <c r="C999" s="1" t="s">
        <v>1006</v>
      </c>
      <c r="D999" s="7">
        <v>45822</v>
      </c>
      <c r="E999" s="7">
        <v>45839</v>
      </c>
      <c r="F999" s="7">
        <v>45921</v>
      </c>
      <c r="G999" s="1" t="s">
        <v>20</v>
      </c>
      <c r="H999" s="8">
        <v>1353560.95</v>
      </c>
      <c r="I999" s="8">
        <v>1023295.39</v>
      </c>
      <c r="J999" s="1">
        <f>IF(COUNTIF($C$4:C999,C999)=1,1,0)</f>
        <v>1</v>
      </c>
      <c r="K999" s="1">
        <f t="shared" si="15"/>
        <v>2025</v>
      </c>
    </row>
    <row r="1000" spans="2:11" x14ac:dyDescent="0.45">
      <c r="B1000" s="1" t="s">
        <v>11</v>
      </c>
      <c r="C1000" s="1" t="s">
        <v>1007</v>
      </c>
      <c r="D1000" s="7">
        <v>44808</v>
      </c>
      <c r="E1000" s="7">
        <v>44838</v>
      </c>
      <c r="F1000" s="7">
        <v>45042</v>
      </c>
      <c r="G1000" s="1" t="s">
        <v>212</v>
      </c>
      <c r="H1000" s="8">
        <v>7356178.3300000001</v>
      </c>
      <c r="I1000" s="8">
        <v>3605717.6</v>
      </c>
      <c r="J1000" s="1">
        <f>IF(COUNTIF($C$4:C1000,C1000)=1,1,0)</f>
        <v>1</v>
      </c>
      <c r="K1000" s="1">
        <f t="shared" si="15"/>
        <v>2022</v>
      </c>
    </row>
    <row r="1001" spans="2:11" x14ac:dyDescent="0.45">
      <c r="B1001" s="1" t="s">
        <v>11</v>
      </c>
      <c r="C1001" s="1" t="s">
        <v>1008</v>
      </c>
      <c r="D1001" s="7">
        <v>43984</v>
      </c>
      <c r="E1001" s="7">
        <v>43990</v>
      </c>
      <c r="F1001" s="7">
        <v>44133</v>
      </c>
      <c r="G1001" s="1" t="s">
        <v>20</v>
      </c>
      <c r="H1001" s="8">
        <v>1376610.09</v>
      </c>
      <c r="I1001" s="8">
        <v>923376.31</v>
      </c>
      <c r="J1001" s="1">
        <f>IF(COUNTIF($C$4:C1001,C1001)=1,1,0)</f>
        <v>1</v>
      </c>
      <c r="K1001" s="1">
        <f t="shared" si="15"/>
        <v>2020</v>
      </c>
    </row>
    <row r="1002" spans="2:11" x14ac:dyDescent="0.45">
      <c r="B1002" s="1" t="s">
        <v>11</v>
      </c>
      <c r="C1002" s="1" t="s">
        <v>1009</v>
      </c>
      <c r="D1002" s="7">
        <v>45058</v>
      </c>
      <c r="E1002" s="7">
        <v>45067</v>
      </c>
      <c r="F1002" s="7">
        <v>45203</v>
      </c>
      <c r="G1002" s="1" t="s">
        <v>20</v>
      </c>
      <c r="H1002" s="8">
        <v>16522535.039999999</v>
      </c>
      <c r="I1002" s="8">
        <v>7447825.7599999998</v>
      </c>
      <c r="J1002" s="1">
        <f>IF(COUNTIF($C$4:C1002,C1002)=1,1,0)</f>
        <v>1</v>
      </c>
      <c r="K1002" s="1">
        <f t="shared" si="15"/>
        <v>2023</v>
      </c>
    </row>
    <row r="1003" spans="2:11" x14ac:dyDescent="0.45">
      <c r="B1003" s="1" t="s">
        <v>11</v>
      </c>
      <c r="C1003" s="1" t="s">
        <v>1010</v>
      </c>
      <c r="D1003" s="7">
        <v>43875</v>
      </c>
      <c r="E1003" s="7">
        <v>43886</v>
      </c>
      <c r="F1003" s="7">
        <v>44120</v>
      </c>
      <c r="G1003" s="1" t="s">
        <v>16</v>
      </c>
      <c r="H1003" s="8">
        <v>2642871.39</v>
      </c>
      <c r="I1003" s="8">
        <v>2027124.78</v>
      </c>
      <c r="J1003" s="1">
        <f>IF(COUNTIF($C$4:C1003,C1003)=1,1,0)</f>
        <v>1</v>
      </c>
      <c r="K1003" s="1">
        <f t="shared" si="15"/>
        <v>2020</v>
      </c>
    </row>
    <row r="1004" spans="2:11" x14ac:dyDescent="0.45">
      <c r="B1004" s="1" t="s">
        <v>11</v>
      </c>
      <c r="C1004" s="1" t="s">
        <v>1011</v>
      </c>
      <c r="D1004" s="7">
        <v>45535</v>
      </c>
      <c r="E1004" s="7">
        <v>45540</v>
      </c>
      <c r="F1004" s="7">
        <v>45582</v>
      </c>
      <c r="G1004" s="1" t="s">
        <v>41</v>
      </c>
      <c r="H1004" s="8">
        <v>387910.89</v>
      </c>
      <c r="I1004" s="8">
        <v>286435.71000000002</v>
      </c>
      <c r="J1004" s="1">
        <f>IF(COUNTIF($C$4:C1004,C1004)=1,1,0)</f>
        <v>1</v>
      </c>
      <c r="K1004" s="1">
        <f t="shared" si="15"/>
        <v>2024</v>
      </c>
    </row>
    <row r="1005" spans="2:11" x14ac:dyDescent="0.45">
      <c r="B1005" s="1" t="s">
        <v>11</v>
      </c>
      <c r="C1005" s="1" t="s">
        <v>1012</v>
      </c>
      <c r="D1005" s="7">
        <v>43924</v>
      </c>
      <c r="E1005" s="7">
        <v>43933</v>
      </c>
      <c r="F1005" s="7">
        <v>44161</v>
      </c>
      <c r="G1005" s="1" t="s">
        <v>18</v>
      </c>
      <c r="H1005" s="8">
        <v>55153409.619999997</v>
      </c>
      <c r="I1005" s="8">
        <v>27194894.190000001</v>
      </c>
      <c r="J1005" s="1">
        <f>IF(COUNTIF($C$4:C1005,C1005)=1,1,0)</f>
        <v>1</v>
      </c>
      <c r="K1005" s="1">
        <f t="shared" si="15"/>
        <v>2020</v>
      </c>
    </row>
    <row r="1006" spans="2:11" x14ac:dyDescent="0.45">
      <c r="B1006" s="1" t="s">
        <v>11</v>
      </c>
      <c r="C1006" s="1" t="s">
        <v>1013</v>
      </c>
      <c r="D1006" s="7">
        <v>43449</v>
      </c>
      <c r="E1006" s="7">
        <v>43453</v>
      </c>
      <c r="F1006" s="7">
        <v>43658</v>
      </c>
      <c r="G1006" s="1" t="s">
        <v>212</v>
      </c>
      <c r="H1006" s="8">
        <v>9184066.2799999993</v>
      </c>
      <c r="I1006" s="8">
        <v>5909839.9900000002</v>
      </c>
      <c r="J1006" s="1">
        <f>IF(COUNTIF($C$4:C1006,C1006)=1,1,0)</f>
        <v>1</v>
      </c>
      <c r="K1006" s="1">
        <f t="shared" si="15"/>
        <v>2018</v>
      </c>
    </row>
    <row r="1007" spans="2:11" x14ac:dyDescent="0.45">
      <c r="B1007" s="1" t="s">
        <v>11</v>
      </c>
      <c r="C1007" s="1" t="s">
        <v>1014</v>
      </c>
      <c r="D1007" s="7">
        <v>43990</v>
      </c>
      <c r="E1007" s="7">
        <v>44007</v>
      </c>
      <c r="F1007" s="7">
        <v>44233</v>
      </c>
      <c r="G1007" s="1" t="s">
        <v>16</v>
      </c>
      <c r="H1007" s="8">
        <v>4820646.18</v>
      </c>
      <c r="I1007" s="8">
        <v>3237555.01</v>
      </c>
      <c r="J1007" s="1">
        <f>IF(COUNTIF($C$4:C1007,C1007)=1,1,0)</f>
        <v>1</v>
      </c>
      <c r="K1007" s="1">
        <f t="shared" si="15"/>
        <v>2020</v>
      </c>
    </row>
    <row r="1008" spans="2:11" x14ac:dyDescent="0.45">
      <c r="B1008" s="1" t="s">
        <v>11</v>
      </c>
      <c r="C1008" s="1" t="s">
        <v>1015</v>
      </c>
      <c r="D1008" s="7">
        <v>45230</v>
      </c>
      <c r="E1008" s="7">
        <v>45250</v>
      </c>
      <c r="F1008" s="7">
        <v>45344</v>
      </c>
      <c r="G1008" s="1" t="s">
        <v>38</v>
      </c>
      <c r="H1008" s="8">
        <v>394294.14</v>
      </c>
      <c r="I1008" s="8">
        <v>292948.73</v>
      </c>
      <c r="J1008" s="1">
        <f>IF(COUNTIF($C$4:C1008,C1008)=1,1,0)</f>
        <v>1</v>
      </c>
      <c r="K1008" s="1">
        <f t="shared" si="15"/>
        <v>2023</v>
      </c>
    </row>
    <row r="1009" spans="2:11" x14ac:dyDescent="0.45">
      <c r="B1009" s="1" t="s">
        <v>11</v>
      </c>
      <c r="C1009" s="1" t="s">
        <v>1016</v>
      </c>
      <c r="D1009" s="7">
        <v>44475</v>
      </c>
      <c r="E1009" s="7">
        <v>44502</v>
      </c>
      <c r="F1009" s="7">
        <v>44678</v>
      </c>
      <c r="G1009" s="1" t="s">
        <v>20</v>
      </c>
      <c r="H1009" s="8">
        <v>1440837.41</v>
      </c>
      <c r="I1009" s="8">
        <v>997396.28</v>
      </c>
      <c r="J1009" s="1">
        <f>IF(COUNTIF($C$4:C1009,C1009)=1,1,0)</f>
        <v>1</v>
      </c>
      <c r="K1009" s="1">
        <f t="shared" si="15"/>
        <v>2021</v>
      </c>
    </row>
    <row r="1010" spans="2:11" x14ac:dyDescent="0.45">
      <c r="B1010" s="1" t="s">
        <v>11</v>
      </c>
      <c r="C1010" s="1" t="s">
        <v>1017</v>
      </c>
      <c r="D1010" s="7">
        <v>43761</v>
      </c>
      <c r="E1010" s="7">
        <v>43762</v>
      </c>
      <c r="F1010" s="7">
        <v>43823</v>
      </c>
      <c r="G1010" s="1" t="s">
        <v>16</v>
      </c>
      <c r="H1010" s="8">
        <v>1761767.93</v>
      </c>
      <c r="I1010" s="8">
        <v>1144216.26</v>
      </c>
      <c r="J1010" s="1">
        <f>IF(COUNTIF($C$4:C1010,C1010)=1,1,0)</f>
        <v>1</v>
      </c>
      <c r="K1010" s="1">
        <f t="shared" si="15"/>
        <v>2019</v>
      </c>
    </row>
    <row r="1011" spans="2:11" x14ac:dyDescent="0.45">
      <c r="B1011" s="1" t="s">
        <v>11</v>
      </c>
      <c r="C1011" s="1" t="s">
        <v>1018</v>
      </c>
      <c r="D1011" s="7">
        <v>45340</v>
      </c>
      <c r="E1011" s="7">
        <v>45343</v>
      </c>
      <c r="F1011" s="7">
        <v>45521</v>
      </c>
      <c r="G1011" s="1" t="s">
        <v>16</v>
      </c>
      <c r="H1011" s="8">
        <v>846404.41</v>
      </c>
      <c r="I1011" s="8">
        <v>650605.1</v>
      </c>
      <c r="J1011" s="1">
        <f>IF(COUNTIF($C$4:C1011,C1011)=1,1,0)</f>
        <v>1</v>
      </c>
      <c r="K1011" s="1">
        <f t="shared" si="15"/>
        <v>2024</v>
      </c>
    </row>
    <row r="1012" spans="2:11" x14ac:dyDescent="0.45">
      <c r="B1012" s="1" t="s">
        <v>11</v>
      </c>
      <c r="C1012" s="1" t="s">
        <v>1019</v>
      </c>
      <c r="D1012" s="7">
        <v>43886</v>
      </c>
      <c r="E1012" s="7">
        <v>43916</v>
      </c>
      <c r="F1012" s="7">
        <v>44149</v>
      </c>
      <c r="G1012" s="1" t="s">
        <v>38</v>
      </c>
      <c r="H1012" s="8">
        <v>446936.78</v>
      </c>
      <c r="I1012" s="8">
        <v>266371.01</v>
      </c>
      <c r="J1012" s="1">
        <f>IF(COUNTIF($C$4:C1012,C1012)=1,1,0)</f>
        <v>1</v>
      </c>
      <c r="K1012" s="1">
        <f t="shared" si="15"/>
        <v>2020</v>
      </c>
    </row>
    <row r="1013" spans="2:11" x14ac:dyDescent="0.45">
      <c r="B1013" s="1" t="s">
        <v>11</v>
      </c>
      <c r="C1013" s="1" t="s">
        <v>1020</v>
      </c>
      <c r="D1013" s="7">
        <v>45737</v>
      </c>
      <c r="E1013" s="7">
        <v>45748</v>
      </c>
      <c r="F1013" s="7">
        <v>45942</v>
      </c>
      <c r="G1013" s="1" t="s">
        <v>212</v>
      </c>
      <c r="H1013" s="8">
        <v>16229712.33</v>
      </c>
      <c r="I1013" s="8">
        <v>8242691.9800000004</v>
      </c>
      <c r="J1013" s="1">
        <f>IF(COUNTIF($C$4:C1013,C1013)=1,1,0)</f>
        <v>1</v>
      </c>
      <c r="K1013" s="1">
        <f t="shared" si="15"/>
        <v>2025</v>
      </c>
    </row>
    <row r="1014" spans="2:11" x14ac:dyDescent="0.45">
      <c r="B1014" s="1" t="s">
        <v>11</v>
      </c>
      <c r="C1014" s="1" t="s">
        <v>1021</v>
      </c>
      <c r="D1014" s="7">
        <v>43186</v>
      </c>
      <c r="E1014" s="7">
        <v>43201</v>
      </c>
      <c r="F1014" s="7">
        <v>43262</v>
      </c>
      <c r="G1014" s="1" t="s">
        <v>212</v>
      </c>
      <c r="H1014" s="8">
        <v>14919591.26</v>
      </c>
      <c r="I1014" s="8">
        <v>10263392.59</v>
      </c>
      <c r="J1014" s="1">
        <f>IF(COUNTIF($C$4:C1014,C1014)=1,1,0)</f>
        <v>1</v>
      </c>
      <c r="K1014" s="1">
        <f t="shared" si="15"/>
        <v>2018</v>
      </c>
    </row>
    <row r="1015" spans="2:11" x14ac:dyDescent="0.45">
      <c r="B1015" s="1" t="s">
        <v>11</v>
      </c>
      <c r="C1015" s="1" t="s">
        <v>1022</v>
      </c>
      <c r="D1015" s="7">
        <v>44758</v>
      </c>
      <c r="E1015" s="7">
        <v>44759</v>
      </c>
      <c r="F1015" s="7">
        <v>44817</v>
      </c>
      <c r="G1015" s="1" t="s">
        <v>20</v>
      </c>
      <c r="H1015" s="8">
        <v>9916909.4399999995</v>
      </c>
      <c r="I1015" s="8">
        <v>5320374.12</v>
      </c>
      <c r="J1015" s="1">
        <f>IF(COUNTIF($C$4:C1015,C1015)=1,1,0)</f>
        <v>1</v>
      </c>
      <c r="K1015" s="1">
        <f t="shared" si="15"/>
        <v>2022</v>
      </c>
    </row>
    <row r="1016" spans="2:11" x14ac:dyDescent="0.45">
      <c r="B1016" s="1" t="s">
        <v>11</v>
      </c>
      <c r="C1016" s="1" t="s">
        <v>1023</v>
      </c>
      <c r="D1016" s="7">
        <v>45123</v>
      </c>
      <c r="E1016" s="7">
        <v>45151</v>
      </c>
      <c r="F1016" s="7">
        <v>45331</v>
      </c>
      <c r="G1016" s="1" t="s">
        <v>22</v>
      </c>
      <c r="H1016" s="8">
        <v>71192301.379999995</v>
      </c>
      <c r="I1016" s="8">
        <v>35492711.270000003</v>
      </c>
      <c r="J1016" s="1">
        <f>IF(COUNTIF($C$4:C1016,C1016)=1,1,0)</f>
        <v>1</v>
      </c>
      <c r="K1016" s="1">
        <f t="shared" si="15"/>
        <v>2023</v>
      </c>
    </row>
    <row r="1017" spans="2:11" x14ac:dyDescent="0.45">
      <c r="B1017" s="1" t="s">
        <v>11</v>
      </c>
      <c r="C1017" s="1" t="s">
        <v>1024</v>
      </c>
      <c r="D1017" s="7">
        <v>44031</v>
      </c>
      <c r="E1017" s="7">
        <v>44054</v>
      </c>
      <c r="F1017" s="7">
        <v>44129</v>
      </c>
      <c r="G1017" s="1" t="s">
        <v>41</v>
      </c>
      <c r="H1017" s="8">
        <v>1780619.5</v>
      </c>
      <c r="I1017" s="8">
        <v>1307386.02</v>
      </c>
      <c r="J1017" s="1">
        <f>IF(COUNTIF($C$4:C1017,C1017)=1,1,0)</f>
        <v>1</v>
      </c>
      <c r="K1017" s="1">
        <f t="shared" si="15"/>
        <v>2020</v>
      </c>
    </row>
    <row r="1018" spans="2:11" x14ac:dyDescent="0.45">
      <c r="B1018" s="1" t="s">
        <v>11</v>
      </c>
      <c r="C1018" s="1" t="s">
        <v>1025</v>
      </c>
      <c r="D1018" s="7">
        <v>45490</v>
      </c>
      <c r="E1018" s="7">
        <v>45500</v>
      </c>
      <c r="F1018" s="7">
        <v>45522</v>
      </c>
      <c r="G1018" s="1" t="s">
        <v>41</v>
      </c>
      <c r="H1018" s="8">
        <v>374386.09</v>
      </c>
      <c r="I1018" s="8">
        <v>281762.37</v>
      </c>
      <c r="J1018" s="1">
        <f>IF(COUNTIF($C$4:C1018,C1018)=1,1,0)</f>
        <v>1</v>
      </c>
      <c r="K1018" s="1">
        <f t="shared" si="15"/>
        <v>2024</v>
      </c>
    </row>
    <row r="1019" spans="2:11" x14ac:dyDescent="0.45">
      <c r="B1019" s="1" t="s">
        <v>11</v>
      </c>
      <c r="C1019" s="1" t="s">
        <v>1026</v>
      </c>
      <c r="D1019" s="7">
        <v>43582</v>
      </c>
      <c r="E1019" s="7">
        <v>43601</v>
      </c>
      <c r="F1019" s="7">
        <v>43643</v>
      </c>
      <c r="G1019" s="1" t="s">
        <v>41</v>
      </c>
      <c r="H1019" s="8">
        <v>412552.23</v>
      </c>
      <c r="I1019" s="8">
        <v>279014.8</v>
      </c>
      <c r="J1019" s="1">
        <f>IF(COUNTIF($C$4:C1019,C1019)=1,1,0)</f>
        <v>1</v>
      </c>
      <c r="K1019" s="1">
        <f t="shared" si="15"/>
        <v>2019</v>
      </c>
    </row>
    <row r="1020" spans="2:11" x14ac:dyDescent="0.45">
      <c r="B1020" s="1" t="s">
        <v>11</v>
      </c>
      <c r="C1020" s="1" t="s">
        <v>1027</v>
      </c>
      <c r="D1020" s="7">
        <v>44943</v>
      </c>
      <c r="E1020" s="7">
        <v>44953</v>
      </c>
      <c r="F1020" s="7">
        <v>45067</v>
      </c>
      <c r="G1020" s="1" t="s">
        <v>22</v>
      </c>
      <c r="H1020" s="8">
        <v>4704071.47</v>
      </c>
      <c r="I1020" s="8">
        <v>3197490.7</v>
      </c>
      <c r="J1020" s="1">
        <f>IF(COUNTIF($C$4:C1020,C1020)=1,1,0)</f>
        <v>1</v>
      </c>
      <c r="K1020" s="1">
        <f t="shared" si="15"/>
        <v>2023</v>
      </c>
    </row>
    <row r="1021" spans="2:11" x14ac:dyDescent="0.45">
      <c r="B1021" s="1" t="s">
        <v>11</v>
      </c>
      <c r="C1021" s="1" t="s">
        <v>1028</v>
      </c>
      <c r="D1021" s="7">
        <v>44692</v>
      </c>
      <c r="E1021" s="7">
        <v>44721</v>
      </c>
      <c r="F1021" s="7">
        <v>44916</v>
      </c>
      <c r="G1021" s="1" t="s">
        <v>212</v>
      </c>
      <c r="H1021" s="8">
        <v>19806207.57</v>
      </c>
      <c r="I1021" s="8">
        <v>7770539.8799999999</v>
      </c>
      <c r="J1021" s="1">
        <f>IF(COUNTIF($C$4:C1021,C1021)=1,1,0)</f>
        <v>1</v>
      </c>
      <c r="K1021" s="1">
        <f t="shared" si="15"/>
        <v>2022</v>
      </c>
    </row>
    <row r="1022" spans="2:11" x14ac:dyDescent="0.45">
      <c r="B1022" s="1" t="s">
        <v>11</v>
      </c>
      <c r="C1022" s="1" t="s">
        <v>1029</v>
      </c>
      <c r="D1022" s="7">
        <v>46209</v>
      </c>
      <c r="E1022" s="7">
        <v>46225</v>
      </c>
      <c r="F1022" s="7">
        <v>46281</v>
      </c>
      <c r="G1022" s="1" t="s">
        <v>16</v>
      </c>
      <c r="H1022" s="8">
        <v>2382122.87</v>
      </c>
      <c r="I1022" s="8">
        <v>1433645.02</v>
      </c>
      <c r="J1022" s="1">
        <f>IF(COUNTIF($C$4:C1022,C1022)=1,1,0)</f>
        <v>1</v>
      </c>
      <c r="K1022" s="1">
        <f t="shared" si="15"/>
        <v>2026</v>
      </c>
    </row>
    <row r="1023" spans="2:11" x14ac:dyDescent="0.45">
      <c r="B1023" s="1" t="s">
        <v>11</v>
      </c>
      <c r="C1023" s="1" t="s">
        <v>1030</v>
      </c>
      <c r="D1023" s="7">
        <v>45086</v>
      </c>
      <c r="E1023" s="7">
        <v>45090</v>
      </c>
      <c r="F1023" s="7">
        <v>45136</v>
      </c>
      <c r="G1023" s="1" t="s">
        <v>212</v>
      </c>
      <c r="H1023" s="8">
        <v>3272091.96</v>
      </c>
      <c r="I1023" s="8">
        <v>1932844.74</v>
      </c>
      <c r="J1023" s="1">
        <f>IF(COUNTIF($C$4:C1023,C1023)=1,1,0)</f>
        <v>1</v>
      </c>
      <c r="K1023" s="1">
        <f t="shared" si="15"/>
        <v>2023</v>
      </c>
    </row>
    <row r="1024" spans="2:11" x14ac:dyDescent="0.45">
      <c r="B1024" s="1" t="s">
        <v>11</v>
      </c>
      <c r="C1024" s="1" t="s">
        <v>1031</v>
      </c>
      <c r="D1024" s="7">
        <v>45815</v>
      </c>
      <c r="E1024" s="7">
        <v>45845</v>
      </c>
      <c r="F1024" s="7">
        <v>46003</v>
      </c>
      <c r="G1024" s="1" t="s">
        <v>20</v>
      </c>
      <c r="H1024" s="8">
        <v>57462392.740000002</v>
      </c>
      <c r="I1024" s="8">
        <v>40245769.609999999</v>
      </c>
      <c r="J1024" s="1">
        <f>IF(COUNTIF($C$4:C1024,C1024)=1,1,0)</f>
        <v>1</v>
      </c>
      <c r="K1024" s="1">
        <f t="shared" si="15"/>
        <v>2025</v>
      </c>
    </row>
    <row r="1025" spans="2:11" x14ac:dyDescent="0.45">
      <c r="B1025" s="1" t="s">
        <v>11</v>
      </c>
      <c r="C1025" s="1" t="s">
        <v>1032</v>
      </c>
      <c r="D1025" s="7">
        <v>44245</v>
      </c>
      <c r="E1025" s="7">
        <v>44263</v>
      </c>
      <c r="F1025" s="7">
        <v>44385</v>
      </c>
      <c r="G1025" s="1" t="s">
        <v>22</v>
      </c>
      <c r="H1025" s="8">
        <v>2977677.01</v>
      </c>
      <c r="I1025" s="8">
        <v>1274378.48</v>
      </c>
      <c r="J1025" s="1">
        <f>IF(COUNTIF($C$4:C1025,C1025)=1,1,0)</f>
        <v>1</v>
      </c>
      <c r="K1025" s="1">
        <f t="shared" si="15"/>
        <v>2021</v>
      </c>
    </row>
    <row r="1026" spans="2:11" x14ac:dyDescent="0.45">
      <c r="B1026" s="1" t="s">
        <v>11</v>
      </c>
      <c r="C1026" s="1" t="s">
        <v>1033</v>
      </c>
      <c r="D1026" s="7">
        <v>44329</v>
      </c>
      <c r="E1026" s="7">
        <v>44356</v>
      </c>
      <c r="F1026" s="7">
        <v>44428</v>
      </c>
      <c r="G1026" s="1" t="s">
        <v>20</v>
      </c>
      <c r="H1026" s="8">
        <v>161365321.61000001</v>
      </c>
      <c r="I1026" s="8">
        <v>113076268.2</v>
      </c>
      <c r="J1026" s="1">
        <f>IF(COUNTIF($C$4:C1026,C1026)=1,1,0)</f>
        <v>1</v>
      </c>
      <c r="K1026" s="1">
        <f t="shared" si="15"/>
        <v>2021</v>
      </c>
    </row>
    <row r="1027" spans="2:11" x14ac:dyDescent="0.45">
      <c r="B1027" s="1" t="s">
        <v>11</v>
      </c>
      <c r="C1027" s="1" t="s">
        <v>1034</v>
      </c>
      <c r="D1027" s="7">
        <v>43257</v>
      </c>
      <c r="E1027" s="7">
        <v>43271</v>
      </c>
      <c r="F1027" s="7">
        <v>43498</v>
      </c>
      <c r="G1027" s="1" t="s">
        <v>38</v>
      </c>
      <c r="H1027" s="8">
        <v>1288757.74</v>
      </c>
      <c r="I1027" s="8">
        <v>1047309.92</v>
      </c>
      <c r="J1027" s="1">
        <f>IF(COUNTIF($C$4:C1027,C1027)=1,1,0)</f>
        <v>1</v>
      </c>
      <c r="K1027" s="1">
        <f t="shared" si="15"/>
        <v>2018</v>
      </c>
    </row>
    <row r="1028" spans="2:11" x14ac:dyDescent="0.45">
      <c r="B1028" s="1" t="s">
        <v>11</v>
      </c>
      <c r="C1028" s="1" t="s">
        <v>1035</v>
      </c>
      <c r="D1028" s="7">
        <v>44188</v>
      </c>
      <c r="E1028" s="7">
        <v>44203</v>
      </c>
      <c r="F1028" s="7">
        <v>44428</v>
      </c>
      <c r="G1028" s="1" t="s">
        <v>20</v>
      </c>
      <c r="H1028" s="8">
        <v>31540422.32</v>
      </c>
      <c r="I1028" s="8">
        <v>12177217.52</v>
      </c>
      <c r="J1028" s="1">
        <f>IF(COUNTIF($C$4:C1028,C1028)=1,1,0)</f>
        <v>1</v>
      </c>
      <c r="K1028" s="1">
        <f t="shared" si="15"/>
        <v>2020</v>
      </c>
    </row>
    <row r="1029" spans="2:11" x14ac:dyDescent="0.45">
      <c r="B1029" s="1" t="s">
        <v>11</v>
      </c>
      <c r="C1029" s="1" t="s">
        <v>1036</v>
      </c>
      <c r="D1029" s="7">
        <v>45967</v>
      </c>
      <c r="E1029" s="7">
        <v>45992</v>
      </c>
      <c r="F1029" s="7">
        <v>46189</v>
      </c>
      <c r="G1029" s="1" t="s">
        <v>38</v>
      </c>
      <c r="H1029" s="8">
        <v>739413.02</v>
      </c>
      <c r="I1029" s="8">
        <v>632389.92000000004</v>
      </c>
      <c r="J1029" s="1">
        <f>IF(COUNTIF($C$4:C1029,C1029)=1,1,0)</f>
        <v>1</v>
      </c>
      <c r="K1029" s="1">
        <f t="shared" ref="K1029:K1092" si="16">YEAR(D1029)</f>
        <v>2025</v>
      </c>
    </row>
    <row r="1030" spans="2:11" x14ac:dyDescent="0.45">
      <c r="B1030" s="1" t="s">
        <v>11</v>
      </c>
      <c r="C1030" s="1" t="s">
        <v>1037</v>
      </c>
      <c r="D1030" s="7">
        <v>45948</v>
      </c>
      <c r="E1030" s="7">
        <v>45958</v>
      </c>
      <c r="F1030" s="7">
        <v>46079</v>
      </c>
      <c r="G1030" s="1" t="s">
        <v>212</v>
      </c>
      <c r="H1030" s="8">
        <v>13469285.140000001</v>
      </c>
      <c r="I1030" s="8">
        <v>9898370.5899999999</v>
      </c>
      <c r="J1030" s="1">
        <f>IF(COUNTIF($C$4:C1030,C1030)=1,1,0)</f>
        <v>1</v>
      </c>
      <c r="K1030" s="1">
        <f t="shared" si="16"/>
        <v>2025</v>
      </c>
    </row>
    <row r="1031" spans="2:11" x14ac:dyDescent="0.45">
      <c r="B1031" s="1" t="s">
        <v>11</v>
      </c>
      <c r="C1031" s="1" t="s">
        <v>1038</v>
      </c>
      <c r="D1031" s="7">
        <v>45002</v>
      </c>
      <c r="E1031" s="7">
        <v>45032</v>
      </c>
      <c r="F1031" s="7">
        <v>45148</v>
      </c>
      <c r="G1031" s="1" t="s">
        <v>41</v>
      </c>
      <c r="H1031" s="8">
        <v>333388.82</v>
      </c>
      <c r="I1031" s="8">
        <v>275792.53000000003</v>
      </c>
      <c r="J1031" s="1">
        <f>IF(COUNTIF($C$4:C1031,C1031)=1,1,0)</f>
        <v>1</v>
      </c>
      <c r="K1031" s="1">
        <f t="shared" si="16"/>
        <v>2023</v>
      </c>
    </row>
    <row r="1032" spans="2:11" x14ac:dyDescent="0.45">
      <c r="B1032" s="1" t="s">
        <v>11</v>
      </c>
      <c r="C1032" s="1" t="s">
        <v>1039</v>
      </c>
      <c r="D1032" s="7">
        <v>44924</v>
      </c>
      <c r="E1032" s="7">
        <v>44949</v>
      </c>
      <c r="F1032" s="7">
        <v>44967</v>
      </c>
      <c r="G1032" s="1" t="s">
        <v>18</v>
      </c>
      <c r="H1032" s="8">
        <v>7125437.8799999999</v>
      </c>
      <c r="I1032" s="8">
        <v>5772826.7300000004</v>
      </c>
      <c r="J1032" s="1">
        <f>IF(COUNTIF($C$4:C1032,C1032)=1,1,0)</f>
        <v>1</v>
      </c>
      <c r="K1032" s="1">
        <f t="shared" si="16"/>
        <v>2022</v>
      </c>
    </row>
    <row r="1033" spans="2:11" x14ac:dyDescent="0.45">
      <c r="B1033" s="1" t="s">
        <v>11</v>
      </c>
      <c r="C1033" s="1" t="s">
        <v>1040</v>
      </c>
      <c r="D1033" s="7">
        <v>44874</v>
      </c>
      <c r="E1033" s="7">
        <v>44889</v>
      </c>
      <c r="F1033" s="7">
        <v>45119</v>
      </c>
      <c r="G1033" s="1" t="s">
        <v>18</v>
      </c>
      <c r="H1033" s="8">
        <v>14649534.58</v>
      </c>
      <c r="I1033" s="8">
        <v>9646144.3900000006</v>
      </c>
      <c r="J1033" s="1">
        <f>IF(COUNTIF($C$4:C1033,C1033)=1,1,0)</f>
        <v>1</v>
      </c>
      <c r="K1033" s="1">
        <f t="shared" si="16"/>
        <v>2022</v>
      </c>
    </row>
    <row r="1034" spans="2:11" x14ac:dyDescent="0.45">
      <c r="B1034" s="1" t="s">
        <v>11</v>
      </c>
      <c r="C1034" s="1" t="s">
        <v>1041</v>
      </c>
      <c r="D1034" s="7">
        <v>43741</v>
      </c>
      <c r="E1034" s="7">
        <v>43771</v>
      </c>
      <c r="F1034" s="7">
        <v>43860</v>
      </c>
      <c r="G1034" s="1" t="s">
        <v>16</v>
      </c>
      <c r="H1034" s="8">
        <v>2261125.5099999998</v>
      </c>
      <c r="I1034" s="8">
        <v>1095397.72</v>
      </c>
      <c r="J1034" s="1">
        <f>IF(COUNTIF($C$4:C1034,C1034)=1,1,0)</f>
        <v>1</v>
      </c>
      <c r="K1034" s="1">
        <f t="shared" si="16"/>
        <v>2019</v>
      </c>
    </row>
    <row r="1035" spans="2:11" x14ac:dyDescent="0.45">
      <c r="B1035" s="1" t="s">
        <v>11</v>
      </c>
      <c r="C1035" s="1" t="s">
        <v>1042</v>
      </c>
      <c r="D1035" s="7">
        <v>44462</v>
      </c>
      <c r="E1035" s="7">
        <v>44476</v>
      </c>
      <c r="F1035" s="7">
        <v>44591</v>
      </c>
      <c r="G1035" s="1" t="s">
        <v>20</v>
      </c>
      <c r="H1035" s="8">
        <v>188003.04</v>
      </c>
      <c r="I1035" s="8">
        <v>144177.56</v>
      </c>
      <c r="J1035" s="1">
        <f>IF(COUNTIF($C$4:C1035,C1035)=1,1,0)</f>
        <v>1</v>
      </c>
      <c r="K1035" s="1">
        <f t="shared" si="16"/>
        <v>2021</v>
      </c>
    </row>
    <row r="1036" spans="2:11" x14ac:dyDescent="0.45">
      <c r="B1036" s="1" t="s">
        <v>11</v>
      </c>
      <c r="C1036" s="1" t="s">
        <v>1043</v>
      </c>
      <c r="D1036" s="7">
        <v>45053</v>
      </c>
      <c r="E1036" s="7">
        <v>45067</v>
      </c>
      <c r="F1036" s="7">
        <v>45077</v>
      </c>
      <c r="G1036" s="1" t="s">
        <v>38</v>
      </c>
      <c r="H1036" s="8">
        <v>341833.97</v>
      </c>
      <c r="I1036" s="8">
        <v>281006.65000000002</v>
      </c>
      <c r="J1036" s="1">
        <f>IF(COUNTIF($C$4:C1036,C1036)=1,1,0)</f>
        <v>1</v>
      </c>
      <c r="K1036" s="1">
        <f t="shared" si="16"/>
        <v>2023</v>
      </c>
    </row>
    <row r="1037" spans="2:11" x14ac:dyDescent="0.45">
      <c r="B1037" s="1" t="s">
        <v>11</v>
      </c>
      <c r="C1037" s="1" t="s">
        <v>1044</v>
      </c>
      <c r="D1037" s="7">
        <v>45026</v>
      </c>
      <c r="E1037" s="7">
        <v>45056</v>
      </c>
      <c r="F1037" s="7">
        <v>45281</v>
      </c>
      <c r="G1037" s="1" t="s">
        <v>18</v>
      </c>
      <c r="H1037" s="8">
        <v>6521120.75</v>
      </c>
      <c r="I1037" s="8">
        <v>4846806.68</v>
      </c>
      <c r="J1037" s="1">
        <f>IF(COUNTIF($C$4:C1037,C1037)=1,1,0)</f>
        <v>1</v>
      </c>
      <c r="K1037" s="1">
        <f t="shared" si="16"/>
        <v>2023</v>
      </c>
    </row>
    <row r="1038" spans="2:11" x14ac:dyDescent="0.45">
      <c r="B1038" s="1" t="s">
        <v>11</v>
      </c>
      <c r="C1038" s="1" t="s">
        <v>1045</v>
      </c>
      <c r="D1038" s="7">
        <v>44531</v>
      </c>
      <c r="E1038" s="7">
        <v>44554</v>
      </c>
      <c r="F1038" s="7">
        <v>44760</v>
      </c>
      <c r="G1038" s="1" t="s">
        <v>38</v>
      </c>
      <c r="H1038" s="8">
        <v>230273.95</v>
      </c>
      <c r="I1038" s="8">
        <v>173183.78</v>
      </c>
      <c r="J1038" s="1">
        <f>IF(COUNTIF($C$4:C1038,C1038)=1,1,0)</f>
        <v>1</v>
      </c>
      <c r="K1038" s="1">
        <f t="shared" si="16"/>
        <v>2021</v>
      </c>
    </row>
    <row r="1039" spans="2:11" x14ac:dyDescent="0.45">
      <c r="B1039" s="1" t="s">
        <v>11</v>
      </c>
      <c r="C1039" s="1" t="s">
        <v>1046</v>
      </c>
      <c r="D1039" s="7">
        <v>45767</v>
      </c>
      <c r="E1039" s="7">
        <v>45777</v>
      </c>
      <c r="F1039" s="7">
        <v>45986</v>
      </c>
      <c r="G1039" s="1" t="s">
        <v>41</v>
      </c>
      <c r="H1039" s="8">
        <v>73634.77</v>
      </c>
      <c r="I1039" s="8">
        <v>54295.34</v>
      </c>
      <c r="J1039" s="1">
        <f>IF(COUNTIF($C$4:C1039,C1039)=1,1,0)</f>
        <v>1</v>
      </c>
      <c r="K1039" s="1">
        <f t="shared" si="16"/>
        <v>2025</v>
      </c>
    </row>
    <row r="1040" spans="2:11" x14ac:dyDescent="0.45">
      <c r="B1040" s="1" t="s">
        <v>11</v>
      </c>
      <c r="C1040" s="1" t="s">
        <v>1047</v>
      </c>
      <c r="D1040" s="7">
        <v>43524</v>
      </c>
      <c r="E1040" s="7">
        <v>43524</v>
      </c>
      <c r="F1040" s="7">
        <v>43620</v>
      </c>
      <c r="G1040" s="1" t="s">
        <v>18</v>
      </c>
      <c r="H1040" s="8">
        <v>6868199.3499999996</v>
      </c>
      <c r="I1040" s="8">
        <v>5204592.58</v>
      </c>
      <c r="J1040" s="1">
        <f>IF(COUNTIF($C$4:C1040,C1040)=1,1,0)</f>
        <v>1</v>
      </c>
      <c r="K1040" s="1">
        <f t="shared" si="16"/>
        <v>2019</v>
      </c>
    </row>
    <row r="1041" spans="2:11" x14ac:dyDescent="0.45">
      <c r="B1041" s="1" t="s">
        <v>11</v>
      </c>
      <c r="C1041" s="1" t="s">
        <v>1048</v>
      </c>
      <c r="D1041" s="7">
        <v>46142</v>
      </c>
      <c r="E1041" s="7">
        <v>46164</v>
      </c>
      <c r="F1041" s="7">
        <v>46218</v>
      </c>
      <c r="G1041" s="1" t="s">
        <v>20</v>
      </c>
      <c r="H1041" s="8">
        <v>97754820.219999999</v>
      </c>
      <c r="I1041" s="8">
        <v>61100830.039999999</v>
      </c>
      <c r="J1041" s="1">
        <f>IF(COUNTIF($C$4:C1041,C1041)=1,1,0)</f>
        <v>1</v>
      </c>
      <c r="K1041" s="1">
        <f t="shared" si="16"/>
        <v>2026</v>
      </c>
    </row>
    <row r="1042" spans="2:11" x14ac:dyDescent="0.45">
      <c r="B1042" s="1" t="s">
        <v>11</v>
      </c>
      <c r="C1042" s="1" t="s">
        <v>1049</v>
      </c>
      <c r="D1042" s="7">
        <v>44269</v>
      </c>
      <c r="E1042" s="7">
        <v>44288</v>
      </c>
      <c r="F1042" s="7">
        <v>44458</v>
      </c>
      <c r="G1042" s="1" t="s">
        <v>38</v>
      </c>
      <c r="H1042" s="8">
        <v>102205.36</v>
      </c>
      <c r="I1042" s="8">
        <v>89173.61</v>
      </c>
      <c r="J1042" s="1">
        <f>IF(COUNTIF($C$4:C1042,C1042)=1,1,0)</f>
        <v>1</v>
      </c>
      <c r="K1042" s="1">
        <f t="shared" si="16"/>
        <v>2021</v>
      </c>
    </row>
    <row r="1043" spans="2:11" x14ac:dyDescent="0.45">
      <c r="B1043" s="1" t="s">
        <v>11</v>
      </c>
      <c r="C1043" s="1" t="s">
        <v>1050</v>
      </c>
      <c r="D1043" s="7">
        <v>44231</v>
      </c>
      <c r="E1043" s="7">
        <v>44248</v>
      </c>
      <c r="F1043" s="7">
        <v>44291</v>
      </c>
      <c r="G1043" s="1" t="s">
        <v>212</v>
      </c>
      <c r="H1043" s="8">
        <v>83941537.390000001</v>
      </c>
      <c r="I1043" s="8">
        <v>50900809.340000004</v>
      </c>
      <c r="J1043" s="1">
        <f>IF(COUNTIF($C$4:C1043,C1043)=1,1,0)</f>
        <v>1</v>
      </c>
      <c r="K1043" s="1">
        <f t="shared" si="16"/>
        <v>2021</v>
      </c>
    </row>
    <row r="1044" spans="2:11" x14ac:dyDescent="0.45">
      <c r="B1044" s="1" t="s">
        <v>11</v>
      </c>
      <c r="C1044" s="1" t="s">
        <v>1051</v>
      </c>
      <c r="D1044" s="7">
        <v>43794</v>
      </c>
      <c r="E1044" s="7">
        <v>43816</v>
      </c>
      <c r="F1044" s="7">
        <v>44055</v>
      </c>
      <c r="G1044" s="1" t="s">
        <v>41</v>
      </c>
      <c r="H1044" s="8">
        <v>200397.08</v>
      </c>
      <c r="I1044" s="8">
        <v>140424.29</v>
      </c>
      <c r="J1044" s="1">
        <f>IF(COUNTIF($C$4:C1044,C1044)=1,1,0)</f>
        <v>1</v>
      </c>
      <c r="K1044" s="1">
        <f t="shared" si="16"/>
        <v>2019</v>
      </c>
    </row>
    <row r="1045" spans="2:11" x14ac:dyDescent="0.45">
      <c r="B1045" s="1" t="s">
        <v>11</v>
      </c>
      <c r="C1045" s="1" t="s">
        <v>1052</v>
      </c>
      <c r="D1045" s="7">
        <v>45446</v>
      </c>
      <c r="E1045" s="7">
        <v>45463</v>
      </c>
      <c r="F1045" s="7">
        <v>45652</v>
      </c>
      <c r="G1045" s="1" t="s">
        <v>38</v>
      </c>
      <c r="H1045" s="8">
        <v>156036.49</v>
      </c>
      <c r="I1045" s="8">
        <v>129552.87</v>
      </c>
      <c r="J1045" s="1">
        <f>IF(COUNTIF($C$4:C1045,C1045)=1,1,0)</f>
        <v>1</v>
      </c>
      <c r="K1045" s="1">
        <f t="shared" si="16"/>
        <v>2024</v>
      </c>
    </row>
    <row r="1046" spans="2:11" x14ac:dyDescent="0.45">
      <c r="B1046" s="1" t="s">
        <v>11</v>
      </c>
      <c r="C1046" s="1" t="s">
        <v>1053</v>
      </c>
      <c r="D1046" s="7">
        <v>44671</v>
      </c>
      <c r="E1046" s="7">
        <v>44685</v>
      </c>
      <c r="F1046" s="7">
        <v>44872</v>
      </c>
      <c r="G1046" s="1" t="s">
        <v>212</v>
      </c>
      <c r="H1046" s="8">
        <v>89889301.489999995</v>
      </c>
      <c r="I1046" s="8">
        <v>50964248.740000002</v>
      </c>
      <c r="J1046" s="1">
        <f>IF(COUNTIF($C$4:C1046,C1046)=1,1,0)</f>
        <v>1</v>
      </c>
      <c r="K1046" s="1">
        <f t="shared" si="16"/>
        <v>2022</v>
      </c>
    </row>
    <row r="1047" spans="2:11" x14ac:dyDescent="0.45">
      <c r="B1047" s="1" t="s">
        <v>11</v>
      </c>
      <c r="C1047" s="1" t="s">
        <v>1054</v>
      </c>
      <c r="D1047" s="7">
        <v>43996</v>
      </c>
      <c r="E1047" s="7">
        <v>44014</v>
      </c>
      <c r="F1047" s="7">
        <v>44174</v>
      </c>
      <c r="G1047" s="1" t="s">
        <v>20</v>
      </c>
      <c r="H1047" s="8">
        <v>562815.1</v>
      </c>
      <c r="I1047" s="8">
        <v>316287.46000000002</v>
      </c>
      <c r="J1047" s="1">
        <f>IF(COUNTIF($C$4:C1047,C1047)=1,1,0)</f>
        <v>1</v>
      </c>
      <c r="K1047" s="1">
        <f t="shared" si="16"/>
        <v>2020</v>
      </c>
    </row>
    <row r="1048" spans="2:11" x14ac:dyDescent="0.45">
      <c r="B1048" s="1" t="s">
        <v>11</v>
      </c>
      <c r="C1048" s="1" t="s">
        <v>1055</v>
      </c>
      <c r="D1048" s="7">
        <v>44274</v>
      </c>
      <c r="E1048" s="7">
        <v>44284</v>
      </c>
      <c r="F1048" s="7">
        <v>44461</v>
      </c>
      <c r="G1048" s="1" t="s">
        <v>18</v>
      </c>
      <c r="H1048" s="8">
        <v>458981.67</v>
      </c>
      <c r="I1048" s="8">
        <v>296175.01</v>
      </c>
      <c r="J1048" s="1">
        <f>IF(COUNTIF($C$4:C1048,C1048)=1,1,0)</f>
        <v>1</v>
      </c>
      <c r="K1048" s="1">
        <f t="shared" si="16"/>
        <v>2021</v>
      </c>
    </row>
    <row r="1049" spans="2:11" x14ac:dyDescent="0.45">
      <c r="B1049" s="1" t="s">
        <v>11</v>
      </c>
      <c r="C1049" s="1" t="s">
        <v>1056</v>
      </c>
      <c r="D1049" s="7">
        <v>45060</v>
      </c>
      <c r="E1049" s="7">
        <v>45085</v>
      </c>
      <c r="F1049" s="7">
        <v>45181</v>
      </c>
      <c r="G1049" s="1" t="s">
        <v>41</v>
      </c>
      <c r="H1049" s="8">
        <v>195671.13</v>
      </c>
      <c r="I1049" s="8">
        <v>149898.07999999999</v>
      </c>
      <c r="J1049" s="1">
        <f>IF(COUNTIF($C$4:C1049,C1049)=1,1,0)</f>
        <v>1</v>
      </c>
      <c r="K1049" s="1">
        <f t="shared" si="16"/>
        <v>2023</v>
      </c>
    </row>
    <row r="1050" spans="2:11" x14ac:dyDescent="0.45">
      <c r="B1050" s="1" t="s">
        <v>11</v>
      </c>
      <c r="C1050" s="1" t="s">
        <v>1057</v>
      </c>
      <c r="D1050" s="7">
        <v>45365</v>
      </c>
      <c r="E1050" s="7">
        <v>45393</v>
      </c>
      <c r="F1050" s="7">
        <v>45472</v>
      </c>
      <c r="G1050" s="1" t="s">
        <v>22</v>
      </c>
      <c r="H1050" s="8">
        <v>51024780.920000002</v>
      </c>
      <c r="I1050" s="8">
        <v>18080688.530000001</v>
      </c>
      <c r="J1050" s="1">
        <f>IF(COUNTIF($C$4:C1050,C1050)=1,1,0)</f>
        <v>1</v>
      </c>
      <c r="K1050" s="1">
        <f t="shared" si="16"/>
        <v>2024</v>
      </c>
    </row>
    <row r="1051" spans="2:11" x14ac:dyDescent="0.45">
      <c r="B1051" s="1" t="s">
        <v>11</v>
      </c>
      <c r="C1051" s="1" t="s">
        <v>1058</v>
      </c>
      <c r="D1051" s="7">
        <v>43871</v>
      </c>
      <c r="E1051" s="7">
        <v>43879</v>
      </c>
      <c r="F1051" s="7">
        <v>44090</v>
      </c>
      <c r="G1051" s="1" t="s">
        <v>41</v>
      </c>
      <c r="H1051" s="8">
        <v>111358.45</v>
      </c>
      <c r="I1051" s="8">
        <v>73783.59</v>
      </c>
      <c r="J1051" s="1">
        <f>IF(COUNTIF($C$4:C1051,C1051)=1,1,0)</f>
        <v>1</v>
      </c>
      <c r="K1051" s="1">
        <f t="shared" si="16"/>
        <v>2020</v>
      </c>
    </row>
    <row r="1052" spans="2:11" x14ac:dyDescent="0.45">
      <c r="B1052" s="1" t="s">
        <v>11</v>
      </c>
      <c r="C1052" s="1" t="s">
        <v>1059</v>
      </c>
      <c r="D1052" s="7">
        <v>45510</v>
      </c>
      <c r="E1052" s="7">
        <v>45531</v>
      </c>
      <c r="F1052" s="7">
        <v>45751</v>
      </c>
      <c r="G1052" s="1" t="s">
        <v>20</v>
      </c>
      <c r="H1052" s="8">
        <v>31817504.23</v>
      </c>
      <c r="I1052" s="8">
        <v>15377502.75</v>
      </c>
      <c r="J1052" s="1">
        <f>IF(COUNTIF($C$4:C1052,C1052)=1,1,0)</f>
        <v>1</v>
      </c>
      <c r="K1052" s="1">
        <f t="shared" si="16"/>
        <v>2024</v>
      </c>
    </row>
    <row r="1053" spans="2:11" x14ac:dyDescent="0.45">
      <c r="B1053" s="1" t="s">
        <v>11</v>
      </c>
      <c r="C1053" s="1" t="s">
        <v>1060</v>
      </c>
      <c r="D1053" s="7">
        <v>43706</v>
      </c>
      <c r="E1053" s="7">
        <v>43723</v>
      </c>
      <c r="F1053" s="7">
        <v>43811</v>
      </c>
      <c r="G1053" s="1" t="s">
        <v>22</v>
      </c>
      <c r="H1053" s="8">
        <v>56117319.329999998</v>
      </c>
      <c r="I1053" s="8">
        <v>31859849.960000001</v>
      </c>
      <c r="J1053" s="1">
        <f>IF(COUNTIF($C$4:C1053,C1053)=1,1,0)</f>
        <v>1</v>
      </c>
      <c r="K1053" s="1">
        <f t="shared" si="16"/>
        <v>2019</v>
      </c>
    </row>
    <row r="1054" spans="2:11" x14ac:dyDescent="0.45">
      <c r="B1054" s="1" t="s">
        <v>11</v>
      </c>
      <c r="C1054" s="1" t="s">
        <v>1061</v>
      </c>
      <c r="D1054" s="7">
        <v>44957</v>
      </c>
      <c r="E1054" s="7">
        <v>44984</v>
      </c>
      <c r="F1054" s="7">
        <v>45097</v>
      </c>
      <c r="G1054" s="1" t="s">
        <v>20</v>
      </c>
      <c r="H1054" s="8">
        <v>1459561.98</v>
      </c>
      <c r="I1054" s="8">
        <v>987716.19</v>
      </c>
      <c r="J1054" s="1">
        <f>IF(COUNTIF($C$4:C1054,C1054)=1,1,0)</f>
        <v>1</v>
      </c>
      <c r="K1054" s="1">
        <f t="shared" si="16"/>
        <v>2023</v>
      </c>
    </row>
    <row r="1055" spans="2:11" x14ac:dyDescent="0.45">
      <c r="B1055" s="1" t="s">
        <v>11</v>
      </c>
      <c r="C1055" s="1" t="s">
        <v>1062</v>
      </c>
      <c r="D1055" s="7">
        <v>45162</v>
      </c>
      <c r="E1055" s="7">
        <v>45191</v>
      </c>
      <c r="F1055" s="7">
        <v>45201</v>
      </c>
      <c r="G1055" s="1" t="s">
        <v>212</v>
      </c>
      <c r="H1055" s="8">
        <v>19190894.170000002</v>
      </c>
      <c r="I1055" s="8">
        <v>7333553.4299999997</v>
      </c>
      <c r="J1055" s="1">
        <f>IF(COUNTIF($C$4:C1055,C1055)=1,1,0)</f>
        <v>1</v>
      </c>
      <c r="K1055" s="1">
        <f t="shared" si="16"/>
        <v>2023</v>
      </c>
    </row>
    <row r="1056" spans="2:11" x14ac:dyDescent="0.45">
      <c r="B1056" s="1" t="s">
        <v>11</v>
      </c>
      <c r="C1056" s="1" t="s">
        <v>1063</v>
      </c>
      <c r="D1056" s="7">
        <v>43853</v>
      </c>
      <c r="E1056" s="7">
        <v>43880</v>
      </c>
      <c r="F1056" s="7">
        <v>44111</v>
      </c>
      <c r="G1056" s="1" t="s">
        <v>22</v>
      </c>
      <c r="H1056" s="8">
        <v>1323318.49</v>
      </c>
      <c r="I1056" s="8">
        <v>922229.92</v>
      </c>
      <c r="J1056" s="1">
        <f>IF(COUNTIF($C$4:C1056,C1056)=1,1,0)</f>
        <v>1</v>
      </c>
      <c r="K1056" s="1">
        <f t="shared" si="16"/>
        <v>2020</v>
      </c>
    </row>
    <row r="1057" spans="2:11" x14ac:dyDescent="0.45">
      <c r="B1057" s="1" t="s">
        <v>11</v>
      </c>
      <c r="C1057" s="1" t="s">
        <v>1064</v>
      </c>
      <c r="D1057" s="7">
        <v>45441</v>
      </c>
      <c r="E1057" s="7">
        <v>45453</v>
      </c>
      <c r="F1057" s="7">
        <v>45645</v>
      </c>
      <c r="G1057" s="1" t="s">
        <v>20</v>
      </c>
      <c r="H1057" s="8">
        <v>1576399.89</v>
      </c>
      <c r="I1057" s="8">
        <v>747097.08</v>
      </c>
      <c r="J1057" s="1">
        <f>IF(COUNTIF($C$4:C1057,C1057)=1,1,0)</f>
        <v>1</v>
      </c>
      <c r="K1057" s="1">
        <f t="shared" si="16"/>
        <v>2024</v>
      </c>
    </row>
    <row r="1058" spans="2:11" x14ac:dyDescent="0.45">
      <c r="B1058" s="1" t="s">
        <v>11</v>
      </c>
      <c r="C1058" s="1" t="s">
        <v>1065</v>
      </c>
      <c r="D1058" s="7">
        <v>43995</v>
      </c>
      <c r="E1058" s="7">
        <v>44021</v>
      </c>
      <c r="F1058" s="7">
        <v>44213</v>
      </c>
      <c r="G1058" s="1" t="s">
        <v>41</v>
      </c>
      <c r="H1058" s="8">
        <v>138204.41</v>
      </c>
      <c r="I1058" s="8">
        <v>85981.5</v>
      </c>
      <c r="J1058" s="1">
        <f>IF(COUNTIF($C$4:C1058,C1058)=1,1,0)</f>
        <v>1</v>
      </c>
      <c r="K1058" s="1">
        <f t="shared" si="16"/>
        <v>2020</v>
      </c>
    </row>
    <row r="1059" spans="2:11" x14ac:dyDescent="0.45">
      <c r="B1059" s="1" t="s">
        <v>11</v>
      </c>
      <c r="C1059" s="1" t="s">
        <v>1066</v>
      </c>
      <c r="D1059" s="7">
        <v>45007</v>
      </c>
      <c r="E1059" s="7">
        <v>45029</v>
      </c>
      <c r="F1059" s="7">
        <v>45066</v>
      </c>
      <c r="G1059" s="1" t="s">
        <v>38</v>
      </c>
      <c r="H1059" s="8">
        <v>352517.19</v>
      </c>
      <c r="I1059" s="8">
        <v>276352.71999999997</v>
      </c>
      <c r="J1059" s="1">
        <f>IF(COUNTIF($C$4:C1059,C1059)=1,1,0)</f>
        <v>1</v>
      </c>
      <c r="K1059" s="1">
        <f t="shared" si="16"/>
        <v>2023</v>
      </c>
    </row>
    <row r="1060" spans="2:11" x14ac:dyDescent="0.45">
      <c r="B1060" s="1" t="s">
        <v>11</v>
      </c>
      <c r="C1060" s="1" t="s">
        <v>1067</v>
      </c>
      <c r="D1060" s="7">
        <v>45306</v>
      </c>
      <c r="E1060" s="7">
        <v>45308</v>
      </c>
      <c r="F1060" s="7">
        <v>45421</v>
      </c>
      <c r="G1060" s="1" t="s">
        <v>22</v>
      </c>
      <c r="H1060" s="8">
        <v>39431089.759999998</v>
      </c>
      <c r="I1060" s="8">
        <v>25277545.170000002</v>
      </c>
      <c r="J1060" s="1">
        <f>IF(COUNTIF($C$4:C1060,C1060)=1,1,0)</f>
        <v>1</v>
      </c>
      <c r="K1060" s="1">
        <f t="shared" si="16"/>
        <v>2024</v>
      </c>
    </row>
    <row r="1061" spans="2:11" x14ac:dyDescent="0.45">
      <c r="B1061" s="1" t="s">
        <v>11</v>
      </c>
      <c r="C1061" s="1" t="s">
        <v>1068</v>
      </c>
      <c r="D1061" s="7">
        <v>43519</v>
      </c>
      <c r="E1061" s="7">
        <v>43537</v>
      </c>
      <c r="F1061" s="7">
        <v>43544</v>
      </c>
      <c r="G1061" s="1" t="s">
        <v>20</v>
      </c>
      <c r="H1061" s="8">
        <v>29225308.66</v>
      </c>
      <c r="I1061" s="8">
        <v>18347851.82</v>
      </c>
      <c r="J1061" s="1">
        <f>IF(COUNTIF($C$4:C1061,C1061)=1,1,0)</f>
        <v>1</v>
      </c>
      <c r="K1061" s="1">
        <f t="shared" si="16"/>
        <v>2019</v>
      </c>
    </row>
    <row r="1062" spans="2:11" x14ac:dyDescent="0.45">
      <c r="B1062" s="1" t="s">
        <v>11</v>
      </c>
      <c r="C1062" s="1" t="s">
        <v>1069</v>
      </c>
      <c r="D1062" s="7">
        <v>45058</v>
      </c>
      <c r="E1062" s="7">
        <v>45083</v>
      </c>
      <c r="F1062" s="7">
        <v>45171</v>
      </c>
      <c r="G1062" s="1" t="s">
        <v>20</v>
      </c>
      <c r="H1062" s="8">
        <v>441459.05</v>
      </c>
      <c r="I1062" s="8">
        <v>298651.01</v>
      </c>
      <c r="J1062" s="1">
        <f>IF(COUNTIF($C$4:C1062,C1062)=1,1,0)</f>
        <v>1</v>
      </c>
      <c r="K1062" s="1">
        <f t="shared" si="16"/>
        <v>2023</v>
      </c>
    </row>
    <row r="1063" spans="2:11" x14ac:dyDescent="0.45">
      <c r="B1063" s="1" t="s">
        <v>11</v>
      </c>
      <c r="C1063" s="1" t="s">
        <v>1070</v>
      </c>
      <c r="D1063" s="7">
        <v>44677</v>
      </c>
      <c r="E1063" s="7">
        <v>44693</v>
      </c>
      <c r="F1063" s="7">
        <v>44798</v>
      </c>
      <c r="G1063" s="1" t="s">
        <v>20</v>
      </c>
      <c r="H1063" s="8">
        <v>35629159.850000001</v>
      </c>
      <c r="I1063" s="8">
        <v>21157986.510000002</v>
      </c>
      <c r="J1063" s="1">
        <f>IF(COUNTIF($C$4:C1063,C1063)=1,1,0)</f>
        <v>1</v>
      </c>
      <c r="K1063" s="1">
        <f t="shared" si="16"/>
        <v>2022</v>
      </c>
    </row>
    <row r="1064" spans="2:11" x14ac:dyDescent="0.45">
      <c r="B1064" s="1" t="s">
        <v>11</v>
      </c>
      <c r="C1064" s="1" t="s">
        <v>1071</v>
      </c>
      <c r="D1064" s="7">
        <v>43436</v>
      </c>
      <c r="E1064" s="7">
        <v>43465</v>
      </c>
      <c r="F1064" s="7">
        <v>43574</v>
      </c>
      <c r="G1064" s="1" t="s">
        <v>18</v>
      </c>
      <c r="H1064" s="8">
        <v>8082116.8799999999</v>
      </c>
      <c r="I1064" s="8">
        <v>6760913.2800000003</v>
      </c>
      <c r="J1064" s="1">
        <f>IF(COUNTIF($C$4:C1064,C1064)=1,1,0)</f>
        <v>1</v>
      </c>
      <c r="K1064" s="1">
        <f t="shared" si="16"/>
        <v>2018</v>
      </c>
    </row>
    <row r="1065" spans="2:11" x14ac:dyDescent="0.45">
      <c r="B1065" s="1" t="s">
        <v>11</v>
      </c>
      <c r="C1065" s="1" t="s">
        <v>1072</v>
      </c>
      <c r="D1065" s="7">
        <v>43439</v>
      </c>
      <c r="E1065" s="7">
        <v>43442</v>
      </c>
      <c r="F1065" s="7">
        <v>43630</v>
      </c>
      <c r="G1065" s="1" t="s">
        <v>16</v>
      </c>
      <c r="H1065" s="8">
        <v>2576648.8199999998</v>
      </c>
      <c r="I1065" s="8">
        <v>1271725.26</v>
      </c>
      <c r="J1065" s="1">
        <f>IF(COUNTIF($C$4:C1065,C1065)=1,1,0)</f>
        <v>1</v>
      </c>
      <c r="K1065" s="1">
        <f t="shared" si="16"/>
        <v>2018</v>
      </c>
    </row>
    <row r="1066" spans="2:11" x14ac:dyDescent="0.45">
      <c r="B1066" s="1" t="s">
        <v>11</v>
      </c>
      <c r="C1066" s="1" t="s">
        <v>1073</v>
      </c>
      <c r="D1066" s="7">
        <v>44038</v>
      </c>
      <c r="E1066" s="7">
        <v>44057</v>
      </c>
      <c r="F1066" s="7">
        <v>44169</v>
      </c>
      <c r="G1066" s="1" t="s">
        <v>16</v>
      </c>
      <c r="H1066" s="8">
        <v>1424217.5</v>
      </c>
      <c r="I1066" s="8">
        <v>1006733.73</v>
      </c>
      <c r="J1066" s="1">
        <f>IF(COUNTIF($C$4:C1066,C1066)=1,1,0)</f>
        <v>1</v>
      </c>
      <c r="K1066" s="1">
        <f t="shared" si="16"/>
        <v>2020</v>
      </c>
    </row>
    <row r="1067" spans="2:11" x14ac:dyDescent="0.45">
      <c r="B1067" s="1" t="s">
        <v>11</v>
      </c>
      <c r="C1067" s="1" t="s">
        <v>1074</v>
      </c>
      <c r="D1067" s="7">
        <v>45673</v>
      </c>
      <c r="E1067" s="7">
        <v>45690</v>
      </c>
      <c r="F1067" s="7">
        <v>45910</v>
      </c>
      <c r="G1067" s="1" t="s">
        <v>41</v>
      </c>
      <c r="H1067" s="8">
        <v>68135.03</v>
      </c>
      <c r="I1067" s="8">
        <v>54747.4</v>
      </c>
      <c r="J1067" s="1">
        <f>IF(COUNTIF($C$4:C1067,C1067)=1,1,0)</f>
        <v>1</v>
      </c>
      <c r="K1067" s="1">
        <f t="shared" si="16"/>
        <v>2025</v>
      </c>
    </row>
    <row r="1068" spans="2:11" x14ac:dyDescent="0.45">
      <c r="B1068" s="1" t="s">
        <v>11</v>
      </c>
      <c r="C1068" s="1" t="s">
        <v>1075</v>
      </c>
      <c r="D1068" s="7">
        <v>45256</v>
      </c>
      <c r="E1068" s="7">
        <v>45274</v>
      </c>
      <c r="F1068" s="7">
        <v>45348</v>
      </c>
      <c r="G1068" s="1" t="s">
        <v>38</v>
      </c>
      <c r="H1068" s="8">
        <v>4428868.5</v>
      </c>
      <c r="I1068" s="8">
        <v>3565753.13</v>
      </c>
      <c r="J1068" s="1">
        <f>IF(COUNTIF($C$4:C1068,C1068)=1,1,0)</f>
        <v>1</v>
      </c>
      <c r="K1068" s="1">
        <f t="shared" si="16"/>
        <v>2023</v>
      </c>
    </row>
    <row r="1069" spans="2:11" x14ac:dyDescent="0.45">
      <c r="B1069" s="1" t="s">
        <v>11</v>
      </c>
      <c r="C1069" s="1" t="s">
        <v>1076</v>
      </c>
      <c r="D1069" s="7">
        <v>43329</v>
      </c>
      <c r="E1069" s="7">
        <v>43335</v>
      </c>
      <c r="F1069" s="7">
        <v>43494</v>
      </c>
      <c r="G1069" s="1" t="s">
        <v>38</v>
      </c>
      <c r="H1069" s="8">
        <v>595561.52</v>
      </c>
      <c r="I1069" s="8">
        <v>396867.54</v>
      </c>
      <c r="J1069" s="1">
        <f>IF(COUNTIF($C$4:C1069,C1069)=1,1,0)</f>
        <v>1</v>
      </c>
      <c r="K1069" s="1">
        <f t="shared" si="16"/>
        <v>2018</v>
      </c>
    </row>
    <row r="1070" spans="2:11" x14ac:dyDescent="0.45">
      <c r="B1070" s="1" t="s">
        <v>11</v>
      </c>
      <c r="C1070" s="1" t="s">
        <v>1077</v>
      </c>
      <c r="D1070" s="7">
        <v>44582</v>
      </c>
      <c r="E1070" s="7">
        <v>44588</v>
      </c>
      <c r="F1070" s="7">
        <v>44693</v>
      </c>
      <c r="G1070" s="1" t="s">
        <v>18</v>
      </c>
      <c r="H1070" s="8">
        <v>1173139.69</v>
      </c>
      <c r="I1070" s="8">
        <v>858109.14</v>
      </c>
      <c r="J1070" s="1">
        <f>IF(COUNTIF($C$4:C1070,C1070)=1,1,0)</f>
        <v>1</v>
      </c>
      <c r="K1070" s="1">
        <f t="shared" si="16"/>
        <v>2022</v>
      </c>
    </row>
    <row r="1071" spans="2:11" x14ac:dyDescent="0.45">
      <c r="B1071" s="1" t="s">
        <v>11</v>
      </c>
      <c r="C1071" s="1" t="s">
        <v>1078</v>
      </c>
      <c r="D1071" s="7">
        <v>44651</v>
      </c>
      <c r="E1071" s="7">
        <v>44653</v>
      </c>
      <c r="F1071" s="7">
        <v>44866</v>
      </c>
      <c r="G1071" s="1" t="s">
        <v>212</v>
      </c>
      <c r="H1071" s="8">
        <v>12980218.890000001</v>
      </c>
      <c r="I1071" s="8">
        <v>7105750.4900000002</v>
      </c>
      <c r="J1071" s="1">
        <f>IF(COUNTIF($C$4:C1071,C1071)=1,1,0)</f>
        <v>1</v>
      </c>
      <c r="K1071" s="1">
        <f t="shared" si="16"/>
        <v>2022</v>
      </c>
    </row>
    <row r="1072" spans="2:11" x14ac:dyDescent="0.45">
      <c r="B1072" s="1" t="s">
        <v>11</v>
      </c>
      <c r="C1072" s="1" t="s">
        <v>1079</v>
      </c>
      <c r="D1072" s="7">
        <v>45711</v>
      </c>
      <c r="E1072" s="7">
        <v>45738</v>
      </c>
      <c r="F1072" s="7">
        <v>45746</v>
      </c>
      <c r="G1072" s="1" t="s">
        <v>16</v>
      </c>
      <c r="H1072" s="8">
        <v>2906871.5</v>
      </c>
      <c r="I1072" s="8">
        <v>2165186.21</v>
      </c>
      <c r="J1072" s="1">
        <f>IF(COUNTIF($C$4:C1072,C1072)=1,1,0)</f>
        <v>1</v>
      </c>
      <c r="K1072" s="1">
        <f t="shared" si="16"/>
        <v>2025</v>
      </c>
    </row>
    <row r="1073" spans="2:11" x14ac:dyDescent="0.45">
      <c r="B1073" s="1" t="s">
        <v>11</v>
      </c>
      <c r="C1073" s="1" t="s">
        <v>1080</v>
      </c>
      <c r="D1073" s="7">
        <v>45604</v>
      </c>
      <c r="E1073" s="7">
        <v>45607</v>
      </c>
      <c r="F1073" s="7">
        <v>45679</v>
      </c>
      <c r="G1073" s="1" t="s">
        <v>38</v>
      </c>
      <c r="H1073" s="8">
        <v>793496.55</v>
      </c>
      <c r="I1073" s="8">
        <v>640530</v>
      </c>
      <c r="J1073" s="1">
        <f>IF(COUNTIF($C$4:C1073,C1073)=1,1,0)</f>
        <v>1</v>
      </c>
      <c r="K1073" s="1">
        <f t="shared" si="16"/>
        <v>2024</v>
      </c>
    </row>
    <row r="1074" spans="2:11" x14ac:dyDescent="0.45">
      <c r="B1074" s="1" t="s">
        <v>11</v>
      </c>
      <c r="C1074" s="1" t="s">
        <v>1081</v>
      </c>
      <c r="D1074" s="7">
        <v>44680</v>
      </c>
      <c r="E1074" s="7">
        <v>44698</v>
      </c>
      <c r="F1074" s="7">
        <v>44814</v>
      </c>
      <c r="G1074" s="1" t="s">
        <v>20</v>
      </c>
      <c r="H1074" s="8">
        <v>369731.38</v>
      </c>
      <c r="I1074" s="8">
        <v>297186.11</v>
      </c>
      <c r="J1074" s="1">
        <f>IF(COUNTIF($C$4:C1074,C1074)=1,1,0)</f>
        <v>1</v>
      </c>
      <c r="K1074" s="1">
        <f t="shared" si="16"/>
        <v>2022</v>
      </c>
    </row>
    <row r="1075" spans="2:11" x14ac:dyDescent="0.45">
      <c r="B1075" s="1" t="s">
        <v>11</v>
      </c>
      <c r="C1075" s="1" t="s">
        <v>1082</v>
      </c>
      <c r="D1075" s="7">
        <v>45860</v>
      </c>
      <c r="E1075" s="7">
        <v>45864</v>
      </c>
      <c r="F1075" s="7">
        <v>46058</v>
      </c>
      <c r="G1075" s="1" t="s">
        <v>16</v>
      </c>
      <c r="H1075" s="8">
        <v>1338871.6399999999</v>
      </c>
      <c r="I1075" s="8">
        <v>824325.67</v>
      </c>
      <c r="J1075" s="1">
        <f>IF(COUNTIF($C$4:C1075,C1075)=1,1,0)</f>
        <v>1</v>
      </c>
      <c r="K1075" s="1">
        <f t="shared" si="16"/>
        <v>2025</v>
      </c>
    </row>
    <row r="1076" spans="2:11" x14ac:dyDescent="0.45">
      <c r="B1076" s="1" t="s">
        <v>11</v>
      </c>
      <c r="C1076" s="1" t="s">
        <v>1083</v>
      </c>
      <c r="D1076" s="7">
        <v>45472</v>
      </c>
      <c r="E1076" s="7">
        <v>45485</v>
      </c>
      <c r="F1076" s="7">
        <v>45719</v>
      </c>
      <c r="G1076" s="1" t="s">
        <v>20</v>
      </c>
      <c r="H1076" s="8">
        <v>1208403.3899999999</v>
      </c>
      <c r="I1076" s="8">
        <v>754571.94</v>
      </c>
      <c r="J1076" s="1">
        <f>IF(COUNTIF($C$4:C1076,C1076)=1,1,0)</f>
        <v>1</v>
      </c>
      <c r="K1076" s="1">
        <f t="shared" si="16"/>
        <v>2024</v>
      </c>
    </row>
    <row r="1077" spans="2:11" x14ac:dyDescent="0.45">
      <c r="B1077" s="1" t="s">
        <v>11</v>
      </c>
      <c r="C1077" s="1" t="s">
        <v>1084</v>
      </c>
      <c r="D1077" s="7">
        <v>43585</v>
      </c>
      <c r="E1077" s="7">
        <v>43613</v>
      </c>
      <c r="F1077" s="7">
        <v>43686</v>
      </c>
      <c r="G1077" s="1" t="s">
        <v>16</v>
      </c>
      <c r="H1077" s="8">
        <v>2056498.9</v>
      </c>
      <c r="I1077" s="8">
        <v>1240357.1599999999</v>
      </c>
      <c r="J1077" s="1">
        <f>IF(COUNTIF($C$4:C1077,C1077)=1,1,0)</f>
        <v>1</v>
      </c>
      <c r="K1077" s="1">
        <f t="shared" si="16"/>
        <v>2019</v>
      </c>
    </row>
    <row r="1078" spans="2:11" x14ac:dyDescent="0.45">
      <c r="B1078" s="1" t="s">
        <v>11</v>
      </c>
      <c r="C1078" s="1" t="s">
        <v>1085</v>
      </c>
      <c r="D1078" s="7">
        <v>43851</v>
      </c>
      <c r="E1078" s="7">
        <v>43856</v>
      </c>
      <c r="F1078" s="7">
        <v>43915</v>
      </c>
      <c r="G1078" s="1" t="s">
        <v>20</v>
      </c>
      <c r="H1078" s="8">
        <v>64969693.75</v>
      </c>
      <c r="I1078" s="8">
        <v>40597092.399999999</v>
      </c>
      <c r="J1078" s="1">
        <f>IF(COUNTIF($C$4:C1078,C1078)=1,1,0)</f>
        <v>1</v>
      </c>
      <c r="K1078" s="1">
        <f t="shared" si="16"/>
        <v>2020</v>
      </c>
    </row>
    <row r="1079" spans="2:11" x14ac:dyDescent="0.45">
      <c r="B1079" s="1" t="s">
        <v>11</v>
      </c>
      <c r="C1079" s="1" t="s">
        <v>1086</v>
      </c>
      <c r="D1079" s="7">
        <v>44799</v>
      </c>
      <c r="E1079" s="7">
        <v>44805</v>
      </c>
      <c r="F1079" s="7">
        <v>44885</v>
      </c>
      <c r="G1079" s="1" t="s">
        <v>41</v>
      </c>
      <c r="H1079" s="8">
        <v>84544.93</v>
      </c>
      <c r="I1079" s="8">
        <v>61100.9</v>
      </c>
      <c r="J1079" s="1">
        <f>IF(COUNTIF($C$4:C1079,C1079)=1,1,0)</f>
        <v>1</v>
      </c>
      <c r="K1079" s="1">
        <f t="shared" si="16"/>
        <v>2022</v>
      </c>
    </row>
    <row r="1080" spans="2:11" x14ac:dyDescent="0.45">
      <c r="B1080" s="1" t="s">
        <v>11</v>
      </c>
      <c r="C1080" s="1" t="s">
        <v>1087</v>
      </c>
      <c r="D1080" s="7">
        <v>45747</v>
      </c>
      <c r="E1080" s="7">
        <v>45747</v>
      </c>
      <c r="F1080" s="7">
        <v>45807</v>
      </c>
      <c r="G1080" s="1" t="s">
        <v>16</v>
      </c>
      <c r="H1080" s="8">
        <v>6968687.0099999998</v>
      </c>
      <c r="I1080" s="8">
        <v>4763907.8099999996</v>
      </c>
      <c r="J1080" s="1">
        <f>IF(COUNTIF($C$4:C1080,C1080)=1,1,0)</f>
        <v>1</v>
      </c>
      <c r="K1080" s="1">
        <f t="shared" si="16"/>
        <v>2025</v>
      </c>
    </row>
    <row r="1081" spans="2:11" x14ac:dyDescent="0.45">
      <c r="B1081" s="1" t="s">
        <v>11</v>
      </c>
      <c r="C1081" s="1" t="s">
        <v>1088</v>
      </c>
      <c r="D1081" s="7">
        <v>44284</v>
      </c>
      <c r="E1081" s="7">
        <v>44300</v>
      </c>
      <c r="F1081" s="7">
        <v>44513</v>
      </c>
      <c r="G1081" s="1" t="s">
        <v>212</v>
      </c>
      <c r="H1081" s="8">
        <v>9833107.5099999998</v>
      </c>
      <c r="I1081" s="8">
        <v>4577509.9800000004</v>
      </c>
      <c r="J1081" s="1">
        <f>IF(COUNTIF($C$4:C1081,C1081)=1,1,0)</f>
        <v>1</v>
      </c>
      <c r="K1081" s="1">
        <f t="shared" si="16"/>
        <v>2021</v>
      </c>
    </row>
    <row r="1082" spans="2:11" x14ac:dyDescent="0.45">
      <c r="B1082" s="1" t="s">
        <v>11</v>
      </c>
      <c r="C1082" s="1" t="s">
        <v>1089</v>
      </c>
      <c r="D1082" s="7">
        <v>43704</v>
      </c>
      <c r="E1082" s="7">
        <v>43730</v>
      </c>
      <c r="F1082" s="7">
        <v>43786</v>
      </c>
      <c r="G1082" s="1" t="s">
        <v>16</v>
      </c>
      <c r="H1082" s="8">
        <v>1701926.45</v>
      </c>
      <c r="I1082" s="8">
        <v>1263679.44</v>
      </c>
      <c r="J1082" s="1">
        <f>IF(COUNTIF($C$4:C1082,C1082)=1,1,0)</f>
        <v>1</v>
      </c>
      <c r="K1082" s="1">
        <f t="shared" si="16"/>
        <v>2019</v>
      </c>
    </row>
    <row r="1083" spans="2:11" x14ac:dyDescent="0.45">
      <c r="B1083" s="1" t="s">
        <v>11</v>
      </c>
      <c r="C1083" s="1" t="s">
        <v>1090</v>
      </c>
      <c r="D1083" s="7">
        <v>44575</v>
      </c>
      <c r="E1083" s="7">
        <v>44590</v>
      </c>
      <c r="F1083" s="7">
        <v>44673</v>
      </c>
      <c r="G1083" s="1" t="s">
        <v>41</v>
      </c>
      <c r="H1083" s="8">
        <v>158197.24</v>
      </c>
      <c r="I1083" s="8">
        <v>118351.11</v>
      </c>
      <c r="J1083" s="1">
        <f>IF(COUNTIF($C$4:C1083,C1083)=1,1,0)</f>
        <v>1</v>
      </c>
      <c r="K1083" s="1">
        <f t="shared" si="16"/>
        <v>2022</v>
      </c>
    </row>
    <row r="1084" spans="2:11" x14ac:dyDescent="0.45">
      <c r="B1084" s="1" t="s">
        <v>11</v>
      </c>
      <c r="C1084" s="1" t="s">
        <v>1091</v>
      </c>
      <c r="D1084" s="7">
        <v>45768</v>
      </c>
      <c r="E1084" s="7">
        <v>45781</v>
      </c>
      <c r="F1084" s="7">
        <v>45809</v>
      </c>
      <c r="G1084" s="1" t="s">
        <v>41</v>
      </c>
      <c r="H1084" s="8">
        <v>206822.55</v>
      </c>
      <c r="I1084" s="8">
        <v>172227.69</v>
      </c>
      <c r="J1084" s="1">
        <f>IF(COUNTIF($C$4:C1084,C1084)=1,1,0)</f>
        <v>1</v>
      </c>
      <c r="K1084" s="1">
        <f t="shared" si="16"/>
        <v>2025</v>
      </c>
    </row>
    <row r="1085" spans="2:11" x14ac:dyDescent="0.45">
      <c r="B1085" s="1" t="s">
        <v>11</v>
      </c>
      <c r="C1085" s="1" t="s">
        <v>1092</v>
      </c>
      <c r="D1085" s="7">
        <v>45628</v>
      </c>
      <c r="E1085" s="7">
        <v>45644</v>
      </c>
      <c r="F1085" s="7">
        <v>45743</v>
      </c>
      <c r="G1085" s="1" t="s">
        <v>22</v>
      </c>
      <c r="H1085" s="8">
        <v>76483381.969999999</v>
      </c>
      <c r="I1085" s="8">
        <v>32960575.489999998</v>
      </c>
      <c r="J1085" s="1">
        <f>IF(COUNTIF($C$4:C1085,C1085)=1,1,0)</f>
        <v>1</v>
      </c>
      <c r="K1085" s="1">
        <f t="shared" si="16"/>
        <v>2024</v>
      </c>
    </row>
    <row r="1086" spans="2:11" x14ac:dyDescent="0.45">
      <c r="B1086" s="1" t="s">
        <v>11</v>
      </c>
      <c r="C1086" s="1" t="s">
        <v>1093</v>
      </c>
      <c r="D1086" s="7">
        <v>43486</v>
      </c>
      <c r="E1086" s="7">
        <v>43493</v>
      </c>
      <c r="F1086" s="7">
        <v>43601</v>
      </c>
      <c r="G1086" s="1" t="s">
        <v>18</v>
      </c>
      <c r="H1086" s="8">
        <v>8624269.3599999994</v>
      </c>
      <c r="I1086" s="8">
        <v>7271564.9800000004</v>
      </c>
      <c r="J1086" s="1">
        <f>IF(COUNTIF($C$4:C1086,C1086)=1,1,0)</f>
        <v>1</v>
      </c>
      <c r="K1086" s="1">
        <f t="shared" si="16"/>
        <v>2019</v>
      </c>
    </row>
    <row r="1087" spans="2:11" x14ac:dyDescent="0.45">
      <c r="B1087" s="1" t="s">
        <v>11</v>
      </c>
      <c r="C1087" s="1" t="s">
        <v>1094</v>
      </c>
      <c r="D1087" s="7">
        <v>45919</v>
      </c>
      <c r="E1087" s="7">
        <v>45925</v>
      </c>
      <c r="F1087" s="7">
        <v>45978</v>
      </c>
      <c r="G1087" s="1" t="s">
        <v>16</v>
      </c>
      <c r="H1087" s="8">
        <v>401094.31</v>
      </c>
      <c r="I1087" s="8">
        <v>237394.05</v>
      </c>
      <c r="J1087" s="1">
        <f>IF(COUNTIF($C$4:C1087,C1087)=1,1,0)</f>
        <v>1</v>
      </c>
      <c r="K1087" s="1">
        <f t="shared" si="16"/>
        <v>2025</v>
      </c>
    </row>
    <row r="1088" spans="2:11" x14ac:dyDescent="0.45">
      <c r="B1088" s="1" t="s">
        <v>11</v>
      </c>
      <c r="C1088" s="1" t="s">
        <v>1095</v>
      </c>
      <c r="D1088" s="7">
        <v>43614</v>
      </c>
      <c r="E1088" s="7">
        <v>43614</v>
      </c>
      <c r="F1088" s="7">
        <v>43641</v>
      </c>
      <c r="G1088" s="1" t="s">
        <v>22</v>
      </c>
      <c r="H1088" s="8">
        <v>25582108.890000001</v>
      </c>
      <c r="I1088" s="8">
        <v>11925580.369999999</v>
      </c>
      <c r="J1088" s="1">
        <f>IF(COUNTIF($C$4:C1088,C1088)=1,1,0)</f>
        <v>1</v>
      </c>
      <c r="K1088" s="1">
        <f t="shared" si="16"/>
        <v>2019</v>
      </c>
    </row>
    <row r="1089" spans="2:11" x14ac:dyDescent="0.45">
      <c r="B1089" s="1" t="s">
        <v>11</v>
      </c>
      <c r="C1089" s="1" t="s">
        <v>1096</v>
      </c>
      <c r="D1089" s="7">
        <v>43865</v>
      </c>
      <c r="E1089" s="7">
        <v>43887</v>
      </c>
      <c r="F1089" s="7">
        <v>44049</v>
      </c>
      <c r="G1089" s="1" t="s">
        <v>41</v>
      </c>
      <c r="H1089" s="8">
        <v>12419.56</v>
      </c>
      <c r="I1089" s="8">
        <v>9036.89</v>
      </c>
      <c r="J1089" s="1">
        <f>IF(COUNTIF($C$4:C1089,C1089)=1,1,0)</f>
        <v>1</v>
      </c>
      <c r="K1089" s="1">
        <f t="shared" si="16"/>
        <v>2020</v>
      </c>
    </row>
    <row r="1090" spans="2:11" x14ac:dyDescent="0.45">
      <c r="B1090" s="1" t="s">
        <v>11</v>
      </c>
      <c r="C1090" s="1" t="s">
        <v>1097</v>
      </c>
      <c r="D1090" s="7">
        <v>43868</v>
      </c>
      <c r="E1090" s="7">
        <v>43893</v>
      </c>
      <c r="F1090" s="7">
        <v>44032</v>
      </c>
      <c r="G1090" s="1" t="s">
        <v>41</v>
      </c>
      <c r="H1090" s="8">
        <v>213761</v>
      </c>
      <c r="I1090" s="8">
        <v>152943.72</v>
      </c>
      <c r="J1090" s="1">
        <f>IF(COUNTIF($C$4:C1090,C1090)=1,1,0)</f>
        <v>1</v>
      </c>
      <c r="K1090" s="1">
        <f t="shared" si="16"/>
        <v>2020</v>
      </c>
    </row>
    <row r="1091" spans="2:11" x14ac:dyDescent="0.45">
      <c r="B1091" s="1" t="s">
        <v>11</v>
      </c>
      <c r="C1091" s="1" t="s">
        <v>1098</v>
      </c>
      <c r="D1091" s="7">
        <v>44309</v>
      </c>
      <c r="E1091" s="7">
        <v>44319</v>
      </c>
      <c r="F1091" s="7">
        <v>44440</v>
      </c>
      <c r="G1091" s="1" t="s">
        <v>38</v>
      </c>
      <c r="H1091" s="8">
        <v>407420.81</v>
      </c>
      <c r="I1091" s="8">
        <v>319219.65000000002</v>
      </c>
      <c r="J1091" s="1">
        <f>IF(COUNTIF($C$4:C1091,C1091)=1,1,0)</f>
        <v>1</v>
      </c>
      <c r="K1091" s="1">
        <f t="shared" si="16"/>
        <v>2021</v>
      </c>
    </row>
    <row r="1092" spans="2:11" x14ac:dyDescent="0.45">
      <c r="B1092" s="1" t="s">
        <v>11</v>
      </c>
      <c r="C1092" s="1" t="s">
        <v>1099</v>
      </c>
      <c r="D1092" s="7">
        <v>44392</v>
      </c>
      <c r="E1092" s="7">
        <v>44400</v>
      </c>
      <c r="F1092" s="7">
        <v>44447</v>
      </c>
      <c r="G1092" s="1" t="s">
        <v>212</v>
      </c>
      <c r="H1092" s="8">
        <v>37451401.43</v>
      </c>
      <c r="I1092" s="8">
        <v>19680769.100000001</v>
      </c>
      <c r="J1092" s="1">
        <f>IF(COUNTIF($C$4:C1092,C1092)=1,1,0)</f>
        <v>1</v>
      </c>
      <c r="K1092" s="1">
        <f t="shared" si="16"/>
        <v>2021</v>
      </c>
    </row>
    <row r="1093" spans="2:11" x14ac:dyDescent="0.45">
      <c r="B1093" s="1" t="s">
        <v>11</v>
      </c>
      <c r="C1093" s="1" t="s">
        <v>1100</v>
      </c>
      <c r="D1093" s="7">
        <v>44332</v>
      </c>
      <c r="E1093" s="7">
        <v>44362</v>
      </c>
      <c r="F1093" s="7">
        <v>44510</v>
      </c>
      <c r="G1093" s="1" t="s">
        <v>20</v>
      </c>
      <c r="H1093" s="8">
        <v>262404.53000000003</v>
      </c>
      <c r="I1093" s="8">
        <v>162504.41</v>
      </c>
      <c r="J1093" s="1">
        <f>IF(COUNTIF($C$4:C1093,C1093)=1,1,0)</f>
        <v>1</v>
      </c>
      <c r="K1093" s="1">
        <f t="shared" ref="K1093:K1156" si="17">YEAR(D1093)</f>
        <v>2021</v>
      </c>
    </row>
    <row r="1094" spans="2:11" x14ac:dyDescent="0.45">
      <c r="B1094" s="1" t="s">
        <v>11</v>
      </c>
      <c r="C1094" s="1" t="s">
        <v>1101</v>
      </c>
      <c r="D1094" s="7">
        <v>44776</v>
      </c>
      <c r="E1094" s="7">
        <v>44795</v>
      </c>
      <c r="F1094" s="7">
        <v>44894</v>
      </c>
      <c r="G1094" s="1" t="s">
        <v>16</v>
      </c>
      <c r="H1094" s="8">
        <v>543577.61</v>
      </c>
      <c r="I1094" s="8">
        <v>362267.58</v>
      </c>
      <c r="J1094" s="1">
        <f>IF(COUNTIF($C$4:C1094,C1094)=1,1,0)</f>
        <v>1</v>
      </c>
      <c r="K1094" s="1">
        <f t="shared" si="17"/>
        <v>2022</v>
      </c>
    </row>
    <row r="1095" spans="2:11" x14ac:dyDescent="0.45">
      <c r="B1095" s="1" t="s">
        <v>11</v>
      </c>
      <c r="C1095" s="1" t="s">
        <v>1102</v>
      </c>
      <c r="D1095" s="7">
        <v>45095</v>
      </c>
      <c r="E1095" s="7">
        <v>45102</v>
      </c>
      <c r="F1095" s="7">
        <v>45331</v>
      </c>
      <c r="G1095" s="1" t="s">
        <v>38</v>
      </c>
      <c r="H1095" s="8">
        <v>304947.40000000002</v>
      </c>
      <c r="I1095" s="8">
        <v>234659.28</v>
      </c>
      <c r="J1095" s="1">
        <f>IF(COUNTIF($C$4:C1095,C1095)=1,1,0)</f>
        <v>1</v>
      </c>
      <c r="K1095" s="1">
        <f t="shared" si="17"/>
        <v>2023</v>
      </c>
    </row>
    <row r="1096" spans="2:11" x14ac:dyDescent="0.45">
      <c r="B1096" s="1" t="s">
        <v>11</v>
      </c>
      <c r="C1096" s="1" t="s">
        <v>1103</v>
      </c>
      <c r="D1096" s="7">
        <v>45175</v>
      </c>
      <c r="E1096" s="7">
        <v>45199</v>
      </c>
      <c r="F1096" s="7">
        <v>45318</v>
      </c>
      <c r="G1096" s="1" t="s">
        <v>22</v>
      </c>
      <c r="H1096" s="8">
        <v>73849473.599999994</v>
      </c>
      <c r="I1096" s="8">
        <v>58270091.07</v>
      </c>
      <c r="J1096" s="1">
        <f>IF(COUNTIF($C$4:C1096,C1096)=1,1,0)</f>
        <v>1</v>
      </c>
      <c r="K1096" s="1">
        <f t="shared" si="17"/>
        <v>2023</v>
      </c>
    </row>
    <row r="1097" spans="2:11" x14ac:dyDescent="0.45">
      <c r="B1097" s="1" t="s">
        <v>11</v>
      </c>
      <c r="C1097" s="1" t="s">
        <v>1104</v>
      </c>
      <c r="D1097" s="7">
        <v>45388</v>
      </c>
      <c r="E1097" s="7">
        <v>45416</v>
      </c>
      <c r="F1097" s="7">
        <v>45648</v>
      </c>
      <c r="G1097" s="1" t="s">
        <v>38</v>
      </c>
      <c r="H1097" s="8">
        <v>210045.72</v>
      </c>
      <c r="I1097" s="8">
        <v>186217.43</v>
      </c>
      <c r="J1097" s="1">
        <f>IF(COUNTIF($C$4:C1097,C1097)=1,1,0)</f>
        <v>1</v>
      </c>
      <c r="K1097" s="1">
        <f t="shared" si="17"/>
        <v>2024</v>
      </c>
    </row>
    <row r="1098" spans="2:11" x14ac:dyDescent="0.45">
      <c r="B1098" s="1" t="s">
        <v>11</v>
      </c>
      <c r="C1098" s="1" t="s">
        <v>1105</v>
      </c>
      <c r="D1098" s="7">
        <v>45481</v>
      </c>
      <c r="E1098" s="7">
        <v>45500</v>
      </c>
      <c r="F1098" s="7">
        <v>45658</v>
      </c>
      <c r="G1098" s="1" t="s">
        <v>16</v>
      </c>
      <c r="H1098" s="8">
        <v>24874445</v>
      </c>
      <c r="I1098" s="8">
        <v>15686578.07</v>
      </c>
      <c r="J1098" s="1">
        <f>IF(COUNTIF($C$4:C1098,C1098)=1,1,0)</f>
        <v>1</v>
      </c>
      <c r="K1098" s="1">
        <f t="shared" si="17"/>
        <v>2024</v>
      </c>
    </row>
    <row r="1099" spans="2:11" x14ac:dyDescent="0.45">
      <c r="B1099" s="1" t="s">
        <v>11</v>
      </c>
      <c r="C1099" s="1" t="s">
        <v>1106</v>
      </c>
      <c r="D1099" s="7">
        <v>45979</v>
      </c>
      <c r="E1099" s="7">
        <v>45989</v>
      </c>
      <c r="F1099" s="7">
        <v>46109</v>
      </c>
      <c r="G1099" s="1" t="s">
        <v>41</v>
      </c>
      <c r="H1099" s="8">
        <v>201100.07</v>
      </c>
      <c r="I1099" s="8">
        <v>151483.42000000001</v>
      </c>
      <c r="J1099" s="1">
        <f>IF(COUNTIF($C$4:C1099,C1099)=1,1,0)</f>
        <v>1</v>
      </c>
      <c r="K1099" s="1">
        <f t="shared" si="17"/>
        <v>2025</v>
      </c>
    </row>
    <row r="1100" spans="2:11" x14ac:dyDescent="0.45">
      <c r="B1100" s="1" t="s">
        <v>11</v>
      </c>
      <c r="C1100" s="1" t="s">
        <v>1107</v>
      </c>
      <c r="D1100" s="7">
        <v>44906</v>
      </c>
      <c r="E1100" s="7">
        <v>44927</v>
      </c>
      <c r="F1100" s="7">
        <v>45104</v>
      </c>
      <c r="G1100" s="1" t="s">
        <v>20</v>
      </c>
      <c r="H1100" s="8">
        <v>270314.53000000003</v>
      </c>
      <c r="I1100" s="8">
        <v>179546</v>
      </c>
      <c r="J1100" s="1">
        <f>IF(COUNTIF($C$4:C1100,C1100)=1,1,0)</f>
        <v>1</v>
      </c>
      <c r="K1100" s="1">
        <f t="shared" si="17"/>
        <v>2022</v>
      </c>
    </row>
    <row r="1101" spans="2:11" x14ac:dyDescent="0.45">
      <c r="B1101" s="1" t="s">
        <v>11</v>
      </c>
      <c r="C1101" s="1" t="s">
        <v>1108</v>
      </c>
      <c r="D1101" s="7">
        <v>43805</v>
      </c>
      <c r="E1101" s="7">
        <v>43818</v>
      </c>
      <c r="F1101" s="7">
        <v>43876</v>
      </c>
      <c r="G1101" s="1" t="s">
        <v>41</v>
      </c>
      <c r="H1101" s="8">
        <v>53495.1</v>
      </c>
      <c r="I1101" s="8">
        <v>37439.29</v>
      </c>
      <c r="J1101" s="1">
        <f>IF(COUNTIF($C$4:C1101,C1101)=1,1,0)</f>
        <v>1</v>
      </c>
      <c r="K1101" s="1">
        <f t="shared" si="17"/>
        <v>2019</v>
      </c>
    </row>
    <row r="1102" spans="2:11" x14ac:dyDescent="0.45">
      <c r="B1102" s="1" t="s">
        <v>11</v>
      </c>
      <c r="C1102" s="1" t="s">
        <v>1109</v>
      </c>
      <c r="D1102" s="7">
        <v>44408</v>
      </c>
      <c r="E1102" s="7">
        <v>44414</v>
      </c>
      <c r="F1102" s="7">
        <v>44457</v>
      </c>
      <c r="G1102" s="1" t="s">
        <v>212</v>
      </c>
      <c r="H1102" s="8">
        <v>8536101.0700000003</v>
      </c>
      <c r="I1102" s="8">
        <v>5253964.07</v>
      </c>
      <c r="J1102" s="1">
        <f>IF(COUNTIF($C$4:C1102,C1102)=1,1,0)</f>
        <v>1</v>
      </c>
      <c r="K1102" s="1">
        <f t="shared" si="17"/>
        <v>2021</v>
      </c>
    </row>
    <row r="1103" spans="2:11" x14ac:dyDescent="0.45">
      <c r="B1103" s="1" t="s">
        <v>11</v>
      </c>
      <c r="C1103" s="1" t="s">
        <v>1110</v>
      </c>
      <c r="D1103" s="7">
        <v>44426</v>
      </c>
      <c r="E1103" s="7">
        <v>44437</v>
      </c>
      <c r="F1103" s="7">
        <v>44597</v>
      </c>
      <c r="G1103" s="1" t="s">
        <v>20</v>
      </c>
      <c r="H1103" s="8">
        <v>73610215.359999999</v>
      </c>
      <c r="I1103" s="8">
        <v>47153727.329999998</v>
      </c>
      <c r="J1103" s="1">
        <f>IF(COUNTIF($C$4:C1103,C1103)=1,1,0)</f>
        <v>1</v>
      </c>
      <c r="K1103" s="1">
        <f t="shared" si="17"/>
        <v>2021</v>
      </c>
    </row>
    <row r="1104" spans="2:11" x14ac:dyDescent="0.45">
      <c r="B1104" s="1" t="s">
        <v>11</v>
      </c>
      <c r="C1104" s="1" t="s">
        <v>1111</v>
      </c>
      <c r="D1104" s="7">
        <v>44738</v>
      </c>
      <c r="E1104" s="7">
        <v>44767</v>
      </c>
      <c r="F1104" s="7">
        <v>44998</v>
      </c>
      <c r="G1104" s="1" t="s">
        <v>20</v>
      </c>
      <c r="H1104" s="8">
        <v>551087.66</v>
      </c>
      <c r="I1104" s="8">
        <v>371021.58</v>
      </c>
      <c r="J1104" s="1">
        <f>IF(COUNTIF($C$4:C1104,C1104)=1,1,0)</f>
        <v>1</v>
      </c>
      <c r="K1104" s="1">
        <f t="shared" si="17"/>
        <v>2022</v>
      </c>
    </row>
    <row r="1105" spans="2:11" x14ac:dyDescent="0.45">
      <c r="B1105" s="1" t="s">
        <v>11</v>
      </c>
      <c r="C1105" s="1" t="s">
        <v>1112</v>
      </c>
      <c r="D1105" s="7">
        <v>45543</v>
      </c>
      <c r="E1105" s="7">
        <v>45555</v>
      </c>
      <c r="F1105" s="7">
        <v>45562</v>
      </c>
      <c r="G1105" s="1" t="s">
        <v>20</v>
      </c>
      <c r="H1105" s="8">
        <v>182837003.59999999</v>
      </c>
      <c r="I1105" s="8">
        <v>111539240.26000001</v>
      </c>
      <c r="J1105" s="1">
        <f>IF(COUNTIF($C$4:C1105,C1105)=1,1,0)</f>
        <v>1</v>
      </c>
      <c r="K1105" s="1">
        <f t="shared" si="17"/>
        <v>2024</v>
      </c>
    </row>
    <row r="1106" spans="2:11" x14ac:dyDescent="0.45">
      <c r="B1106" s="1" t="s">
        <v>11</v>
      </c>
      <c r="C1106" s="1" t="s">
        <v>1113</v>
      </c>
      <c r="D1106" s="7">
        <v>43915</v>
      </c>
      <c r="E1106" s="7">
        <v>43924</v>
      </c>
      <c r="F1106" s="7">
        <v>44083</v>
      </c>
      <c r="G1106" s="1" t="s">
        <v>38</v>
      </c>
      <c r="H1106" s="8">
        <v>1080610.0900000001</v>
      </c>
      <c r="I1106" s="8">
        <v>938649.65</v>
      </c>
      <c r="J1106" s="1">
        <f>IF(COUNTIF($C$4:C1106,C1106)=1,1,0)</f>
        <v>1</v>
      </c>
      <c r="K1106" s="1">
        <f t="shared" si="17"/>
        <v>2020</v>
      </c>
    </row>
    <row r="1107" spans="2:11" x14ac:dyDescent="0.45">
      <c r="B1107" s="1" t="s">
        <v>11</v>
      </c>
      <c r="C1107" s="1" t="s">
        <v>1114</v>
      </c>
      <c r="D1107" s="7">
        <v>44234</v>
      </c>
      <c r="E1107" s="7">
        <v>44237</v>
      </c>
      <c r="F1107" s="7">
        <v>44282</v>
      </c>
      <c r="G1107" s="1" t="s">
        <v>18</v>
      </c>
      <c r="H1107" s="8">
        <v>4294244.67</v>
      </c>
      <c r="I1107" s="8">
        <v>2871024.95</v>
      </c>
      <c r="J1107" s="1">
        <f>IF(COUNTIF($C$4:C1107,C1107)=1,1,0)</f>
        <v>1</v>
      </c>
      <c r="K1107" s="1">
        <f t="shared" si="17"/>
        <v>2021</v>
      </c>
    </row>
    <row r="1108" spans="2:11" x14ac:dyDescent="0.45">
      <c r="B1108" s="1" t="s">
        <v>11</v>
      </c>
      <c r="C1108" s="1" t="s">
        <v>1115</v>
      </c>
      <c r="D1108" s="7">
        <v>44672</v>
      </c>
      <c r="E1108" s="7">
        <v>44696</v>
      </c>
      <c r="F1108" s="7">
        <v>44919</v>
      </c>
      <c r="G1108" s="1" t="s">
        <v>41</v>
      </c>
      <c r="H1108" s="8">
        <v>173277.41</v>
      </c>
      <c r="I1108" s="8">
        <v>126207.8</v>
      </c>
      <c r="J1108" s="1">
        <f>IF(COUNTIF($C$4:C1108,C1108)=1,1,0)</f>
        <v>1</v>
      </c>
      <c r="K1108" s="1">
        <f t="shared" si="17"/>
        <v>2022</v>
      </c>
    </row>
    <row r="1109" spans="2:11" x14ac:dyDescent="0.45">
      <c r="B1109" s="1" t="s">
        <v>11</v>
      </c>
      <c r="C1109" s="1" t="s">
        <v>1116</v>
      </c>
      <c r="D1109" s="7">
        <v>43134</v>
      </c>
      <c r="E1109" s="7">
        <v>43162</v>
      </c>
      <c r="F1109" s="7">
        <v>43197</v>
      </c>
      <c r="G1109" s="1" t="s">
        <v>41</v>
      </c>
      <c r="H1109" s="8">
        <v>139960.82</v>
      </c>
      <c r="I1109" s="8">
        <v>118673.87</v>
      </c>
      <c r="J1109" s="1">
        <f>IF(COUNTIF($C$4:C1109,C1109)=1,1,0)</f>
        <v>1</v>
      </c>
      <c r="K1109" s="1">
        <f t="shared" si="17"/>
        <v>2018</v>
      </c>
    </row>
    <row r="1110" spans="2:11" x14ac:dyDescent="0.45">
      <c r="B1110" s="1" t="s">
        <v>11</v>
      </c>
      <c r="C1110" s="1" t="s">
        <v>1117</v>
      </c>
      <c r="D1110" s="7">
        <v>45787</v>
      </c>
      <c r="E1110" s="7">
        <v>45812</v>
      </c>
      <c r="F1110" s="7">
        <v>46051</v>
      </c>
      <c r="G1110" s="1" t="s">
        <v>20</v>
      </c>
      <c r="H1110" s="8">
        <v>886936.49</v>
      </c>
      <c r="I1110" s="8">
        <v>548418.16</v>
      </c>
      <c r="J1110" s="1">
        <f>IF(COUNTIF($C$4:C1110,C1110)=1,1,0)</f>
        <v>1</v>
      </c>
      <c r="K1110" s="1">
        <f t="shared" si="17"/>
        <v>2025</v>
      </c>
    </row>
    <row r="1111" spans="2:11" x14ac:dyDescent="0.45">
      <c r="B1111" s="1" t="s">
        <v>11</v>
      </c>
      <c r="C1111" s="1" t="s">
        <v>1118</v>
      </c>
      <c r="D1111" s="7">
        <v>43357</v>
      </c>
      <c r="E1111" s="7">
        <v>43365</v>
      </c>
      <c r="F1111" s="7">
        <v>43411</v>
      </c>
      <c r="G1111" s="1" t="s">
        <v>22</v>
      </c>
      <c r="H1111" s="8">
        <v>26775747.59</v>
      </c>
      <c r="I1111" s="8">
        <v>12496385.390000001</v>
      </c>
      <c r="J1111" s="1">
        <f>IF(COUNTIF($C$4:C1111,C1111)=1,1,0)</f>
        <v>1</v>
      </c>
      <c r="K1111" s="1">
        <f t="shared" si="17"/>
        <v>2018</v>
      </c>
    </row>
    <row r="1112" spans="2:11" x14ac:dyDescent="0.45">
      <c r="B1112" s="1" t="s">
        <v>11</v>
      </c>
      <c r="C1112" s="1" t="s">
        <v>1119</v>
      </c>
      <c r="D1112" s="7">
        <v>45116</v>
      </c>
      <c r="E1112" s="7">
        <v>45116</v>
      </c>
      <c r="F1112" s="7">
        <v>45272</v>
      </c>
      <c r="G1112" s="1" t="s">
        <v>18</v>
      </c>
      <c r="H1112" s="8">
        <v>6899814.5199999996</v>
      </c>
      <c r="I1112" s="8">
        <v>5096986.62</v>
      </c>
      <c r="J1112" s="1">
        <f>IF(COUNTIF($C$4:C1112,C1112)=1,1,0)</f>
        <v>1</v>
      </c>
      <c r="K1112" s="1">
        <f t="shared" si="17"/>
        <v>2023</v>
      </c>
    </row>
    <row r="1113" spans="2:11" x14ac:dyDescent="0.45">
      <c r="B1113" s="1" t="s">
        <v>11</v>
      </c>
      <c r="C1113" s="1" t="s">
        <v>1120</v>
      </c>
      <c r="D1113" s="7">
        <v>44591</v>
      </c>
      <c r="E1113" s="7">
        <v>44599</v>
      </c>
      <c r="F1113" s="7">
        <v>44634</v>
      </c>
      <c r="G1113" s="1" t="s">
        <v>38</v>
      </c>
      <c r="H1113" s="8">
        <v>1472958.86</v>
      </c>
      <c r="I1113" s="8">
        <v>1174399.93</v>
      </c>
      <c r="J1113" s="1">
        <f>IF(COUNTIF($C$4:C1113,C1113)=1,1,0)</f>
        <v>1</v>
      </c>
      <c r="K1113" s="1">
        <f t="shared" si="17"/>
        <v>2022</v>
      </c>
    </row>
    <row r="1114" spans="2:11" x14ac:dyDescent="0.45">
      <c r="B1114" s="1" t="s">
        <v>11</v>
      </c>
      <c r="C1114" s="1" t="s">
        <v>1121</v>
      </c>
      <c r="D1114" s="7">
        <v>44831</v>
      </c>
      <c r="E1114" s="7">
        <v>44846</v>
      </c>
      <c r="F1114" s="7">
        <v>45001</v>
      </c>
      <c r="G1114" s="1" t="s">
        <v>22</v>
      </c>
      <c r="H1114" s="8">
        <v>41007573.049999997</v>
      </c>
      <c r="I1114" s="8">
        <v>18720727.68</v>
      </c>
      <c r="J1114" s="1">
        <f>IF(COUNTIF($C$4:C1114,C1114)=1,1,0)</f>
        <v>1</v>
      </c>
      <c r="K1114" s="1">
        <f t="shared" si="17"/>
        <v>2022</v>
      </c>
    </row>
    <row r="1115" spans="2:11" x14ac:dyDescent="0.45">
      <c r="B1115" s="1" t="s">
        <v>11</v>
      </c>
      <c r="C1115" s="1" t="s">
        <v>1122</v>
      </c>
      <c r="D1115" s="7">
        <v>45537</v>
      </c>
      <c r="E1115" s="7">
        <v>45557</v>
      </c>
      <c r="F1115" s="7">
        <v>45628</v>
      </c>
      <c r="G1115" s="1" t="s">
        <v>16</v>
      </c>
      <c r="H1115" s="8">
        <v>3776434.37</v>
      </c>
      <c r="I1115" s="8">
        <v>2329168.58</v>
      </c>
      <c r="J1115" s="1">
        <f>IF(COUNTIF($C$4:C1115,C1115)=1,1,0)</f>
        <v>1</v>
      </c>
      <c r="K1115" s="1">
        <f t="shared" si="17"/>
        <v>2024</v>
      </c>
    </row>
    <row r="1116" spans="2:11" x14ac:dyDescent="0.45">
      <c r="B1116" s="1" t="s">
        <v>11</v>
      </c>
      <c r="C1116" s="1" t="s">
        <v>1123</v>
      </c>
      <c r="D1116" s="7">
        <v>44719</v>
      </c>
      <c r="E1116" s="7">
        <v>44728</v>
      </c>
      <c r="F1116" s="7">
        <v>44785</v>
      </c>
      <c r="G1116" s="1" t="s">
        <v>212</v>
      </c>
      <c r="H1116" s="8">
        <v>113065022.25</v>
      </c>
      <c r="I1116" s="8">
        <v>88410444.040000007</v>
      </c>
      <c r="J1116" s="1">
        <f>IF(COUNTIF($C$4:C1116,C1116)=1,1,0)</f>
        <v>1</v>
      </c>
      <c r="K1116" s="1">
        <f t="shared" si="17"/>
        <v>2022</v>
      </c>
    </row>
    <row r="1117" spans="2:11" x14ac:dyDescent="0.45">
      <c r="B1117" s="1" t="s">
        <v>11</v>
      </c>
      <c r="C1117" s="1" t="s">
        <v>1124</v>
      </c>
      <c r="D1117" s="7">
        <v>43175</v>
      </c>
      <c r="E1117" s="7">
        <v>43176</v>
      </c>
      <c r="F1117" s="7">
        <v>43407</v>
      </c>
      <c r="G1117" s="1" t="s">
        <v>20</v>
      </c>
      <c r="H1117" s="8">
        <v>27857193.260000002</v>
      </c>
      <c r="I1117" s="8">
        <v>13039996.699999999</v>
      </c>
      <c r="J1117" s="1">
        <f>IF(COUNTIF($C$4:C1117,C1117)=1,1,0)</f>
        <v>1</v>
      </c>
      <c r="K1117" s="1">
        <f t="shared" si="17"/>
        <v>2018</v>
      </c>
    </row>
    <row r="1118" spans="2:11" x14ac:dyDescent="0.45">
      <c r="B1118" s="1" t="s">
        <v>11</v>
      </c>
      <c r="C1118" s="1" t="s">
        <v>1125</v>
      </c>
      <c r="D1118" s="7">
        <v>44069</v>
      </c>
      <c r="E1118" s="7">
        <v>44095</v>
      </c>
      <c r="F1118" s="7">
        <v>44320</v>
      </c>
      <c r="G1118" s="1" t="s">
        <v>41</v>
      </c>
      <c r="H1118" s="8">
        <v>941333.07</v>
      </c>
      <c r="I1118" s="8">
        <v>719300.32</v>
      </c>
      <c r="J1118" s="1">
        <f>IF(COUNTIF($C$4:C1118,C1118)=1,1,0)</f>
        <v>1</v>
      </c>
      <c r="K1118" s="1">
        <f t="shared" si="17"/>
        <v>2020</v>
      </c>
    </row>
    <row r="1119" spans="2:11" x14ac:dyDescent="0.45">
      <c r="B1119" s="1" t="s">
        <v>11</v>
      </c>
      <c r="C1119" s="1" t="s">
        <v>1126</v>
      </c>
      <c r="D1119" s="7">
        <v>43921</v>
      </c>
      <c r="E1119" s="7">
        <v>43948</v>
      </c>
      <c r="F1119" s="7">
        <v>44102</v>
      </c>
      <c r="G1119" s="1" t="s">
        <v>44</v>
      </c>
      <c r="H1119" s="8">
        <v>67360607.480000004</v>
      </c>
      <c r="I1119" s="8">
        <v>29947065.25</v>
      </c>
      <c r="J1119" s="1">
        <f>IF(COUNTIF($C$4:C1119,C1119)=1,1,0)</f>
        <v>1</v>
      </c>
      <c r="K1119" s="1">
        <f t="shared" si="17"/>
        <v>2020</v>
      </c>
    </row>
    <row r="1120" spans="2:11" x14ac:dyDescent="0.45">
      <c r="B1120" s="1" t="s">
        <v>11</v>
      </c>
      <c r="C1120" s="1" t="s">
        <v>1127</v>
      </c>
      <c r="D1120" s="7">
        <v>43400</v>
      </c>
      <c r="E1120" s="7">
        <v>43411</v>
      </c>
      <c r="F1120" s="7">
        <v>43642</v>
      </c>
      <c r="G1120" s="1" t="s">
        <v>41</v>
      </c>
      <c r="H1120" s="8">
        <v>232191.16</v>
      </c>
      <c r="I1120" s="8">
        <v>173889.3</v>
      </c>
      <c r="J1120" s="1">
        <f>IF(COUNTIF($C$4:C1120,C1120)=1,1,0)</f>
        <v>1</v>
      </c>
      <c r="K1120" s="1">
        <f t="shared" si="17"/>
        <v>2018</v>
      </c>
    </row>
    <row r="1121" spans="2:11" x14ac:dyDescent="0.45">
      <c r="B1121" s="1" t="s">
        <v>11</v>
      </c>
      <c r="C1121" s="1" t="s">
        <v>1128</v>
      </c>
      <c r="D1121" s="7">
        <v>43995</v>
      </c>
      <c r="E1121" s="7">
        <v>44013</v>
      </c>
      <c r="F1121" s="7">
        <v>44136</v>
      </c>
      <c r="G1121" s="1" t="s">
        <v>41</v>
      </c>
      <c r="H1121" s="8">
        <v>204500.34</v>
      </c>
      <c r="I1121" s="8">
        <v>139664.72</v>
      </c>
      <c r="J1121" s="1">
        <f>IF(COUNTIF($C$4:C1121,C1121)=1,1,0)</f>
        <v>1</v>
      </c>
      <c r="K1121" s="1">
        <f t="shared" si="17"/>
        <v>2020</v>
      </c>
    </row>
    <row r="1122" spans="2:11" x14ac:dyDescent="0.45">
      <c r="B1122" s="1" t="s">
        <v>11</v>
      </c>
      <c r="C1122" s="1" t="s">
        <v>1129</v>
      </c>
      <c r="D1122" s="7">
        <v>44019</v>
      </c>
      <c r="E1122" s="7">
        <v>44032</v>
      </c>
      <c r="F1122" s="7">
        <v>44236</v>
      </c>
      <c r="G1122" s="1" t="s">
        <v>41</v>
      </c>
      <c r="H1122" s="8">
        <v>942286.06</v>
      </c>
      <c r="I1122" s="8">
        <v>792093.93</v>
      </c>
      <c r="J1122" s="1">
        <f>IF(COUNTIF($C$4:C1122,C1122)=1,1,0)</f>
        <v>1</v>
      </c>
      <c r="K1122" s="1">
        <f t="shared" si="17"/>
        <v>2020</v>
      </c>
    </row>
    <row r="1123" spans="2:11" x14ac:dyDescent="0.45">
      <c r="B1123" s="1" t="s">
        <v>11</v>
      </c>
      <c r="C1123" s="1" t="s">
        <v>1130</v>
      </c>
      <c r="D1123" s="7">
        <v>44770</v>
      </c>
      <c r="E1123" s="7">
        <v>44799</v>
      </c>
      <c r="F1123" s="7">
        <v>44984</v>
      </c>
      <c r="G1123" s="1" t="s">
        <v>18</v>
      </c>
      <c r="H1123" s="8">
        <v>8703554.2300000004</v>
      </c>
      <c r="I1123" s="8">
        <v>6968565.2300000004</v>
      </c>
      <c r="J1123" s="1">
        <f>IF(COUNTIF($C$4:C1123,C1123)=1,1,0)</f>
        <v>1</v>
      </c>
      <c r="K1123" s="1">
        <f t="shared" si="17"/>
        <v>2022</v>
      </c>
    </row>
    <row r="1124" spans="2:11" x14ac:dyDescent="0.45">
      <c r="B1124" s="1" t="s">
        <v>11</v>
      </c>
      <c r="C1124" s="1" t="s">
        <v>1131</v>
      </c>
      <c r="D1124" s="7">
        <v>44303</v>
      </c>
      <c r="E1124" s="7">
        <v>44310</v>
      </c>
      <c r="F1124" s="7">
        <v>44531</v>
      </c>
      <c r="G1124" s="1" t="s">
        <v>20</v>
      </c>
      <c r="H1124" s="8">
        <v>428769.06</v>
      </c>
      <c r="I1124" s="8">
        <v>311766.90999999997</v>
      </c>
      <c r="J1124" s="1">
        <f>IF(COUNTIF($C$4:C1124,C1124)=1,1,0)</f>
        <v>1</v>
      </c>
      <c r="K1124" s="1">
        <f t="shared" si="17"/>
        <v>2021</v>
      </c>
    </row>
    <row r="1125" spans="2:11" x14ac:dyDescent="0.45">
      <c r="B1125" s="1" t="s">
        <v>11</v>
      </c>
      <c r="C1125" s="1" t="s">
        <v>1132</v>
      </c>
      <c r="D1125" s="7">
        <v>43389</v>
      </c>
      <c r="E1125" s="7">
        <v>43418</v>
      </c>
      <c r="F1125" s="7">
        <v>43470</v>
      </c>
      <c r="G1125" s="1" t="s">
        <v>20</v>
      </c>
      <c r="H1125" s="8">
        <v>6480257.6200000001</v>
      </c>
      <c r="I1125" s="8">
        <v>3252436.78</v>
      </c>
      <c r="J1125" s="1">
        <f>IF(COUNTIF($C$4:C1125,C1125)=1,1,0)</f>
        <v>1</v>
      </c>
      <c r="K1125" s="1">
        <f t="shared" si="17"/>
        <v>2018</v>
      </c>
    </row>
    <row r="1126" spans="2:11" x14ac:dyDescent="0.45">
      <c r="B1126" s="1" t="s">
        <v>11</v>
      </c>
      <c r="C1126" s="1" t="s">
        <v>1133</v>
      </c>
      <c r="D1126" s="7">
        <v>44089</v>
      </c>
      <c r="E1126" s="7">
        <v>44110</v>
      </c>
      <c r="F1126" s="7">
        <v>44178</v>
      </c>
      <c r="G1126" s="1" t="s">
        <v>44</v>
      </c>
      <c r="H1126" s="8">
        <v>337028898.32999998</v>
      </c>
      <c r="I1126" s="8">
        <v>184132611.44999999</v>
      </c>
      <c r="J1126" s="1">
        <f>IF(COUNTIF($C$4:C1126,C1126)=1,1,0)</f>
        <v>1</v>
      </c>
      <c r="K1126" s="1">
        <f t="shared" si="17"/>
        <v>2020</v>
      </c>
    </row>
    <row r="1127" spans="2:11" x14ac:dyDescent="0.45">
      <c r="B1127" s="1" t="s">
        <v>11</v>
      </c>
      <c r="C1127" s="1" t="s">
        <v>1134</v>
      </c>
      <c r="D1127" s="7">
        <v>44742</v>
      </c>
      <c r="E1127" s="7">
        <v>44745</v>
      </c>
      <c r="F1127" s="7">
        <v>44929</v>
      </c>
      <c r="G1127" s="1" t="s">
        <v>20</v>
      </c>
      <c r="H1127" s="8">
        <v>48445594.630000003</v>
      </c>
      <c r="I1127" s="8">
        <v>28310790.09</v>
      </c>
      <c r="J1127" s="1">
        <f>IF(COUNTIF($C$4:C1127,C1127)=1,1,0)</f>
        <v>1</v>
      </c>
      <c r="K1127" s="1">
        <f t="shared" si="17"/>
        <v>2022</v>
      </c>
    </row>
    <row r="1128" spans="2:11" x14ac:dyDescent="0.45">
      <c r="B1128" s="1" t="s">
        <v>11</v>
      </c>
      <c r="C1128" s="1" t="s">
        <v>1135</v>
      </c>
      <c r="D1128" s="7">
        <v>44830</v>
      </c>
      <c r="E1128" s="7">
        <v>44853</v>
      </c>
      <c r="F1128" s="7">
        <v>44929</v>
      </c>
      <c r="G1128" s="1" t="s">
        <v>20</v>
      </c>
      <c r="H1128" s="8">
        <v>463226.5</v>
      </c>
      <c r="I1128" s="8">
        <v>345916.01</v>
      </c>
      <c r="J1128" s="1">
        <f>IF(COUNTIF($C$4:C1128,C1128)=1,1,0)</f>
        <v>1</v>
      </c>
      <c r="K1128" s="1">
        <f t="shared" si="17"/>
        <v>2022</v>
      </c>
    </row>
    <row r="1129" spans="2:11" x14ac:dyDescent="0.45">
      <c r="B1129" s="1" t="s">
        <v>11</v>
      </c>
      <c r="C1129" s="1" t="s">
        <v>1136</v>
      </c>
      <c r="D1129" s="7">
        <v>45248</v>
      </c>
      <c r="E1129" s="7">
        <v>45276</v>
      </c>
      <c r="F1129" s="7">
        <v>45432</v>
      </c>
      <c r="G1129" s="1" t="s">
        <v>18</v>
      </c>
      <c r="H1129" s="8">
        <v>5512129.8899999997</v>
      </c>
      <c r="I1129" s="8">
        <v>4465910.3099999996</v>
      </c>
      <c r="J1129" s="1">
        <f>IF(COUNTIF($C$4:C1129,C1129)=1,1,0)</f>
        <v>1</v>
      </c>
      <c r="K1129" s="1">
        <f t="shared" si="17"/>
        <v>2023</v>
      </c>
    </row>
    <row r="1130" spans="2:11" x14ac:dyDescent="0.45">
      <c r="B1130" s="1" t="s">
        <v>11</v>
      </c>
      <c r="C1130" s="1" t="s">
        <v>1137</v>
      </c>
      <c r="D1130" s="7">
        <v>46078</v>
      </c>
      <c r="E1130" s="7">
        <v>46091</v>
      </c>
      <c r="F1130" s="7">
        <v>46126</v>
      </c>
      <c r="G1130" s="1" t="s">
        <v>16</v>
      </c>
      <c r="H1130" s="8">
        <v>10406318.890000001</v>
      </c>
      <c r="I1130" s="8">
        <v>5889128.21</v>
      </c>
      <c r="J1130" s="1">
        <f>IF(COUNTIF($C$4:C1130,C1130)=1,1,0)</f>
        <v>1</v>
      </c>
      <c r="K1130" s="1">
        <f t="shared" si="17"/>
        <v>2026</v>
      </c>
    </row>
    <row r="1131" spans="2:11" x14ac:dyDescent="0.45">
      <c r="B1131" s="1" t="s">
        <v>11</v>
      </c>
      <c r="C1131" s="1" t="s">
        <v>1138</v>
      </c>
      <c r="D1131" s="7">
        <v>43582</v>
      </c>
      <c r="E1131" s="7">
        <v>43592</v>
      </c>
      <c r="F1131" s="7">
        <v>43828</v>
      </c>
      <c r="G1131" s="1" t="s">
        <v>38</v>
      </c>
      <c r="H1131" s="8">
        <v>619902.27</v>
      </c>
      <c r="I1131" s="8">
        <v>392761.61</v>
      </c>
      <c r="J1131" s="1">
        <f>IF(COUNTIF($C$4:C1131,C1131)=1,1,0)</f>
        <v>1</v>
      </c>
      <c r="K1131" s="1">
        <f t="shared" si="17"/>
        <v>2019</v>
      </c>
    </row>
    <row r="1132" spans="2:11" x14ac:dyDescent="0.45">
      <c r="B1132" s="1" t="s">
        <v>11</v>
      </c>
      <c r="C1132" s="1" t="s">
        <v>1139</v>
      </c>
      <c r="D1132" s="7">
        <v>43656</v>
      </c>
      <c r="E1132" s="7">
        <v>43686</v>
      </c>
      <c r="F1132" s="7">
        <v>43703</v>
      </c>
      <c r="G1132" s="1" t="s">
        <v>20</v>
      </c>
      <c r="H1132" s="8">
        <v>124244216.84999999</v>
      </c>
      <c r="I1132" s="8">
        <v>70608458.239999995</v>
      </c>
      <c r="J1132" s="1">
        <f>IF(COUNTIF($C$4:C1132,C1132)=1,1,0)</f>
        <v>1</v>
      </c>
      <c r="K1132" s="1">
        <f t="shared" si="17"/>
        <v>2019</v>
      </c>
    </row>
    <row r="1133" spans="2:11" x14ac:dyDescent="0.45">
      <c r="B1133" s="1" t="s">
        <v>11</v>
      </c>
      <c r="C1133" s="1" t="s">
        <v>1140</v>
      </c>
      <c r="D1133" s="7">
        <v>43559</v>
      </c>
      <c r="E1133" s="7">
        <v>43585</v>
      </c>
      <c r="F1133" s="7">
        <v>43782</v>
      </c>
      <c r="G1133" s="1" t="s">
        <v>212</v>
      </c>
      <c r="H1133" s="8">
        <v>22514856.949999999</v>
      </c>
      <c r="I1133" s="8">
        <v>13781074.65</v>
      </c>
      <c r="J1133" s="1">
        <f>IF(COUNTIF($C$4:C1133,C1133)=1,1,0)</f>
        <v>1</v>
      </c>
      <c r="K1133" s="1">
        <f t="shared" si="17"/>
        <v>2019</v>
      </c>
    </row>
    <row r="1134" spans="2:11" x14ac:dyDescent="0.45">
      <c r="B1134" s="1" t="s">
        <v>11</v>
      </c>
      <c r="C1134" s="1" t="s">
        <v>1141</v>
      </c>
      <c r="D1134" s="7">
        <v>44645</v>
      </c>
      <c r="E1134" s="7">
        <v>44663</v>
      </c>
      <c r="F1134" s="7">
        <v>44710</v>
      </c>
      <c r="G1134" s="1" t="s">
        <v>38</v>
      </c>
      <c r="H1134" s="8">
        <v>849715.8</v>
      </c>
      <c r="I1134" s="8">
        <v>573403.89</v>
      </c>
      <c r="J1134" s="1">
        <f>IF(COUNTIF($C$4:C1134,C1134)=1,1,0)</f>
        <v>1</v>
      </c>
      <c r="K1134" s="1">
        <f t="shared" si="17"/>
        <v>2022</v>
      </c>
    </row>
    <row r="1135" spans="2:11" x14ac:dyDescent="0.45">
      <c r="B1135" s="1" t="s">
        <v>11</v>
      </c>
      <c r="C1135" s="1" t="s">
        <v>1142</v>
      </c>
      <c r="D1135" s="7">
        <v>45723</v>
      </c>
      <c r="E1135" s="7">
        <v>45736</v>
      </c>
      <c r="F1135" s="7">
        <v>45828</v>
      </c>
      <c r="G1135" s="1" t="s">
        <v>18</v>
      </c>
      <c r="H1135" s="8">
        <v>7627815.7699999996</v>
      </c>
      <c r="I1135" s="8">
        <v>6030789.3300000001</v>
      </c>
      <c r="J1135" s="1">
        <f>IF(COUNTIF($C$4:C1135,C1135)=1,1,0)</f>
        <v>1</v>
      </c>
      <c r="K1135" s="1">
        <f t="shared" si="17"/>
        <v>2025</v>
      </c>
    </row>
    <row r="1136" spans="2:11" x14ac:dyDescent="0.45">
      <c r="B1136" s="1" t="s">
        <v>11</v>
      </c>
      <c r="C1136" s="1" t="s">
        <v>1143</v>
      </c>
      <c r="D1136" s="7">
        <v>45117</v>
      </c>
      <c r="E1136" s="7">
        <v>45131</v>
      </c>
      <c r="F1136" s="7">
        <v>45210</v>
      </c>
      <c r="G1136" s="1" t="s">
        <v>44</v>
      </c>
      <c r="H1136" s="8">
        <v>65122031.189999998</v>
      </c>
      <c r="I1136" s="8">
        <v>37411520.07</v>
      </c>
      <c r="J1136" s="1">
        <f>IF(COUNTIF($C$4:C1136,C1136)=1,1,0)</f>
        <v>1</v>
      </c>
      <c r="K1136" s="1">
        <f t="shared" si="17"/>
        <v>2023</v>
      </c>
    </row>
    <row r="1137" spans="2:11" x14ac:dyDescent="0.45">
      <c r="B1137" s="1" t="s">
        <v>11</v>
      </c>
      <c r="C1137" s="1" t="s">
        <v>1144</v>
      </c>
      <c r="D1137" s="7">
        <v>43380</v>
      </c>
      <c r="E1137" s="7">
        <v>43403</v>
      </c>
      <c r="F1137" s="7">
        <v>43562</v>
      </c>
      <c r="G1137" s="1" t="s">
        <v>20</v>
      </c>
      <c r="H1137" s="8">
        <v>13770647.369999999</v>
      </c>
      <c r="I1137" s="8">
        <v>10378809.65</v>
      </c>
      <c r="J1137" s="1">
        <f>IF(COUNTIF($C$4:C1137,C1137)=1,1,0)</f>
        <v>1</v>
      </c>
      <c r="K1137" s="1">
        <f t="shared" si="17"/>
        <v>2018</v>
      </c>
    </row>
    <row r="1138" spans="2:11" x14ac:dyDescent="0.45">
      <c r="B1138" s="1" t="s">
        <v>11</v>
      </c>
      <c r="C1138" s="1" t="s">
        <v>1145</v>
      </c>
      <c r="D1138" s="7">
        <v>44984</v>
      </c>
      <c r="E1138" s="7">
        <v>45013</v>
      </c>
      <c r="F1138" s="7">
        <v>45115</v>
      </c>
      <c r="G1138" s="1" t="s">
        <v>22</v>
      </c>
      <c r="H1138" s="8">
        <v>34458074.119999997</v>
      </c>
      <c r="I1138" s="8">
        <v>18923419.649999999</v>
      </c>
      <c r="J1138" s="1">
        <f>IF(COUNTIF($C$4:C1138,C1138)=1,1,0)</f>
        <v>1</v>
      </c>
      <c r="K1138" s="1">
        <f t="shared" si="17"/>
        <v>2023</v>
      </c>
    </row>
    <row r="1139" spans="2:11" x14ac:dyDescent="0.45">
      <c r="B1139" s="1" t="s">
        <v>11</v>
      </c>
      <c r="C1139" s="1" t="s">
        <v>1146</v>
      </c>
      <c r="D1139" s="7">
        <v>45345</v>
      </c>
      <c r="E1139" s="7">
        <v>45363</v>
      </c>
      <c r="F1139" s="7">
        <v>45572</v>
      </c>
      <c r="G1139" s="1" t="s">
        <v>16</v>
      </c>
      <c r="H1139" s="8">
        <v>9801821.5</v>
      </c>
      <c r="I1139" s="8">
        <v>7509966.4699999997</v>
      </c>
      <c r="J1139" s="1">
        <f>IF(COUNTIF($C$4:C1139,C1139)=1,1,0)</f>
        <v>1</v>
      </c>
      <c r="K1139" s="1">
        <f t="shared" si="17"/>
        <v>2024</v>
      </c>
    </row>
    <row r="1140" spans="2:11" x14ac:dyDescent="0.45">
      <c r="B1140" s="1" t="s">
        <v>11</v>
      </c>
      <c r="C1140" s="1" t="s">
        <v>102</v>
      </c>
      <c r="D1140" s="7">
        <v>46055</v>
      </c>
      <c r="E1140" s="7">
        <v>46082</v>
      </c>
      <c r="F1140" s="7">
        <v>46271</v>
      </c>
      <c r="G1140" s="1" t="s">
        <v>20</v>
      </c>
      <c r="H1140" s="8">
        <v>1981330.6</v>
      </c>
      <c r="I1140" s="8">
        <v>1272271.75</v>
      </c>
      <c r="J1140" s="1">
        <f>IF(COUNTIF($C$4:C1140,C1140)=1,1,0)</f>
        <v>0</v>
      </c>
      <c r="K1140" s="1">
        <f t="shared" si="17"/>
        <v>2026</v>
      </c>
    </row>
    <row r="1141" spans="2:11" x14ac:dyDescent="0.45">
      <c r="B1141" s="1" t="s">
        <v>11</v>
      </c>
      <c r="C1141" s="1" t="s">
        <v>1147</v>
      </c>
      <c r="D1141" s="7">
        <v>45130</v>
      </c>
      <c r="E1141" s="7">
        <v>45139</v>
      </c>
      <c r="F1141" s="7">
        <v>45318</v>
      </c>
      <c r="G1141" s="1" t="s">
        <v>38</v>
      </c>
      <c r="H1141" s="8">
        <v>78498.55</v>
      </c>
      <c r="I1141" s="8">
        <v>66541.41</v>
      </c>
      <c r="J1141" s="1">
        <f>IF(COUNTIF($C$4:C1141,C1141)=1,1,0)</f>
        <v>1</v>
      </c>
      <c r="K1141" s="1">
        <f t="shared" si="17"/>
        <v>2023</v>
      </c>
    </row>
    <row r="1142" spans="2:11" x14ac:dyDescent="0.45">
      <c r="B1142" s="1" t="s">
        <v>11</v>
      </c>
      <c r="C1142" s="1" t="s">
        <v>1148</v>
      </c>
      <c r="D1142" s="7">
        <v>43738</v>
      </c>
      <c r="E1142" s="7">
        <v>43740</v>
      </c>
      <c r="F1142" s="7">
        <v>43959</v>
      </c>
      <c r="G1142" s="1" t="s">
        <v>16</v>
      </c>
      <c r="H1142" s="8">
        <v>2683418.6</v>
      </c>
      <c r="I1142" s="8">
        <v>1718581.99</v>
      </c>
      <c r="J1142" s="1">
        <f>IF(COUNTIF($C$4:C1142,C1142)=1,1,0)</f>
        <v>1</v>
      </c>
      <c r="K1142" s="1">
        <f t="shared" si="17"/>
        <v>2019</v>
      </c>
    </row>
    <row r="1143" spans="2:11" x14ac:dyDescent="0.45">
      <c r="B1143" s="1" t="s">
        <v>11</v>
      </c>
      <c r="C1143" s="1" t="s">
        <v>1149</v>
      </c>
      <c r="D1143" s="7">
        <v>43810</v>
      </c>
      <c r="E1143" s="7">
        <v>43820</v>
      </c>
      <c r="F1143" s="7">
        <v>43997</v>
      </c>
      <c r="G1143" s="1" t="s">
        <v>20</v>
      </c>
      <c r="H1143" s="8">
        <v>177024942.84999999</v>
      </c>
      <c r="I1143" s="8">
        <v>74969866.980000004</v>
      </c>
      <c r="J1143" s="1">
        <f>IF(COUNTIF($C$4:C1143,C1143)=1,1,0)</f>
        <v>1</v>
      </c>
      <c r="K1143" s="1">
        <f t="shared" si="17"/>
        <v>2019</v>
      </c>
    </row>
    <row r="1144" spans="2:11" x14ac:dyDescent="0.45">
      <c r="B1144" s="1" t="s">
        <v>11</v>
      </c>
      <c r="C1144" s="1" t="s">
        <v>1150</v>
      </c>
      <c r="D1144" s="7">
        <v>43813</v>
      </c>
      <c r="E1144" s="7">
        <v>43815</v>
      </c>
      <c r="F1144" s="7">
        <v>43935</v>
      </c>
      <c r="G1144" s="1" t="s">
        <v>44</v>
      </c>
      <c r="H1144" s="8">
        <v>462109809.81999999</v>
      </c>
      <c r="I1144" s="8">
        <v>227244085.66999999</v>
      </c>
      <c r="J1144" s="1">
        <f>IF(COUNTIF($C$4:C1144,C1144)=1,1,0)</f>
        <v>1</v>
      </c>
      <c r="K1144" s="1">
        <f t="shared" si="17"/>
        <v>2019</v>
      </c>
    </row>
    <row r="1145" spans="2:11" x14ac:dyDescent="0.45">
      <c r="B1145" s="1" t="s">
        <v>11</v>
      </c>
      <c r="C1145" s="1" t="s">
        <v>1151</v>
      </c>
      <c r="D1145" s="7">
        <v>44713</v>
      </c>
      <c r="E1145" s="7">
        <v>44721</v>
      </c>
      <c r="F1145" s="7">
        <v>44921</v>
      </c>
      <c r="G1145" s="1" t="s">
        <v>16</v>
      </c>
      <c r="H1145" s="8">
        <v>3344089</v>
      </c>
      <c r="I1145" s="8">
        <v>1982516.02</v>
      </c>
      <c r="J1145" s="1">
        <f>IF(COUNTIF($C$4:C1145,C1145)=1,1,0)</f>
        <v>1</v>
      </c>
      <c r="K1145" s="1">
        <f t="shared" si="17"/>
        <v>2022</v>
      </c>
    </row>
    <row r="1146" spans="2:11" x14ac:dyDescent="0.45">
      <c r="B1146" s="1" t="s">
        <v>11</v>
      </c>
      <c r="C1146" s="1" t="s">
        <v>1152</v>
      </c>
      <c r="D1146" s="7">
        <v>44967</v>
      </c>
      <c r="E1146" s="7">
        <v>44968</v>
      </c>
      <c r="F1146" s="7">
        <v>45198</v>
      </c>
      <c r="G1146" s="1" t="s">
        <v>22</v>
      </c>
      <c r="H1146" s="8">
        <v>39855601.770000003</v>
      </c>
      <c r="I1146" s="8">
        <v>28215075.300000001</v>
      </c>
      <c r="J1146" s="1">
        <f>IF(COUNTIF($C$4:C1146,C1146)=1,1,0)</f>
        <v>1</v>
      </c>
      <c r="K1146" s="1">
        <f t="shared" si="17"/>
        <v>2023</v>
      </c>
    </row>
    <row r="1147" spans="2:11" x14ac:dyDescent="0.45">
      <c r="B1147" s="1" t="s">
        <v>11</v>
      </c>
      <c r="C1147" s="1" t="s">
        <v>1153</v>
      </c>
      <c r="D1147" s="7">
        <v>45526</v>
      </c>
      <c r="E1147" s="7">
        <v>45530</v>
      </c>
      <c r="F1147" s="7">
        <v>45589</v>
      </c>
      <c r="G1147" s="1" t="s">
        <v>44</v>
      </c>
      <c r="H1147" s="8">
        <v>164673396.09</v>
      </c>
      <c r="I1147" s="8">
        <v>86820531.379999995</v>
      </c>
      <c r="J1147" s="1">
        <f>IF(COUNTIF($C$4:C1147,C1147)=1,1,0)</f>
        <v>1</v>
      </c>
      <c r="K1147" s="1">
        <f t="shared" si="17"/>
        <v>2024</v>
      </c>
    </row>
    <row r="1148" spans="2:11" x14ac:dyDescent="0.45">
      <c r="B1148" s="1" t="s">
        <v>11</v>
      </c>
      <c r="C1148" s="1" t="s">
        <v>1154</v>
      </c>
      <c r="D1148" s="7">
        <v>44407</v>
      </c>
      <c r="E1148" s="7">
        <v>44417</v>
      </c>
      <c r="F1148" s="7">
        <v>44558</v>
      </c>
      <c r="G1148" s="1" t="s">
        <v>38</v>
      </c>
      <c r="H1148" s="8">
        <v>450025.6</v>
      </c>
      <c r="I1148" s="8">
        <v>352510.65</v>
      </c>
      <c r="J1148" s="1">
        <f>IF(COUNTIF($C$4:C1148,C1148)=1,1,0)</f>
        <v>1</v>
      </c>
      <c r="K1148" s="1">
        <f t="shared" si="17"/>
        <v>2021</v>
      </c>
    </row>
    <row r="1149" spans="2:11" x14ac:dyDescent="0.45">
      <c r="B1149" s="1" t="s">
        <v>11</v>
      </c>
      <c r="C1149" s="1" t="s">
        <v>1126</v>
      </c>
      <c r="D1149" s="7">
        <v>43377</v>
      </c>
      <c r="E1149" s="7">
        <v>43401</v>
      </c>
      <c r="F1149" s="7">
        <v>43460</v>
      </c>
      <c r="G1149" s="1" t="s">
        <v>44</v>
      </c>
      <c r="H1149" s="8">
        <v>527277233.80000001</v>
      </c>
      <c r="I1149" s="8">
        <v>292989562.49000001</v>
      </c>
      <c r="J1149" s="1">
        <f>IF(COUNTIF($C$4:C1149,C1149)=1,1,0)</f>
        <v>0</v>
      </c>
      <c r="K1149" s="1">
        <f t="shared" si="17"/>
        <v>2018</v>
      </c>
    </row>
    <row r="1150" spans="2:11" x14ac:dyDescent="0.45">
      <c r="B1150" s="1" t="s">
        <v>11</v>
      </c>
      <c r="C1150" s="1" t="s">
        <v>1155</v>
      </c>
      <c r="D1150" s="7">
        <v>44567</v>
      </c>
      <c r="E1150" s="7">
        <v>44571</v>
      </c>
      <c r="F1150" s="7">
        <v>44680</v>
      </c>
      <c r="G1150" s="1" t="s">
        <v>212</v>
      </c>
      <c r="H1150" s="8">
        <v>64591339.109999999</v>
      </c>
      <c r="I1150" s="8">
        <v>32896839.98</v>
      </c>
      <c r="J1150" s="1">
        <f>IF(COUNTIF($C$4:C1150,C1150)=1,1,0)</f>
        <v>1</v>
      </c>
      <c r="K1150" s="1">
        <f t="shared" si="17"/>
        <v>2022</v>
      </c>
    </row>
    <row r="1151" spans="2:11" x14ac:dyDescent="0.45">
      <c r="B1151" s="1" t="s">
        <v>11</v>
      </c>
      <c r="C1151" s="1" t="s">
        <v>1156</v>
      </c>
      <c r="D1151" s="7">
        <v>44287</v>
      </c>
      <c r="E1151" s="7">
        <v>44291</v>
      </c>
      <c r="F1151" s="7">
        <v>44472</v>
      </c>
      <c r="G1151" s="1" t="s">
        <v>41</v>
      </c>
      <c r="H1151" s="8">
        <v>71060.37</v>
      </c>
      <c r="I1151" s="8">
        <v>50990.15</v>
      </c>
      <c r="J1151" s="1">
        <f>IF(COUNTIF($C$4:C1151,C1151)=1,1,0)</f>
        <v>1</v>
      </c>
      <c r="K1151" s="1">
        <f t="shared" si="17"/>
        <v>2021</v>
      </c>
    </row>
    <row r="1152" spans="2:11" x14ac:dyDescent="0.45">
      <c r="B1152" s="1" t="s">
        <v>11</v>
      </c>
      <c r="C1152" s="1" t="s">
        <v>1157</v>
      </c>
      <c r="D1152" s="7">
        <v>45625</v>
      </c>
      <c r="E1152" s="7">
        <v>45654</v>
      </c>
      <c r="F1152" s="7">
        <v>45824</v>
      </c>
      <c r="G1152" s="1" t="s">
        <v>20</v>
      </c>
      <c r="H1152" s="8">
        <v>359094.84</v>
      </c>
      <c r="I1152" s="8">
        <v>266283.5</v>
      </c>
      <c r="J1152" s="1">
        <f>IF(COUNTIF($C$4:C1152,C1152)=1,1,0)</f>
        <v>1</v>
      </c>
      <c r="K1152" s="1">
        <f t="shared" si="17"/>
        <v>2024</v>
      </c>
    </row>
    <row r="1153" spans="2:11" x14ac:dyDescent="0.45">
      <c r="B1153" s="1" t="s">
        <v>11</v>
      </c>
      <c r="C1153" s="1" t="s">
        <v>1158</v>
      </c>
      <c r="D1153" s="7">
        <v>44297</v>
      </c>
      <c r="E1153" s="7">
        <v>44327</v>
      </c>
      <c r="F1153" s="7">
        <v>44510</v>
      </c>
      <c r="G1153" s="1" t="s">
        <v>16</v>
      </c>
      <c r="H1153" s="8">
        <v>157751.17000000001</v>
      </c>
      <c r="I1153" s="8">
        <v>83389.47</v>
      </c>
      <c r="J1153" s="1">
        <f>IF(COUNTIF($C$4:C1153,C1153)=1,1,0)</f>
        <v>1</v>
      </c>
      <c r="K1153" s="1">
        <f t="shared" si="17"/>
        <v>2021</v>
      </c>
    </row>
    <row r="1154" spans="2:11" x14ac:dyDescent="0.45">
      <c r="B1154" s="1" t="s">
        <v>11</v>
      </c>
      <c r="C1154" s="1" t="s">
        <v>1159</v>
      </c>
      <c r="D1154" s="7">
        <v>44771</v>
      </c>
      <c r="E1154" s="7">
        <v>44801</v>
      </c>
      <c r="F1154" s="7">
        <v>44987</v>
      </c>
      <c r="G1154" s="1" t="s">
        <v>16</v>
      </c>
      <c r="H1154" s="8">
        <v>174079.92</v>
      </c>
      <c r="I1154" s="8">
        <v>104771.24</v>
      </c>
      <c r="J1154" s="1">
        <f>IF(COUNTIF($C$4:C1154,C1154)=1,1,0)</f>
        <v>1</v>
      </c>
      <c r="K1154" s="1">
        <f t="shared" si="17"/>
        <v>2022</v>
      </c>
    </row>
    <row r="1155" spans="2:11" x14ac:dyDescent="0.45">
      <c r="B1155" s="1" t="s">
        <v>11</v>
      </c>
      <c r="C1155" s="1" t="s">
        <v>1160</v>
      </c>
      <c r="D1155" s="7">
        <v>44178</v>
      </c>
      <c r="E1155" s="7">
        <v>44195</v>
      </c>
      <c r="F1155" s="7">
        <v>44426</v>
      </c>
      <c r="G1155" s="1" t="s">
        <v>22</v>
      </c>
      <c r="H1155" s="8">
        <v>13956562.23</v>
      </c>
      <c r="I1155" s="8">
        <v>7915037.5</v>
      </c>
      <c r="J1155" s="1">
        <f>IF(COUNTIF($C$4:C1155,C1155)=1,1,0)</f>
        <v>1</v>
      </c>
      <c r="K1155" s="1">
        <f t="shared" si="17"/>
        <v>2020</v>
      </c>
    </row>
    <row r="1156" spans="2:11" x14ac:dyDescent="0.45">
      <c r="B1156" s="1" t="s">
        <v>11</v>
      </c>
      <c r="C1156" s="1" t="s">
        <v>1161</v>
      </c>
      <c r="D1156" s="7">
        <v>44086</v>
      </c>
      <c r="E1156" s="7">
        <v>44106</v>
      </c>
      <c r="F1156" s="7">
        <v>44183</v>
      </c>
      <c r="G1156" s="1" t="s">
        <v>16</v>
      </c>
      <c r="H1156" s="8">
        <v>478261.67</v>
      </c>
      <c r="I1156" s="8">
        <v>303608.05</v>
      </c>
      <c r="J1156" s="1">
        <f>IF(COUNTIF($C$4:C1156,C1156)=1,1,0)</f>
        <v>1</v>
      </c>
      <c r="K1156" s="1">
        <f t="shared" si="17"/>
        <v>2020</v>
      </c>
    </row>
    <row r="1157" spans="2:11" x14ac:dyDescent="0.45">
      <c r="B1157" s="1" t="s">
        <v>11</v>
      </c>
      <c r="C1157" s="1" t="s">
        <v>1162</v>
      </c>
      <c r="D1157" s="7">
        <v>45756</v>
      </c>
      <c r="E1157" s="7">
        <v>45786</v>
      </c>
      <c r="F1157" s="7">
        <v>45887</v>
      </c>
      <c r="G1157" s="1" t="s">
        <v>38</v>
      </c>
      <c r="H1157" s="8">
        <v>32450.87</v>
      </c>
      <c r="I1157" s="8">
        <v>24279.37</v>
      </c>
      <c r="J1157" s="1">
        <f>IF(COUNTIF($C$4:C1157,C1157)=1,1,0)</f>
        <v>1</v>
      </c>
      <c r="K1157" s="1">
        <f t="shared" ref="K1157:K1220" si="18">YEAR(D1157)</f>
        <v>2025</v>
      </c>
    </row>
    <row r="1158" spans="2:11" x14ac:dyDescent="0.45">
      <c r="B1158" s="1" t="s">
        <v>11</v>
      </c>
      <c r="C1158" s="1" t="s">
        <v>1163</v>
      </c>
      <c r="D1158" s="7">
        <v>44980</v>
      </c>
      <c r="E1158" s="7">
        <v>44981</v>
      </c>
      <c r="F1158" s="7">
        <v>45039</v>
      </c>
      <c r="G1158" s="1" t="s">
        <v>16</v>
      </c>
      <c r="H1158" s="8">
        <v>1355818.67</v>
      </c>
      <c r="I1158" s="8">
        <v>1005209.95</v>
      </c>
      <c r="J1158" s="1">
        <f>IF(COUNTIF($C$4:C1158,C1158)=1,1,0)</f>
        <v>1</v>
      </c>
      <c r="K1158" s="1">
        <f t="shared" si="18"/>
        <v>2023</v>
      </c>
    </row>
    <row r="1159" spans="2:11" x14ac:dyDescent="0.45">
      <c r="B1159" s="1" t="s">
        <v>11</v>
      </c>
      <c r="C1159" s="1" t="s">
        <v>1164</v>
      </c>
      <c r="D1159" s="7">
        <v>45544</v>
      </c>
      <c r="E1159" s="7">
        <v>45571</v>
      </c>
      <c r="F1159" s="7">
        <v>45753</v>
      </c>
      <c r="G1159" s="1" t="s">
        <v>20</v>
      </c>
      <c r="H1159" s="8">
        <v>938087.96</v>
      </c>
      <c r="I1159" s="8">
        <v>551375.61</v>
      </c>
      <c r="J1159" s="1">
        <f>IF(COUNTIF($C$4:C1159,C1159)=1,1,0)</f>
        <v>1</v>
      </c>
      <c r="K1159" s="1">
        <f t="shared" si="18"/>
        <v>2024</v>
      </c>
    </row>
    <row r="1160" spans="2:11" x14ac:dyDescent="0.45">
      <c r="B1160" s="1" t="s">
        <v>11</v>
      </c>
      <c r="C1160" s="1" t="s">
        <v>1165</v>
      </c>
      <c r="D1160" s="7">
        <v>45907</v>
      </c>
      <c r="E1160" s="7">
        <v>45911</v>
      </c>
      <c r="F1160" s="7">
        <v>46059</v>
      </c>
      <c r="G1160" s="1" t="s">
        <v>41</v>
      </c>
      <c r="H1160" s="8">
        <v>239444.22</v>
      </c>
      <c r="I1160" s="8">
        <v>210629.1</v>
      </c>
      <c r="J1160" s="1">
        <f>IF(COUNTIF($C$4:C1160,C1160)=1,1,0)</f>
        <v>1</v>
      </c>
      <c r="K1160" s="1">
        <f t="shared" si="18"/>
        <v>2025</v>
      </c>
    </row>
    <row r="1161" spans="2:11" x14ac:dyDescent="0.45">
      <c r="B1161" s="1" t="s">
        <v>11</v>
      </c>
      <c r="C1161" s="1" t="s">
        <v>1166</v>
      </c>
      <c r="D1161" s="7">
        <v>44899</v>
      </c>
      <c r="E1161" s="7">
        <v>44914</v>
      </c>
      <c r="F1161" s="7">
        <v>45118</v>
      </c>
      <c r="G1161" s="1" t="s">
        <v>38</v>
      </c>
      <c r="H1161" s="8">
        <v>277110.64</v>
      </c>
      <c r="I1161" s="8">
        <v>189900.79999999999</v>
      </c>
      <c r="J1161" s="1">
        <f>IF(COUNTIF($C$4:C1161,C1161)=1,1,0)</f>
        <v>1</v>
      </c>
      <c r="K1161" s="1">
        <f t="shared" si="18"/>
        <v>2022</v>
      </c>
    </row>
    <row r="1162" spans="2:11" x14ac:dyDescent="0.45">
      <c r="B1162" s="1" t="s">
        <v>11</v>
      </c>
      <c r="C1162" s="1" t="s">
        <v>1167</v>
      </c>
      <c r="D1162" s="7">
        <v>46147</v>
      </c>
      <c r="E1162" s="7">
        <v>46160</v>
      </c>
      <c r="F1162" s="7">
        <v>46202</v>
      </c>
      <c r="G1162" s="1" t="s">
        <v>212</v>
      </c>
      <c r="H1162" s="8">
        <v>17249304.34</v>
      </c>
      <c r="I1162" s="8">
        <v>10784267.23</v>
      </c>
      <c r="J1162" s="1">
        <f>IF(COUNTIF($C$4:C1162,C1162)=1,1,0)</f>
        <v>1</v>
      </c>
      <c r="K1162" s="1">
        <f t="shared" si="18"/>
        <v>2026</v>
      </c>
    </row>
    <row r="1163" spans="2:11" x14ac:dyDescent="0.45">
      <c r="B1163" s="1" t="s">
        <v>11</v>
      </c>
      <c r="C1163" s="1" t="s">
        <v>1168</v>
      </c>
      <c r="D1163" s="7">
        <v>43447</v>
      </c>
      <c r="E1163" s="7">
        <v>43448</v>
      </c>
      <c r="F1163" s="7">
        <v>43664</v>
      </c>
      <c r="G1163" s="1" t="s">
        <v>44</v>
      </c>
      <c r="H1163" s="8">
        <v>22104179.039999999</v>
      </c>
      <c r="I1163" s="8">
        <v>9130522.5500000007</v>
      </c>
      <c r="J1163" s="1">
        <f>IF(COUNTIF($C$4:C1163,C1163)=1,1,0)</f>
        <v>1</v>
      </c>
      <c r="K1163" s="1">
        <f t="shared" si="18"/>
        <v>2018</v>
      </c>
    </row>
    <row r="1164" spans="2:11" x14ac:dyDescent="0.45">
      <c r="B1164" s="1" t="s">
        <v>11</v>
      </c>
      <c r="C1164" s="1" t="s">
        <v>1169</v>
      </c>
      <c r="D1164" s="7">
        <v>44778</v>
      </c>
      <c r="E1164" s="7">
        <v>44807</v>
      </c>
      <c r="F1164" s="7">
        <v>44821</v>
      </c>
      <c r="G1164" s="1" t="s">
        <v>41</v>
      </c>
      <c r="H1164" s="8">
        <v>1278981.24</v>
      </c>
      <c r="I1164" s="8">
        <v>923514.79</v>
      </c>
      <c r="J1164" s="1">
        <f>IF(COUNTIF($C$4:C1164,C1164)=1,1,0)</f>
        <v>1</v>
      </c>
      <c r="K1164" s="1">
        <f t="shared" si="18"/>
        <v>2022</v>
      </c>
    </row>
    <row r="1165" spans="2:11" x14ac:dyDescent="0.45">
      <c r="B1165" s="1" t="s">
        <v>11</v>
      </c>
      <c r="C1165" s="1" t="s">
        <v>1170</v>
      </c>
      <c r="D1165" s="7">
        <v>45358</v>
      </c>
      <c r="E1165" s="7">
        <v>45364</v>
      </c>
      <c r="F1165" s="7">
        <v>45568</v>
      </c>
      <c r="G1165" s="1" t="s">
        <v>38</v>
      </c>
      <c r="H1165" s="8">
        <v>2261505.63</v>
      </c>
      <c r="I1165" s="8">
        <v>1808023.56</v>
      </c>
      <c r="J1165" s="1">
        <f>IF(COUNTIF($C$4:C1165,C1165)=1,1,0)</f>
        <v>1</v>
      </c>
      <c r="K1165" s="1">
        <f t="shared" si="18"/>
        <v>2024</v>
      </c>
    </row>
    <row r="1166" spans="2:11" x14ac:dyDescent="0.45">
      <c r="B1166" s="1" t="s">
        <v>11</v>
      </c>
      <c r="C1166" s="1" t="s">
        <v>1171</v>
      </c>
      <c r="D1166" s="7">
        <v>44361</v>
      </c>
      <c r="E1166" s="7">
        <v>44386</v>
      </c>
      <c r="F1166" s="7">
        <v>44496</v>
      </c>
      <c r="G1166" s="1" t="s">
        <v>41</v>
      </c>
      <c r="H1166" s="8">
        <v>317030.93</v>
      </c>
      <c r="I1166" s="8">
        <v>237319.7</v>
      </c>
      <c r="J1166" s="1">
        <f>IF(COUNTIF($C$4:C1166,C1166)=1,1,0)</f>
        <v>1</v>
      </c>
      <c r="K1166" s="1">
        <f t="shared" si="18"/>
        <v>2021</v>
      </c>
    </row>
    <row r="1167" spans="2:11" x14ac:dyDescent="0.45">
      <c r="B1167" s="1" t="s">
        <v>11</v>
      </c>
      <c r="C1167" s="1" t="s">
        <v>1172</v>
      </c>
      <c r="D1167" s="7">
        <v>43743</v>
      </c>
      <c r="E1167" s="7">
        <v>43769</v>
      </c>
      <c r="F1167" s="7">
        <v>43972</v>
      </c>
      <c r="G1167" s="1" t="s">
        <v>16</v>
      </c>
      <c r="H1167" s="8">
        <v>3492877.19</v>
      </c>
      <c r="I1167" s="8">
        <v>2538434.0699999998</v>
      </c>
      <c r="J1167" s="1">
        <f>IF(COUNTIF($C$4:C1167,C1167)=1,1,0)</f>
        <v>1</v>
      </c>
      <c r="K1167" s="1">
        <f t="shared" si="18"/>
        <v>2019</v>
      </c>
    </row>
    <row r="1168" spans="2:11" x14ac:dyDescent="0.45">
      <c r="B1168" s="1" t="s">
        <v>11</v>
      </c>
      <c r="C1168" s="1" t="s">
        <v>1173</v>
      </c>
      <c r="D1168" s="7">
        <v>44961</v>
      </c>
      <c r="E1168" s="7">
        <v>44976</v>
      </c>
      <c r="F1168" s="7">
        <v>45129</v>
      </c>
      <c r="G1168" s="1" t="s">
        <v>41</v>
      </c>
      <c r="H1168" s="8">
        <v>529059.06999999995</v>
      </c>
      <c r="I1168" s="8">
        <v>355751.7</v>
      </c>
      <c r="J1168" s="1">
        <f>IF(COUNTIF($C$4:C1168,C1168)=1,1,0)</f>
        <v>1</v>
      </c>
      <c r="K1168" s="1">
        <f t="shared" si="18"/>
        <v>2023</v>
      </c>
    </row>
    <row r="1169" spans="2:11" x14ac:dyDescent="0.45">
      <c r="B1169" s="1" t="s">
        <v>11</v>
      </c>
      <c r="C1169" s="1" t="s">
        <v>1174</v>
      </c>
      <c r="D1169" s="7">
        <v>44900</v>
      </c>
      <c r="E1169" s="7">
        <v>44907</v>
      </c>
      <c r="F1169" s="7">
        <v>45115</v>
      </c>
      <c r="G1169" s="1" t="s">
        <v>38</v>
      </c>
      <c r="H1169" s="8">
        <v>334962.94</v>
      </c>
      <c r="I1169" s="8">
        <v>274217.99</v>
      </c>
      <c r="J1169" s="1">
        <f>IF(COUNTIF($C$4:C1169,C1169)=1,1,0)</f>
        <v>1</v>
      </c>
      <c r="K1169" s="1">
        <f t="shared" si="18"/>
        <v>2022</v>
      </c>
    </row>
    <row r="1170" spans="2:11" x14ac:dyDescent="0.45">
      <c r="B1170" s="1" t="s">
        <v>11</v>
      </c>
      <c r="C1170" s="1" t="s">
        <v>1175</v>
      </c>
      <c r="D1170" s="7">
        <v>44390</v>
      </c>
      <c r="E1170" s="7">
        <v>44404</v>
      </c>
      <c r="F1170" s="7">
        <v>44525</v>
      </c>
      <c r="G1170" s="1" t="s">
        <v>44</v>
      </c>
      <c r="H1170" s="8">
        <v>221822885.40000001</v>
      </c>
      <c r="I1170" s="8">
        <v>111404506.81</v>
      </c>
      <c r="J1170" s="1">
        <f>IF(COUNTIF($C$4:C1170,C1170)=1,1,0)</f>
        <v>1</v>
      </c>
      <c r="K1170" s="1">
        <f t="shared" si="18"/>
        <v>2021</v>
      </c>
    </row>
    <row r="1171" spans="2:11" x14ac:dyDescent="0.45">
      <c r="B1171" s="1" t="s">
        <v>11</v>
      </c>
      <c r="C1171" s="1" t="s">
        <v>1176</v>
      </c>
      <c r="D1171" s="7">
        <v>44420</v>
      </c>
      <c r="E1171" s="7">
        <v>44449</v>
      </c>
      <c r="F1171" s="7">
        <v>44511</v>
      </c>
      <c r="G1171" s="1" t="s">
        <v>41</v>
      </c>
      <c r="H1171" s="8">
        <v>86234.86</v>
      </c>
      <c r="I1171" s="8">
        <v>69527.59</v>
      </c>
      <c r="J1171" s="1">
        <f>IF(COUNTIF($C$4:C1171,C1171)=1,1,0)</f>
        <v>1</v>
      </c>
      <c r="K1171" s="1">
        <f t="shared" si="18"/>
        <v>2021</v>
      </c>
    </row>
    <row r="1172" spans="2:11" x14ac:dyDescent="0.45">
      <c r="B1172" s="1" t="s">
        <v>11</v>
      </c>
      <c r="C1172" s="1" t="s">
        <v>1177</v>
      </c>
      <c r="D1172" s="7">
        <v>43329</v>
      </c>
      <c r="E1172" s="7">
        <v>43354</v>
      </c>
      <c r="F1172" s="7">
        <v>43527</v>
      </c>
      <c r="G1172" s="1" t="s">
        <v>20</v>
      </c>
      <c r="H1172" s="8">
        <v>1779686.64</v>
      </c>
      <c r="I1172" s="8">
        <v>862826.3</v>
      </c>
      <c r="J1172" s="1">
        <f>IF(COUNTIF($C$4:C1172,C1172)=1,1,0)</f>
        <v>1</v>
      </c>
      <c r="K1172" s="1">
        <f t="shared" si="18"/>
        <v>2018</v>
      </c>
    </row>
    <row r="1173" spans="2:11" x14ac:dyDescent="0.45">
      <c r="B1173" s="1" t="s">
        <v>11</v>
      </c>
      <c r="C1173" s="1" t="s">
        <v>1178</v>
      </c>
      <c r="D1173" s="7">
        <v>45365</v>
      </c>
      <c r="E1173" s="7">
        <v>45368</v>
      </c>
      <c r="F1173" s="7">
        <v>45436</v>
      </c>
      <c r="G1173" s="1" t="s">
        <v>20</v>
      </c>
      <c r="H1173" s="8">
        <v>273015.36</v>
      </c>
      <c r="I1173" s="8">
        <v>171630.48</v>
      </c>
      <c r="J1173" s="1">
        <f>IF(COUNTIF($C$4:C1173,C1173)=1,1,0)</f>
        <v>1</v>
      </c>
      <c r="K1173" s="1">
        <f t="shared" si="18"/>
        <v>2024</v>
      </c>
    </row>
    <row r="1174" spans="2:11" x14ac:dyDescent="0.45">
      <c r="B1174" s="1" t="s">
        <v>11</v>
      </c>
      <c r="C1174" s="1" t="s">
        <v>1179</v>
      </c>
      <c r="D1174" s="7">
        <v>44959</v>
      </c>
      <c r="E1174" s="7">
        <v>44964</v>
      </c>
      <c r="F1174" s="7">
        <v>45149</v>
      </c>
      <c r="G1174" s="1" t="s">
        <v>212</v>
      </c>
      <c r="H1174" s="8">
        <v>18353683.66</v>
      </c>
      <c r="I1174" s="8">
        <v>10628574.77</v>
      </c>
      <c r="J1174" s="1">
        <f>IF(COUNTIF($C$4:C1174,C1174)=1,1,0)</f>
        <v>1</v>
      </c>
      <c r="K1174" s="1">
        <f t="shared" si="18"/>
        <v>2023</v>
      </c>
    </row>
    <row r="1175" spans="2:11" x14ac:dyDescent="0.45">
      <c r="B1175" s="1" t="s">
        <v>11</v>
      </c>
      <c r="C1175" s="1" t="s">
        <v>1180</v>
      </c>
      <c r="D1175" s="7">
        <v>46224</v>
      </c>
      <c r="E1175" s="7">
        <v>46225</v>
      </c>
      <c r="F1175" s="7">
        <v>46429</v>
      </c>
      <c r="G1175" s="1" t="s">
        <v>41</v>
      </c>
      <c r="H1175" s="8">
        <v>50987.32</v>
      </c>
      <c r="I1175" s="8">
        <v>41381.58</v>
      </c>
      <c r="J1175" s="1">
        <f>IF(COUNTIF($C$4:C1175,C1175)=1,1,0)</f>
        <v>1</v>
      </c>
      <c r="K1175" s="1">
        <f t="shared" si="18"/>
        <v>2026</v>
      </c>
    </row>
    <row r="1176" spans="2:11" x14ac:dyDescent="0.45">
      <c r="B1176" s="1" t="s">
        <v>11</v>
      </c>
      <c r="C1176" s="1" t="s">
        <v>1181</v>
      </c>
      <c r="D1176" s="7">
        <v>44608</v>
      </c>
      <c r="E1176" s="7">
        <v>44628</v>
      </c>
      <c r="F1176" s="7">
        <v>44766</v>
      </c>
      <c r="G1176" s="1" t="s">
        <v>41</v>
      </c>
      <c r="H1176" s="8">
        <v>212897.9</v>
      </c>
      <c r="I1176" s="8">
        <v>171884.53</v>
      </c>
      <c r="J1176" s="1">
        <f>IF(COUNTIF($C$4:C1176,C1176)=1,1,0)</f>
        <v>1</v>
      </c>
      <c r="K1176" s="1">
        <f t="shared" si="18"/>
        <v>2022</v>
      </c>
    </row>
    <row r="1177" spans="2:11" x14ac:dyDescent="0.45">
      <c r="B1177" s="1" t="s">
        <v>11</v>
      </c>
      <c r="C1177" s="1" t="s">
        <v>1182</v>
      </c>
      <c r="D1177" s="7">
        <v>45987</v>
      </c>
      <c r="E1177" s="7">
        <v>46000</v>
      </c>
      <c r="F1177" s="7">
        <v>46121</v>
      </c>
      <c r="G1177" s="1" t="s">
        <v>22</v>
      </c>
      <c r="H1177" s="8">
        <v>5041295.3499999996</v>
      </c>
      <c r="I1177" s="8">
        <v>2201165.7000000002</v>
      </c>
      <c r="J1177" s="1">
        <f>IF(COUNTIF($C$4:C1177,C1177)=1,1,0)</f>
        <v>1</v>
      </c>
      <c r="K1177" s="1">
        <f t="shared" si="18"/>
        <v>2025</v>
      </c>
    </row>
    <row r="1178" spans="2:11" x14ac:dyDescent="0.45">
      <c r="B1178" s="1" t="s">
        <v>11</v>
      </c>
      <c r="C1178" s="1" t="s">
        <v>1183</v>
      </c>
      <c r="D1178" s="7">
        <v>44452</v>
      </c>
      <c r="E1178" s="7">
        <v>44458</v>
      </c>
      <c r="F1178" s="7">
        <v>44475</v>
      </c>
      <c r="G1178" s="1" t="s">
        <v>212</v>
      </c>
      <c r="H1178" s="8">
        <v>4663956.1900000004</v>
      </c>
      <c r="I1178" s="8">
        <v>1828378.26</v>
      </c>
      <c r="J1178" s="1">
        <f>IF(COUNTIF($C$4:C1178,C1178)=1,1,0)</f>
        <v>1</v>
      </c>
      <c r="K1178" s="1">
        <f t="shared" si="18"/>
        <v>2021</v>
      </c>
    </row>
    <row r="1179" spans="2:11" x14ac:dyDescent="0.45">
      <c r="B1179" s="1" t="s">
        <v>11</v>
      </c>
      <c r="C1179" s="1" t="s">
        <v>1184</v>
      </c>
      <c r="D1179" s="7">
        <v>45290</v>
      </c>
      <c r="E1179" s="7">
        <v>45297</v>
      </c>
      <c r="F1179" s="7">
        <v>45383</v>
      </c>
      <c r="G1179" s="1" t="s">
        <v>38</v>
      </c>
      <c r="H1179" s="8">
        <v>1010820.73</v>
      </c>
      <c r="I1179" s="8">
        <v>888609.7</v>
      </c>
      <c r="J1179" s="1">
        <f>IF(COUNTIF($C$4:C1179,C1179)=1,1,0)</f>
        <v>1</v>
      </c>
      <c r="K1179" s="1">
        <f t="shared" si="18"/>
        <v>2023</v>
      </c>
    </row>
    <row r="1180" spans="2:11" x14ac:dyDescent="0.45">
      <c r="B1180" s="1" t="s">
        <v>11</v>
      </c>
      <c r="C1180" s="1" t="s">
        <v>1185</v>
      </c>
      <c r="D1180" s="7">
        <v>43235</v>
      </c>
      <c r="E1180" s="7">
        <v>43236</v>
      </c>
      <c r="F1180" s="7">
        <v>43343</v>
      </c>
      <c r="G1180" s="1" t="s">
        <v>38</v>
      </c>
      <c r="H1180" s="8">
        <v>215466.36</v>
      </c>
      <c r="I1180" s="8">
        <v>149667.09</v>
      </c>
      <c r="J1180" s="1">
        <f>IF(COUNTIF($C$4:C1180,C1180)=1,1,0)</f>
        <v>1</v>
      </c>
      <c r="K1180" s="1">
        <f t="shared" si="18"/>
        <v>2018</v>
      </c>
    </row>
    <row r="1181" spans="2:11" x14ac:dyDescent="0.45">
      <c r="B1181" s="1" t="s">
        <v>11</v>
      </c>
      <c r="C1181" s="1" t="s">
        <v>1186</v>
      </c>
      <c r="D1181" s="7">
        <v>44675</v>
      </c>
      <c r="E1181" s="7">
        <v>44701</v>
      </c>
      <c r="F1181" s="7">
        <v>44939</v>
      </c>
      <c r="G1181" s="1" t="s">
        <v>44</v>
      </c>
      <c r="H1181" s="8">
        <v>341604193.66000003</v>
      </c>
      <c r="I1181" s="8">
        <v>185487013.22</v>
      </c>
      <c r="J1181" s="1">
        <f>IF(COUNTIF($C$4:C1181,C1181)=1,1,0)</f>
        <v>1</v>
      </c>
      <c r="K1181" s="1">
        <f t="shared" si="18"/>
        <v>2022</v>
      </c>
    </row>
    <row r="1182" spans="2:11" x14ac:dyDescent="0.45">
      <c r="B1182" s="1" t="s">
        <v>11</v>
      </c>
      <c r="C1182" s="1" t="s">
        <v>1187</v>
      </c>
      <c r="D1182" s="7">
        <v>44016</v>
      </c>
      <c r="E1182" s="7">
        <v>44046</v>
      </c>
      <c r="F1182" s="7">
        <v>44114</v>
      </c>
      <c r="G1182" s="1" t="s">
        <v>41</v>
      </c>
      <c r="H1182" s="8">
        <v>355837.37</v>
      </c>
      <c r="I1182" s="8">
        <v>240920.26</v>
      </c>
      <c r="J1182" s="1">
        <f>IF(COUNTIF($C$4:C1182,C1182)=1,1,0)</f>
        <v>1</v>
      </c>
      <c r="K1182" s="1">
        <f t="shared" si="18"/>
        <v>2020</v>
      </c>
    </row>
    <row r="1183" spans="2:11" x14ac:dyDescent="0.45">
      <c r="B1183" s="1" t="s">
        <v>11</v>
      </c>
      <c r="C1183" s="1" t="s">
        <v>1188</v>
      </c>
      <c r="D1183" s="7">
        <v>45809</v>
      </c>
      <c r="E1183" s="7">
        <v>45822</v>
      </c>
      <c r="F1183" s="7">
        <v>46017</v>
      </c>
      <c r="G1183" s="1" t="s">
        <v>20</v>
      </c>
      <c r="H1183" s="8">
        <v>7219588.2699999996</v>
      </c>
      <c r="I1183" s="8">
        <v>4067701.55</v>
      </c>
      <c r="J1183" s="1">
        <f>IF(COUNTIF($C$4:C1183,C1183)=1,1,0)</f>
        <v>1</v>
      </c>
      <c r="K1183" s="1">
        <f t="shared" si="18"/>
        <v>2025</v>
      </c>
    </row>
    <row r="1184" spans="2:11" x14ac:dyDescent="0.45">
      <c r="B1184" s="1" t="s">
        <v>11</v>
      </c>
      <c r="C1184" s="1" t="s">
        <v>1189</v>
      </c>
      <c r="D1184" s="7">
        <v>43696</v>
      </c>
      <c r="E1184" s="7">
        <v>43696</v>
      </c>
      <c r="F1184" s="7">
        <v>43797</v>
      </c>
      <c r="G1184" s="1" t="s">
        <v>22</v>
      </c>
      <c r="H1184" s="8">
        <v>5854585.8399999999</v>
      </c>
      <c r="I1184" s="8">
        <v>3302470.31</v>
      </c>
      <c r="J1184" s="1">
        <f>IF(COUNTIF($C$4:C1184,C1184)=1,1,0)</f>
        <v>1</v>
      </c>
      <c r="K1184" s="1">
        <f t="shared" si="18"/>
        <v>2019</v>
      </c>
    </row>
    <row r="1185" spans="2:11" x14ac:dyDescent="0.45">
      <c r="B1185" s="1" t="s">
        <v>11</v>
      </c>
      <c r="C1185" s="1" t="s">
        <v>1190</v>
      </c>
      <c r="D1185" s="7">
        <v>45719</v>
      </c>
      <c r="E1185" s="7">
        <v>45736</v>
      </c>
      <c r="F1185" s="7">
        <v>45792</v>
      </c>
      <c r="G1185" s="1" t="s">
        <v>22</v>
      </c>
      <c r="H1185" s="8">
        <v>8746375.2300000004</v>
      </c>
      <c r="I1185" s="8">
        <v>3709680.84</v>
      </c>
      <c r="J1185" s="1">
        <f>IF(COUNTIF($C$4:C1185,C1185)=1,1,0)</f>
        <v>1</v>
      </c>
      <c r="K1185" s="1">
        <f t="shared" si="18"/>
        <v>2025</v>
      </c>
    </row>
    <row r="1186" spans="2:11" x14ac:dyDescent="0.45">
      <c r="B1186" s="1" t="s">
        <v>11</v>
      </c>
      <c r="C1186" s="1" t="s">
        <v>1191</v>
      </c>
      <c r="D1186" s="7">
        <v>43926</v>
      </c>
      <c r="E1186" s="7">
        <v>43950</v>
      </c>
      <c r="F1186" s="7">
        <v>44184</v>
      </c>
      <c r="G1186" s="1" t="s">
        <v>20</v>
      </c>
      <c r="H1186" s="8">
        <v>915849.28</v>
      </c>
      <c r="I1186" s="8">
        <v>625805.85</v>
      </c>
      <c r="J1186" s="1">
        <f>IF(COUNTIF($C$4:C1186,C1186)=1,1,0)</f>
        <v>1</v>
      </c>
      <c r="K1186" s="1">
        <f t="shared" si="18"/>
        <v>2020</v>
      </c>
    </row>
    <row r="1187" spans="2:11" x14ac:dyDescent="0.45">
      <c r="B1187" s="1" t="s">
        <v>11</v>
      </c>
      <c r="C1187" s="1" t="s">
        <v>1192</v>
      </c>
      <c r="D1187" s="7">
        <v>44252</v>
      </c>
      <c r="E1187" s="7">
        <v>44271</v>
      </c>
      <c r="F1187" s="7">
        <v>44358</v>
      </c>
      <c r="G1187" s="1" t="s">
        <v>20</v>
      </c>
      <c r="H1187" s="8">
        <v>60300025.520000003</v>
      </c>
      <c r="I1187" s="8">
        <v>39532479.899999999</v>
      </c>
      <c r="J1187" s="1">
        <f>IF(COUNTIF($C$4:C1187,C1187)=1,1,0)</f>
        <v>1</v>
      </c>
      <c r="K1187" s="1">
        <f t="shared" si="18"/>
        <v>2021</v>
      </c>
    </row>
    <row r="1188" spans="2:11" x14ac:dyDescent="0.45">
      <c r="B1188" s="1" t="s">
        <v>11</v>
      </c>
      <c r="C1188" s="1" t="s">
        <v>1193</v>
      </c>
      <c r="D1188" s="7">
        <v>43959</v>
      </c>
      <c r="E1188" s="7">
        <v>43977</v>
      </c>
      <c r="F1188" s="7">
        <v>44017</v>
      </c>
      <c r="G1188" s="1" t="s">
        <v>38</v>
      </c>
      <c r="H1188" s="8">
        <v>1564163</v>
      </c>
      <c r="I1188" s="8">
        <v>1189021.8400000001</v>
      </c>
      <c r="J1188" s="1">
        <f>IF(COUNTIF($C$4:C1188,C1188)=1,1,0)</f>
        <v>1</v>
      </c>
      <c r="K1188" s="1">
        <f t="shared" si="18"/>
        <v>2020</v>
      </c>
    </row>
    <row r="1189" spans="2:11" x14ac:dyDescent="0.45">
      <c r="B1189" s="1" t="s">
        <v>11</v>
      </c>
      <c r="C1189" s="1" t="s">
        <v>46</v>
      </c>
      <c r="D1189" s="7">
        <v>45892</v>
      </c>
      <c r="E1189" s="7">
        <v>45901</v>
      </c>
      <c r="F1189" s="7">
        <v>46140</v>
      </c>
      <c r="G1189" s="1" t="s">
        <v>20</v>
      </c>
      <c r="H1189" s="8">
        <v>110232529.05</v>
      </c>
      <c r="I1189" s="8">
        <v>60307176.789999999</v>
      </c>
      <c r="J1189" s="1">
        <f>IF(COUNTIF($C$4:C1189,C1189)=1,1,0)</f>
        <v>0</v>
      </c>
      <c r="K1189" s="1">
        <f t="shared" si="18"/>
        <v>2025</v>
      </c>
    </row>
    <row r="1190" spans="2:11" x14ac:dyDescent="0.45">
      <c r="B1190" s="1" t="s">
        <v>11</v>
      </c>
      <c r="C1190" s="1" t="s">
        <v>1194</v>
      </c>
      <c r="D1190" s="7">
        <v>45184</v>
      </c>
      <c r="E1190" s="7">
        <v>45212</v>
      </c>
      <c r="F1190" s="7">
        <v>45353</v>
      </c>
      <c r="G1190" s="1" t="s">
        <v>41</v>
      </c>
      <c r="H1190" s="8">
        <v>11360.44</v>
      </c>
      <c r="I1190" s="8">
        <v>9804.65</v>
      </c>
      <c r="J1190" s="1">
        <f>IF(COUNTIF($C$4:C1190,C1190)=1,1,0)</f>
        <v>1</v>
      </c>
      <c r="K1190" s="1">
        <f t="shared" si="18"/>
        <v>2023</v>
      </c>
    </row>
    <row r="1191" spans="2:11" x14ac:dyDescent="0.45">
      <c r="B1191" s="1" t="s">
        <v>11</v>
      </c>
      <c r="C1191" s="1" t="s">
        <v>1195</v>
      </c>
      <c r="D1191" s="7">
        <v>46110</v>
      </c>
      <c r="E1191" s="7">
        <v>46125</v>
      </c>
      <c r="F1191" s="7">
        <v>46275</v>
      </c>
      <c r="G1191" s="1" t="s">
        <v>22</v>
      </c>
      <c r="H1191" s="8">
        <v>39289224</v>
      </c>
      <c r="I1191" s="8">
        <v>26838955.670000002</v>
      </c>
      <c r="J1191" s="1">
        <f>IF(COUNTIF($C$4:C1191,C1191)=1,1,0)</f>
        <v>1</v>
      </c>
      <c r="K1191" s="1">
        <f t="shared" si="18"/>
        <v>2026</v>
      </c>
    </row>
    <row r="1192" spans="2:11" x14ac:dyDescent="0.45">
      <c r="B1192" s="1" t="s">
        <v>11</v>
      </c>
      <c r="C1192" s="1" t="s">
        <v>1196</v>
      </c>
      <c r="D1192" s="7">
        <v>45199</v>
      </c>
      <c r="E1192" s="7">
        <v>45200</v>
      </c>
      <c r="F1192" s="7">
        <v>45346</v>
      </c>
      <c r="G1192" s="1" t="s">
        <v>20</v>
      </c>
      <c r="H1192" s="8">
        <v>14124811</v>
      </c>
      <c r="I1192" s="8">
        <v>8367589.6299999999</v>
      </c>
      <c r="J1192" s="1">
        <f>IF(COUNTIF($C$4:C1192,C1192)=1,1,0)</f>
        <v>1</v>
      </c>
      <c r="K1192" s="1">
        <f t="shared" si="18"/>
        <v>2023</v>
      </c>
    </row>
    <row r="1193" spans="2:11" x14ac:dyDescent="0.45">
      <c r="B1193" s="1" t="s">
        <v>11</v>
      </c>
      <c r="C1193" s="1" t="s">
        <v>1197</v>
      </c>
      <c r="D1193" s="7">
        <v>45526</v>
      </c>
      <c r="E1193" s="7">
        <v>45526</v>
      </c>
      <c r="F1193" s="7">
        <v>45730</v>
      </c>
      <c r="G1193" s="1" t="s">
        <v>38</v>
      </c>
      <c r="H1193" s="8">
        <v>66526.39</v>
      </c>
      <c r="I1193" s="8">
        <v>54014.57</v>
      </c>
      <c r="J1193" s="1">
        <f>IF(COUNTIF($C$4:C1193,C1193)=1,1,0)</f>
        <v>1</v>
      </c>
      <c r="K1193" s="1">
        <f t="shared" si="18"/>
        <v>2024</v>
      </c>
    </row>
    <row r="1194" spans="2:11" x14ac:dyDescent="0.45">
      <c r="B1194" s="1" t="s">
        <v>11</v>
      </c>
      <c r="C1194" s="1" t="s">
        <v>1198</v>
      </c>
      <c r="D1194" s="7">
        <v>45994</v>
      </c>
      <c r="E1194" s="7">
        <v>46019</v>
      </c>
      <c r="F1194" s="7">
        <v>46225</v>
      </c>
      <c r="G1194" s="1" t="s">
        <v>212</v>
      </c>
      <c r="H1194" s="8">
        <v>22143250.030000001</v>
      </c>
      <c r="I1194" s="8">
        <v>14770443.949999999</v>
      </c>
      <c r="J1194" s="1">
        <f>IF(COUNTIF($C$4:C1194,C1194)=1,1,0)</f>
        <v>1</v>
      </c>
      <c r="K1194" s="1">
        <f t="shared" si="18"/>
        <v>2025</v>
      </c>
    </row>
    <row r="1195" spans="2:11" x14ac:dyDescent="0.45">
      <c r="B1195" s="1" t="s">
        <v>11</v>
      </c>
      <c r="C1195" s="1" t="s">
        <v>1199</v>
      </c>
      <c r="D1195" s="7">
        <v>45243</v>
      </c>
      <c r="E1195" s="7">
        <v>45266</v>
      </c>
      <c r="F1195" s="7">
        <v>45378</v>
      </c>
      <c r="G1195" s="1" t="s">
        <v>38</v>
      </c>
      <c r="H1195" s="8">
        <v>383061.92</v>
      </c>
      <c r="I1195" s="8">
        <v>262228.26</v>
      </c>
      <c r="J1195" s="1">
        <f>IF(COUNTIF($C$4:C1195,C1195)=1,1,0)</f>
        <v>1</v>
      </c>
      <c r="K1195" s="1">
        <f t="shared" si="18"/>
        <v>2023</v>
      </c>
    </row>
    <row r="1196" spans="2:11" x14ac:dyDescent="0.45">
      <c r="B1196" s="1" t="s">
        <v>11</v>
      </c>
      <c r="C1196" s="1" t="s">
        <v>1200</v>
      </c>
      <c r="D1196" s="7">
        <v>44841</v>
      </c>
      <c r="E1196" s="7">
        <v>44853</v>
      </c>
      <c r="F1196" s="7">
        <v>44917</v>
      </c>
      <c r="G1196" s="1" t="s">
        <v>41</v>
      </c>
      <c r="H1196" s="8">
        <v>35622.230000000003</v>
      </c>
      <c r="I1196" s="8">
        <v>26675.16</v>
      </c>
      <c r="J1196" s="1">
        <f>IF(COUNTIF($C$4:C1196,C1196)=1,1,0)</f>
        <v>1</v>
      </c>
      <c r="K1196" s="1">
        <f t="shared" si="18"/>
        <v>2022</v>
      </c>
    </row>
    <row r="1197" spans="2:11" x14ac:dyDescent="0.45">
      <c r="B1197" s="1" t="s">
        <v>11</v>
      </c>
      <c r="C1197" s="1" t="s">
        <v>1201</v>
      </c>
      <c r="D1197" s="7">
        <v>45425</v>
      </c>
      <c r="E1197" s="7">
        <v>45455</v>
      </c>
      <c r="F1197" s="7">
        <v>45554</v>
      </c>
      <c r="G1197" s="1" t="s">
        <v>212</v>
      </c>
      <c r="H1197" s="8">
        <v>9502895.2100000009</v>
      </c>
      <c r="I1197" s="8">
        <v>6460064.8499999996</v>
      </c>
      <c r="J1197" s="1">
        <f>IF(COUNTIF($C$4:C1197,C1197)=1,1,0)</f>
        <v>1</v>
      </c>
      <c r="K1197" s="1">
        <f t="shared" si="18"/>
        <v>2024</v>
      </c>
    </row>
    <row r="1198" spans="2:11" x14ac:dyDescent="0.45">
      <c r="B1198" s="1" t="s">
        <v>11</v>
      </c>
      <c r="C1198" s="1" t="s">
        <v>1202</v>
      </c>
      <c r="D1198" s="7">
        <v>45636</v>
      </c>
      <c r="E1198" s="7">
        <v>45639</v>
      </c>
      <c r="F1198" s="7">
        <v>45737</v>
      </c>
      <c r="G1198" s="1" t="s">
        <v>20</v>
      </c>
      <c r="H1198" s="8">
        <v>1436370.18</v>
      </c>
      <c r="I1198" s="8">
        <v>1036215.41</v>
      </c>
      <c r="J1198" s="1">
        <f>IF(COUNTIF($C$4:C1198,C1198)=1,1,0)</f>
        <v>1</v>
      </c>
      <c r="K1198" s="1">
        <f t="shared" si="18"/>
        <v>2024</v>
      </c>
    </row>
    <row r="1199" spans="2:11" x14ac:dyDescent="0.45">
      <c r="B1199" s="1" t="s">
        <v>11</v>
      </c>
      <c r="C1199" s="1" t="s">
        <v>1203</v>
      </c>
      <c r="D1199" s="7">
        <v>43676</v>
      </c>
      <c r="E1199" s="7">
        <v>43699</v>
      </c>
      <c r="F1199" s="7">
        <v>43865</v>
      </c>
      <c r="G1199" s="1" t="s">
        <v>41</v>
      </c>
      <c r="H1199" s="8">
        <v>148051.38</v>
      </c>
      <c r="I1199" s="8">
        <v>121353.19</v>
      </c>
      <c r="J1199" s="1">
        <f>IF(COUNTIF($C$4:C1199,C1199)=1,1,0)</f>
        <v>1</v>
      </c>
      <c r="K1199" s="1">
        <f t="shared" si="18"/>
        <v>2019</v>
      </c>
    </row>
    <row r="1200" spans="2:11" x14ac:dyDescent="0.45">
      <c r="B1200" s="1" t="s">
        <v>11</v>
      </c>
      <c r="C1200" s="1" t="s">
        <v>1204</v>
      </c>
      <c r="D1200" s="7">
        <v>46200</v>
      </c>
      <c r="E1200" s="7">
        <v>46210</v>
      </c>
      <c r="F1200" s="7">
        <v>46390</v>
      </c>
      <c r="G1200" s="1" t="s">
        <v>22</v>
      </c>
      <c r="H1200" s="8">
        <v>6341300.4400000004</v>
      </c>
      <c r="I1200" s="8">
        <v>4747267.18</v>
      </c>
      <c r="J1200" s="1">
        <f>IF(COUNTIF($C$4:C1200,C1200)=1,1,0)</f>
        <v>1</v>
      </c>
      <c r="K1200" s="1">
        <f t="shared" si="18"/>
        <v>2026</v>
      </c>
    </row>
    <row r="1201" spans="2:11" x14ac:dyDescent="0.45">
      <c r="B1201" s="1" t="s">
        <v>11</v>
      </c>
      <c r="C1201" s="1" t="s">
        <v>1205</v>
      </c>
      <c r="D1201" s="7">
        <v>45959</v>
      </c>
      <c r="E1201" s="7">
        <v>45972</v>
      </c>
      <c r="F1201" s="7">
        <v>46012</v>
      </c>
      <c r="G1201" s="1" t="s">
        <v>41</v>
      </c>
      <c r="H1201" s="8">
        <v>373951.05</v>
      </c>
      <c r="I1201" s="8">
        <v>278793.78999999998</v>
      </c>
      <c r="J1201" s="1">
        <f>IF(COUNTIF($C$4:C1201,C1201)=1,1,0)</f>
        <v>1</v>
      </c>
      <c r="K1201" s="1">
        <f t="shared" si="18"/>
        <v>2025</v>
      </c>
    </row>
    <row r="1202" spans="2:11" x14ac:dyDescent="0.45">
      <c r="B1202" s="1" t="s">
        <v>11</v>
      </c>
      <c r="C1202" s="1" t="s">
        <v>1206</v>
      </c>
      <c r="D1202" s="7">
        <v>44046</v>
      </c>
      <c r="E1202" s="7">
        <v>44074</v>
      </c>
      <c r="F1202" s="7">
        <v>44119</v>
      </c>
      <c r="G1202" s="1" t="s">
        <v>16</v>
      </c>
      <c r="H1202" s="8">
        <v>9720020.5999999996</v>
      </c>
      <c r="I1202" s="8">
        <v>6631395.9400000004</v>
      </c>
      <c r="J1202" s="1">
        <f>IF(COUNTIF($C$4:C1202,C1202)=1,1,0)</f>
        <v>1</v>
      </c>
      <c r="K1202" s="1">
        <f t="shared" si="18"/>
        <v>2020</v>
      </c>
    </row>
    <row r="1203" spans="2:11" x14ac:dyDescent="0.45">
      <c r="B1203" s="1" t="s">
        <v>11</v>
      </c>
      <c r="C1203" s="1" t="s">
        <v>1207</v>
      </c>
      <c r="D1203" s="7">
        <v>44232</v>
      </c>
      <c r="E1203" s="7">
        <v>44240</v>
      </c>
      <c r="F1203" s="7">
        <v>44278</v>
      </c>
      <c r="G1203" s="1" t="s">
        <v>16</v>
      </c>
      <c r="H1203" s="8">
        <v>2411489.8199999998</v>
      </c>
      <c r="I1203" s="8">
        <v>1800690.25</v>
      </c>
      <c r="J1203" s="1">
        <f>IF(COUNTIF($C$4:C1203,C1203)=1,1,0)</f>
        <v>1</v>
      </c>
      <c r="K1203" s="1">
        <f t="shared" si="18"/>
        <v>2021</v>
      </c>
    </row>
    <row r="1204" spans="2:11" x14ac:dyDescent="0.45">
      <c r="B1204" s="1" t="s">
        <v>11</v>
      </c>
      <c r="C1204" s="1" t="s">
        <v>1208</v>
      </c>
      <c r="D1204" s="7">
        <v>43329</v>
      </c>
      <c r="E1204" s="7">
        <v>43345</v>
      </c>
      <c r="F1204" s="7">
        <v>43374</v>
      </c>
      <c r="G1204" s="1" t="s">
        <v>44</v>
      </c>
      <c r="H1204" s="8">
        <v>18526971.670000002</v>
      </c>
      <c r="I1204" s="8">
        <v>10912369.67</v>
      </c>
      <c r="J1204" s="1">
        <f>IF(COUNTIF($C$4:C1204,C1204)=1,1,0)</f>
        <v>1</v>
      </c>
      <c r="K1204" s="1">
        <f t="shared" si="18"/>
        <v>2018</v>
      </c>
    </row>
    <row r="1205" spans="2:11" x14ac:dyDescent="0.45">
      <c r="B1205" s="1" t="s">
        <v>11</v>
      </c>
      <c r="C1205" s="1" t="s">
        <v>1209</v>
      </c>
      <c r="D1205" s="7">
        <v>44623</v>
      </c>
      <c r="E1205" s="7">
        <v>44648</v>
      </c>
      <c r="F1205" s="7">
        <v>44813</v>
      </c>
      <c r="G1205" s="1" t="s">
        <v>20</v>
      </c>
      <c r="H1205" s="8">
        <v>19670013.300000001</v>
      </c>
      <c r="I1205" s="8">
        <v>9580593.8200000003</v>
      </c>
      <c r="J1205" s="1">
        <f>IF(COUNTIF($C$4:C1205,C1205)=1,1,0)</f>
        <v>1</v>
      </c>
      <c r="K1205" s="1">
        <f t="shared" si="18"/>
        <v>2022</v>
      </c>
    </row>
    <row r="1206" spans="2:11" x14ac:dyDescent="0.45">
      <c r="B1206" s="1" t="s">
        <v>11</v>
      </c>
      <c r="C1206" s="1" t="s">
        <v>1210</v>
      </c>
      <c r="D1206" s="7">
        <v>43369</v>
      </c>
      <c r="E1206" s="7">
        <v>43371</v>
      </c>
      <c r="F1206" s="7">
        <v>43491</v>
      </c>
      <c r="G1206" s="1" t="s">
        <v>212</v>
      </c>
      <c r="H1206" s="8">
        <v>3450600.86</v>
      </c>
      <c r="I1206" s="8">
        <v>1708234.24</v>
      </c>
      <c r="J1206" s="1">
        <f>IF(COUNTIF($C$4:C1206,C1206)=1,1,0)</f>
        <v>1</v>
      </c>
      <c r="K1206" s="1">
        <f t="shared" si="18"/>
        <v>2018</v>
      </c>
    </row>
    <row r="1207" spans="2:11" x14ac:dyDescent="0.45">
      <c r="B1207" s="1" t="s">
        <v>11</v>
      </c>
      <c r="C1207" s="1" t="s">
        <v>1211</v>
      </c>
      <c r="D1207" s="7">
        <v>44398</v>
      </c>
      <c r="E1207" s="7">
        <v>44400</v>
      </c>
      <c r="F1207" s="7">
        <v>44448</v>
      </c>
      <c r="G1207" s="1" t="s">
        <v>44</v>
      </c>
      <c r="H1207" s="8">
        <v>26958909.079999998</v>
      </c>
      <c r="I1207" s="8">
        <v>12126290.68</v>
      </c>
      <c r="J1207" s="1">
        <f>IF(COUNTIF($C$4:C1207,C1207)=1,1,0)</f>
        <v>1</v>
      </c>
      <c r="K1207" s="1">
        <f t="shared" si="18"/>
        <v>2021</v>
      </c>
    </row>
    <row r="1208" spans="2:11" x14ac:dyDescent="0.45">
      <c r="B1208" s="1" t="s">
        <v>11</v>
      </c>
      <c r="C1208" s="1" t="s">
        <v>1212</v>
      </c>
      <c r="D1208" s="7">
        <v>46057</v>
      </c>
      <c r="E1208" s="7">
        <v>46068</v>
      </c>
      <c r="F1208" s="7">
        <v>46276</v>
      </c>
      <c r="G1208" s="1" t="s">
        <v>41</v>
      </c>
      <c r="H1208" s="8">
        <v>236228.13</v>
      </c>
      <c r="I1208" s="8">
        <v>201079.38</v>
      </c>
      <c r="J1208" s="1">
        <f>IF(COUNTIF($C$4:C1208,C1208)=1,1,0)</f>
        <v>1</v>
      </c>
      <c r="K1208" s="1">
        <f t="shared" si="18"/>
        <v>2026</v>
      </c>
    </row>
    <row r="1209" spans="2:11" x14ac:dyDescent="0.45">
      <c r="B1209" s="1" t="s">
        <v>11</v>
      </c>
      <c r="C1209" s="1" t="s">
        <v>1213</v>
      </c>
      <c r="D1209" s="7">
        <v>44537</v>
      </c>
      <c r="E1209" s="7">
        <v>44544</v>
      </c>
      <c r="F1209" s="7">
        <v>44696</v>
      </c>
      <c r="G1209" s="1" t="s">
        <v>20</v>
      </c>
      <c r="H1209" s="8">
        <v>153497.18</v>
      </c>
      <c r="I1209" s="8">
        <v>105769.53</v>
      </c>
      <c r="J1209" s="1">
        <f>IF(COUNTIF($C$4:C1209,C1209)=1,1,0)</f>
        <v>1</v>
      </c>
      <c r="K1209" s="1">
        <f t="shared" si="18"/>
        <v>2021</v>
      </c>
    </row>
    <row r="1210" spans="2:11" x14ac:dyDescent="0.45">
      <c r="B1210" s="1" t="s">
        <v>11</v>
      </c>
      <c r="C1210" s="1" t="s">
        <v>1214</v>
      </c>
      <c r="D1210" s="7">
        <v>43523</v>
      </c>
      <c r="E1210" s="7">
        <v>43531</v>
      </c>
      <c r="F1210" s="7">
        <v>43635</v>
      </c>
      <c r="G1210" s="1" t="s">
        <v>20</v>
      </c>
      <c r="H1210" s="8">
        <v>1838801.7</v>
      </c>
      <c r="I1210" s="8">
        <v>1354842.69</v>
      </c>
      <c r="J1210" s="1">
        <f>IF(COUNTIF($C$4:C1210,C1210)=1,1,0)</f>
        <v>1</v>
      </c>
      <c r="K1210" s="1">
        <f t="shared" si="18"/>
        <v>2019</v>
      </c>
    </row>
    <row r="1211" spans="2:11" x14ac:dyDescent="0.45">
      <c r="B1211" s="1" t="s">
        <v>11</v>
      </c>
      <c r="C1211" s="1" t="s">
        <v>1215</v>
      </c>
      <c r="D1211" s="7">
        <v>44521</v>
      </c>
      <c r="E1211" s="7">
        <v>44527</v>
      </c>
      <c r="F1211" s="7">
        <v>44623</v>
      </c>
      <c r="G1211" s="1" t="s">
        <v>38</v>
      </c>
      <c r="H1211" s="8">
        <v>294860.69</v>
      </c>
      <c r="I1211" s="8">
        <v>222348.29</v>
      </c>
      <c r="J1211" s="1">
        <f>IF(COUNTIF($C$4:C1211,C1211)=1,1,0)</f>
        <v>1</v>
      </c>
      <c r="K1211" s="1">
        <f t="shared" si="18"/>
        <v>2021</v>
      </c>
    </row>
    <row r="1212" spans="2:11" x14ac:dyDescent="0.45">
      <c r="B1212" s="1" t="s">
        <v>11</v>
      </c>
      <c r="C1212" s="1" t="s">
        <v>1216</v>
      </c>
      <c r="D1212" s="7">
        <v>43448</v>
      </c>
      <c r="E1212" s="7">
        <v>43457</v>
      </c>
      <c r="F1212" s="7">
        <v>43466</v>
      </c>
      <c r="G1212" s="1" t="s">
        <v>44</v>
      </c>
      <c r="H1212" s="8">
        <v>45089677.060000002</v>
      </c>
      <c r="I1212" s="8">
        <v>24714559.620000001</v>
      </c>
      <c r="J1212" s="1">
        <f>IF(COUNTIF($C$4:C1212,C1212)=1,1,0)</f>
        <v>1</v>
      </c>
      <c r="K1212" s="1">
        <f t="shared" si="18"/>
        <v>2018</v>
      </c>
    </row>
    <row r="1213" spans="2:11" x14ac:dyDescent="0.45">
      <c r="B1213" s="1" t="s">
        <v>11</v>
      </c>
      <c r="C1213" s="1" t="s">
        <v>1217</v>
      </c>
      <c r="D1213" s="7">
        <v>44467</v>
      </c>
      <c r="E1213" s="7">
        <v>44497</v>
      </c>
      <c r="F1213" s="7">
        <v>44628</v>
      </c>
      <c r="G1213" s="1" t="s">
        <v>16</v>
      </c>
      <c r="H1213" s="8">
        <v>1455862.47</v>
      </c>
      <c r="I1213" s="8">
        <v>1165102.9099999999</v>
      </c>
      <c r="J1213" s="1">
        <f>IF(COUNTIF($C$4:C1213,C1213)=1,1,0)</f>
        <v>1</v>
      </c>
      <c r="K1213" s="1">
        <f t="shared" si="18"/>
        <v>2021</v>
      </c>
    </row>
    <row r="1214" spans="2:11" x14ac:dyDescent="0.45">
      <c r="B1214" s="1" t="s">
        <v>11</v>
      </c>
      <c r="C1214" s="1" t="s">
        <v>1218</v>
      </c>
      <c r="D1214" s="7">
        <v>43464</v>
      </c>
      <c r="E1214" s="7">
        <v>43470</v>
      </c>
      <c r="F1214" s="7">
        <v>43663</v>
      </c>
      <c r="G1214" s="1" t="s">
        <v>20</v>
      </c>
      <c r="H1214" s="8">
        <v>302056.03999999998</v>
      </c>
      <c r="I1214" s="8">
        <v>217427.07</v>
      </c>
      <c r="J1214" s="1">
        <f>IF(COUNTIF($C$4:C1214,C1214)=1,1,0)</f>
        <v>1</v>
      </c>
      <c r="K1214" s="1">
        <f t="shared" si="18"/>
        <v>2018</v>
      </c>
    </row>
    <row r="1215" spans="2:11" x14ac:dyDescent="0.45">
      <c r="B1215" s="1" t="s">
        <v>11</v>
      </c>
      <c r="C1215" s="1" t="s">
        <v>1219</v>
      </c>
      <c r="D1215" s="7">
        <v>44825</v>
      </c>
      <c r="E1215" s="7">
        <v>44854</v>
      </c>
      <c r="F1215" s="7">
        <v>44972</v>
      </c>
      <c r="G1215" s="1" t="s">
        <v>212</v>
      </c>
      <c r="H1215" s="8">
        <v>25564610.350000001</v>
      </c>
      <c r="I1215" s="8">
        <v>9489765.1699999999</v>
      </c>
      <c r="J1215" s="1">
        <f>IF(COUNTIF($C$4:C1215,C1215)=1,1,0)</f>
        <v>1</v>
      </c>
      <c r="K1215" s="1">
        <f t="shared" si="18"/>
        <v>2022</v>
      </c>
    </row>
    <row r="1216" spans="2:11" x14ac:dyDescent="0.45">
      <c r="B1216" s="1" t="s">
        <v>11</v>
      </c>
      <c r="C1216" s="1" t="s">
        <v>1220</v>
      </c>
      <c r="D1216" s="7">
        <v>45236</v>
      </c>
      <c r="E1216" s="7">
        <v>45261</v>
      </c>
      <c r="F1216" s="7">
        <v>45316</v>
      </c>
      <c r="G1216" s="1" t="s">
        <v>20</v>
      </c>
      <c r="H1216" s="8">
        <v>605205.31000000006</v>
      </c>
      <c r="I1216" s="8">
        <v>330645.55</v>
      </c>
      <c r="J1216" s="1">
        <f>IF(COUNTIF($C$4:C1216,C1216)=1,1,0)</f>
        <v>1</v>
      </c>
      <c r="K1216" s="1">
        <f t="shared" si="18"/>
        <v>2023</v>
      </c>
    </row>
    <row r="1217" spans="2:11" x14ac:dyDescent="0.45">
      <c r="B1217" s="1" t="s">
        <v>11</v>
      </c>
      <c r="C1217" s="1" t="s">
        <v>1221</v>
      </c>
      <c r="D1217" s="7">
        <v>45400</v>
      </c>
      <c r="E1217" s="7">
        <v>45413</v>
      </c>
      <c r="F1217" s="7">
        <v>45638</v>
      </c>
      <c r="G1217" s="1" t="s">
        <v>16</v>
      </c>
      <c r="H1217" s="8">
        <v>1803867.02</v>
      </c>
      <c r="I1217" s="8">
        <v>1191741.43</v>
      </c>
      <c r="J1217" s="1">
        <f>IF(COUNTIF($C$4:C1217,C1217)=1,1,0)</f>
        <v>1</v>
      </c>
      <c r="K1217" s="1">
        <f t="shared" si="18"/>
        <v>2024</v>
      </c>
    </row>
    <row r="1218" spans="2:11" x14ac:dyDescent="0.45">
      <c r="B1218" s="1" t="s">
        <v>11</v>
      </c>
      <c r="C1218" s="1" t="s">
        <v>1222</v>
      </c>
      <c r="D1218" s="7">
        <v>43902</v>
      </c>
      <c r="E1218" s="7">
        <v>43904</v>
      </c>
      <c r="F1218" s="7">
        <v>43996</v>
      </c>
      <c r="G1218" s="1" t="s">
        <v>16</v>
      </c>
      <c r="H1218" s="8">
        <v>3402852.17</v>
      </c>
      <c r="I1218" s="8">
        <v>2549070.75</v>
      </c>
      <c r="J1218" s="1">
        <f>IF(COUNTIF($C$4:C1218,C1218)=1,1,0)</f>
        <v>1</v>
      </c>
      <c r="K1218" s="1">
        <f t="shared" si="18"/>
        <v>2020</v>
      </c>
    </row>
    <row r="1219" spans="2:11" x14ac:dyDescent="0.45">
      <c r="B1219" s="1" t="s">
        <v>11</v>
      </c>
      <c r="C1219" s="1" t="s">
        <v>1223</v>
      </c>
      <c r="D1219" s="7">
        <v>44852</v>
      </c>
      <c r="E1219" s="7">
        <v>44866</v>
      </c>
      <c r="F1219" s="7">
        <v>44986</v>
      </c>
      <c r="G1219" s="1" t="s">
        <v>16</v>
      </c>
      <c r="H1219" s="8">
        <v>5201449.55</v>
      </c>
      <c r="I1219" s="8">
        <v>3676506.9</v>
      </c>
      <c r="J1219" s="1">
        <f>IF(COUNTIF($C$4:C1219,C1219)=1,1,0)</f>
        <v>1</v>
      </c>
      <c r="K1219" s="1">
        <f t="shared" si="18"/>
        <v>2022</v>
      </c>
    </row>
    <row r="1220" spans="2:11" x14ac:dyDescent="0.45">
      <c r="B1220" s="1" t="s">
        <v>11</v>
      </c>
      <c r="C1220" s="1" t="s">
        <v>1224</v>
      </c>
      <c r="D1220" s="7">
        <v>44760</v>
      </c>
      <c r="E1220" s="7">
        <v>44774</v>
      </c>
      <c r="F1220" s="7">
        <v>44982</v>
      </c>
      <c r="G1220" s="1" t="s">
        <v>20</v>
      </c>
      <c r="H1220" s="8">
        <v>198184.62</v>
      </c>
      <c r="I1220" s="8">
        <v>111138</v>
      </c>
      <c r="J1220" s="1">
        <f>IF(COUNTIF($C$4:C1220,C1220)=1,1,0)</f>
        <v>1</v>
      </c>
      <c r="K1220" s="1">
        <f t="shared" si="18"/>
        <v>2022</v>
      </c>
    </row>
    <row r="1221" spans="2:11" x14ac:dyDescent="0.45">
      <c r="B1221" s="1" t="s">
        <v>11</v>
      </c>
      <c r="C1221" s="1" t="s">
        <v>1225</v>
      </c>
      <c r="D1221" s="7">
        <v>44789</v>
      </c>
      <c r="E1221" s="7">
        <v>44790</v>
      </c>
      <c r="F1221" s="7">
        <v>44875</v>
      </c>
      <c r="G1221" s="1" t="s">
        <v>22</v>
      </c>
      <c r="H1221" s="8">
        <v>31427771.030000001</v>
      </c>
      <c r="I1221" s="8">
        <v>13443819.220000001</v>
      </c>
      <c r="J1221" s="1">
        <f>IF(COUNTIF($C$4:C1221,C1221)=1,1,0)</f>
        <v>1</v>
      </c>
      <c r="K1221" s="1">
        <f t="shared" ref="K1221:K1284" si="19">YEAR(D1221)</f>
        <v>2022</v>
      </c>
    </row>
    <row r="1222" spans="2:11" x14ac:dyDescent="0.45">
      <c r="B1222" s="1" t="s">
        <v>11</v>
      </c>
      <c r="C1222" s="1" t="s">
        <v>1226</v>
      </c>
      <c r="D1222" s="7">
        <v>45089</v>
      </c>
      <c r="E1222" s="7">
        <v>45106</v>
      </c>
      <c r="F1222" s="7">
        <v>45297</v>
      </c>
      <c r="G1222" s="1" t="s">
        <v>20</v>
      </c>
      <c r="H1222" s="8">
        <v>34086936.100000001</v>
      </c>
      <c r="I1222" s="8">
        <v>17078867.82</v>
      </c>
      <c r="J1222" s="1">
        <f>IF(COUNTIF($C$4:C1222,C1222)=1,1,0)</f>
        <v>1</v>
      </c>
      <c r="K1222" s="1">
        <f t="shared" si="19"/>
        <v>2023</v>
      </c>
    </row>
    <row r="1223" spans="2:11" x14ac:dyDescent="0.45">
      <c r="B1223" s="1" t="s">
        <v>11</v>
      </c>
      <c r="C1223" s="1" t="s">
        <v>1227</v>
      </c>
      <c r="D1223" s="7">
        <v>45229</v>
      </c>
      <c r="E1223" s="7">
        <v>45256</v>
      </c>
      <c r="F1223" s="7">
        <v>45349</v>
      </c>
      <c r="G1223" s="1" t="s">
        <v>212</v>
      </c>
      <c r="H1223" s="8">
        <v>19003996.390000001</v>
      </c>
      <c r="I1223" s="8">
        <v>12432740.939999999</v>
      </c>
      <c r="J1223" s="1">
        <f>IF(COUNTIF($C$4:C1223,C1223)=1,1,0)</f>
        <v>1</v>
      </c>
      <c r="K1223" s="1">
        <f t="shared" si="19"/>
        <v>2023</v>
      </c>
    </row>
    <row r="1224" spans="2:11" x14ac:dyDescent="0.45">
      <c r="B1224" s="1" t="s">
        <v>11</v>
      </c>
      <c r="C1224" s="1" t="s">
        <v>1228</v>
      </c>
      <c r="D1224" s="7">
        <v>45688</v>
      </c>
      <c r="E1224" s="7">
        <v>45705</v>
      </c>
      <c r="F1224" s="7">
        <v>45819</v>
      </c>
      <c r="G1224" s="1" t="s">
        <v>44</v>
      </c>
      <c r="H1224" s="8">
        <v>16741295.300000001</v>
      </c>
      <c r="I1224" s="8">
        <v>10841182.689999999</v>
      </c>
      <c r="J1224" s="1">
        <f>IF(COUNTIF($C$4:C1224,C1224)=1,1,0)</f>
        <v>1</v>
      </c>
      <c r="K1224" s="1">
        <f t="shared" si="19"/>
        <v>2025</v>
      </c>
    </row>
    <row r="1225" spans="2:11" x14ac:dyDescent="0.45">
      <c r="B1225" s="1" t="s">
        <v>11</v>
      </c>
      <c r="C1225" s="1" t="s">
        <v>1229</v>
      </c>
      <c r="D1225" s="7">
        <v>46246</v>
      </c>
      <c r="E1225" s="7">
        <v>46259</v>
      </c>
      <c r="F1225" s="7">
        <v>46318</v>
      </c>
      <c r="G1225" s="1" t="s">
        <v>44</v>
      </c>
      <c r="H1225" s="8">
        <v>426688648.63</v>
      </c>
      <c r="I1225" s="8">
        <v>290020082.36000001</v>
      </c>
      <c r="J1225" s="1">
        <f>IF(COUNTIF($C$4:C1225,C1225)=1,1,0)</f>
        <v>1</v>
      </c>
      <c r="K1225" s="1">
        <f t="shared" si="19"/>
        <v>2026</v>
      </c>
    </row>
    <row r="1226" spans="2:11" x14ac:dyDescent="0.45">
      <c r="B1226" s="1" t="s">
        <v>11</v>
      </c>
      <c r="C1226" s="1" t="s">
        <v>1230</v>
      </c>
      <c r="D1226" s="7">
        <v>43813</v>
      </c>
      <c r="E1226" s="7">
        <v>43817</v>
      </c>
      <c r="F1226" s="7">
        <v>43837</v>
      </c>
      <c r="G1226" s="1" t="s">
        <v>38</v>
      </c>
      <c r="H1226" s="8">
        <v>325196.37</v>
      </c>
      <c r="I1226" s="8">
        <v>292202.43</v>
      </c>
      <c r="J1226" s="1">
        <f>IF(COUNTIF($C$4:C1226,C1226)=1,1,0)</f>
        <v>1</v>
      </c>
      <c r="K1226" s="1">
        <f t="shared" si="19"/>
        <v>2019</v>
      </c>
    </row>
    <row r="1227" spans="2:11" x14ac:dyDescent="0.45">
      <c r="B1227" s="1" t="s">
        <v>11</v>
      </c>
      <c r="C1227" s="1" t="s">
        <v>1231</v>
      </c>
      <c r="D1227" s="7">
        <v>43611</v>
      </c>
      <c r="E1227" s="7">
        <v>43633</v>
      </c>
      <c r="F1227" s="7">
        <v>43734</v>
      </c>
      <c r="G1227" s="1" t="s">
        <v>22</v>
      </c>
      <c r="H1227" s="8">
        <v>107235900.31</v>
      </c>
      <c r="I1227" s="8">
        <v>30470830.309999999</v>
      </c>
      <c r="J1227" s="1">
        <f>IF(COUNTIF($C$4:C1227,C1227)=1,1,0)</f>
        <v>1</v>
      </c>
      <c r="K1227" s="1">
        <f t="shared" si="19"/>
        <v>2019</v>
      </c>
    </row>
    <row r="1228" spans="2:11" x14ac:dyDescent="0.45">
      <c r="B1228" s="1" t="s">
        <v>11</v>
      </c>
      <c r="C1228" s="1" t="s">
        <v>1232</v>
      </c>
      <c r="D1228" s="7">
        <v>45434</v>
      </c>
      <c r="E1228" s="7">
        <v>45444</v>
      </c>
      <c r="F1228" s="7">
        <v>45626</v>
      </c>
      <c r="G1228" s="1" t="s">
        <v>20</v>
      </c>
      <c r="H1228" s="8">
        <v>44840959.329999998</v>
      </c>
      <c r="I1228" s="8">
        <v>24630747.440000001</v>
      </c>
      <c r="J1228" s="1">
        <f>IF(COUNTIF($C$4:C1228,C1228)=1,1,0)</f>
        <v>1</v>
      </c>
      <c r="K1228" s="1">
        <f t="shared" si="19"/>
        <v>2024</v>
      </c>
    </row>
    <row r="1229" spans="2:11" x14ac:dyDescent="0.45">
      <c r="B1229" s="1" t="s">
        <v>11</v>
      </c>
      <c r="C1229" s="1" t="s">
        <v>1233</v>
      </c>
      <c r="D1229" s="7">
        <v>43365</v>
      </c>
      <c r="E1229" s="7">
        <v>43377</v>
      </c>
      <c r="F1229" s="7">
        <v>43614</v>
      </c>
      <c r="G1229" s="1" t="s">
        <v>38</v>
      </c>
      <c r="H1229" s="8">
        <v>255303.64</v>
      </c>
      <c r="I1229" s="8">
        <v>204886.44</v>
      </c>
      <c r="J1229" s="1">
        <f>IF(COUNTIF($C$4:C1229,C1229)=1,1,0)</f>
        <v>1</v>
      </c>
      <c r="K1229" s="1">
        <f t="shared" si="19"/>
        <v>2018</v>
      </c>
    </row>
    <row r="1230" spans="2:11" x14ac:dyDescent="0.45">
      <c r="B1230" s="1" t="s">
        <v>11</v>
      </c>
      <c r="C1230" s="1" t="s">
        <v>1234</v>
      </c>
      <c r="D1230" s="7">
        <v>43443</v>
      </c>
      <c r="E1230" s="7">
        <v>43447</v>
      </c>
      <c r="F1230" s="7">
        <v>43558</v>
      </c>
      <c r="G1230" s="1" t="s">
        <v>41</v>
      </c>
      <c r="H1230" s="8">
        <v>68425.3</v>
      </c>
      <c r="I1230" s="8">
        <v>54338.36</v>
      </c>
      <c r="J1230" s="1">
        <f>IF(COUNTIF($C$4:C1230,C1230)=1,1,0)</f>
        <v>1</v>
      </c>
      <c r="K1230" s="1">
        <f t="shared" si="19"/>
        <v>2018</v>
      </c>
    </row>
    <row r="1231" spans="2:11" x14ac:dyDescent="0.45">
      <c r="B1231" s="1" t="s">
        <v>11</v>
      </c>
      <c r="C1231" s="1" t="s">
        <v>1235</v>
      </c>
      <c r="D1231" s="7">
        <v>44743</v>
      </c>
      <c r="E1231" s="7">
        <v>44761</v>
      </c>
      <c r="F1231" s="7">
        <v>44793</v>
      </c>
      <c r="G1231" s="1" t="s">
        <v>212</v>
      </c>
      <c r="H1231" s="8">
        <v>8611971.7200000007</v>
      </c>
      <c r="I1231" s="8">
        <v>5775431.8600000003</v>
      </c>
      <c r="J1231" s="1">
        <f>IF(COUNTIF($C$4:C1231,C1231)=1,1,0)</f>
        <v>1</v>
      </c>
      <c r="K1231" s="1">
        <f t="shared" si="19"/>
        <v>2022</v>
      </c>
    </row>
    <row r="1232" spans="2:11" x14ac:dyDescent="0.45">
      <c r="B1232" s="1" t="s">
        <v>11</v>
      </c>
      <c r="C1232" s="1" t="s">
        <v>1236</v>
      </c>
      <c r="D1232" s="7">
        <v>45176</v>
      </c>
      <c r="E1232" s="7">
        <v>45183</v>
      </c>
      <c r="F1232" s="7">
        <v>45238</v>
      </c>
      <c r="G1232" s="1" t="s">
        <v>20</v>
      </c>
      <c r="H1232" s="8">
        <v>894499.4</v>
      </c>
      <c r="I1232" s="8">
        <v>556791.51</v>
      </c>
      <c r="J1232" s="1">
        <f>IF(COUNTIF($C$4:C1232,C1232)=1,1,0)</f>
        <v>1</v>
      </c>
      <c r="K1232" s="1">
        <f t="shared" si="19"/>
        <v>2023</v>
      </c>
    </row>
    <row r="1233" spans="2:11" x14ac:dyDescent="0.45">
      <c r="B1233" s="1" t="s">
        <v>11</v>
      </c>
      <c r="C1233" s="1" t="s">
        <v>1237</v>
      </c>
      <c r="D1233" s="7">
        <v>43381</v>
      </c>
      <c r="E1233" s="7">
        <v>43394</v>
      </c>
      <c r="F1233" s="7">
        <v>43407</v>
      </c>
      <c r="G1233" s="1" t="s">
        <v>44</v>
      </c>
      <c r="H1233" s="8">
        <v>127858900.13</v>
      </c>
      <c r="I1233" s="8">
        <v>64541730.729999997</v>
      </c>
      <c r="J1233" s="1">
        <f>IF(COUNTIF($C$4:C1233,C1233)=1,1,0)</f>
        <v>1</v>
      </c>
      <c r="K1233" s="1">
        <f t="shared" si="19"/>
        <v>2018</v>
      </c>
    </row>
    <row r="1234" spans="2:11" x14ac:dyDescent="0.45">
      <c r="B1234" s="1" t="s">
        <v>11</v>
      </c>
      <c r="C1234" s="1" t="s">
        <v>1238</v>
      </c>
      <c r="D1234" s="7">
        <v>44083</v>
      </c>
      <c r="E1234" s="7">
        <v>44106</v>
      </c>
      <c r="F1234" s="7">
        <v>44228</v>
      </c>
      <c r="G1234" s="1" t="s">
        <v>212</v>
      </c>
      <c r="H1234" s="8">
        <v>48998625.950000003</v>
      </c>
      <c r="I1234" s="8">
        <v>36092533.090000004</v>
      </c>
      <c r="J1234" s="1">
        <f>IF(COUNTIF($C$4:C1234,C1234)=1,1,0)</f>
        <v>1</v>
      </c>
      <c r="K1234" s="1">
        <f t="shared" si="19"/>
        <v>2020</v>
      </c>
    </row>
    <row r="1235" spans="2:11" x14ac:dyDescent="0.45">
      <c r="B1235" s="1" t="s">
        <v>11</v>
      </c>
      <c r="C1235" s="1" t="s">
        <v>1239</v>
      </c>
      <c r="D1235" s="7">
        <v>44687</v>
      </c>
      <c r="E1235" s="7">
        <v>44711</v>
      </c>
      <c r="F1235" s="7">
        <v>44903</v>
      </c>
      <c r="G1235" s="1" t="s">
        <v>212</v>
      </c>
      <c r="H1235" s="8">
        <v>5203536.21</v>
      </c>
      <c r="I1235" s="8">
        <v>2716506.63</v>
      </c>
      <c r="J1235" s="1">
        <f>IF(COUNTIF($C$4:C1235,C1235)=1,1,0)</f>
        <v>1</v>
      </c>
      <c r="K1235" s="1">
        <f t="shared" si="19"/>
        <v>2022</v>
      </c>
    </row>
    <row r="1236" spans="2:11" x14ac:dyDescent="0.45">
      <c r="B1236" s="1" t="s">
        <v>11</v>
      </c>
      <c r="C1236" s="1" t="s">
        <v>1240</v>
      </c>
      <c r="D1236" s="7">
        <v>43924</v>
      </c>
      <c r="E1236" s="7">
        <v>43933</v>
      </c>
      <c r="F1236" s="7">
        <v>44004</v>
      </c>
      <c r="G1236" s="1" t="s">
        <v>44</v>
      </c>
      <c r="H1236" s="8">
        <v>260334598.78</v>
      </c>
      <c r="I1236" s="8">
        <v>180906377.91</v>
      </c>
      <c r="J1236" s="1">
        <f>IF(COUNTIF($C$4:C1236,C1236)=1,1,0)</f>
        <v>1</v>
      </c>
      <c r="K1236" s="1">
        <f t="shared" si="19"/>
        <v>2020</v>
      </c>
    </row>
    <row r="1237" spans="2:11" x14ac:dyDescent="0.45">
      <c r="B1237" s="1" t="s">
        <v>11</v>
      </c>
      <c r="C1237" s="1" t="s">
        <v>1241</v>
      </c>
      <c r="D1237" s="7">
        <v>43940</v>
      </c>
      <c r="E1237" s="7">
        <v>43954</v>
      </c>
      <c r="F1237" s="7">
        <v>44008</v>
      </c>
      <c r="G1237" s="1" t="s">
        <v>38</v>
      </c>
      <c r="H1237" s="8">
        <v>1077006.8899999999</v>
      </c>
      <c r="I1237" s="8">
        <v>820450.92</v>
      </c>
      <c r="J1237" s="1">
        <f>IF(COUNTIF($C$4:C1237,C1237)=1,1,0)</f>
        <v>1</v>
      </c>
      <c r="K1237" s="1">
        <f t="shared" si="19"/>
        <v>2020</v>
      </c>
    </row>
    <row r="1238" spans="2:11" x14ac:dyDescent="0.45">
      <c r="B1238" s="1" t="s">
        <v>11</v>
      </c>
      <c r="C1238" s="1" t="s">
        <v>1242</v>
      </c>
      <c r="D1238" s="7">
        <v>43995</v>
      </c>
      <c r="E1238" s="7">
        <v>44002</v>
      </c>
      <c r="F1238" s="7">
        <v>44192</v>
      </c>
      <c r="G1238" s="1" t="s">
        <v>212</v>
      </c>
      <c r="H1238" s="8">
        <v>2483204.06</v>
      </c>
      <c r="I1238" s="8">
        <v>1215701.8500000001</v>
      </c>
      <c r="J1238" s="1">
        <f>IF(COUNTIF($C$4:C1238,C1238)=1,1,0)</f>
        <v>1</v>
      </c>
      <c r="K1238" s="1">
        <f t="shared" si="19"/>
        <v>2020</v>
      </c>
    </row>
    <row r="1239" spans="2:11" x14ac:dyDescent="0.45">
      <c r="B1239" s="1" t="s">
        <v>11</v>
      </c>
      <c r="C1239" s="1" t="s">
        <v>1243</v>
      </c>
      <c r="D1239" s="7">
        <v>45160</v>
      </c>
      <c r="E1239" s="7">
        <v>45166</v>
      </c>
      <c r="F1239" s="7">
        <v>45238</v>
      </c>
      <c r="G1239" s="1" t="s">
        <v>41</v>
      </c>
      <c r="H1239" s="8">
        <v>76279.149999999994</v>
      </c>
      <c r="I1239" s="8">
        <v>60568.11</v>
      </c>
      <c r="J1239" s="1">
        <f>IF(COUNTIF($C$4:C1239,C1239)=1,1,0)</f>
        <v>1</v>
      </c>
      <c r="K1239" s="1">
        <f t="shared" si="19"/>
        <v>2023</v>
      </c>
    </row>
    <row r="1240" spans="2:11" x14ac:dyDescent="0.45">
      <c r="B1240" s="1" t="s">
        <v>11</v>
      </c>
      <c r="C1240" s="1" t="s">
        <v>1244</v>
      </c>
      <c r="D1240" s="7">
        <v>45998</v>
      </c>
      <c r="E1240" s="7">
        <v>46000</v>
      </c>
      <c r="F1240" s="7">
        <v>46007</v>
      </c>
      <c r="G1240" s="1" t="s">
        <v>212</v>
      </c>
      <c r="H1240" s="8">
        <v>23194141.489999998</v>
      </c>
      <c r="I1240" s="8">
        <v>14970326.57</v>
      </c>
      <c r="J1240" s="1">
        <f>IF(COUNTIF($C$4:C1240,C1240)=1,1,0)</f>
        <v>1</v>
      </c>
      <c r="K1240" s="1">
        <f t="shared" si="19"/>
        <v>2025</v>
      </c>
    </row>
    <row r="1241" spans="2:11" x14ac:dyDescent="0.45">
      <c r="B1241" s="1" t="s">
        <v>11</v>
      </c>
      <c r="C1241" s="1" t="s">
        <v>1245</v>
      </c>
      <c r="D1241" s="7">
        <v>44561</v>
      </c>
      <c r="E1241" s="7">
        <v>44586</v>
      </c>
      <c r="F1241" s="7">
        <v>44688</v>
      </c>
      <c r="G1241" s="1" t="s">
        <v>16</v>
      </c>
      <c r="H1241" s="8">
        <v>2156829.33</v>
      </c>
      <c r="I1241" s="8">
        <v>1389484.71</v>
      </c>
      <c r="J1241" s="1">
        <f>IF(COUNTIF($C$4:C1241,C1241)=1,1,0)</f>
        <v>1</v>
      </c>
      <c r="K1241" s="1">
        <f t="shared" si="19"/>
        <v>2021</v>
      </c>
    </row>
    <row r="1242" spans="2:11" x14ac:dyDescent="0.45">
      <c r="B1242" s="1" t="s">
        <v>11</v>
      </c>
      <c r="C1242" s="1" t="s">
        <v>1246</v>
      </c>
      <c r="D1242" s="7">
        <v>43659</v>
      </c>
      <c r="E1242" s="7">
        <v>43669</v>
      </c>
      <c r="F1242" s="7">
        <v>43875</v>
      </c>
      <c r="G1242" s="1" t="s">
        <v>44</v>
      </c>
      <c r="H1242" s="8">
        <v>28040804.280000001</v>
      </c>
      <c r="I1242" s="8">
        <v>14908043.91</v>
      </c>
      <c r="J1242" s="1">
        <f>IF(COUNTIF($C$4:C1242,C1242)=1,1,0)</f>
        <v>1</v>
      </c>
      <c r="K1242" s="1">
        <f t="shared" si="19"/>
        <v>2019</v>
      </c>
    </row>
    <row r="1243" spans="2:11" x14ac:dyDescent="0.45">
      <c r="B1243" s="1" t="s">
        <v>11</v>
      </c>
      <c r="C1243" s="1" t="s">
        <v>1247</v>
      </c>
      <c r="D1243" s="7">
        <v>45382</v>
      </c>
      <c r="E1243" s="7">
        <v>45394</v>
      </c>
      <c r="F1243" s="7">
        <v>45482</v>
      </c>
      <c r="G1243" s="1" t="s">
        <v>212</v>
      </c>
      <c r="H1243" s="8">
        <v>68039784.219999999</v>
      </c>
      <c r="I1243" s="8">
        <v>33670970.020000003</v>
      </c>
      <c r="J1243" s="1">
        <f>IF(COUNTIF($C$4:C1243,C1243)=1,1,0)</f>
        <v>1</v>
      </c>
      <c r="K1243" s="1">
        <f t="shared" si="19"/>
        <v>2024</v>
      </c>
    </row>
    <row r="1244" spans="2:11" x14ac:dyDescent="0.45">
      <c r="B1244" s="1" t="s">
        <v>11</v>
      </c>
      <c r="C1244" s="1" t="s">
        <v>1248</v>
      </c>
      <c r="D1244" s="7">
        <v>45170</v>
      </c>
      <c r="E1244" s="7">
        <v>45175</v>
      </c>
      <c r="F1244" s="7">
        <v>45284</v>
      </c>
      <c r="G1244" s="1" t="s">
        <v>22</v>
      </c>
      <c r="H1244" s="8">
        <v>67294038.980000004</v>
      </c>
      <c r="I1244" s="8">
        <v>35392387.289999999</v>
      </c>
      <c r="J1244" s="1">
        <f>IF(COUNTIF($C$4:C1244,C1244)=1,1,0)</f>
        <v>1</v>
      </c>
      <c r="K1244" s="1">
        <f t="shared" si="19"/>
        <v>2023</v>
      </c>
    </row>
    <row r="1245" spans="2:11" x14ac:dyDescent="0.45">
      <c r="B1245" s="1" t="s">
        <v>11</v>
      </c>
      <c r="C1245" s="1" t="s">
        <v>1249</v>
      </c>
      <c r="D1245" s="7">
        <v>45306</v>
      </c>
      <c r="E1245" s="7">
        <v>45323</v>
      </c>
      <c r="F1245" s="7">
        <v>45494</v>
      </c>
      <c r="G1245" s="1" t="s">
        <v>22</v>
      </c>
      <c r="H1245" s="8">
        <v>15950503.210000001</v>
      </c>
      <c r="I1245" s="8">
        <v>11371448.99</v>
      </c>
      <c r="J1245" s="1">
        <f>IF(COUNTIF($C$4:C1245,C1245)=1,1,0)</f>
        <v>1</v>
      </c>
      <c r="K1245" s="1">
        <f t="shared" si="19"/>
        <v>2024</v>
      </c>
    </row>
    <row r="1246" spans="2:11" x14ac:dyDescent="0.45">
      <c r="B1246" s="1" t="s">
        <v>11</v>
      </c>
      <c r="C1246" s="1" t="s">
        <v>1250</v>
      </c>
      <c r="D1246" s="7">
        <v>45223</v>
      </c>
      <c r="E1246" s="7">
        <v>45232</v>
      </c>
      <c r="F1246" s="7">
        <v>45239</v>
      </c>
      <c r="G1246" s="1" t="s">
        <v>16</v>
      </c>
      <c r="H1246" s="8">
        <v>1732157.55</v>
      </c>
      <c r="I1246" s="8">
        <v>1248370.24</v>
      </c>
      <c r="J1246" s="1">
        <f>IF(COUNTIF($C$4:C1246,C1246)=1,1,0)</f>
        <v>1</v>
      </c>
      <c r="K1246" s="1">
        <f t="shared" si="19"/>
        <v>2023</v>
      </c>
    </row>
    <row r="1247" spans="2:11" x14ac:dyDescent="0.45">
      <c r="B1247" s="1" t="s">
        <v>11</v>
      </c>
      <c r="C1247" s="1" t="s">
        <v>1251</v>
      </c>
      <c r="D1247" s="7">
        <v>44968</v>
      </c>
      <c r="E1247" s="7">
        <v>44978</v>
      </c>
      <c r="F1247" s="7">
        <v>45156</v>
      </c>
      <c r="G1247" s="1" t="s">
        <v>41</v>
      </c>
      <c r="H1247" s="8">
        <v>63049.81</v>
      </c>
      <c r="I1247" s="8">
        <v>51336.39</v>
      </c>
      <c r="J1247" s="1">
        <f>IF(COUNTIF($C$4:C1247,C1247)=1,1,0)</f>
        <v>1</v>
      </c>
      <c r="K1247" s="1">
        <f t="shared" si="19"/>
        <v>2023</v>
      </c>
    </row>
    <row r="1248" spans="2:11" x14ac:dyDescent="0.45">
      <c r="B1248" s="1" t="s">
        <v>11</v>
      </c>
      <c r="C1248" s="1" t="s">
        <v>1252</v>
      </c>
      <c r="D1248" s="7">
        <v>45655</v>
      </c>
      <c r="E1248" s="7">
        <v>45656</v>
      </c>
      <c r="F1248" s="7">
        <v>45890</v>
      </c>
      <c r="G1248" s="1" t="s">
        <v>212</v>
      </c>
      <c r="H1248" s="8">
        <v>1704445.32</v>
      </c>
      <c r="I1248" s="8">
        <v>697526.55</v>
      </c>
      <c r="J1248" s="1">
        <f>IF(COUNTIF($C$4:C1248,C1248)=1,1,0)</f>
        <v>1</v>
      </c>
      <c r="K1248" s="1">
        <f t="shared" si="19"/>
        <v>2024</v>
      </c>
    </row>
    <row r="1249" spans="2:11" x14ac:dyDescent="0.45">
      <c r="B1249" s="1" t="s">
        <v>11</v>
      </c>
      <c r="C1249" s="1" t="s">
        <v>1253</v>
      </c>
      <c r="D1249" s="7">
        <v>44675</v>
      </c>
      <c r="E1249" s="7">
        <v>44691</v>
      </c>
      <c r="F1249" s="7">
        <v>44702</v>
      </c>
      <c r="G1249" s="1" t="s">
        <v>41</v>
      </c>
      <c r="H1249" s="8">
        <v>35630.18</v>
      </c>
      <c r="I1249" s="8">
        <v>27946.16</v>
      </c>
      <c r="J1249" s="1">
        <f>IF(COUNTIF($C$4:C1249,C1249)=1,1,0)</f>
        <v>1</v>
      </c>
      <c r="K1249" s="1">
        <f t="shared" si="19"/>
        <v>2022</v>
      </c>
    </row>
    <row r="1250" spans="2:11" x14ac:dyDescent="0.45">
      <c r="B1250" s="1" t="s">
        <v>11</v>
      </c>
      <c r="C1250" s="1" t="s">
        <v>1254</v>
      </c>
      <c r="D1250" s="7">
        <v>43821</v>
      </c>
      <c r="E1250" s="7">
        <v>43840</v>
      </c>
      <c r="F1250" s="7">
        <v>43957</v>
      </c>
      <c r="G1250" s="1" t="s">
        <v>22</v>
      </c>
      <c r="H1250" s="8">
        <v>26428284.350000001</v>
      </c>
      <c r="I1250" s="8">
        <v>12721466.380000001</v>
      </c>
      <c r="J1250" s="1">
        <f>IF(COUNTIF($C$4:C1250,C1250)=1,1,0)</f>
        <v>1</v>
      </c>
      <c r="K1250" s="1">
        <f t="shared" si="19"/>
        <v>2019</v>
      </c>
    </row>
    <row r="1251" spans="2:11" x14ac:dyDescent="0.45">
      <c r="B1251" s="1" t="s">
        <v>11</v>
      </c>
      <c r="C1251" s="1" t="s">
        <v>1255</v>
      </c>
      <c r="D1251" s="7">
        <v>44695</v>
      </c>
      <c r="E1251" s="7">
        <v>44716</v>
      </c>
      <c r="F1251" s="7">
        <v>44837</v>
      </c>
      <c r="G1251" s="1" t="s">
        <v>38</v>
      </c>
      <c r="H1251" s="8">
        <v>1290326.28</v>
      </c>
      <c r="I1251" s="8">
        <v>1076458.1000000001</v>
      </c>
      <c r="J1251" s="1">
        <f>IF(COUNTIF($C$4:C1251,C1251)=1,1,0)</f>
        <v>1</v>
      </c>
      <c r="K1251" s="1">
        <f t="shared" si="19"/>
        <v>2022</v>
      </c>
    </row>
    <row r="1252" spans="2:11" x14ac:dyDescent="0.45">
      <c r="B1252" s="1" t="s">
        <v>11</v>
      </c>
      <c r="C1252" s="1" t="s">
        <v>1256</v>
      </c>
      <c r="D1252" s="7">
        <v>45617</v>
      </c>
      <c r="E1252" s="7">
        <v>45641</v>
      </c>
      <c r="F1252" s="7">
        <v>45733</v>
      </c>
      <c r="G1252" s="1" t="s">
        <v>41</v>
      </c>
      <c r="H1252" s="8">
        <v>55881.74</v>
      </c>
      <c r="I1252" s="8">
        <v>39211</v>
      </c>
      <c r="J1252" s="1">
        <f>IF(COUNTIF($C$4:C1252,C1252)=1,1,0)</f>
        <v>1</v>
      </c>
      <c r="K1252" s="1">
        <f t="shared" si="19"/>
        <v>2024</v>
      </c>
    </row>
    <row r="1253" spans="2:11" x14ac:dyDescent="0.45">
      <c r="B1253" s="1" t="s">
        <v>11</v>
      </c>
      <c r="C1253" s="1" t="s">
        <v>1257</v>
      </c>
      <c r="D1253" s="7">
        <v>44137</v>
      </c>
      <c r="E1253" s="7">
        <v>44148</v>
      </c>
      <c r="F1253" s="7">
        <v>44380</v>
      </c>
      <c r="G1253" s="1" t="s">
        <v>20</v>
      </c>
      <c r="H1253" s="8">
        <v>1963152.72</v>
      </c>
      <c r="I1253" s="8">
        <v>1033648.44</v>
      </c>
      <c r="J1253" s="1">
        <f>IF(COUNTIF($C$4:C1253,C1253)=1,1,0)</f>
        <v>1</v>
      </c>
      <c r="K1253" s="1">
        <f t="shared" si="19"/>
        <v>2020</v>
      </c>
    </row>
    <row r="1254" spans="2:11" x14ac:dyDescent="0.45">
      <c r="B1254" s="1" t="s">
        <v>11</v>
      </c>
      <c r="C1254" s="1" t="s">
        <v>1258</v>
      </c>
      <c r="D1254" s="7">
        <v>45633</v>
      </c>
      <c r="E1254" s="7">
        <v>45656</v>
      </c>
      <c r="F1254" s="7">
        <v>45706</v>
      </c>
      <c r="G1254" s="1" t="s">
        <v>22</v>
      </c>
      <c r="H1254" s="8">
        <v>5919593.3399999999</v>
      </c>
      <c r="I1254" s="8">
        <v>4099250.63</v>
      </c>
      <c r="J1254" s="1">
        <f>IF(COUNTIF($C$4:C1254,C1254)=1,1,0)</f>
        <v>1</v>
      </c>
      <c r="K1254" s="1">
        <f t="shared" si="19"/>
        <v>2024</v>
      </c>
    </row>
    <row r="1255" spans="2:11" x14ac:dyDescent="0.45">
      <c r="B1255" s="1" t="s">
        <v>11</v>
      </c>
      <c r="C1255" s="1" t="s">
        <v>1259</v>
      </c>
      <c r="D1255" s="7">
        <v>44069</v>
      </c>
      <c r="E1255" s="7">
        <v>44089</v>
      </c>
      <c r="F1255" s="7">
        <v>44244</v>
      </c>
      <c r="G1255" s="1" t="s">
        <v>22</v>
      </c>
      <c r="H1255" s="8">
        <v>25726387.640000001</v>
      </c>
      <c r="I1255" s="8">
        <v>15390628</v>
      </c>
      <c r="J1255" s="1">
        <f>IF(COUNTIF($C$4:C1255,C1255)=1,1,0)</f>
        <v>1</v>
      </c>
      <c r="K1255" s="1">
        <f t="shared" si="19"/>
        <v>2020</v>
      </c>
    </row>
    <row r="1256" spans="2:11" x14ac:dyDescent="0.45">
      <c r="B1256" s="1" t="s">
        <v>11</v>
      </c>
      <c r="C1256" s="1" t="s">
        <v>1260</v>
      </c>
      <c r="D1256" s="7">
        <v>43446</v>
      </c>
      <c r="E1256" s="7">
        <v>43454</v>
      </c>
      <c r="F1256" s="7">
        <v>43487</v>
      </c>
      <c r="G1256" s="1" t="s">
        <v>16</v>
      </c>
      <c r="H1256" s="8">
        <v>3624085.72</v>
      </c>
      <c r="I1256" s="8">
        <v>2400205.59</v>
      </c>
      <c r="J1256" s="1">
        <f>IF(COUNTIF($C$4:C1256,C1256)=1,1,0)</f>
        <v>1</v>
      </c>
      <c r="K1256" s="1">
        <f t="shared" si="19"/>
        <v>2018</v>
      </c>
    </row>
    <row r="1257" spans="2:11" x14ac:dyDescent="0.45">
      <c r="B1257" s="1" t="s">
        <v>11</v>
      </c>
      <c r="C1257" s="1" t="s">
        <v>1261</v>
      </c>
      <c r="D1257" s="7">
        <v>44783</v>
      </c>
      <c r="E1257" s="7">
        <v>44806</v>
      </c>
      <c r="F1257" s="7">
        <v>44885</v>
      </c>
      <c r="G1257" s="1" t="s">
        <v>38</v>
      </c>
      <c r="H1257" s="8">
        <v>797194.23</v>
      </c>
      <c r="I1257" s="8">
        <v>559254.42000000004</v>
      </c>
      <c r="J1257" s="1">
        <f>IF(COUNTIF($C$4:C1257,C1257)=1,1,0)</f>
        <v>1</v>
      </c>
      <c r="K1257" s="1">
        <f t="shared" si="19"/>
        <v>2022</v>
      </c>
    </row>
    <row r="1258" spans="2:11" x14ac:dyDescent="0.45">
      <c r="B1258" s="1" t="s">
        <v>11</v>
      </c>
      <c r="C1258" s="1" t="s">
        <v>1262</v>
      </c>
      <c r="D1258" s="7">
        <v>43936</v>
      </c>
      <c r="E1258" s="7">
        <v>43939</v>
      </c>
      <c r="F1258" s="7">
        <v>44006</v>
      </c>
      <c r="G1258" s="1" t="s">
        <v>20</v>
      </c>
      <c r="H1258" s="8">
        <v>1197444.6000000001</v>
      </c>
      <c r="I1258" s="8">
        <v>680139.32</v>
      </c>
      <c r="J1258" s="1">
        <f>IF(COUNTIF($C$4:C1258,C1258)=1,1,0)</f>
        <v>1</v>
      </c>
      <c r="K1258" s="1">
        <f t="shared" si="19"/>
        <v>2020</v>
      </c>
    </row>
    <row r="1259" spans="2:11" x14ac:dyDescent="0.45">
      <c r="B1259" s="1" t="s">
        <v>11</v>
      </c>
      <c r="C1259" s="1" t="s">
        <v>1263</v>
      </c>
      <c r="D1259" s="7">
        <v>45696</v>
      </c>
      <c r="E1259" s="7">
        <v>45724</v>
      </c>
      <c r="F1259" s="7">
        <v>45747</v>
      </c>
      <c r="G1259" s="1" t="s">
        <v>22</v>
      </c>
      <c r="H1259" s="8">
        <v>20402395.100000001</v>
      </c>
      <c r="I1259" s="8">
        <v>13536102.130000001</v>
      </c>
      <c r="J1259" s="1">
        <f>IF(COUNTIF($C$4:C1259,C1259)=1,1,0)</f>
        <v>1</v>
      </c>
      <c r="K1259" s="1">
        <f t="shared" si="19"/>
        <v>2025</v>
      </c>
    </row>
    <row r="1260" spans="2:11" x14ac:dyDescent="0.45">
      <c r="B1260" s="1" t="s">
        <v>11</v>
      </c>
      <c r="C1260" s="1" t="s">
        <v>1264</v>
      </c>
      <c r="D1260" s="7">
        <v>44593</v>
      </c>
      <c r="E1260" s="7">
        <v>44597</v>
      </c>
      <c r="F1260" s="7">
        <v>44776</v>
      </c>
      <c r="G1260" s="1" t="s">
        <v>38</v>
      </c>
      <c r="H1260" s="8">
        <v>855329.5</v>
      </c>
      <c r="I1260" s="8">
        <v>748813.92</v>
      </c>
      <c r="J1260" s="1">
        <f>IF(COUNTIF($C$4:C1260,C1260)=1,1,0)</f>
        <v>1</v>
      </c>
      <c r="K1260" s="1">
        <f t="shared" si="19"/>
        <v>2022</v>
      </c>
    </row>
    <row r="1261" spans="2:11" x14ac:dyDescent="0.45">
      <c r="B1261" s="1" t="s">
        <v>11</v>
      </c>
      <c r="C1261" s="1" t="s">
        <v>1265</v>
      </c>
      <c r="D1261" s="7">
        <v>43540</v>
      </c>
      <c r="E1261" s="7">
        <v>43552</v>
      </c>
      <c r="F1261" s="7">
        <v>43643</v>
      </c>
      <c r="G1261" s="1" t="s">
        <v>212</v>
      </c>
      <c r="H1261" s="8">
        <v>20840254.030000001</v>
      </c>
      <c r="I1261" s="8">
        <v>14124099.17</v>
      </c>
      <c r="J1261" s="1">
        <f>IF(COUNTIF($C$4:C1261,C1261)=1,1,0)</f>
        <v>1</v>
      </c>
      <c r="K1261" s="1">
        <f t="shared" si="19"/>
        <v>2019</v>
      </c>
    </row>
    <row r="1262" spans="2:11" x14ac:dyDescent="0.45">
      <c r="B1262" s="1" t="s">
        <v>11</v>
      </c>
      <c r="C1262" s="1" t="s">
        <v>1266</v>
      </c>
      <c r="D1262" s="7">
        <v>44240</v>
      </c>
      <c r="E1262" s="7">
        <v>44250</v>
      </c>
      <c r="F1262" s="7">
        <v>44440</v>
      </c>
      <c r="G1262" s="1" t="s">
        <v>16</v>
      </c>
      <c r="H1262" s="8">
        <v>13862004.050000001</v>
      </c>
      <c r="I1262" s="8">
        <v>9334846.1600000001</v>
      </c>
      <c r="J1262" s="1">
        <f>IF(COUNTIF($C$4:C1262,C1262)=1,1,0)</f>
        <v>1</v>
      </c>
      <c r="K1262" s="1">
        <f t="shared" si="19"/>
        <v>2021</v>
      </c>
    </row>
    <row r="1263" spans="2:11" x14ac:dyDescent="0.45">
      <c r="B1263" s="1" t="s">
        <v>11</v>
      </c>
      <c r="C1263" s="1" t="s">
        <v>1267</v>
      </c>
      <c r="D1263" s="7">
        <v>45355</v>
      </c>
      <c r="E1263" s="7">
        <v>45360</v>
      </c>
      <c r="F1263" s="7">
        <v>45539</v>
      </c>
      <c r="G1263" s="1" t="s">
        <v>44</v>
      </c>
      <c r="H1263" s="8">
        <v>274518008.19999999</v>
      </c>
      <c r="I1263" s="8">
        <v>107015464.73999999</v>
      </c>
      <c r="J1263" s="1">
        <f>IF(COUNTIF($C$4:C1263,C1263)=1,1,0)</f>
        <v>1</v>
      </c>
      <c r="K1263" s="1">
        <f t="shared" si="19"/>
        <v>2024</v>
      </c>
    </row>
    <row r="1264" spans="2:11" x14ac:dyDescent="0.45">
      <c r="B1264" s="1" t="s">
        <v>11</v>
      </c>
      <c r="C1264" s="1" t="s">
        <v>1268</v>
      </c>
      <c r="D1264" s="7">
        <v>45596</v>
      </c>
      <c r="E1264" s="7">
        <v>45621</v>
      </c>
      <c r="F1264" s="7">
        <v>45633</v>
      </c>
      <c r="G1264" s="1" t="s">
        <v>18</v>
      </c>
      <c r="H1264" s="8">
        <v>25865480.52</v>
      </c>
      <c r="I1264" s="8">
        <v>18978607.940000001</v>
      </c>
      <c r="J1264" s="1">
        <f>IF(COUNTIF($C$4:C1264,C1264)=1,1,0)</f>
        <v>1</v>
      </c>
      <c r="K1264" s="1">
        <f t="shared" si="19"/>
        <v>2024</v>
      </c>
    </row>
    <row r="1265" spans="2:11" x14ac:dyDescent="0.45">
      <c r="B1265" s="1" t="s">
        <v>11</v>
      </c>
      <c r="C1265" s="1" t="s">
        <v>1269</v>
      </c>
      <c r="D1265" s="7">
        <v>45773</v>
      </c>
      <c r="E1265" s="7">
        <v>45779</v>
      </c>
      <c r="F1265" s="7">
        <v>46001</v>
      </c>
      <c r="G1265" s="1" t="s">
        <v>16</v>
      </c>
      <c r="H1265" s="8">
        <v>897650.79</v>
      </c>
      <c r="I1265" s="8">
        <v>552101.73</v>
      </c>
      <c r="J1265" s="1">
        <f>IF(COUNTIF($C$4:C1265,C1265)=1,1,0)</f>
        <v>1</v>
      </c>
      <c r="K1265" s="1">
        <f t="shared" si="19"/>
        <v>2025</v>
      </c>
    </row>
    <row r="1266" spans="2:11" x14ac:dyDescent="0.45">
      <c r="B1266" s="1" t="s">
        <v>11</v>
      </c>
      <c r="C1266" s="1" t="s">
        <v>1270</v>
      </c>
      <c r="D1266" s="7">
        <v>45086</v>
      </c>
      <c r="E1266" s="7">
        <v>45092</v>
      </c>
      <c r="F1266" s="7">
        <v>45141</v>
      </c>
      <c r="G1266" s="1" t="s">
        <v>38</v>
      </c>
      <c r="H1266" s="8">
        <v>590224.63</v>
      </c>
      <c r="I1266" s="8">
        <v>412882.2</v>
      </c>
      <c r="J1266" s="1">
        <f>IF(COUNTIF($C$4:C1266,C1266)=1,1,0)</f>
        <v>1</v>
      </c>
      <c r="K1266" s="1">
        <f t="shared" si="19"/>
        <v>2023</v>
      </c>
    </row>
    <row r="1267" spans="2:11" x14ac:dyDescent="0.45">
      <c r="B1267" s="1" t="s">
        <v>11</v>
      </c>
      <c r="C1267" s="1" t="s">
        <v>1271</v>
      </c>
      <c r="D1267" s="7">
        <v>45699</v>
      </c>
      <c r="E1267" s="7">
        <v>45719</v>
      </c>
      <c r="F1267" s="7">
        <v>45747</v>
      </c>
      <c r="G1267" s="1" t="s">
        <v>212</v>
      </c>
      <c r="H1267" s="8">
        <v>3170811.43</v>
      </c>
      <c r="I1267" s="8">
        <v>1086151.98</v>
      </c>
      <c r="J1267" s="1">
        <f>IF(COUNTIF($C$4:C1267,C1267)=1,1,0)</f>
        <v>1</v>
      </c>
      <c r="K1267" s="1">
        <f t="shared" si="19"/>
        <v>2025</v>
      </c>
    </row>
    <row r="1268" spans="2:11" x14ac:dyDescent="0.45">
      <c r="B1268" s="1" t="s">
        <v>11</v>
      </c>
      <c r="C1268" s="1" t="s">
        <v>1272</v>
      </c>
      <c r="D1268" s="7">
        <v>45114</v>
      </c>
      <c r="E1268" s="7">
        <v>45141</v>
      </c>
      <c r="F1268" s="7">
        <v>45205</v>
      </c>
      <c r="G1268" s="1" t="s">
        <v>16</v>
      </c>
      <c r="H1268" s="8">
        <v>707677.39</v>
      </c>
      <c r="I1268" s="8">
        <v>475547.8</v>
      </c>
      <c r="J1268" s="1">
        <f>IF(COUNTIF($C$4:C1268,C1268)=1,1,0)</f>
        <v>1</v>
      </c>
      <c r="K1268" s="1">
        <f t="shared" si="19"/>
        <v>2023</v>
      </c>
    </row>
    <row r="1269" spans="2:11" x14ac:dyDescent="0.45">
      <c r="B1269" s="1" t="s">
        <v>11</v>
      </c>
      <c r="C1269" s="1" t="s">
        <v>1273</v>
      </c>
      <c r="D1269" s="7">
        <v>43799</v>
      </c>
      <c r="E1269" s="7">
        <v>43808</v>
      </c>
      <c r="F1269" s="7">
        <v>43937</v>
      </c>
      <c r="G1269" s="1" t="s">
        <v>41</v>
      </c>
      <c r="H1269" s="8">
        <v>631854.57999999996</v>
      </c>
      <c r="I1269" s="8">
        <v>485961.22</v>
      </c>
      <c r="J1269" s="1">
        <f>IF(COUNTIF($C$4:C1269,C1269)=1,1,0)</f>
        <v>1</v>
      </c>
      <c r="K1269" s="1">
        <f t="shared" si="19"/>
        <v>2019</v>
      </c>
    </row>
    <row r="1270" spans="2:11" x14ac:dyDescent="0.45">
      <c r="B1270" s="1" t="s">
        <v>11</v>
      </c>
      <c r="C1270" s="1" t="s">
        <v>1274</v>
      </c>
      <c r="D1270" s="7">
        <v>46090</v>
      </c>
      <c r="E1270" s="7">
        <v>46098</v>
      </c>
      <c r="F1270" s="7">
        <v>46182</v>
      </c>
      <c r="G1270" s="1" t="s">
        <v>20</v>
      </c>
      <c r="H1270" s="8">
        <v>896179.96</v>
      </c>
      <c r="I1270" s="8">
        <v>601972.31999999995</v>
      </c>
      <c r="J1270" s="1">
        <f>IF(COUNTIF($C$4:C1270,C1270)=1,1,0)</f>
        <v>1</v>
      </c>
      <c r="K1270" s="1">
        <f t="shared" si="19"/>
        <v>2026</v>
      </c>
    </row>
    <row r="1271" spans="2:11" x14ac:dyDescent="0.45">
      <c r="B1271" s="1" t="s">
        <v>11</v>
      </c>
      <c r="C1271" s="1" t="s">
        <v>1275</v>
      </c>
      <c r="D1271" s="7">
        <v>43912</v>
      </c>
      <c r="E1271" s="7">
        <v>43942</v>
      </c>
      <c r="F1271" s="7">
        <v>44124</v>
      </c>
      <c r="G1271" s="1" t="s">
        <v>20</v>
      </c>
      <c r="H1271" s="8">
        <v>1339436.5</v>
      </c>
      <c r="I1271" s="8">
        <v>789299.94</v>
      </c>
      <c r="J1271" s="1">
        <f>IF(COUNTIF($C$4:C1271,C1271)=1,1,0)</f>
        <v>1</v>
      </c>
      <c r="K1271" s="1">
        <f t="shared" si="19"/>
        <v>2020</v>
      </c>
    </row>
    <row r="1272" spans="2:11" x14ac:dyDescent="0.45">
      <c r="B1272" s="1" t="s">
        <v>11</v>
      </c>
      <c r="C1272" s="1" t="s">
        <v>1276</v>
      </c>
      <c r="D1272" s="7">
        <v>45195</v>
      </c>
      <c r="E1272" s="7">
        <v>45196</v>
      </c>
      <c r="F1272" s="7">
        <v>45382</v>
      </c>
      <c r="G1272" s="1" t="s">
        <v>20</v>
      </c>
      <c r="H1272" s="8">
        <v>146759794.33000001</v>
      </c>
      <c r="I1272" s="8">
        <v>82826192.719999999</v>
      </c>
      <c r="J1272" s="1">
        <f>IF(COUNTIF($C$4:C1272,C1272)=1,1,0)</f>
        <v>1</v>
      </c>
      <c r="K1272" s="1">
        <f t="shared" si="19"/>
        <v>2023</v>
      </c>
    </row>
    <row r="1273" spans="2:11" x14ac:dyDescent="0.45">
      <c r="B1273" s="1" t="s">
        <v>11</v>
      </c>
      <c r="C1273" s="1" t="s">
        <v>1277</v>
      </c>
      <c r="D1273" s="7">
        <v>45870</v>
      </c>
      <c r="E1273" s="7">
        <v>45884</v>
      </c>
      <c r="F1273" s="7">
        <v>45914</v>
      </c>
      <c r="G1273" s="1" t="s">
        <v>38</v>
      </c>
      <c r="H1273" s="8">
        <v>169379.58</v>
      </c>
      <c r="I1273" s="8">
        <v>113244.65</v>
      </c>
      <c r="J1273" s="1">
        <f>IF(COUNTIF($C$4:C1273,C1273)=1,1,0)</f>
        <v>1</v>
      </c>
      <c r="K1273" s="1">
        <f t="shared" si="19"/>
        <v>2025</v>
      </c>
    </row>
    <row r="1274" spans="2:11" x14ac:dyDescent="0.45">
      <c r="B1274" s="1" t="s">
        <v>11</v>
      </c>
      <c r="C1274" s="1" t="s">
        <v>1278</v>
      </c>
      <c r="D1274" s="7">
        <v>44268</v>
      </c>
      <c r="E1274" s="7">
        <v>44273</v>
      </c>
      <c r="F1274" s="7">
        <v>44382</v>
      </c>
      <c r="G1274" s="1" t="s">
        <v>212</v>
      </c>
      <c r="H1274" s="8">
        <v>78759760.379999995</v>
      </c>
      <c r="I1274" s="8">
        <v>39006518.549999997</v>
      </c>
      <c r="J1274" s="1">
        <f>IF(COUNTIF($C$4:C1274,C1274)=1,1,0)</f>
        <v>1</v>
      </c>
      <c r="K1274" s="1">
        <f t="shared" si="19"/>
        <v>2021</v>
      </c>
    </row>
    <row r="1275" spans="2:11" x14ac:dyDescent="0.45">
      <c r="B1275" s="1" t="s">
        <v>11</v>
      </c>
      <c r="C1275" s="1" t="s">
        <v>1279</v>
      </c>
      <c r="D1275" s="7">
        <v>45868</v>
      </c>
      <c r="E1275" s="7">
        <v>45869</v>
      </c>
      <c r="F1275" s="7">
        <v>45942</v>
      </c>
      <c r="G1275" s="1" t="s">
        <v>18</v>
      </c>
      <c r="H1275" s="8">
        <v>205275879.77000001</v>
      </c>
      <c r="I1275" s="8">
        <v>91854722.040000007</v>
      </c>
      <c r="J1275" s="1">
        <f>IF(COUNTIF($C$4:C1275,C1275)=1,1,0)</f>
        <v>1</v>
      </c>
      <c r="K1275" s="1">
        <f t="shared" si="19"/>
        <v>2025</v>
      </c>
    </row>
    <row r="1276" spans="2:11" x14ac:dyDescent="0.45">
      <c r="B1276" s="1" t="s">
        <v>11</v>
      </c>
      <c r="C1276" s="1" t="s">
        <v>1280</v>
      </c>
      <c r="D1276" s="7">
        <v>44975</v>
      </c>
      <c r="E1276" s="7">
        <v>44979</v>
      </c>
      <c r="F1276" s="7">
        <v>45073</v>
      </c>
      <c r="G1276" s="1" t="s">
        <v>20</v>
      </c>
      <c r="H1276" s="8">
        <v>6193978.6500000004</v>
      </c>
      <c r="I1276" s="8">
        <v>3781827.18</v>
      </c>
      <c r="J1276" s="1">
        <f>IF(COUNTIF($C$4:C1276,C1276)=1,1,0)</f>
        <v>1</v>
      </c>
      <c r="K1276" s="1">
        <f t="shared" si="19"/>
        <v>2023</v>
      </c>
    </row>
    <row r="1277" spans="2:11" x14ac:dyDescent="0.45">
      <c r="B1277" s="1" t="s">
        <v>11</v>
      </c>
      <c r="C1277" s="1" t="s">
        <v>1281</v>
      </c>
      <c r="D1277" s="7">
        <v>44349</v>
      </c>
      <c r="E1277" s="7">
        <v>44361</v>
      </c>
      <c r="F1277" s="7">
        <v>44501</v>
      </c>
      <c r="G1277" s="1" t="s">
        <v>16</v>
      </c>
      <c r="H1277" s="8">
        <v>143132.37</v>
      </c>
      <c r="I1277" s="8">
        <v>116119.91</v>
      </c>
      <c r="J1277" s="1">
        <f>IF(COUNTIF($C$4:C1277,C1277)=1,1,0)</f>
        <v>1</v>
      </c>
      <c r="K1277" s="1">
        <f t="shared" si="19"/>
        <v>2021</v>
      </c>
    </row>
    <row r="1278" spans="2:11" x14ac:dyDescent="0.45">
      <c r="B1278" s="1" t="s">
        <v>11</v>
      </c>
      <c r="C1278" s="1" t="s">
        <v>1282</v>
      </c>
      <c r="D1278" s="7">
        <v>43999</v>
      </c>
      <c r="E1278" s="7">
        <v>44001</v>
      </c>
      <c r="F1278" s="7">
        <v>44013</v>
      </c>
      <c r="G1278" s="1" t="s">
        <v>20</v>
      </c>
      <c r="H1278" s="8">
        <v>186437439.21000001</v>
      </c>
      <c r="I1278" s="8">
        <v>116486803.72</v>
      </c>
      <c r="J1278" s="1">
        <f>IF(COUNTIF($C$4:C1278,C1278)=1,1,0)</f>
        <v>1</v>
      </c>
      <c r="K1278" s="1">
        <f t="shared" si="19"/>
        <v>2020</v>
      </c>
    </row>
    <row r="1279" spans="2:11" x14ac:dyDescent="0.45">
      <c r="B1279" s="1" t="s">
        <v>11</v>
      </c>
      <c r="C1279" s="1" t="s">
        <v>1283</v>
      </c>
      <c r="D1279" s="7">
        <v>43546</v>
      </c>
      <c r="E1279" s="7">
        <v>43559</v>
      </c>
      <c r="F1279" s="7">
        <v>43582</v>
      </c>
      <c r="G1279" s="1" t="s">
        <v>22</v>
      </c>
      <c r="H1279" s="8">
        <v>19254454.960000001</v>
      </c>
      <c r="I1279" s="8">
        <v>9854275.4299999997</v>
      </c>
      <c r="J1279" s="1">
        <f>IF(COUNTIF($C$4:C1279,C1279)=1,1,0)</f>
        <v>1</v>
      </c>
      <c r="K1279" s="1">
        <f t="shared" si="19"/>
        <v>2019</v>
      </c>
    </row>
    <row r="1280" spans="2:11" x14ac:dyDescent="0.45">
      <c r="B1280" s="1" t="s">
        <v>11</v>
      </c>
      <c r="C1280" s="1" t="s">
        <v>1284</v>
      </c>
      <c r="D1280" s="7">
        <v>44608</v>
      </c>
      <c r="E1280" s="7">
        <v>44621</v>
      </c>
      <c r="F1280" s="7">
        <v>44784</v>
      </c>
      <c r="G1280" s="1" t="s">
        <v>212</v>
      </c>
      <c r="H1280" s="8">
        <v>52490842.369999997</v>
      </c>
      <c r="I1280" s="8">
        <v>30374841.210000001</v>
      </c>
      <c r="J1280" s="1">
        <f>IF(COUNTIF($C$4:C1280,C1280)=1,1,0)</f>
        <v>1</v>
      </c>
      <c r="K1280" s="1">
        <f t="shared" si="19"/>
        <v>2022</v>
      </c>
    </row>
    <row r="1281" spans="2:11" x14ac:dyDescent="0.45">
      <c r="B1281" s="1" t="s">
        <v>11</v>
      </c>
      <c r="C1281" s="1" t="s">
        <v>51</v>
      </c>
      <c r="D1281" s="7">
        <v>44479</v>
      </c>
      <c r="E1281" s="7">
        <v>44495</v>
      </c>
      <c r="F1281" s="7">
        <v>44720</v>
      </c>
      <c r="G1281" s="1" t="s">
        <v>16</v>
      </c>
      <c r="H1281" s="8">
        <v>1492901.09</v>
      </c>
      <c r="I1281" s="8">
        <v>800032.12</v>
      </c>
      <c r="J1281" s="1">
        <f>IF(COUNTIF($C$4:C1281,C1281)=1,1,0)</f>
        <v>0</v>
      </c>
      <c r="K1281" s="1">
        <f t="shared" si="19"/>
        <v>2021</v>
      </c>
    </row>
    <row r="1282" spans="2:11" x14ac:dyDescent="0.45">
      <c r="B1282" s="1" t="s">
        <v>11</v>
      </c>
      <c r="C1282" s="1" t="s">
        <v>1285</v>
      </c>
      <c r="D1282" s="7">
        <v>44332</v>
      </c>
      <c r="E1282" s="7">
        <v>44340</v>
      </c>
      <c r="F1282" s="7">
        <v>44514</v>
      </c>
      <c r="G1282" s="1" t="s">
        <v>16</v>
      </c>
      <c r="H1282" s="8">
        <v>3321166.39</v>
      </c>
      <c r="I1282" s="8">
        <v>2059998.61</v>
      </c>
      <c r="J1282" s="1">
        <f>IF(COUNTIF($C$4:C1282,C1282)=1,1,0)</f>
        <v>1</v>
      </c>
      <c r="K1282" s="1">
        <f t="shared" si="19"/>
        <v>2021</v>
      </c>
    </row>
    <row r="1283" spans="2:11" x14ac:dyDescent="0.45">
      <c r="B1283" s="1" t="s">
        <v>11</v>
      </c>
      <c r="C1283" s="1" t="s">
        <v>1286</v>
      </c>
      <c r="D1283" s="7">
        <v>43376</v>
      </c>
      <c r="E1283" s="7">
        <v>43400</v>
      </c>
      <c r="F1283" s="7">
        <v>43580</v>
      </c>
      <c r="G1283" s="1" t="s">
        <v>16</v>
      </c>
      <c r="H1283" s="8">
        <v>4130783.41</v>
      </c>
      <c r="I1283" s="8">
        <v>3272763.7</v>
      </c>
      <c r="J1283" s="1">
        <f>IF(COUNTIF($C$4:C1283,C1283)=1,1,0)</f>
        <v>1</v>
      </c>
      <c r="K1283" s="1">
        <f t="shared" si="19"/>
        <v>2018</v>
      </c>
    </row>
    <row r="1284" spans="2:11" x14ac:dyDescent="0.45">
      <c r="B1284" s="1" t="s">
        <v>11</v>
      </c>
      <c r="C1284" s="1" t="s">
        <v>1287</v>
      </c>
      <c r="D1284" s="7">
        <v>46106</v>
      </c>
      <c r="E1284" s="7">
        <v>46128</v>
      </c>
      <c r="F1284" s="7">
        <v>46167</v>
      </c>
      <c r="G1284" s="1" t="s">
        <v>38</v>
      </c>
      <c r="H1284" s="8">
        <v>800324.2</v>
      </c>
      <c r="I1284" s="8">
        <v>624069.07999999996</v>
      </c>
      <c r="J1284" s="1">
        <f>IF(COUNTIF($C$4:C1284,C1284)=1,1,0)</f>
        <v>1</v>
      </c>
      <c r="K1284" s="1">
        <f t="shared" si="19"/>
        <v>2026</v>
      </c>
    </row>
    <row r="1285" spans="2:11" x14ac:dyDescent="0.45">
      <c r="B1285" s="1" t="s">
        <v>11</v>
      </c>
      <c r="C1285" s="1" t="s">
        <v>1288</v>
      </c>
      <c r="D1285" s="7">
        <v>43806</v>
      </c>
      <c r="E1285" s="7">
        <v>43821</v>
      </c>
      <c r="F1285" s="7">
        <v>43847</v>
      </c>
      <c r="G1285" s="1" t="s">
        <v>22</v>
      </c>
      <c r="H1285" s="8">
        <v>8242214.8300000001</v>
      </c>
      <c r="I1285" s="8">
        <v>4956197.42</v>
      </c>
      <c r="J1285" s="1">
        <f>IF(COUNTIF($C$4:C1285,C1285)=1,1,0)</f>
        <v>1</v>
      </c>
      <c r="K1285" s="1">
        <f t="shared" ref="K1285:K1348" si="20">YEAR(D1285)</f>
        <v>2019</v>
      </c>
    </row>
    <row r="1286" spans="2:11" x14ac:dyDescent="0.45">
      <c r="B1286" s="1" t="s">
        <v>11</v>
      </c>
      <c r="C1286" s="1" t="s">
        <v>1289</v>
      </c>
      <c r="D1286" s="7">
        <v>43332</v>
      </c>
      <c r="E1286" s="7">
        <v>43355</v>
      </c>
      <c r="F1286" s="7">
        <v>43413</v>
      </c>
      <c r="G1286" s="1" t="s">
        <v>16</v>
      </c>
      <c r="H1286" s="8">
        <v>5719335.3200000003</v>
      </c>
      <c r="I1286" s="8">
        <v>4152422.72</v>
      </c>
      <c r="J1286" s="1">
        <f>IF(COUNTIF($C$4:C1286,C1286)=1,1,0)</f>
        <v>1</v>
      </c>
      <c r="K1286" s="1">
        <f t="shared" si="20"/>
        <v>2018</v>
      </c>
    </row>
    <row r="1287" spans="2:11" x14ac:dyDescent="0.45">
      <c r="B1287" s="1" t="s">
        <v>11</v>
      </c>
      <c r="C1287" s="1" t="s">
        <v>1290</v>
      </c>
      <c r="D1287" s="7">
        <v>44313</v>
      </c>
      <c r="E1287" s="7">
        <v>44325</v>
      </c>
      <c r="F1287" s="7">
        <v>44532</v>
      </c>
      <c r="G1287" s="1" t="s">
        <v>41</v>
      </c>
      <c r="H1287" s="8">
        <v>113706.38</v>
      </c>
      <c r="I1287" s="8">
        <v>89304.73</v>
      </c>
      <c r="J1287" s="1">
        <f>IF(COUNTIF($C$4:C1287,C1287)=1,1,0)</f>
        <v>1</v>
      </c>
      <c r="K1287" s="1">
        <f t="shared" si="20"/>
        <v>2021</v>
      </c>
    </row>
    <row r="1288" spans="2:11" x14ac:dyDescent="0.45">
      <c r="B1288" s="1" t="s">
        <v>11</v>
      </c>
      <c r="C1288" s="1" t="s">
        <v>1291</v>
      </c>
      <c r="D1288" s="7">
        <v>44192</v>
      </c>
      <c r="E1288" s="7">
        <v>44213</v>
      </c>
      <c r="F1288" s="7">
        <v>44223</v>
      </c>
      <c r="G1288" s="1" t="s">
        <v>16</v>
      </c>
      <c r="H1288" s="8">
        <v>845446.02</v>
      </c>
      <c r="I1288" s="8">
        <v>619607.17000000004</v>
      </c>
      <c r="J1288" s="1">
        <f>IF(COUNTIF($C$4:C1288,C1288)=1,1,0)</f>
        <v>1</v>
      </c>
      <c r="K1288" s="1">
        <f t="shared" si="20"/>
        <v>2020</v>
      </c>
    </row>
    <row r="1289" spans="2:11" x14ac:dyDescent="0.45">
      <c r="B1289" s="1" t="s">
        <v>11</v>
      </c>
      <c r="C1289" s="1" t="s">
        <v>1292</v>
      </c>
      <c r="D1289" s="7">
        <v>43896</v>
      </c>
      <c r="E1289" s="7">
        <v>43899</v>
      </c>
      <c r="F1289" s="7">
        <v>43924</v>
      </c>
      <c r="G1289" s="1" t="s">
        <v>41</v>
      </c>
      <c r="H1289" s="8">
        <v>17524.86</v>
      </c>
      <c r="I1289" s="8">
        <v>11403</v>
      </c>
      <c r="J1289" s="1">
        <f>IF(COUNTIF($C$4:C1289,C1289)=1,1,0)</f>
        <v>1</v>
      </c>
      <c r="K1289" s="1">
        <f t="shared" si="20"/>
        <v>2020</v>
      </c>
    </row>
    <row r="1290" spans="2:11" x14ac:dyDescent="0.45">
      <c r="B1290" s="1" t="s">
        <v>11</v>
      </c>
      <c r="C1290" s="1" t="s">
        <v>1293</v>
      </c>
      <c r="D1290" s="7">
        <v>44457</v>
      </c>
      <c r="E1290" s="7">
        <v>44474</v>
      </c>
      <c r="F1290" s="7">
        <v>44553</v>
      </c>
      <c r="G1290" s="1" t="s">
        <v>16</v>
      </c>
      <c r="H1290" s="8">
        <v>3498963.99</v>
      </c>
      <c r="I1290" s="8">
        <v>2176583.88</v>
      </c>
      <c r="J1290" s="1">
        <f>IF(COUNTIF($C$4:C1290,C1290)=1,1,0)</f>
        <v>1</v>
      </c>
      <c r="K1290" s="1">
        <f t="shared" si="20"/>
        <v>2021</v>
      </c>
    </row>
    <row r="1291" spans="2:11" x14ac:dyDescent="0.45">
      <c r="B1291" s="1" t="s">
        <v>11</v>
      </c>
      <c r="C1291" s="1" t="s">
        <v>1294</v>
      </c>
      <c r="D1291" s="7">
        <v>44375</v>
      </c>
      <c r="E1291" s="7">
        <v>44397</v>
      </c>
      <c r="F1291" s="7">
        <v>44604</v>
      </c>
      <c r="G1291" s="1" t="s">
        <v>18</v>
      </c>
      <c r="H1291" s="8">
        <v>12207557.949999999</v>
      </c>
      <c r="I1291" s="8">
        <v>5459382.6799999997</v>
      </c>
      <c r="J1291" s="1">
        <f>IF(COUNTIF($C$4:C1291,C1291)=1,1,0)</f>
        <v>1</v>
      </c>
      <c r="K1291" s="1">
        <f t="shared" si="20"/>
        <v>2021</v>
      </c>
    </row>
    <row r="1292" spans="2:11" x14ac:dyDescent="0.45">
      <c r="B1292" s="1" t="s">
        <v>11</v>
      </c>
      <c r="C1292" s="1" t="s">
        <v>1295</v>
      </c>
      <c r="D1292" s="7">
        <v>45137</v>
      </c>
      <c r="E1292" s="7">
        <v>45139</v>
      </c>
      <c r="F1292" s="7">
        <v>45181</v>
      </c>
      <c r="G1292" s="1" t="s">
        <v>20</v>
      </c>
      <c r="H1292" s="8">
        <v>89921850.680000007</v>
      </c>
      <c r="I1292" s="8">
        <v>30009831.469999999</v>
      </c>
      <c r="J1292" s="1">
        <f>IF(COUNTIF($C$4:C1292,C1292)=1,1,0)</f>
        <v>1</v>
      </c>
      <c r="K1292" s="1">
        <f t="shared" si="20"/>
        <v>2023</v>
      </c>
    </row>
    <row r="1293" spans="2:11" x14ac:dyDescent="0.45">
      <c r="B1293" s="1" t="s">
        <v>11</v>
      </c>
      <c r="C1293" s="1" t="s">
        <v>1296</v>
      </c>
      <c r="D1293" s="7">
        <v>44040</v>
      </c>
      <c r="E1293" s="7">
        <v>44069</v>
      </c>
      <c r="F1293" s="7">
        <v>44122</v>
      </c>
      <c r="G1293" s="1" t="s">
        <v>212</v>
      </c>
      <c r="H1293" s="8">
        <v>4664610.72</v>
      </c>
      <c r="I1293" s="8">
        <v>3097479.8</v>
      </c>
      <c r="J1293" s="1">
        <f>IF(COUNTIF($C$4:C1293,C1293)=1,1,0)</f>
        <v>1</v>
      </c>
      <c r="K1293" s="1">
        <f t="shared" si="20"/>
        <v>2020</v>
      </c>
    </row>
    <row r="1294" spans="2:11" x14ac:dyDescent="0.45">
      <c r="B1294" s="1" t="s">
        <v>11</v>
      </c>
      <c r="C1294" s="1" t="s">
        <v>1297</v>
      </c>
      <c r="D1294" s="7">
        <v>43862</v>
      </c>
      <c r="E1294" s="7">
        <v>43863</v>
      </c>
      <c r="F1294" s="7">
        <v>43992</v>
      </c>
      <c r="G1294" s="1" t="s">
        <v>41</v>
      </c>
      <c r="H1294" s="8">
        <v>542970.56999999995</v>
      </c>
      <c r="I1294" s="8">
        <v>471574.4</v>
      </c>
      <c r="J1294" s="1">
        <f>IF(COUNTIF($C$4:C1294,C1294)=1,1,0)</f>
        <v>1</v>
      </c>
      <c r="K1294" s="1">
        <f t="shared" si="20"/>
        <v>2020</v>
      </c>
    </row>
    <row r="1295" spans="2:11" x14ac:dyDescent="0.45">
      <c r="B1295" s="1" t="s">
        <v>11</v>
      </c>
      <c r="C1295" s="1" t="s">
        <v>1298</v>
      </c>
      <c r="D1295" s="7">
        <v>45935</v>
      </c>
      <c r="E1295" s="7">
        <v>45947</v>
      </c>
      <c r="F1295" s="7">
        <v>46164</v>
      </c>
      <c r="G1295" s="1" t="s">
        <v>41</v>
      </c>
      <c r="H1295" s="8">
        <v>451591.36</v>
      </c>
      <c r="I1295" s="8">
        <v>360627.9</v>
      </c>
      <c r="J1295" s="1">
        <f>IF(COUNTIF($C$4:C1295,C1295)=1,1,0)</f>
        <v>1</v>
      </c>
      <c r="K1295" s="1">
        <f t="shared" si="20"/>
        <v>2025</v>
      </c>
    </row>
    <row r="1296" spans="2:11" x14ac:dyDescent="0.45">
      <c r="B1296" s="1" t="s">
        <v>11</v>
      </c>
      <c r="C1296" s="1" t="s">
        <v>1299</v>
      </c>
      <c r="D1296" s="7">
        <v>43774</v>
      </c>
      <c r="E1296" s="7">
        <v>43799</v>
      </c>
      <c r="F1296" s="7">
        <v>44018</v>
      </c>
      <c r="G1296" s="1" t="s">
        <v>20</v>
      </c>
      <c r="H1296" s="8">
        <v>52314118.310000002</v>
      </c>
      <c r="I1296" s="8">
        <v>33405415.379999999</v>
      </c>
      <c r="J1296" s="1">
        <f>IF(COUNTIF($C$4:C1296,C1296)=1,1,0)</f>
        <v>1</v>
      </c>
      <c r="K1296" s="1">
        <f t="shared" si="20"/>
        <v>2019</v>
      </c>
    </row>
    <row r="1297" spans="2:11" x14ac:dyDescent="0.45">
      <c r="B1297" s="1" t="s">
        <v>11</v>
      </c>
      <c r="C1297" s="1" t="s">
        <v>1300</v>
      </c>
      <c r="D1297" s="7">
        <v>45574</v>
      </c>
      <c r="E1297" s="7">
        <v>45585</v>
      </c>
      <c r="F1297" s="7">
        <v>45633</v>
      </c>
      <c r="G1297" s="1" t="s">
        <v>41</v>
      </c>
      <c r="H1297" s="8">
        <v>676333.77</v>
      </c>
      <c r="I1297" s="8">
        <v>445390.14</v>
      </c>
      <c r="J1297" s="1">
        <f>IF(COUNTIF($C$4:C1297,C1297)=1,1,0)</f>
        <v>1</v>
      </c>
      <c r="K1297" s="1">
        <f t="shared" si="20"/>
        <v>2024</v>
      </c>
    </row>
    <row r="1298" spans="2:11" x14ac:dyDescent="0.45">
      <c r="B1298" s="1" t="s">
        <v>11</v>
      </c>
      <c r="C1298" s="1" t="s">
        <v>1301</v>
      </c>
      <c r="D1298" s="7">
        <v>45787</v>
      </c>
      <c r="E1298" s="7">
        <v>45809</v>
      </c>
      <c r="F1298" s="7">
        <v>45871</v>
      </c>
      <c r="G1298" s="1" t="s">
        <v>22</v>
      </c>
      <c r="H1298" s="8">
        <v>20637224.43</v>
      </c>
      <c r="I1298" s="8">
        <v>14449635.99</v>
      </c>
      <c r="J1298" s="1">
        <f>IF(COUNTIF($C$4:C1298,C1298)=1,1,0)</f>
        <v>1</v>
      </c>
      <c r="K1298" s="1">
        <f t="shared" si="20"/>
        <v>2025</v>
      </c>
    </row>
    <row r="1299" spans="2:11" x14ac:dyDescent="0.45">
      <c r="B1299" s="1" t="s">
        <v>11</v>
      </c>
      <c r="C1299" s="1" t="s">
        <v>1302</v>
      </c>
      <c r="D1299" s="7">
        <v>43324</v>
      </c>
      <c r="E1299" s="7">
        <v>43353</v>
      </c>
      <c r="F1299" s="7">
        <v>43379</v>
      </c>
      <c r="G1299" s="1" t="s">
        <v>41</v>
      </c>
      <c r="H1299" s="8">
        <v>417288.56</v>
      </c>
      <c r="I1299" s="8">
        <v>358076.98</v>
      </c>
      <c r="J1299" s="1">
        <f>IF(COUNTIF($C$4:C1299,C1299)=1,1,0)</f>
        <v>1</v>
      </c>
      <c r="K1299" s="1">
        <f t="shared" si="20"/>
        <v>2018</v>
      </c>
    </row>
    <row r="1300" spans="2:11" x14ac:dyDescent="0.45">
      <c r="B1300" s="1" t="s">
        <v>11</v>
      </c>
      <c r="C1300" s="1" t="s">
        <v>1303</v>
      </c>
      <c r="D1300" s="7">
        <v>43837</v>
      </c>
      <c r="E1300" s="7">
        <v>43854</v>
      </c>
      <c r="F1300" s="7">
        <v>43944</v>
      </c>
      <c r="G1300" s="1" t="s">
        <v>18</v>
      </c>
      <c r="H1300" s="8">
        <v>135712739.28999999</v>
      </c>
      <c r="I1300" s="8">
        <v>56978226.969999999</v>
      </c>
      <c r="J1300" s="1">
        <f>IF(COUNTIF($C$4:C1300,C1300)=1,1,0)</f>
        <v>1</v>
      </c>
      <c r="K1300" s="1">
        <f t="shared" si="20"/>
        <v>2020</v>
      </c>
    </row>
    <row r="1301" spans="2:11" x14ac:dyDescent="0.45">
      <c r="B1301" s="1" t="s">
        <v>11</v>
      </c>
      <c r="C1301" s="1" t="s">
        <v>1304</v>
      </c>
      <c r="D1301" s="7">
        <v>45081</v>
      </c>
      <c r="E1301" s="7">
        <v>45101</v>
      </c>
      <c r="F1301" s="7">
        <v>45233</v>
      </c>
      <c r="G1301" s="1" t="s">
        <v>22</v>
      </c>
      <c r="H1301" s="8">
        <v>33915711.649999999</v>
      </c>
      <c r="I1301" s="8">
        <v>25147005.609999999</v>
      </c>
      <c r="J1301" s="1">
        <f>IF(COUNTIF($C$4:C1301,C1301)=1,1,0)</f>
        <v>1</v>
      </c>
      <c r="K1301" s="1">
        <f t="shared" si="20"/>
        <v>2023</v>
      </c>
    </row>
    <row r="1302" spans="2:11" x14ac:dyDescent="0.45">
      <c r="B1302" s="1" t="s">
        <v>11</v>
      </c>
      <c r="C1302" s="1" t="s">
        <v>1305</v>
      </c>
      <c r="D1302" s="7">
        <v>45447</v>
      </c>
      <c r="E1302" s="7">
        <v>45452</v>
      </c>
      <c r="F1302" s="7">
        <v>45617</v>
      </c>
      <c r="G1302" s="1" t="s">
        <v>20</v>
      </c>
      <c r="H1302" s="8">
        <v>31494650.379999999</v>
      </c>
      <c r="I1302" s="8">
        <v>14722369.91</v>
      </c>
      <c r="J1302" s="1">
        <f>IF(COUNTIF($C$4:C1302,C1302)=1,1,0)</f>
        <v>1</v>
      </c>
      <c r="K1302" s="1">
        <f t="shared" si="20"/>
        <v>2024</v>
      </c>
    </row>
    <row r="1303" spans="2:11" x14ac:dyDescent="0.45">
      <c r="B1303" s="1" t="s">
        <v>11</v>
      </c>
      <c r="C1303" s="1" t="s">
        <v>1306</v>
      </c>
      <c r="D1303" s="7">
        <v>43961</v>
      </c>
      <c r="E1303" s="7">
        <v>43965</v>
      </c>
      <c r="F1303" s="7">
        <v>44156</v>
      </c>
      <c r="G1303" s="1" t="s">
        <v>20</v>
      </c>
      <c r="H1303" s="8">
        <v>68565956.359999999</v>
      </c>
      <c r="I1303" s="8">
        <v>29158078.620000001</v>
      </c>
      <c r="J1303" s="1">
        <f>IF(COUNTIF($C$4:C1303,C1303)=1,1,0)</f>
        <v>1</v>
      </c>
      <c r="K1303" s="1">
        <f t="shared" si="20"/>
        <v>2020</v>
      </c>
    </row>
    <row r="1304" spans="2:11" x14ac:dyDescent="0.45">
      <c r="B1304" s="1" t="s">
        <v>11</v>
      </c>
      <c r="C1304" s="1" t="s">
        <v>1307</v>
      </c>
      <c r="D1304" s="7">
        <v>44053</v>
      </c>
      <c r="E1304" s="7">
        <v>44060</v>
      </c>
      <c r="F1304" s="7">
        <v>44270</v>
      </c>
      <c r="G1304" s="1" t="s">
        <v>38</v>
      </c>
      <c r="H1304" s="8">
        <v>1500207.45</v>
      </c>
      <c r="I1304" s="8">
        <v>1196923.54</v>
      </c>
      <c r="J1304" s="1">
        <f>IF(COUNTIF($C$4:C1304,C1304)=1,1,0)</f>
        <v>1</v>
      </c>
      <c r="K1304" s="1">
        <f t="shared" si="20"/>
        <v>2020</v>
      </c>
    </row>
    <row r="1305" spans="2:11" x14ac:dyDescent="0.45">
      <c r="B1305" s="1" t="s">
        <v>11</v>
      </c>
      <c r="C1305" s="1" t="s">
        <v>1308</v>
      </c>
      <c r="D1305" s="7">
        <v>43868</v>
      </c>
      <c r="E1305" s="7">
        <v>43882</v>
      </c>
      <c r="F1305" s="7">
        <v>44009</v>
      </c>
      <c r="G1305" s="1" t="s">
        <v>41</v>
      </c>
      <c r="H1305" s="8">
        <v>97994.45</v>
      </c>
      <c r="I1305" s="8">
        <v>70479.009999999995</v>
      </c>
      <c r="J1305" s="1">
        <f>IF(COUNTIF($C$4:C1305,C1305)=1,1,0)</f>
        <v>1</v>
      </c>
      <c r="K1305" s="1">
        <f t="shared" si="20"/>
        <v>2020</v>
      </c>
    </row>
    <row r="1306" spans="2:11" x14ac:dyDescent="0.45">
      <c r="B1306" s="1" t="s">
        <v>11</v>
      </c>
      <c r="C1306" s="1" t="s">
        <v>1309</v>
      </c>
      <c r="D1306" s="7">
        <v>45395</v>
      </c>
      <c r="E1306" s="7">
        <v>45398</v>
      </c>
      <c r="F1306" s="7">
        <v>45443</v>
      </c>
      <c r="G1306" s="1" t="s">
        <v>20</v>
      </c>
      <c r="H1306" s="8">
        <v>298910.21999999997</v>
      </c>
      <c r="I1306" s="8">
        <v>194908.82</v>
      </c>
      <c r="J1306" s="1">
        <f>IF(COUNTIF($C$4:C1306,C1306)=1,1,0)</f>
        <v>1</v>
      </c>
      <c r="K1306" s="1">
        <f t="shared" si="20"/>
        <v>2024</v>
      </c>
    </row>
    <row r="1307" spans="2:11" x14ac:dyDescent="0.45">
      <c r="B1307" s="1" t="s">
        <v>11</v>
      </c>
      <c r="C1307" s="1" t="s">
        <v>1310</v>
      </c>
      <c r="D1307" s="7">
        <v>44354</v>
      </c>
      <c r="E1307" s="7">
        <v>44357</v>
      </c>
      <c r="F1307" s="7">
        <v>44392</v>
      </c>
      <c r="G1307" s="1" t="s">
        <v>38</v>
      </c>
      <c r="H1307" s="8">
        <v>53428.72</v>
      </c>
      <c r="I1307" s="8">
        <v>44064.35</v>
      </c>
      <c r="J1307" s="1">
        <f>IF(COUNTIF($C$4:C1307,C1307)=1,1,0)</f>
        <v>1</v>
      </c>
      <c r="K1307" s="1">
        <f t="shared" si="20"/>
        <v>2021</v>
      </c>
    </row>
    <row r="1308" spans="2:11" x14ac:dyDescent="0.45">
      <c r="B1308" s="1" t="s">
        <v>11</v>
      </c>
      <c r="C1308" s="1" t="s">
        <v>1311</v>
      </c>
      <c r="D1308" s="7">
        <v>45709</v>
      </c>
      <c r="E1308" s="7">
        <v>45723</v>
      </c>
      <c r="F1308" s="7">
        <v>45730</v>
      </c>
      <c r="G1308" s="1" t="s">
        <v>16</v>
      </c>
      <c r="H1308" s="8">
        <v>1131660.51</v>
      </c>
      <c r="I1308" s="8">
        <v>767056.17</v>
      </c>
      <c r="J1308" s="1">
        <f>IF(COUNTIF($C$4:C1308,C1308)=1,1,0)</f>
        <v>1</v>
      </c>
      <c r="K1308" s="1">
        <f t="shared" si="20"/>
        <v>2025</v>
      </c>
    </row>
    <row r="1309" spans="2:11" x14ac:dyDescent="0.45">
      <c r="B1309" s="1" t="s">
        <v>11</v>
      </c>
      <c r="C1309" s="1" t="s">
        <v>1312</v>
      </c>
      <c r="D1309" s="7">
        <v>44583</v>
      </c>
      <c r="E1309" s="7">
        <v>44604</v>
      </c>
      <c r="F1309" s="7">
        <v>44715</v>
      </c>
      <c r="G1309" s="1" t="s">
        <v>22</v>
      </c>
      <c r="H1309" s="8">
        <v>12896010.75</v>
      </c>
      <c r="I1309" s="8">
        <v>9756214.6099999994</v>
      </c>
      <c r="J1309" s="1">
        <f>IF(COUNTIF($C$4:C1309,C1309)=1,1,0)</f>
        <v>1</v>
      </c>
      <c r="K1309" s="1">
        <f t="shared" si="20"/>
        <v>2022</v>
      </c>
    </row>
    <row r="1310" spans="2:11" x14ac:dyDescent="0.45">
      <c r="B1310" s="1" t="s">
        <v>11</v>
      </c>
      <c r="C1310" s="1" t="s">
        <v>1313</v>
      </c>
      <c r="D1310" s="7">
        <v>43502</v>
      </c>
      <c r="E1310" s="7">
        <v>43529</v>
      </c>
      <c r="F1310" s="7">
        <v>43713</v>
      </c>
      <c r="G1310" s="1" t="s">
        <v>44</v>
      </c>
      <c r="H1310" s="8">
        <v>102844514.53</v>
      </c>
      <c r="I1310" s="8">
        <v>62766494.880000003</v>
      </c>
      <c r="J1310" s="1">
        <f>IF(COUNTIF($C$4:C1310,C1310)=1,1,0)</f>
        <v>1</v>
      </c>
      <c r="K1310" s="1">
        <f t="shared" si="20"/>
        <v>2019</v>
      </c>
    </row>
    <row r="1311" spans="2:11" x14ac:dyDescent="0.45">
      <c r="B1311" s="1" t="s">
        <v>11</v>
      </c>
      <c r="C1311" s="1" t="s">
        <v>1314</v>
      </c>
      <c r="D1311" s="7">
        <v>44338</v>
      </c>
      <c r="E1311" s="7">
        <v>44351</v>
      </c>
      <c r="F1311" s="7">
        <v>44432</v>
      </c>
      <c r="G1311" s="1" t="s">
        <v>22</v>
      </c>
      <c r="H1311" s="8">
        <v>5475865.9100000001</v>
      </c>
      <c r="I1311" s="8">
        <v>4150782.76</v>
      </c>
      <c r="J1311" s="1">
        <f>IF(COUNTIF($C$4:C1311,C1311)=1,1,0)</f>
        <v>1</v>
      </c>
      <c r="K1311" s="1">
        <f t="shared" si="20"/>
        <v>2021</v>
      </c>
    </row>
    <row r="1312" spans="2:11" x14ac:dyDescent="0.45">
      <c r="B1312" s="1" t="s">
        <v>11</v>
      </c>
      <c r="C1312" s="1" t="s">
        <v>1315</v>
      </c>
      <c r="D1312" s="7">
        <v>44901</v>
      </c>
      <c r="E1312" s="7">
        <v>44921</v>
      </c>
      <c r="F1312" s="7">
        <v>45140</v>
      </c>
      <c r="G1312" s="1" t="s">
        <v>22</v>
      </c>
      <c r="H1312" s="8">
        <v>76380309.170000002</v>
      </c>
      <c r="I1312" s="8">
        <v>47711778.380000003</v>
      </c>
      <c r="J1312" s="1">
        <f>IF(COUNTIF($C$4:C1312,C1312)=1,1,0)</f>
        <v>1</v>
      </c>
      <c r="K1312" s="1">
        <f t="shared" si="20"/>
        <v>2022</v>
      </c>
    </row>
    <row r="1313" spans="2:11" x14ac:dyDescent="0.45">
      <c r="B1313" s="1" t="s">
        <v>11</v>
      </c>
      <c r="C1313" s="1" t="s">
        <v>1316</v>
      </c>
      <c r="D1313" s="7">
        <v>45599</v>
      </c>
      <c r="E1313" s="7">
        <v>45627</v>
      </c>
      <c r="F1313" s="7">
        <v>45795</v>
      </c>
      <c r="G1313" s="1" t="s">
        <v>22</v>
      </c>
      <c r="H1313" s="8">
        <v>5885727.4000000004</v>
      </c>
      <c r="I1313" s="8">
        <v>3562064.56</v>
      </c>
      <c r="J1313" s="1">
        <f>IF(COUNTIF($C$4:C1313,C1313)=1,1,0)</f>
        <v>1</v>
      </c>
      <c r="K1313" s="1">
        <f t="shared" si="20"/>
        <v>2024</v>
      </c>
    </row>
    <row r="1314" spans="2:11" x14ac:dyDescent="0.45">
      <c r="B1314" s="1" t="s">
        <v>11</v>
      </c>
      <c r="C1314" s="1" t="s">
        <v>1317</v>
      </c>
      <c r="D1314" s="7">
        <v>46094</v>
      </c>
      <c r="E1314" s="7">
        <v>46107</v>
      </c>
      <c r="F1314" s="7">
        <v>46249</v>
      </c>
      <c r="G1314" s="1" t="s">
        <v>44</v>
      </c>
      <c r="H1314" s="8">
        <v>44885899.740000002</v>
      </c>
      <c r="I1314" s="8">
        <v>31814690.600000001</v>
      </c>
      <c r="J1314" s="1">
        <f>IF(COUNTIF($C$4:C1314,C1314)=1,1,0)</f>
        <v>1</v>
      </c>
      <c r="K1314" s="1">
        <f t="shared" si="20"/>
        <v>2026</v>
      </c>
    </row>
    <row r="1315" spans="2:11" x14ac:dyDescent="0.45">
      <c r="B1315" s="1" t="s">
        <v>11</v>
      </c>
      <c r="C1315" s="1" t="s">
        <v>1318</v>
      </c>
      <c r="D1315" s="7">
        <v>44709</v>
      </c>
      <c r="E1315" s="7">
        <v>44726</v>
      </c>
      <c r="F1315" s="7">
        <v>44928</v>
      </c>
      <c r="G1315" s="1" t="s">
        <v>20</v>
      </c>
      <c r="H1315" s="8">
        <v>39004062.329999998</v>
      </c>
      <c r="I1315" s="8">
        <v>19728539.120000001</v>
      </c>
      <c r="J1315" s="1">
        <f>IF(COUNTIF($C$4:C1315,C1315)=1,1,0)</f>
        <v>1</v>
      </c>
      <c r="K1315" s="1">
        <f t="shared" si="20"/>
        <v>2022</v>
      </c>
    </row>
    <row r="1316" spans="2:11" x14ac:dyDescent="0.45">
      <c r="B1316" s="1" t="s">
        <v>11</v>
      </c>
      <c r="C1316" s="1" t="s">
        <v>1319</v>
      </c>
      <c r="D1316" s="7">
        <v>46363</v>
      </c>
      <c r="E1316" s="7">
        <v>46383</v>
      </c>
      <c r="F1316" s="7">
        <v>46613</v>
      </c>
      <c r="G1316" s="1" t="s">
        <v>41</v>
      </c>
      <c r="H1316" s="8">
        <v>114008.82</v>
      </c>
      <c r="I1316" s="8">
        <v>97043.39</v>
      </c>
      <c r="J1316" s="1">
        <f>IF(COUNTIF($C$4:C1316,C1316)=1,1,0)</f>
        <v>1</v>
      </c>
      <c r="K1316" s="1">
        <f t="shared" si="20"/>
        <v>2026</v>
      </c>
    </row>
    <row r="1317" spans="2:11" x14ac:dyDescent="0.45">
      <c r="B1317" s="1" t="s">
        <v>11</v>
      </c>
      <c r="C1317" s="1" t="s">
        <v>1320</v>
      </c>
      <c r="D1317" s="7">
        <v>45229</v>
      </c>
      <c r="E1317" s="7">
        <v>45239</v>
      </c>
      <c r="F1317" s="7">
        <v>45393</v>
      </c>
      <c r="G1317" s="1" t="s">
        <v>22</v>
      </c>
      <c r="H1317" s="8">
        <v>6518963.7300000004</v>
      </c>
      <c r="I1317" s="8">
        <v>4069629</v>
      </c>
      <c r="J1317" s="1">
        <f>IF(COUNTIF($C$4:C1317,C1317)=1,1,0)</f>
        <v>1</v>
      </c>
      <c r="K1317" s="1">
        <f t="shared" si="20"/>
        <v>2023</v>
      </c>
    </row>
    <row r="1318" spans="2:11" x14ac:dyDescent="0.45">
      <c r="B1318" s="1" t="s">
        <v>11</v>
      </c>
      <c r="C1318" s="1" t="s">
        <v>1321</v>
      </c>
      <c r="D1318" s="7">
        <v>44019</v>
      </c>
      <c r="E1318" s="7">
        <v>44031</v>
      </c>
      <c r="F1318" s="7">
        <v>44249</v>
      </c>
      <c r="G1318" s="1" t="s">
        <v>18</v>
      </c>
      <c r="H1318" s="8">
        <v>61263403.729999997</v>
      </c>
      <c r="I1318" s="8">
        <v>29856897.48</v>
      </c>
      <c r="J1318" s="1">
        <f>IF(COUNTIF($C$4:C1318,C1318)=1,1,0)</f>
        <v>1</v>
      </c>
      <c r="K1318" s="1">
        <f t="shared" si="20"/>
        <v>2020</v>
      </c>
    </row>
    <row r="1319" spans="2:11" x14ac:dyDescent="0.45">
      <c r="B1319" s="1" t="s">
        <v>11</v>
      </c>
      <c r="C1319" s="1" t="s">
        <v>1322</v>
      </c>
      <c r="D1319" s="7">
        <v>43818</v>
      </c>
      <c r="E1319" s="7">
        <v>43827</v>
      </c>
      <c r="F1319" s="7">
        <v>44035</v>
      </c>
      <c r="G1319" s="1" t="s">
        <v>212</v>
      </c>
      <c r="H1319" s="8">
        <v>17714864.879999999</v>
      </c>
      <c r="I1319" s="8">
        <v>9166165.8800000008</v>
      </c>
      <c r="J1319" s="1">
        <f>IF(COUNTIF($C$4:C1319,C1319)=1,1,0)</f>
        <v>1</v>
      </c>
      <c r="K1319" s="1">
        <f t="shared" si="20"/>
        <v>2019</v>
      </c>
    </row>
    <row r="1320" spans="2:11" x14ac:dyDescent="0.45">
      <c r="B1320" s="1" t="s">
        <v>11</v>
      </c>
      <c r="C1320" s="1" t="s">
        <v>1323</v>
      </c>
      <c r="D1320" s="7">
        <v>45312</v>
      </c>
      <c r="E1320" s="7">
        <v>45320</v>
      </c>
      <c r="F1320" s="7">
        <v>45330</v>
      </c>
      <c r="G1320" s="1" t="s">
        <v>38</v>
      </c>
      <c r="H1320" s="8">
        <v>285301.43</v>
      </c>
      <c r="I1320" s="8">
        <v>209937.28</v>
      </c>
      <c r="J1320" s="1">
        <f>IF(COUNTIF($C$4:C1320,C1320)=1,1,0)</f>
        <v>1</v>
      </c>
      <c r="K1320" s="1">
        <f t="shared" si="20"/>
        <v>2024</v>
      </c>
    </row>
    <row r="1321" spans="2:11" x14ac:dyDescent="0.45">
      <c r="B1321" s="1" t="s">
        <v>11</v>
      </c>
      <c r="C1321" s="1" t="s">
        <v>1324</v>
      </c>
      <c r="D1321" s="7">
        <v>45742</v>
      </c>
      <c r="E1321" s="7">
        <v>45760</v>
      </c>
      <c r="F1321" s="7">
        <v>45813</v>
      </c>
      <c r="G1321" s="1" t="s">
        <v>20</v>
      </c>
      <c r="H1321" s="8">
        <v>882394.63</v>
      </c>
      <c r="I1321" s="8">
        <v>558830.25</v>
      </c>
      <c r="J1321" s="1">
        <f>IF(COUNTIF($C$4:C1321,C1321)=1,1,0)</f>
        <v>1</v>
      </c>
      <c r="K1321" s="1">
        <f t="shared" si="20"/>
        <v>2025</v>
      </c>
    </row>
    <row r="1322" spans="2:11" x14ac:dyDescent="0.45">
      <c r="B1322" s="1" t="s">
        <v>11</v>
      </c>
      <c r="C1322" s="1" t="s">
        <v>1325</v>
      </c>
      <c r="D1322" s="7">
        <v>43360</v>
      </c>
      <c r="E1322" s="7">
        <v>43386</v>
      </c>
      <c r="F1322" s="7">
        <v>43532</v>
      </c>
      <c r="G1322" s="1" t="s">
        <v>20</v>
      </c>
      <c r="H1322" s="8">
        <v>372467.26</v>
      </c>
      <c r="I1322" s="8">
        <v>307291.18</v>
      </c>
      <c r="J1322" s="1">
        <f>IF(COUNTIF($C$4:C1322,C1322)=1,1,0)</f>
        <v>1</v>
      </c>
      <c r="K1322" s="1">
        <f t="shared" si="20"/>
        <v>2018</v>
      </c>
    </row>
    <row r="1323" spans="2:11" x14ac:dyDescent="0.45">
      <c r="B1323" s="1" t="s">
        <v>11</v>
      </c>
      <c r="C1323" s="1" t="s">
        <v>1326</v>
      </c>
      <c r="D1323" s="7">
        <v>45364</v>
      </c>
      <c r="E1323" s="7">
        <v>45370</v>
      </c>
      <c r="F1323" s="7">
        <v>45448</v>
      </c>
      <c r="G1323" s="1" t="s">
        <v>20</v>
      </c>
      <c r="H1323" s="8">
        <v>72782374.909999996</v>
      </c>
      <c r="I1323" s="8">
        <v>47992995.409999996</v>
      </c>
      <c r="J1323" s="1">
        <f>IF(COUNTIF($C$4:C1323,C1323)=1,1,0)</f>
        <v>1</v>
      </c>
      <c r="K1323" s="1">
        <f t="shared" si="20"/>
        <v>2024</v>
      </c>
    </row>
    <row r="1324" spans="2:11" x14ac:dyDescent="0.45">
      <c r="B1324" s="1" t="s">
        <v>11</v>
      </c>
      <c r="C1324" s="1" t="s">
        <v>1327</v>
      </c>
      <c r="D1324" s="7">
        <v>45547</v>
      </c>
      <c r="E1324" s="7">
        <v>45560</v>
      </c>
      <c r="F1324" s="7">
        <v>45646</v>
      </c>
      <c r="G1324" s="1" t="s">
        <v>16</v>
      </c>
      <c r="H1324" s="8">
        <v>136307.49</v>
      </c>
      <c r="I1324" s="8">
        <v>105220.58</v>
      </c>
      <c r="J1324" s="1">
        <f>IF(COUNTIF($C$4:C1324,C1324)=1,1,0)</f>
        <v>1</v>
      </c>
      <c r="K1324" s="1">
        <f t="shared" si="20"/>
        <v>2024</v>
      </c>
    </row>
    <row r="1325" spans="2:11" x14ac:dyDescent="0.45">
      <c r="B1325" s="1" t="s">
        <v>11</v>
      </c>
      <c r="C1325" s="1" t="s">
        <v>1328</v>
      </c>
      <c r="D1325" s="7">
        <v>44144</v>
      </c>
      <c r="E1325" s="7">
        <v>44155</v>
      </c>
      <c r="F1325" s="7">
        <v>44200</v>
      </c>
      <c r="G1325" s="1" t="s">
        <v>212</v>
      </c>
      <c r="H1325" s="8">
        <v>5215761.6100000003</v>
      </c>
      <c r="I1325" s="8">
        <v>2416164.7799999998</v>
      </c>
      <c r="J1325" s="1">
        <f>IF(COUNTIF($C$4:C1325,C1325)=1,1,0)</f>
        <v>1</v>
      </c>
      <c r="K1325" s="1">
        <f t="shared" si="20"/>
        <v>2020</v>
      </c>
    </row>
    <row r="1326" spans="2:11" x14ac:dyDescent="0.45">
      <c r="B1326" s="1" t="s">
        <v>11</v>
      </c>
      <c r="C1326" s="1" t="s">
        <v>1329</v>
      </c>
      <c r="D1326" s="7">
        <v>45423</v>
      </c>
      <c r="E1326" s="7">
        <v>45439</v>
      </c>
      <c r="F1326" s="7">
        <v>45488</v>
      </c>
      <c r="G1326" s="1" t="s">
        <v>22</v>
      </c>
      <c r="H1326" s="8">
        <v>4360262.4800000004</v>
      </c>
      <c r="I1326" s="8">
        <v>2998614.5</v>
      </c>
      <c r="J1326" s="1">
        <f>IF(COUNTIF($C$4:C1326,C1326)=1,1,0)</f>
        <v>1</v>
      </c>
      <c r="K1326" s="1">
        <f t="shared" si="20"/>
        <v>2024</v>
      </c>
    </row>
    <row r="1327" spans="2:11" x14ac:dyDescent="0.45">
      <c r="B1327" s="1" t="s">
        <v>11</v>
      </c>
      <c r="C1327" s="1" t="s">
        <v>1330</v>
      </c>
      <c r="D1327" s="7">
        <v>45883</v>
      </c>
      <c r="E1327" s="7">
        <v>45904</v>
      </c>
      <c r="F1327" s="7">
        <v>45979</v>
      </c>
      <c r="G1327" s="1" t="s">
        <v>22</v>
      </c>
      <c r="H1327" s="8">
        <v>52485121.75</v>
      </c>
      <c r="I1327" s="8">
        <v>18520475.280000001</v>
      </c>
      <c r="J1327" s="1">
        <f>IF(COUNTIF($C$4:C1327,C1327)=1,1,0)</f>
        <v>1</v>
      </c>
      <c r="K1327" s="1">
        <f t="shared" si="20"/>
        <v>2025</v>
      </c>
    </row>
    <row r="1328" spans="2:11" x14ac:dyDescent="0.45">
      <c r="B1328" s="1" t="s">
        <v>11</v>
      </c>
      <c r="C1328" s="1" t="s">
        <v>1331</v>
      </c>
      <c r="D1328" s="7">
        <v>43873</v>
      </c>
      <c r="E1328" s="7">
        <v>43888</v>
      </c>
      <c r="F1328" s="7">
        <v>44076</v>
      </c>
      <c r="G1328" s="1" t="s">
        <v>18</v>
      </c>
      <c r="H1328" s="8">
        <v>196067044.12</v>
      </c>
      <c r="I1328" s="8">
        <v>113492507.65000001</v>
      </c>
      <c r="J1328" s="1">
        <f>IF(COUNTIF($C$4:C1328,C1328)=1,1,0)</f>
        <v>1</v>
      </c>
      <c r="K1328" s="1">
        <f t="shared" si="20"/>
        <v>2020</v>
      </c>
    </row>
    <row r="1329" spans="2:11" x14ac:dyDescent="0.45">
      <c r="B1329" s="1" t="s">
        <v>11</v>
      </c>
      <c r="C1329" s="1" t="s">
        <v>1332</v>
      </c>
      <c r="D1329" s="7">
        <v>43738</v>
      </c>
      <c r="E1329" s="7">
        <v>43753</v>
      </c>
      <c r="F1329" s="7">
        <v>43842</v>
      </c>
      <c r="G1329" s="1" t="s">
        <v>20</v>
      </c>
      <c r="H1329" s="8">
        <v>94808148.829999998</v>
      </c>
      <c r="I1329" s="8">
        <v>41131368.979999997</v>
      </c>
      <c r="J1329" s="1">
        <f>IF(COUNTIF($C$4:C1329,C1329)=1,1,0)</f>
        <v>1</v>
      </c>
      <c r="K1329" s="1">
        <f t="shared" si="20"/>
        <v>2019</v>
      </c>
    </row>
    <row r="1330" spans="2:11" x14ac:dyDescent="0.45">
      <c r="B1330" s="1" t="s">
        <v>11</v>
      </c>
      <c r="C1330" s="1" t="s">
        <v>1333</v>
      </c>
      <c r="D1330" s="7">
        <v>45408</v>
      </c>
      <c r="E1330" s="7">
        <v>45433</v>
      </c>
      <c r="F1330" s="7">
        <v>45477</v>
      </c>
      <c r="G1330" s="1" t="s">
        <v>20</v>
      </c>
      <c r="H1330" s="8">
        <v>43621529.369999997</v>
      </c>
      <c r="I1330" s="8">
        <v>19658896.350000001</v>
      </c>
      <c r="J1330" s="1">
        <f>IF(COUNTIF($C$4:C1330,C1330)=1,1,0)</f>
        <v>1</v>
      </c>
      <c r="K1330" s="1">
        <f t="shared" si="20"/>
        <v>2024</v>
      </c>
    </row>
    <row r="1331" spans="2:11" x14ac:dyDescent="0.45">
      <c r="B1331" s="1" t="s">
        <v>11</v>
      </c>
      <c r="C1331" s="1" t="s">
        <v>1334</v>
      </c>
      <c r="D1331" s="7">
        <v>44875</v>
      </c>
      <c r="E1331" s="7">
        <v>44881</v>
      </c>
      <c r="F1331" s="7">
        <v>45098</v>
      </c>
      <c r="G1331" s="1" t="s">
        <v>38</v>
      </c>
      <c r="H1331" s="8">
        <v>2108658.5</v>
      </c>
      <c r="I1331" s="8">
        <v>1575657.75</v>
      </c>
      <c r="J1331" s="1">
        <f>IF(COUNTIF($C$4:C1331,C1331)=1,1,0)</f>
        <v>1</v>
      </c>
      <c r="K1331" s="1">
        <f t="shared" si="20"/>
        <v>2022</v>
      </c>
    </row>
    <row r="1332" spans="2:11" x14ac:dyDescent="0.45">
      <c r="B1332" s="1" t="s">
        <v>11</v>
      </c>
      <c r="C1332" s="1" t="s">
        <v>1335</v>
      </c>
      <c r="D1332" s="7">
        <v>46063</v>
      </c>
      <c r="E1332" s="7">
        <v>46089</v>
      </c>
      <c r="F1332" s="7">
        <v>46227</v>
      </c>
      <c r="G1332" s="1" t="s">
        <v>212</v>
      </c>
      <c r="H1332" s="8">
        <v>17170626.579999998</v>
      </c>
      <c r="I1332" s="8">
        <v>8182094.5</v>
      </c>
      <c r="J1332" s="1">
        <f>IF(COUNTIF($C$4:C1332,C1332)=1,1,0)</f>
        <v>1</v>
      </c>
      <c r="K1332" s="1">
        <f t="shared" si="20"/>
        <v>2026</v>
      </c>
    </row>
    <row r="1333" spans="2:11" x14ac:dyDescent="0.45">
      <c r="B1333" s="1" t="s">
        <v>11</v>
      </c>
      <c r="C1333" s="1" t="s">
        <v>1336</v>
      </c>
      <c r="D1333" s="7">
        <v>46150</v>
      </c>
      <c r="E1333" s="7">
        <v>46173</v>
      </c>
      <c r="F1333" s="7">
        <v>46326</v>
      </c>
      <c r="G1333" s="1" t="s">
        <v>20</v>
      </c>
      <c r="H1333" s="8">
        <v>1799393.29</v>
      </c>
      <c r="I1333" s="8">
        <v>1374806.69</v>
      </c>
      <c r="J1333" s="1">
        <f>IF(COUNTIF($C$4:C1333,C1333)=1,1,0)</f>
        <v>1</v>
      </c>
      <c r="K1333" s="1">
        <f t="shared" si="20"/>
        <v>2026</v>
      </c>
    </row>
    <row r="1334" spans="2:11" x14ac:dyDescent="0.45">
      <c r="B1334" s="1" t="s">
        <v>11</v>
      </c>
      <c r="C1334" s="1" t="s">
        <v>1337</v>
      </c>
      <c r="D1334" s="7">
        <v>46056</v>
      </c>
      <c r="E1334" s="7">
        <v>46079</v>
      </c>
      <c r="F1334" s="7">
        <v>46318</v>
      </c>
      <c r="G1334" s="1" t="s">
        <v>212</v>
      </c>
      <c r="H1334" s="8">
        <v>3550381.21</v>
      </c>
      <c r="I1334" s="8">
        <v>2163145.14</v>
      </c>
      <c r="J1334" s="1">
        <f>IF(COUNTIF($C$4:C1334,C1334)=1,1,0)</f>
        <v>1</v>
      </c>
      <c r="K1334" s="1">
        <f t="shared" si="20"/>
        <v>2026</v>
      </c>
    </row>
    <row r="1335" spans="2:11" x14ac:dyDescent="0.45">
      <c r="B1335" s="1" t="s">
        <v>11</v>
      </c>
      <c r="C1335" s="1" t="s">
        <v>1338</v>
      </c>
      <c r="D1335" s="7">
        <v>44493</v>
      </c>
      <c r="E1335" s="7">
        <v>44495</v>
      </c>
      <c r="F1335" s="7">
        <v>44603</v>
      </c>
      <c r="G1335" s="1" t="s">
        <v>38</v>
      </c>
      <c r="H1335" s="8">
        <v>464251.04</v>
      </c>
      <c r="I1335" s="8">
        <v>340568.83</v>
      </c>
      <c r="J1335" s="1">
        <f>IF(COUNTIF($C$4:C1335,C1335)=1,1,0)</f>
        <v>1</v>
      </c>
      <c r="K1335" s="1">
        <f t="shared" si="20"/>
        <v>2021</v>
      </c>
    </row>
    <row r="1336" spans="2:11" x14ac:dyDescent="0.45">
      <c r="B1336" s="1" t="s">
        <v>11</v>
      </c>
      <c r="C1336" s="1" t="s">
        <v>1339</v>
      </c>
      <c r="D1336" s="7">
        <v>44991</v>
      </c>
      <c r="E1336" s="7">
        <v>45014</v>
      </c>
      <c r="F1336" s="7">
        <v>45024</v>
      </c>
      <c r="G1336" s="1" t="s">
        <v>22</v>
      </c>
      <c r="H1336" s="8">
        <v>47185541.579999998</v>
      </c>
      <c r="I1336" s="8">
        <v>11814725.539999999</v>
      </c>
      <c r="J1336" s="1">
        <f>IF(COUNTIF($C$4:C1336,C1336)=1,1,0)</f>
        <v>1</v>
      </c>
      <c r="K1336" s="1">
        <f t="shared" si="20"/>
        <v>2023</v>
      </c>
    </row>
    <row r="1337" spans="2:11" x14ac:dyDescent="0.45">
      <c r="B1337" s="1" t="s">
        <v>11</v>
      </c>
      <c r="C1337" s="1" t="s">
        <v>1340</v>
      </c>
      <c r="D1337" s="7">
        <v>43807</v>
      </c>
      <c r="E1337" s="7">
        <v>43824</v>
      </c>
      <c r="F1337" s="7">
        <v>43888</v>
      </c>
      <c r="G1337" s="1" t="s">
        <v>212</v>
      </c>
      <c r="H1337" s="8">
        <v>42200740.07</v>
      </c>
      <c r="I1337" s="8">
        <v>27225089.890000001</v>
      </c>
      <c r="J1337" s="1">
        <f>IF(COUNTIF($C$4:C1337,C1337)=1,1,0)</f>
        <v>1</v>
      </c>
      <c r="K1337" s="1">
        <f t="shared" si="20"/>
        <v>2019</v>
      </c>
    </row>
    <row r="1338" spans="2:11" x14ac:dyDescent="0.45">
      <c r="B1338" s="1" t="s">
        <v>11</v>
      </c>
      <c r="C1338" s="1" t="s">
        <v>1341</v>
      </c>
      <c r="D1338" s="7">
        <v>43316</v>
      </c>
      <c r="E1338" s="7">
        <v>43320</v>
      </c>
      <c r="F1338" s="7">
        <v>43547</v>
      </c>
      <c r="G1338" s="1" t="s">
        <v>41</v>
      </c>
      <c r="H1338" s="8">
        <v>628335.62</v>
      </c>
      <c r="I1338" s="8">
        <v>549772.55000000005</v>
      </c>
      <c r="J1338" s="1">
        <f>IF(COUNTIF($C$4:C1338,C1338)=1,1,0)</f>
        <v>1</v>
      </c>
      <c r="K1338" s="1">
        <f t="shared" si="20"/>
        <v>2018</v>
      </c>
    </row>
    <row r="1339" spans="2:11" x14ac:dyDescent="0.45">
      <c r="B1339" s="1" t="s">
        <v>11</v>
      </c>
      <c r="C1339" s="1" t="s">
        <v>1342</v>
      </c>
      <c r="D1339" s="7">
        <v>44468</v>
      </c>
      <c r="E1339" s="7">
        <v>44492</v>
      </c>
      <c r="F1339" s="7">
        <v>44581</v>
      </c>
      <c r="G1339" s="1" t="s">
        <v>20</v>
      </c>
      <c r="H1339" s="8">
        <v>86791665.670000002</v>
      </c>
      <c r="I1339" s="8">
        <v>47146256.079999998</v>
      </c>
      <c r="J1339" s="1">
        <f>IF(COUNTIF($C$4:C1339,C1339)=1,1,0)</f>
        <v>1</v>
      </c>
      <c r="K1339" s="1">
        <f t="shared" si="20"/>
        <v>2021</v>
      </c>
    </row>
    <row r="1340" spans="2:11" x14ac:dyDescent="0.45">
      <c r="B1340" s="1" t="s">
        <v>11</v>
      </c>
      <c r="C1340" s="1" t="s">
        <v>1343</v>
      </c>
      <c r="D1340" s="7">
        <v>44388</v>
      </c>
      <c r="E1340" s="7">
        <v>44392</v>
      </c>
      <c r="F1340" s="7">
        <v>44573</v>
      </c>
      <c r="G1340" s="1" t="s">
        <v>20</v>
      </c>
      <c r="H1340" s="8">
        <v>1195461.19</v>
      </c>
      <c r="I1340" s="8">
        <v>702197.07</v>
      </c>
      <c r="J1340" s="1">
        <f>IF(COUNTIF($C$4:C1340,C1340)=1,1,0)</f>
        <v>1</v>
      </c>
      <c r="K1340" s="1">
        <f t="shared" si="20"/>
        <v>2021</v>
      </c>
    </row>
    <row r="1341" spans="2:11" x14ac:dyDescent="0.45">
      <c r="B1341" s="1" t="s">
        <v>11</v>
      </c>
      <c r="C1341" s="1" t="s">
        <v>1344</v>
      </c>
      <c r="D1341" s="7">
        <v>44309</v>
      </c>
      <c r="E1341" s="7">
        <v>44312</v>
      </c>
      <c r="F1341" s="7">
        <v>44366</v>
      </c>
      <c r="G1341" s="1" t="s">
        <v>38</v>
      </c>
      <c r="H1341" s="8">
        <v>162526.46</v>
      </c>
      <c r="I1341" s="8">
        <v>119854.21</v>
      </c>
      <c r="J1341" s="1">
        <f>IF(COUNTIF($C$4:C1341,C1341)=1,1,0)</f>
        <v>1</v>
      </c>
      <c r="K1341" s="1">
        <f t="shared" si="20"/>
        <v>2021</v>
      </c>
    </row>
    <row r="1342" spans="2:11" x14ac:dyDescent="0.45">
      <c r="B1342" s="1" t="s">
        <v>11</v>
      </c>
      <c r="C1342" s="1" t="s">
        <v>1345</v>
      </c>
      <c r="D1342" s="7">
        <v>46067</v>
      </c>
      <c r="E1342" s="7">
        <v>46069</v>
      </c>
      <c r="F1342" s="7">
        <v>46210</v>
      </c>
      <c r="G1342" s="1" t="s">
        <v>22</v>
      </c>
      <c r="H1342" s="8">
        <v>72132137.390000001</v>
      </c>
      <c r="I1342" s="8">
        <v>40994196.020000003</v>
      </c>
      <c r="J1342" s="1">
        <f>IF(COUNTIF($C$4:C1342,C1342)=1,1,0)</f>
        <v>1</v>
      </c>
      <c r="K1342" s="1">
        <f t="shared" si="20"/>
        <v>2026</v>
      </c>
    </row>
    <row r="1343" spans="2:11" x14ac:dyDescent="0.45">
      <c r="B1343" s="1" t="s">
        <v>11</v>
      </c>
      <c r="C1343" s="1" t="s">
        <v>1346</v>
      </c>
      <c r="D1343" s="7">
        <v>45640</v>
      </c>
      <c r="E1343" s="7">
        <v>45669</v>
      </c>
      <c r="F1343" s="7">
        <v>45870</v>
      </c>
      <c r="G1343" s="1" t="s">
        <v>212</v>
      </c>
      <c r="H1343" s="8">
        <v>56438288.890000001</v>
      </c>
      <c r="I1343" s="8">
        <v>29387107.370000001</v>
      </c>
      <c r="J1343" s="1">
        <f>IF(COUNTIF($C$4:C1343,C1343)=1,1,0)</f>
        <v>1</v>
      </c>
      <c r="K1343" s="1">
        <f t="shared" si="20"/>
        <v>2024</v>
      </c>
    </row>
    <row r="1344" spans="2:11" x14ac:dyDescent="0.45">
      <c r="B1344" s="1" t="s">
        <v>11</v>
      </c>
      <c r="C1344" s="1" t="s">
        <v>1347</v>
      </c>
      <c r="D1344" s="7">
        <v>44704</v>
      </c>
      <c r="E1344" s="7">
        <v>44730</v>
      </c>
      <c r="F1344" s="7">
        <v>44769</v>
      </c>
      <c r="G1344" s="1" t="s">
        <v>1348</v>
      </c>
      <c r="H1344" s="8">
        <v>42181624.950000003</v>
      </c>
      <c r="I1344" s="8">
        <v>22057514.550000001</v>
      </c>
      <c r="J1344" s="1">
        <f>IF(COUNTIF($C$4:C1344,C1344)=1,1,0)</f>
        <v>1</v>
      </c>
      <c r="K1344" s="1">
        <f t="shared" si="20"/>
        <v>2022</v>
      </c>
    </row>
    <row r="1345" spans="2:11" x14ac:dyDescent="0.45">
      <c r="B1345" s="1" t="s">
        <v>11</v>
      </c>
      <c r="C1345" s="1" t="s">
        <v>1349</v>
      </c>
      <c r="D1345" s="7">
        <v>43212</v>
      </c>
      <c r="E1345" s="7">
        <v>43233</v>
      </c>
      <c r="F1345" s="7">
        <v>43443</v>
      </c>
      <c r="G1345" s="1" t="s">
        <v>41</v>
      </c>
      <c r="H1345" s="8">
        <v>433379.4</v>
      </c>
      <c r="I1345" s="8">
        <v>355576.96</v>
      </c>
      <c r="J1345" s="1">
        <f>IF(COUNTIF($C$4:C1345,C1345)=1,1,0)</f>
        <v>1</v>
      </c>
      <c r="K1345" s="1">
        <f t="shared" si="20"/>
        <v>2018</v>
      </c>
    </row>
    <row r="1346" spans="2:11" x14ac:dyDescent="0.45">
      <c r="B1346" s="1" t="s">
        <v>11</v>
      </c>
      <c r="C1346" s="1" t="s">
        <v>1350</v>
      </c>
      <c r="D1346" s="7">
        <v>45536</v>
      </c>
      <c r="E1346" s="7">
        <v>45550</v>
      </c>
      <c r="F1346" s="7">
        <v>45763</v>
      </c>
      <c r="G1346" s="1" t="s">
        <v>41</v>
      </c>
      <c r="H1346" s="8">
        <v>570918.69999999995</v>
      </c>
      <c r="I1346" s="8">
        <v>397242.35</v>
      </c>
      <c r="J1346" s="1">
        <f>IF(COUNTIF($C$4:C1346,C1346)=1,1,0)</f>
        <v>1</v>
      </c>
      <c r="K1346" s="1">
        <f t="shared" si="20"/>
        <v>2024</v>
      </c>
    </row>
    <row r="1347" spans="2:11" x14ac:dyDescent="0.45">
      <c r="B1347" s="1" t="s">
        <v>11</v>
      </c>
      <c r="C1347" s="1" t="s">
        <v>1351</v>
      </c>
      <c r="D1347" s="7">
        <v>44194</v>
      </c>
      <c r="E1347" s="7">
        <v>44198</v>
      </c>
      <c r="F1347" s="7">
        <v>44305</v>
      </c>
      <c r="G1347" s="1" t="s">
        <v>18</v>
      </c>
      <c r="H1347" s="8">
        <v>54404838.259999998</v>
      </c>
      <c r="I1347" s="8">
        <v>28764047.390000001</v>
      </c>
      <c r="J1347" s="1">
        <f>IF(COUNTIF($C$4:C1347,C1347)=1,1,0)</f>
        <v>1</v>
      </c>
      <c r="K1347" s="1">
        <f t="shared" si="20"/>
        <v>2020</v>
      </c>
    </row>
    <row r="1348" spans="2:11" x14ac:dyDescent="0.45">
      <c r="B1348" s="1" t="s">
        <v>11</v>
      </c>
      <c r="C1348" s="1" t="s">
        <v>1352</v>
      </c>
      <c r="D1348" s="7">
        <v>44698</v>
      </c>
      <c r="E1348" s="7">
        <v>44721</v>
      </c>
      <c r="F1348" s="7">
        <v>44869</v>
      </c>
      <c r="G1348" s="1" t="s">
        <v>20</v>
      </c>
      <c r="H1348" s="8">
        <v>111252339.16</v>
      </c>
      <c r="I1348" s="8">
        <v>54527670.539999999</v>
      </c>
      <c r="J1348" s="1">
        <f>IF(COUNTIF($C$4:C1348,C1348)=1,1,0)</f>
        <v>1</v>
      </c>
      <c r="K1348" s="1">
        <f t="shared" si="20"/>
        <v>2022</v>
      </c>
    </row>
    <row r="1349" spans="2:11" x14ac:dyDescent="0.45">
      <c r="B1349" s="1" t="s">
        <v>11</v>
      </c>
      <c r="C1349" s="1" t="s">
        <v>1353</v>
      </c>
      <c r="D1349" s="7">
        <v>45694</v>
      </c>
      <c r="E1349" s="7">
        <v>45712</v>
      </c>
      <c r="F1349" s="7">
        <v>45885</v>
      </c>
      <c r="G1349" s="1" t="s">
        <v>16</v>
      </c>
      <c r="H1349" s="8">
        <v>632412.81000000006</v>
      </c>
      <c r="I1349" s="8">
        <v>412760.93</v>
      </c>
      <c r="J1349" s="1">
        <f>IF(COUNTIF($C$4:C1349,C1349)=1,1,0)</f>
        <v>1</v>
      </c>
      <c r="K1349" s="1">
        <f t="shared" ref="K1349:K1412" si="21">YEAR(D1349)</f>
        <v>2025</v>
      </c>
    </row>
    <row r="1350" spans="2:11" x14ac:dyDescent="0.45">
      <c r="B1350" s="1" t="s">
        <v>11</v>
      </c>
      <c r="C1350" s="1" t="s">
        <v>1354</v>
      </c>
      <c r="D1350" s="7">
        <v>44355</v>
      </c>
      <c r="E1350" s="7">
        <v>44384</v>
      </c>
      <c r="F1350" s="7">
        <v>44562</v>
      </c>
      <c r="G1350" s="1" t="s">
        <v>41</v>
      </c>
      <c r="H1350" s="8">
        <v>94588.54</v>
      </c>
      <c r="I1350" s="8">
        <v>67954.47</v>
      </c>
      <c r="J1350" s="1">
        <f>IF(COUNTIF($C$4:C1350,C1350)=1,1,0)</f>
        <v>1</v>
      </c>
      <c r="K1350" s="1">
        <f t="shared" si="21"/>
        <v>2021</v>
      </c>
    </row>
    <row r="1351" spans="2:11" x14ac:dyDescent="0.45">
      <c r="B1351" s="1" t="s">
        <v>11</v>
      </c>
      <c r="C1351" s="1" t="s">
        <v>1355</v>
      </c>
      <c r="D1351" s="7">
        <v>44058</v>
      </c>
      <c r="E1351" s="7">
        <v>44086</v>
      </c>
      <c r="F1351" s="7">
        <v>44133</v>
      </c>
      <c r="G1351" s="1" t="s">
        <v>16</v>
      </c>
      <c r="H1351" s="8">
        <v>7058664.9900000002</v>
      </c>
      <c r="I1351" s="8">
        <v>5599618.8899999997</v>
      </c>
      <c r="J1351" s="1">
        <f>IF(COUNTIF($C$4:C1351,C1351)=1,1,0)</f>
        <v>1</v>
      </c>
      <c r="K1351" s="1">
        <f t="shared" si="21"/>
        <v>2020</v>
      </c>
    </row>
    <row r="1352" spans="2:11" x14ac:dyDescent="0.45">
      <c r="B1352" s="1" t="s">
        <v>11</v>
      </c>
      <c r="C1352" s="1" t="s">
        <v>1356</v>
      </c>
      <c r="D1352" s="7">
        <v>46021</v>
      </c>
      <c r="E1352" s="7">
        <v>46023</v>
      </c>
      <c r="F1352" s="7">
        <v>46130</v>
      </c>
      <c r="G1352" s="1" t="s">
        <v>13</v>
      </c>
      <c r="H1352" s="8">
        <v>1670374.16</v>
      </c>
      <c r="I1352" s="8">
        <v>1283270.7</v>
      </c>
      <c r="J1352" s="1">
        <f>IF(COUNTIF($C$4:C1352,C1352)=1,1,0)</f>
        <v>1</v>
      </c>
      <c r="K1352" s="1">
        <f t="shared" si="21"/>
        <v>2025</v>
      </c>
    </row>
    <row r="1353" spans="2:11" x14ac:dyDescent="0.45">
      <c r="B1353" s="1" t="s">
        <v>11</v>
      </c>
      <c r="C1353" s="1" t="s">
        <v>1357</v>
      </c>
      <c r="D1353" s="7">
        <v>45632</v>
      </c>
      <c r="E1353" s="7">
        <v>45653</v>
      </c>
      <c r="F1353" s="7">
        <v>45854</v>
      </c>
      <c r="G1353" s="1" t="s">
        <v>212</v>
      </c>
      <c r="H1353" s="8">
        <v>10480575.25</v>
      </c>
      <c r="I1353" s="8">
        <v>5409852.6699999999</v>
      </c>
      <c r="J1353" s="1">
        <f>IF(COUNTIF($C$4:C1353,C1353)=1,1,0)</f>
        <v>1</v>
      </c>
      <c r="K1353" s="1">
        <f t="shared" si="21"/>
        <v>2024</v>
      </c>
    </row>
    <row r="1354" spans="2:11" x14ac:dyDescent="0.45">
      <c r="B1354" s="1" t="s">
        <v>11</v>
      </c>
      <c r="C1354" s="1" t="s">
        <v>1358</v>
      </c>
      <c r="D1354" s="7">
        <v>45835</v>
      </c>
      <c r="E1354" s="7">
        <v>45846</v>
      </c>
      <c r="F1354" s="7">
        <v>45945</v>
      </c>
      <c r="G1354" s="1" t="s">
        <v>16</v>
      </c>
      <c r="H1354" s="8">
        <v>3112077.53</v>
      </c>
      <c r="I1354" s="8">
        <v>2393241.2799999998</v>
      </c>
      <c r="J1354" s="1">
        <f>IF(COUNTIF($C$4:C1354,C1354)=1,1,0)</f>
        <v>1</v>
      </c>
      <c r="K1354" s="1">
        <f t="shared" si="21"/>
        <v>2025</v>
      </c>
    </row>
    <row r="1355" spans="2:11" x14ac:dyDescent="0.45">
      <c r="B1355" s="1" t="s">
        <v>11</v>
      </c>
      <c r="C1355" s="1" t="s">
        <v>1359</v>
      </c>
      <c r="D1355" s="7">
        <v>43369</v>
      </c>
      <c r="E1355" s="7">
        <v>43397</v>
      </c>
      <c r="F1355" s="7">
        <v>43570</v>
      </c>
      <c r="G1355" s="1" t="s">
        <v>212</v>
      </c>
      <c r="H1355" s="8">
        <v>14044046.810000001</v>
      </c>
      <c r="I1355" s="8">
        <v>7467970.5</v>
      </c>
      <c r="J1355" s="1">
        <f>IF(COUNTIF($C$4:C1355,C1355)=1,1,0)</f>
        <v>1</v>
      </c>
      <c r="K1355" s="1">
        <f t="shared" si="21"/>
        <v>2018</v>
      </c>
    </row>
    <row r="1356" spans="2:11" x14ac:dyDescent="0.45">
      <c r="B1356" s="1" t="s">
        <v>11</v>
      </c>
      <c r="C1356" s="1" t="s">
        <v>1360</v>
      </c>
      <c r="D1356" s="7">
        <v>45167</v>
      </c>
      <c r="E1356" s="7">
        <v>45186</v>
      </c>
      <c r="F1356" s="7">
        <v>45360</v>
      </c>
      <c r="G1356" s="1" t="s">
        <v>16</v>
      </c>
      <c r="H1356" s="8">
        <v>248449</v>
      </c>
      <c r="I1356" s="8">
        <v>183109.62</v>
      </c>
      <c r="J1356" s="1">
        <f>IF(COUNTIF($C$4:C1356,C1356)=1,1,0)</f>
        <v>1</v>
      </c>
      <c r="K1356" s="1">
        <f t="shared" si="21"/>
        <v>2023</v>
      </c>
    </row>
    <row r="1357" spans="2:11" x14ac:dyDescent="0.45">
      <c r="B1357" s="1" t="s">
        <v>11</v>
      </c>
      <c r="C1357" s="1" t="s">
        <v>1361</v>
      </c>
      <c r="D1357" s="7">
        <v>43866</v>
      </c>
      <c r="E1357" s="7">
        <v>43894</v>
      </c>
      <c r="F1357" s="7">
        <v>44089</v>
      </c>
      <c r="G1357" s="1" t="s">
        <v>13</v>
      </c>
      <c r="H1357" s="8">
        <v>663298.4</v>
      </c>
      <c r="I1357" s="8">
        <v>522406.79</v>
      </c>
      <c r="J1357" s="1">
        <f>IF(COUNTIF($C$4:C1357,C1357)=1,1,0)</f>
        <v>1</v>
      </c>
      <c r="K1357" s="1">
        <f t="shared" si="21"/>
        <v>2020</v>
      </c>
    </row>
    <row r="1358" spans="2:11" x14ac:dyDescent="0.45">
      <c r="B1358" s="1" t="s">
        <v>11</v>
      </c>
      <c r="C1358" s="1" t="s">
        <v>1362</v>
      </c>
      <c r="D1358" s="7">
        <v>44078</v>
      </c>
      <c r="E1358" s="7">
        <v>44101</v>
      </c>
      <c r="F1358" s="7">
        <v>44177</v>
      </c>
      <c r="G1358" s="1" t="s">
        <v>41</v>
      </c>
      <c r="H1358" s="8">
        <v>24031.09</v>
      </c>
      <c r="I1358" s="8">
        <v>17176.03</v>
      </c>
      <c r="J1358" s="1">
        <f>IF(COUNTIF($C$4:C1358,C1358)=1,1,0)</f>
        <v>1</v>
      </c>
      <c r="K1358" s="1">
        <f t="shared" si="21"/>
        <v>2020</v>
      </c>
    </row>
    <row r="1359" spans="2:11" x14ac:dyDescent="0.45">
      <c r="B1359" s="1" t="s">
        <v>11</v>
      </c>
      <c r="C1359" s="1" t="s">
        <v>1363</v>
      </c>
      <c r="D1359" s="7">
        <v>46183</v>
      </c>
      <c r="E1359" s="7">
        <v>46203</v>
      </c>
      <c r="F1359" s="7">
        <v>46336</v>
      </c>
      <c r="G1359" s="1" t="s">
        <v>20</v>
      </c>
      <c r="H1359" s="8">
        <v>311978.71000000002</v>
      </c>
      <c r="I1359" s="8">
        <v>224309.51</v>
      </c>
      <c r="J1359" s="1">
        <f>IF(COUNTIF($C$4:C1359,C1359)=1,1,0)</f>
        <v>1</v>
      </c>
      <c r="K1359" s="1">
        <f t="shared" si="21"/>
        <v>2026</v>
      </c>
    </row>
    <row r="1360" spans="2:11" x14ac:dyDescent="0.45">
      <c r="B1360" s="1" t="s">
        <v>11</v>
      </c>
      <c r="C1360" s="1" t="s">
        <v>1364</v>
      </c>
      <c r="D1360" s="7">
        <v>45883</v>
      </c>
      <c r="E1360" s="7">
        <v>45886</v>
      </c>
      <c r="F1360" s="7">
        <v>45935</v>
      </c>
      <c r="G1360" s="1" t="s">
        <v>18</v>
      </c>
      <c r="H1360" s="8">
        <v>108172786.98</v>
      </c>
      <c r="I1360" s="8">
        <v>68706770.150000006</v>
      </c>
      <c r="J1360" s="1">
        <f>IF(COUNTIF($C$4:C1360,C1360)=1,1,0)</f>
        <v>1</v>
      </c>
      <c r="K1360" s="1">
        <f t="shared" si="21"/>
        <v>2025</v>
      </c>
    </row>
    <row r="1361" spans="2:11" x14ac:dyDescent="0.45">
      <c r="B1361" s="1" t="s">
        <v>11</v>
      </c>
      <c r="C1361" s="1" t="s">
        <v>1365</v>
      </c>
      <c r="D1361" s="7">
        <v>45852</v>
      </c>
      <c r="E1361" s="7">
        <v>45870</v>
      </c>
      <c r="F1361" s="7">
        <v>45921</v>
      </c>
      <c r="G1361" s="1" t="s">
        <v>20</v>
      </c>
      <c r="H1361" s="8">
        <v>1379432.19</v>
      </c>
      <c r="I1361" s="8">
        <v>1043148.95</v>
      </c>
      <c r="J1361" s="1">
        <f>IF(COUNTIF($C$4:C1361,C1361)=1,1,0)</f>
        <v>1</v>
      </c>
      <c r="K1361" s="1">
        <f t="shared" si="21"/>
        <v>2025</v>
      </c>
    </row>
    <row r="1362" spans="2:11" x14ac:dyDescent="0.45">
      <c r="B1362" s="1" t="s">
        <v>11</v>
      </c>
      <c r="C1362" s="1" t="s">
        <v>1366</v>
      </c>
      <c r="D1362" s="7">
        <v>43485</v>
      </c>
      <c r="E1362" s="7">
        <v>43512</v>
      </c>
      <c r="F1362" s="7">
        <v>43619</v>
      </c>
      <c r="G1362" s="1" t="s">
        <v>212</v>
      </c>
      <c r="H1362" s="8">
        <v>88823770.870000005</v>
      </c>
      <c r="I1362" s="8">
        <v>60257939.990000002</v>
      </c>
      <c r="J1362" s="1">
        <f>IF(COUNTIF($C$4:C1362,C1362)=1,1,0)</f>
        <v>1</v>
      </c>
      <c r="K1362" s="1">
        <f t="shared" si="21"/>
        <v>2019</v>
      </c>
    </row>
    <row r="1363" spans="2:11" x14ac:dyDescent="0.45">
      <c r="B1363" s="1" t="s">
        <v>11</v>
      </c>
      <c r="C1363" s="1" t="s">
        <v>1367</v>
      </c>
      <c r="D1363" s="7">
        <v>44417</v>
      </c>
      <c r="E1363" s="7">
        <v>44417</v>
      </c>
      <c r="F1363" s="7">
        <v>44517</v>
      </c>
      <c r="G1363" s="1" t="s">
        <v>212</v>
      </c>
      <c r="H1363" s="8">
        <v>32749015.25</v>
      </c>
      <c r="I1363" s="8">
        <v>22480850.27</v>
      </c>
      <c r="J1363" s="1">
        <f>IF(COUNTIF($C$4:C1363,C1363)=1,1,0)</f>
        <v>1</v>
      </c>
      <c r="K1363" s="1">
        <f t="shared" si="21"/>
        <v>2021</v>
      </c>
    </row>
    <row r="1364" spans="2:11" x14ac:dyDescent="0.45">
      <c r="B1364" s="1" t="s">
        <v>11</v>
      </c>
      <c r="C1364" s="1" t="s">
        <v>1368</v>
      </c>
      <c r="D1364" s="7">
        <v>43992</v>
      </c>
      <c r="E1364" s="7">
        <v>43993</v>
      </c>
      <c r="F1364" s="7">
        <v>44065</v>
      </c>
      <c r="G1364" s="1" t="s">
        <v>38</v>
      </c>
      <c r="H1364" s="8">
        <v>902665.11</v>
      </c>
      <c r="I1364" s="8">
        <v>661944.49</v>
      </c>
      <c r="J1364" s="1">
        <f>IF(COUNTIF($C$4:C1364,C1364)=1,1,0)</f>
        <v>1</v>
      </c>
      <c r="K1364" s="1">
        <f t="shared" si="21"/>
        <v>2020</v>
      </c>
    </row>
    <row r="1365" spans="2:11" x14ac:dyDescent="0.45">
      <c r="B1365" s="1" t="s">
        <v>11</v>
      </c>
      <c r="C1365" s="1" t="s">
        <v>1369</v>
      </c>
      <c r="D1365" s="7">
        <v>44337</v>
      </c>
      <c r="E1365" s="7">
        <v>44337</v>
      </c>
      <c r="F1365" s="7">
        <v>44518</v>
      </c>
      <c r="G1365" s="1" t="s">
        <v>16</v>
      </c>
      <c r="H1365" s="8">
        <v>1366247.14</v>
      </c>
      <c r="I1365" s="8">
        <v>1143810.3999999999</v>
      </c>
      <c r="J1365" s="1">
        <f>IF(COUNTIF($C$4:C1365,C1365)=1,1,0)</f>
        <v>1</v>
      </c>
      <c r="K1365" s="1">
        <f t="shared" si="21"/>
        <v>2021</v>
      </c>
    </row>
    <row r="1366" spans="2:11" x14ac:dyDescent="0.45">
      <c r="B1366" s="1" t="s">
        <v>11</v>
      </c>
      <c r="C1366" s="1" t="s">
        <v>1370</v>
      </c>
      <c r="D1366" s="7">
        <v>46202</v>
      </c>
      <c r="E1366" s="7">
        <v>46220</v>
      </c>
      <c r="F1366" s="7">
        <v>46261</v>
      </c>
      <c r="G1366" s="1" t="s">
        <v>41</v>
      </c>
      <c r="H1366" s="8">
        <v>276658.39</v>
      </c>
      <c r="I1366" s="8">
        <v>197605.67</v>
      </c>
      <c r="J1366" s="1">
        <f>IF(COUNTIF($C$4:C1366,C1366)=1,1,0)</f>
        <v>1</v>
      </c>
      <c r="K1366" s="1">
        <f t="shared" si="21"/>
        <v>2026</v>
      </c>
    </row>
    <row r="1367" spans="2:11" x14ac:dyDescent="0.45">
      <c r="B1367" s="1" t="s">
        <v>11</v>
      </c>
      <c r="C1367" s="1" t="s">
        <v>1371</v>
      </c>
      <c r="D1367" s="7">
        <v>44220</v>
      </c>
      <c r="E1367" s="7">
        <v>44229</v>
      </c>
      <c r="F1367" s="7">
        <v>44458</v>
      </c>
      <c r="G1367" s="1" t="s">
        <v>41</v>
      </c>
      <c r="H1367" s="8">
        <v>457169.02</v>
      </c>
      <c r="I1367" s="8">
        <v>324973.57</v>
      </c>
      <c r="J1367" s="1">
        <f>IF(COUNTIF($C$4:C1367,C1367)=1,1,0)</f>
        <v>1</v>
      </c>
      <c r="K1367" s="1">
        <f t="shared" si="21"/>
        <v>2021</v>
      </c>
    </row>
    <row r="1368" spans="2:11" x14ac:dyDescent="0.45">
      <c r="B1368" s="1" t="s">
        <v>11</v>
      </c>
      <c r="C1368" s="1" t="s">
        <v>1372</v>
      </c>
      <c r="D1368" s="7">
        <v>43701</v>
      </c>
      <c r="E1368" s="7">
        <v>43703</v>
      </c>
      <c r="F1368" s="7">
        <v>43817</v>
      </c>
      <c r="G1368" s="1" t="s">
        <v>41</v>
      </c>
      <c r="H1368" s="8">
        <v>47726.66</v>
      </c>
      <c r="I1368" s="8">
        <v>33702.18</v>
      </c>
      <c r="J1368" s="1">
        <f>IF(COUNTIF($C$4:C1368,C1368)=1,1,0)</f>
        <v>1</v>
      </c>
      <c r="K1368" s="1">
        <f t="shared" si="21"/>
        <v>2019</v>
      </c>
    </row>
    <row r="1369" spans="2:11" x14ac:dyDescent="0.45">
      <c r="B1369" s="1" t="s">
        <v>11</v>
      </c>
      <c r="C1369" s="1" t="s">
        <v>1373</v>
      </c>
      <c r="D1369" s="7">
        <v>43607</v>
      </c>
      <c r="E1369" s="7">
        <v>43631</v>
      </c>
      <c r="F1369" s="7">
        <v>43860</v>
      </c>
      <c r="G1369" s="1" t="s">
        <v>16</v>
      </c>
      <c r="H1369" s="8">
        <v>2043911.22</v>
      </c>
      <c r="I1369" s="8">
        <v>1420546.07</v>
      </c>
      <c r="J1369" s="1">
        <f>IF(COUNTIF($C$4:C1369,C1369)=1,1,0)</f>
        <v>1</v>
      </c>
      <c r="K1369" s="1">
        <f t="shared" si="21"/>
        <v>2019</v>
      </c>
    </row>
    <row r="1370" spans="2:11" x14ac:dyDescent="0.45">
      <c r="B1370" s="1" t="s">
        <v>11</v>
      </c>
      <c r="C1370" s="1" t="s">
        <v>1374</v>
      </c>
      <c r="D1370" s="7">
        <v>45745</v>
      </c>
      <c r="E1370" s="7">
        <v>45765</v>
      </c>
      <c r="F1370" s="7">
        <v>46001</v>
      </c>
      <c r="G1370" s="1" t="s">
        <v>38</v>
      </c>
      <c r="H1370" s="8">
        <v>1341691.27</v>
      </c>
      <c r="I1370" s="8">
        <v>952566.85</v>
      </c>
      <c r="J1370" s="1">
        <f>IF(COUNTIF($C$4:C1370,C1370)=1,1,0)</f>
        <v>1</v>
      </c>
      <c r="K1370" s="1">
        <f t="shared" si="21"/>
        <v>2025</v>
      </c>
    </row>
    <row r="1371" spans="2:11" x14ac:dyDescent="0.45">
      <c r="B1371" s="1" t="s">
        <v>11</v>
      </c>
      <c r="C1371" s="1" t="s">
        <v>1375</v>
      </c>
      <c r="D1371" s="7">
        <v>45521</v>
      </c>
      <c r="E1371" s="7">
        <v>45526</v>
      </c>
      <c r="F1371" s="7">
        <v>45686</v>
      </c>
      <c r="G1371" s="1" t="s">
        <v>38</v>
      </c>
      <c r="H1371" s="8">
        <v>1008674.24</v>
      </c>
      <c r="I1371" s="8">
        <v>701062.92</v>
      </c>
      <c r="J1371" s="1">
        <f>IF(COUNTIF($C$4:C1371,C1371)=1,1,0)</f>
        <v>1</v>
      </c>
      <c r="K1371" s="1">
        <f t="shared" si="21"/>
        <v>2024</v>
      </c>
    </row>
    <row r="1372" spans="2:11" x14ac:dyDescent="0.45">
      <c r="B1372" s="1" t="s">
        <v>11</v>
      </c>
      <c r="C1372" s="1" t="s">
        <v>1376</v>
      </c>
      <c r="D1372" s="7">
        <v>44716</v>
      </c>
      <c r="E1372" s="7">
        <v>44725</v>
      </c>
      <c r="F1372" s="7">
        <v>44775</v>
      </c>
      <c r="G1372" s="1" t="s">
        <v>38</v>
      </c>
      <c r="H1372" s="8">
        <v>828821.75</v>
      </c>
      <c r="I1372" s="8">
        <v>597034.81000000006</v>
      </c>
      <c r="J1372" s="1">
        <f>IF(COUNTIF($C$4:C1372,C1372)=1,1,0)</f>
        <v>1</v>
      </c>
      <c r="K1372" s="1">
        <f t="shared" si="21"/>
        <v>2022</v>
      </c>
    </row>
    <row r="1373" spans="2:11" x14ac:dyDescent="0.45">
      <c r="B1373" s="1" t="s">
        <v>11</v>
      </c>
      <c r="C1373" s="1" t="s">
        <v>1377</v>
      </c>
      <c r="D1373" s="7">
        <v>45057</v>
      </c>
      <c r="E1373" s="7">
        <v>45075</v>
      </c>
      <c r="F1373" s="7">
        <v>45291</v>
      </c>
      <c r="G1373" s="1" t="s">
        <v>41</v>
      </c>
      <c r="H1373" s="8">
        <v>157241.4</v>
      </c>
      <c r="I1373" s="8">
        <v>130686.28</v>
      </c>
      <c r="J1373" s="1">
        <f>IF(COUNTIF($C$4:C1373,C1373)=1,1,0)</f>
        <v>1</v>
      </c>
      <c r="K1373" s="1">
        <f t="shared" si="21"/>
        <v>2023</v>
      </c>
    </row>
    <row r="1374" spans="2:11" x14ac:dyDescent="0.45">
      <c r="B1374" s="1" t="s">
        <v>11</v>
      </c>
      <c r="C1374" s="1" t="s">
        <v>1378</v>
      </c>
      <c r="D1374" s="7">
        <v>44536</v>
      </c>
      <c r="E1374" s="7">
        <v>44540</v>
      </c>
      <c r="F1374" s="7">
        <v>44590</v>
      </c>
      <c r="G1374" s="1" t="s">
        <v>22</v>
      </c>
      <c r="H1374" s="8">
        <v>189426716.80000001</v>
      </c>
      <c r="I1374" s="8">
        <v>120375151.13</v>
      </c>
      <c r="J1374" s="1">
        <f>IF(COUNTIF($C$4:C1374,C1374)=1,1,0)</f>
        <v>1</v>
      </c>
      <c r="K1374" s="1">
        <f t="shared" si="21"/>
        <v>2021</v>
      </c>
    </row>
    <row r="1375" spans="2:11" x14ac:dyDescent="0.45">
      <c r="B1375" s="1" t="s">
        <v>11</v>
      </c>
      <c r="C1375" s="1" t="s">
        <v>1379</v>
      </c>
      <c r="D1375" s="7">
        <v>44166</v>
      </c>
      <c r="E1375" s="7">
        <v>44190</v>
      </c>
      <c r="F1375" s="7">
        <v>44269</v>
      </c>
      <c r="G1375" s="1" t="s">
        <v>1348</v>
      </c>
      <c r="H1375" s="8">
        <v>63620227.600000001</v>
      </c>
      <c r="I1375" s="8">
        <v>32370151.34</v>
      </c>
      <c r="J1375" s="1">
        <f>IF(COUNTIF($C$4:C1375,C1375)=1,1,0)</f>
        <v>1</v>
      </c>
      <c r="K1375" s="1">
        <f t="shared" si="21"/>
        <v>2020</v>
      </c>
    </row>
    <row r="1376" spans="2:11" x14ac:dyDescent="0.45">
      <c r="B1376" s="1" t="s">
        <v>11</v>
      </c>
      <c r="C1376" s="1" t="s">
        <v>1380</v>
      </c>
      <c r="D1376" s="7">
        <v>45091</v>
      </c>
      <c r="E1376" s="7">
        <v>45101</v>
      </c>
      <c r="F1376" s="7">
        <v>45154</v>
      </c>
      <c r="G1376" s="1" t="s">
        <v>22</v>
      </c>
      <c r="H1376" s="8">
        <v>27751447.390000001</v>
      </c>
      <c r="I1376" s="8">
        <v>16826153.280000001</v>
      </c>
      <c r="J1376" s="1">
        <f>IF(COUNTIF($C$4:C1376,C1376)=1,1,0)</f>
        <v>1</v>
      </c>
      <c r="K1376" s="1">
        <f t="shared" si="21"/>
        <v>2023</v>
      </c>
    </row>
    <row r="1377" spans="2:11" x14ac:dyDescent="0.45">
      <c r="B1377" s="1" t="s">
        <v>11</v>
      </c>
      <c r="C1377" s="1" t="s">
        <v>1381</v>
      </c>
      <c r="D1377" s="7">
        <v>43728</v>
      </c>
      <c r="E1377" s="7">
        <v>43742</v>
      </c>
      <c r="F1377" s="7">
        <v>43967</v>
      </c>
      <c r="G1377" s="1" t="s">
        <v>212</v>
      </c>
      <c r="H1377" s="8">
        <v>23509057.57</v>
      </c>
      <c r="I1377" s="8">
        <v>14377499.189999999</v>
      </c>
      <c r="J1377" s="1">
        <f>IF(COUNTIF($C$4:C1377,C1377)=1,1,0)</f>
        <v>1</v>
      </c>
      <c r="K1377" s="1">
        <f t="shared" si="21"/>
        <v>2019</v>
      </c>
    </row>
    <row r="1378" spans="2:11" x14ac:dyDescent="0.45">
      <c r="B1378" s="1" t="s">
        <v>11</v>
      </c>
      <c r="C1378" s="1" t="s">
        <v>1382</v>
      </c>
      <c r="D1378" s="7">
        <v>44626</v>
      </c>
      <c r="E1378" s="7">
        <v>44626</v>
      </c>
      <c r="F1378" s="7">
        <v>44781</v>
      </c>
      <c r="G1378" s="1" t="s">
        <v>41</v>
      </c>
      <c r="H1378" s="8">
        <v>509528.01</v>
      </c>
      <c r="I1378" s="8">
        <v>393909.89</v>
      </c>
      <c r="J1378" s="1">
        <f>IF(COUNTIF($C$4:C1378,C1378)=1,1,0)</f>
        <v>1</v>
      </c>
      <c r="K1378" s="1">
        <f t="shared" si="21"/>
        <v>2022</v>
      </c>
    </row>
    <row r="1379" spans="2:11" x14ac:dyDescent="0.45">
      <c r="B1379" s="1" t="s">
        <v>11</v>
      </c>
      <c r="C1379" s="1" t="s">
        <v>1383</v>
      </c>
      <c r="D1379" s="7">
        <v>44882</v>
      </c>
      <c r="E1379" s="7">
        <v>44887</v>
      </c>
      <c r="F1379" s="7">
        <v>44943</v>
      </c>
      <c r="G1379" s="1" t="s">
        <v>22</v>
      </c>
      <c r="H1379" s="8">
        <v>21507896.210000001</v>
      </c>
      <c r="I1379" s="8">
        <v>11299998.84</v>
      </c>
      <c r="J1379" s="1">
        <f>IF(COUNTIF($C$4:C1379,C1379)=1,1,0)</f>
        <v>1</v>
      </c>
      <c r="K1379" s="1">
        <f t="shared" si="21"/>
        <v>2022</v>
      </c>
    </row>
    <row r="1380" spans="2:11" x14ac:dyDescent="0.45">
      <c r="B1380" s="1" t="s">
        <v>11</v>
      </c>
      <c r="C1380" s="1" t="s">
        <v>1384</v>
      </c>
      <c r="D1380" s="7">
        <v>44869</v>
      </c>
      <c r="E1380" s="7">
        <v>44889</v>
      </c>
      <c r="F1380" s="7">
        <v>45067</v>
      </c>
      <c r="G1380" s="1" t="s">
        <v>1348</v>
      </c>
      <c r="H1380" s="8">
        <v>171245602.91</v>
      </c>
      <c r="I1380" s="8">
        <v>86503188.489999995</v>
      </c>
      <c r="J1380" s="1">
        <f>IF(COUNTIF($C$4:C1380,C1380)=1,1,0)</f>
        <v>1</v>
      </c>
      <c r="K1380" s="1">
        <f t="shared" si="21"/>
        <v>2022</v>
      </c>
    </row>
    <row r="1381" spans="2:11" x14ac:dyDescent="0.45">
      <c r="B1381" s="1" t="s">
        <v>11</v>
      </c>
      <c r="C1381" s="1" t="s">
        <v>1385</v>
      </c>
      <c r="D1381" s="7">
        <v>43913</v>
      </c>
      <c r="E1381" s="7">
        <v>43918</v>
      </c>
      <c r="F1381" s="7">
        <v>44015</v>
      </c>
      <c r="G1381" s="1" t="s">
        <v>13</v>
      </c>
      <c r="H1381" s="8">
        <v>1014601.19</v>
      </c>
      <c r="I1381" s="8">
        <v>688388.73</v>
      </c>
      <c r="J1381" s="1">
        <f>IF(COUNTIF($C$4:C1381,C1381)=1,1,0)</f>
        <v>1</v>
      </c>
      <c r="K1381" s="1">
        <f t="shared" si="21"/>
        <v>2020</v>
      </c>
    </row>
    <row r="1382" spans="2:11" x14ac:dyDescent="0.45">
      <c r="B1382" s="1" t="s">
        <v>11</v>
      </c>
      <c r="C1382" s="1" t="s">
        <v>1386</v>
      </c>
      <c r="D1382" s="7">
        <v>45320</v>
      </c>
      <c r="E1382" s="7">
        <v>45325</v>
      </c>
      <c r="F1382" s="7">
        <v>45341</v>
      </c>
      <c r="G1382" s="1" t="s">
        <v>20</v>
      </c>
      <c r="H1382" s="8">
        <v>908468.57</v>
      </c>
      <c r="I1382" s="8">
        <v>613998.89</v>
      </c>
      <c r="J1382" s="1">
        <f>IF(COUNTIF($C$4:C1382,C1382)=1,1,0)</f>
        <v>1</v>
      </c>
      <c r="K1382" s="1">
        <f t="shared" si="21"/>
        <v>2024</v>
      </c>
    </row>
    <row r="1383" spans="2:11" x14ac:dyDescent="0.45">
      <c r="B1383" s="1" t="s">
        <v>11</v>
      </c>
      <c r="C1383" s="1" t="s">
        <v>1387</v>
      </c>
      <c r="D1383" s="7">
        <v>44229</v>
      </c>
      <c r="E1383" s="7">
        <v>44248</v>
      </c>
      <c r="F1383" s="7">
        <v>44443</v>
      </c>
      <c r="G1383" s="1" t="s">
        <v>20</v>
      </c>
      <c r="H1383" s="8">
        <v>199053.39</v>
      </c>
      <c r="I1383" s="8">
        <v>126731.15</v>
      </c>
      <c r="J1383" s="1">
        <f>IF(COUNTIF($C$4:C1383,C1383)=1,1,0)</f>
        <v>1</v>
      </c>
      <c r="K1383" s="1">
        <f t="shared" si="21"/>
        <v>2021</v>
      </c>
    </row>
    <row r="1384" spans="2:11" x14ac:dyDescent="0.45">
      <c r="B1384" s="1" t="s">
        <v>11</v>
      </c>
      <c r="C1384" s="1" t="s">
        <v>1388</v>
      </c>
      <c r="D1384" s="7">
        <v>43680</v>
      </c>
      <c r="E1384" s="7">
        <v>43685</v>
      </c>
      <c r="F1384" s="7">
        <v>43876</v>
      </c>
      <c r="G1384" s="1" t="s">
        <v>1348</v>
      </c>
      <c r="H1384" s="8">
        <v>63284804.229999997</v>
      </c>
      <c r="I1384" s="8">
        <v>42599578.560000002</v>
      </c>
      <c r="J1384" s="1">
        <f>IF(COUNTIF($C$4:C1384,C1384)=1,1,0)</f>
        <v>1</v>
      </c>
      <c r="K1384" s="1">
        <f t="shared" si="21"/>
        <v>2019</v>
      </c>
    </row>
    <row r="1385" spans="2:11" x14ac:dyDescent="0.45">
      <c r="B1385" s="1" t="s">
        <v>11</v>
      </c>
      <c r="C1385" s="1" t="s">
        <v>1389</v>
      </c>
      <c r="D1385" s="7">
        <v>43807</v>
      </c>
      <c r="E1385" s="7">
        <v>43822</v>
      </c>
      <c r="F1385" s="7">
        <v>44060</v>
      </c>
      <c r="G1385" s="1" t="s">
        <v>212</v>
      </c>
      <c r="H1385" s="8">
        <v>20055276.190000001</v>
      </c>
      <c r="I1385" s="8">
        <v>10193711.83</v>
      </c>
      <c r="J1385" s="1">
        <f>IF(COUNTIF($C$4:C1385,C1385)=1,1,0)</f>
        <v>1</v>
      </c>
      <c r="K1385" s="1">
        <f t="shared" si="21"/>
        <v>2019</v>
      </c>
    </row>
    <row r="1386" spans="2:11" x14ac:dyDescent="0.45">
      <c r="B1386" s="1" t="s">
        <v>11</v>
      </c>
      <c r="C1386" s="1" t="s">
        <v>1390</v>
      </c>
      <c r="D1386" s="7">
        <v>46132</v>
      </c>
      <c r="E1386" s="7">
        <v>46134</v>
      </c>
      <c r="F1386" s="7">
        <v>46185</v>
      </c>
      <c r="G1386" s="1" t="s">
        <v>1348</v>
      </c>
      <c r="H1386" s="8">
        <v>220837442.72</v>
      </c>
      <c r="I1386" s="8">
        <v>92774307.75</v>
      </c>
      <c r="J1386" s="1">
        <f>IF(COUNTIF($C$4:C1386,C1386)=1,1,0)</f>
        <v>1</v>
      </c>
      <c r="K1386" s="1">
        <f t="shared" si="21"/>
        <v>2026</v>
      </c>
    </row>
    <row r="1387" spans="2:11" x14ac:dyDescent="0.45">
      <c r="B1387" s="1" t="s">
        <v>11</v>
      </c>
      <c r="C1387" s="1" t="s">
        <v>1391</v>
      </c>
      <c r="D1387" s="7">
        <v>43620</v>
      </c>
      <c r="E1387" s="7">
        <v>43635</v>
      </c>
      <c r="F1387" s="7">
        <v>43873</v>
      </c>
      <c r="G1387" s="1" t="s">
        <v>16</v>
      </c>
      <c r="H1387" s="8">
        <v>273190.86</v>
      </c>
      <c r="I1387" s="8">
        <v>195112.82</v>
      </c>
      <c r="J1387" s="1">
        <f>IF(COUNTIF($C$4:C1387,C1387)=1,1,0)</f>
        <v>1</v>
      </c>
      <c r="K1387" s="1">
        <f t="shared" si="21"/>
        <v>2019</v>
      </c>
    </row>
    <row r="1388" spans="2:11" x14ac:dyDescent="0.45">
      <c r="B1388" s="1" t="s">
        <v>11</v>
      </c>
      <c r="C1388" s="1" t="s">
        <v>1392</v>
      </c>
      <c r="D1388" s="7">
        <v>44018</v>
      </c>
      <c r="E1388" s="7">
        <v>44038</v>
      </c>
      <c r="F1388" s="7">
        <v>44222</v>
      </c>
      <c r="G1388" s="1" t="s">
        <v>38</v>
      </c>
      <c r="H1388" s="8">
        <v>505967.25</v>
      </c>
      <c r="I1388" s="8">
        <v>444923.03</v>
      </c>
      <c r="J1388" s="1">
        <f>IF(COUNTIF($C$4:C1388,C1388)=1,1,0)</f>
        <v>1</v>
      </c>
      <c r="K1388" s="1">
        <f t="shared" si="21"/>
        <v>2020</v>
      </c>
    </row>
    <row r="1389" spans="2:11" x14ac:dyDescent="0.45">
      <c r="B1389" s="1" t="s">
        <v>11</v>
      </c>
      <c r="C1389" s="1" t="s">
        <v>1393</v>
      </c>
      <c r="D1389" s="7">
        <v>43974</v>
      </c>
      <c r="E1389" s="7">
        <v>43990</v>
      </c>
      <c r="F1389" s="7">
        <v>44201</v>
      </c>
      <c r="G1389" s="1" t="s">
        <v>20</v>
      </c>
      <c r="H1389" s="8">
        <v>1349549.87</v>
      </c>
      <c r="I1389" s="8">
        <v>1059791.21</v>
      </c>
      <c r="J1389" s="1">
        <f>IF(COUNTIF($C$4:C1389,C1389)=1,1,0)</f>
        <v>1</v>
      </c>
      <c r="K1389" s="1">
        <f t="shared" si="21"/>
        <v>2020</v>
      </c>
    </row>
    <row r="1390" spans="2:11" x14ac:dyDescent="0.45">
      <c r="B1390" s="1" t="s">
        <v>11</v>
      </c>
      <c r="C1390" s="1" t="s">
        <v>1394</v>
      </c>
      <c r="D1390" s="7">
        <v>45403</v>
      </c>
      <c r="E1390" s="7">
        <v>45421</v>
      </c>
      <c r="F1390" s="7">
        <v>45483</v>
      </c>
      <c r="G1390" s="1" t="s">
        <v>13</v>
      </c>
      <c r="H1390" s="8">
        <v>2508892.48</v>
      </c>
      <c r="I1390" s="8">
        <v>2038315.36</v>
      </c>
      <c r="J1390" s="1">
        <f>IF(COUNTIF($C$4:C1390,C1390)=1,1,0)</f>
        <v>1</v>
      </c>
      <c r="K1390" s="1">
        <f t="shared" si="21"/>
        <v>2024</v>
      </c>
    </row>
    <row r="1391" spans="2:11" x14ac:dyDescent="0.45">
      <c r="B1391" s="1" t="s">
        <v>11</v>
      </c>
      <c r="C1391" s="1" t="s">
        <v>1395</v>
      </c>
      <c r="D1391" s="7">
        <v>46051</v>
      </c>
      <c r="E1391" s="7">
        <v>46054</v>
      </c>
      <c r="F1391" s="7">
        <v>46068</v>
      </c>
      <c r="G1391" s="1" t="s">
        <v>38</v>
      </c>
      <c r="H1391" s="8">
        <v>788722.69</v>
      </c>
      <c r="I1391" s="8">
        <v>568018.35</v>
      </c>
      <c r="J1391" s="1">
        <f>IF(COUNTIF($C$4:C1391,C1391)=1,1,0)</f>
        <v>1</v>
      </c>
      <c r="K1391" s="1">
        <f t="shared" si="21"/>
        <v>2026</v>
      </c>
    </row>
    <row r="1392" spans="2:11" x14ac:dyDescent="0.45">
      <c r="B1392" s="1" t="s">
        <v>11</v>
      </c>
      <c r="C1392" s="1" t="s">
        <v>1396</v>
      </c>
      <c r="D1392" s="7">
        <v>44229</v>
      </c>
      <c r="E1392" s="7">
        <v>44244</v>
      </c>
      <c r="F1392" s="7">
        <v>44286</v>
      </c>
      <c r="G1392" s="1" t="s">
        <v>16</v>
      </c>
      <c r="H1392" s="8">
        <v>1721240.9</v>
      </c>
      <c r="I1392" s="8">
        <v>918592.46</v>
      </c>
      <c r="J1392" s="1">
        <f>IF(COUNTIF($C$4:C1392,C1392)=1,1,0)</f>
        <v>1</v>
      </c>
      <c r="K1392" s="1">
        <f t="shared" si="21"/>
        <v>2021</v>
      </c>
    </row>
    <row r="1393" spans="2:11" x14ac:dyDescent="0.45">
      <c r="B1393" s="1" t="s">
        <v>11</v>
      </c>
      <c r="C1393" s="1" t="s">
        <v>1397</v>
      </c>
      <c r="D1393" s="7">
        <v>45951</v>
      </c>
      <c r="E1393" s="7">
        <v>45954</v>
      </c>
      <c r="F1393" s="7">
        <v>46103</v>
      </c>
      <c r="G1393" s="1" t="s">
        <v>22</v>
      </c>
      <c r="H1393" s="8">
        <v>46003554.18</v>
      </c>
      <c r="I1393" s="8">
        <v>27205107.039999999</v>
      </c>
      <c r="J1393" s="1">
        <f>IF(COUNTIF($C$4:C1393,C1393)=1,1,0)</f>
        <v>1</v>
      </c>
      <c r="K1393" s="1">
        <f t="shared" si="21"/>
        <v>2025</v>
      </c>
    </row>
    <row r="1394" spans="2:11" x14ac:dyDescent="0.45">
      <c r="B1394" s="1" t="s">
        <v>11</v>
      </c>
      <c r="C1394" s="1" t="s">
        <v>1398</v>
      </c>
      <c r="D1394" s="7">
        <v>43731</v>
      </c>
      <c r="E1394" s="7">
        <v>43758</v>
      </c>
      <c r="F1394" s="7">
        <v>43922</v>
      </c>
      <c r="G1394" s="1" t="s">
        <v>41</v>
      </c>
      <c r="H1394" s="8">
        <v>156189</v>
      </c>
      <c r="I1394" s="8">
        <v>105813.33</v>
      </c>
      <c r="J1394" s="1">
        <f>IF(COUNTIF($C$4:C1394,C1394)=1,1,0)</f>
        <v>1</v>
      </c>
      <c r="K1394" s="1">
        <f t="shared" si="21"/>
        <v>2019</v>
      </c>
    </row>
    <row r="1395" spans="2:11" x14ac:dyDescent="0.45">
      <c r="B1395" s="1" t="s">
        <v>11</v>
      </c>
      <c r="C1395" s="1" t="s">
        <v>1399</v>
      </c>
      <c r="D1395" s="7">
        <v>43958</v>
      </c>
      <c r="E1395" s="7">
        <v>43984</v>
      </c>
      <c r="F1395" s="7">
        <v>44078</v>
      </c>
      <c r="G1395" s="1" t="s">
        <v>20</v>
      </c>
      <c r="H1395" s="8">
        <v>1203117.82</v>
      </c>
      <c r="I1395" s="8">
        <v>631134.93999999994</v>
      </c>
      <c r="J1395" s="1">
        <f>IF(COUNTIF($C$4:C1395,C1395)=1,1,0)</f>
        <v>1</v>
      </c>
      <c r="K1395" s="1">
        <f t="shared" si="21"/>
        <v>2020</v>
      </c>
    </row>
    <row r="1396" spans="2:11" x14ac:dyDescent="0.45">
      <c r="B1396" s="1" t="s">
        <v>11</v>
      </c>
      <c r="C1396" s="1" t="s">
        <v>1400</v>
      </c>
      <c r="D1396" s="7">
        <v>44192</v>
      </c>
      <c r="E1396" s="7">
        <v>44208</v>
      </c>
      <c r="F1396" s="7">
        <v>44361</v>
      </c>
      <c r="G1396" s="1" t="s">
        <v>212</v>
      </c>
      <c r="H1396" s="8">
        <v>16424946.75</v>
      </c>
      <c r="I1396" s="8">
        <v>11201291.640000001</v>
      </c>
      <c r="J1396" s="1">
        <f>IF(COUNTIF($C$4:C1396,C1396)=1,1,0)</f>
        <v>1</v>
      </c>
      <c r="K1396" s="1">
        <f t="shared" si="21"/>
        <v>2020</v>
      </c>
    </row>
    <row r="1397" spans="2:11" x14ac:dyDescent="0.45">
      <c r="B1397" s="1" t="s">
        <v>11</v>
      </c>
      <c r="C1397" s="1" t="s">
        <v>1401</v>
      </c>
      <c r="D1397" s="7">
        <v>44367</v>
      </c>
      <c r="E1397" s="7">
        <v>44393</v>
      </c>
      <c r="F1397" s="7">
        <v>44534</v>
      </c>
      <c r="G1397" s="1" t="s">
        <v>41</v>
      </c>
      <c r="H1397" s="8">
        <v>196148.98</v>
      </c>
      <c r="I1397" s="8">
        <v>160813.1</v>
      </c>
      <c r="J1397" s="1">
        <f>IF(COUNTIF($C$4:C1397,C1397)=1,1,0)</f>
        <v>1</v>
      </c>
      <c r="K1397" s="1">
        <f t="shared" si="21"/>
        <v>2021</v>
      </c>
    </row>
    <row r="1398" spans="2:11" x14ac:dyDescent="0.45">
      <c r="B1398" s="1" t="s">
        <v>11</v>
      </c>
      <c r="C1398" s="1" t="s">
        <v>1402</v>
      </c>
      <c r="D1398" s="7">
        <v>45015</v>
      </c>
      <c r="E1398" s="7">
        <v>45031</v>
      </c>
      <c r="F1398" s="7">
        <v>45192</v>
      </c>
      <c r="G1398" s="1" t="s">
        <v>212</v>
      </c>
      <c r="H1398" s="8">
        <v>18459838.34</v>
      </c>
      <c r="I1398" s="8">
        <v>10447621.85</v>
      </c>
      <c r="J1398" s="1">
        <f>IF(COUNTIF($C$4:C1398,C1398)=1,1,0)</f>
        <v>1</v>
      </c>
      <c r="K1398" s="1">
        <f t="shared" si="21"/>
        <v>2023</v>
      </c>
    </row>
    <row r="1399" spans="2:11" x14ac:dyDescent="0.45">
      <c r="B1399" s="1" t="s">
        <v>11</v>
      </c>
      <c r="C1399" s="1" t="s">
        <v>1403</v>
      </c>
      <c r="D1399" s="7">
        <v>44626</v>
      </c>
      <c r="E1399" s="7">
        <v>44651</v>
      </c>
      <c r="F1399" s="7">
        <v>44858</v>
      </c>
      <c r="G1399" s="1" t="s">
        <v>18</v>
      </c>
      <c r="H1399" s="8">
        <v>45362155.840000004</v>
      </c>
      <c r="I1399" s="8">
        <v>25876223.449999999</v>
      </c>
      <c r="J1399" s="1">
        <f>IF(COUNTIF($C$4:C1399,C1399)=1,1,0)</f>
        <v>1</v>
      </c>
      <c r="K1399" s="1">
        <f t="shared" si="21"/>
        <v>2022</v>
      </c>
    </row>
    <row r="1400" spans="2:11" x14ac:dyDescent="0.45">
      <c r="B1400" s="1" t="s">
        <v>11</v>
      </c>
      <c r="C1400" s="1" t="s">
        <v>1404</v>
      </c>
      <c r="D1400" s="7">
        <v>44922</v>
      </c>
      <c r="E1400" s="7">
        <v>44943</v>
      </c>
      <c r="F1400" s="7">
        <v>45002</v>
      </c>
      <c r="G1400" s="1" t="s">
        <v>212</v>
      </c>
      <c r="H1400" s="8">
        <v>34282372.950000003</v>
      </c>
      <c r="I1400" s="8">
        <v>21482389.399999999</v>
      </c>
      <c r="J1400" s="1">
        <f>IF(COUNTIF($C$4:C1400,C1400)=1,1,0)</f>
        <v>1</v>
      </c>
      <c r="K1400" s="1">
        <f t="shared" si="21"/>
        <v>2022</v>
      </c>
    </row>
    <row r="1401" spans="2:11" x14ac:dyDescent="0.45">
      <c r="B1401" s="1" t="s">
        <v>11</v>
      </c>
      <c r="C1401" s="1" t="s">
        <v>1405</v>
      </c>
      <c r="D1401" s="7">
        <v>45607</v>
      </c>
      <c r="E1401" s="7">
        <v>45618</v>
      </c>
      <c r="F1401" s="7">
        <v>45806</v>
      </c>
      <c r="G1401" s="1" t="s">
        <v>38</v>
      </c>
      <c r="H1401" s="8">
        <v>2661342</v>
      </c>
      <c r="I1401" s="8">
        <v>2053109.27</v>
      </c>
      <c r="J1401" s="1">
        <f>IF(COUNTIF($C$4:C1401,C1401)=1,1,0)</f>
        <v>1</v>
      </c>
      <c r="K1401" s="1">
        <f t="shared" si="21"/>
        <v>2024</v>
      </c>
    </row>
    <row r="1402" spans="2:11" x14ac:dyDescent="0.45">
      <c r="B1402" s="1" t="s">
        <v>11</v>
      </c>
      <c r="C1402" s="1" t="s">
        <v>1406</v>
      </c>
      <c r="D1402" s="7">
        <v>44751</v>
      </c>
      <c r="E1402" s="7">
        <v>44768</v>
      </c>
      <c r="F1402" s="7">
        <v>44962</v>
      </c>
      <c r="G1402" s="1" t="s">
        <v>38</v>
      </c>
      <c r="H1402" s="8">
        <v>299197.12</v>
      </c>
      <c r="I1402" s="8">
        <v>200320.11</v>
      </c>
      <c r="J1402" s="1">
        <f>IF(COUNTIF($C$4:C1402,C1402)=1,1,0)</f>
        <v>1</v>
      </c>
      <c r="K1402" s="1">
        <f t="shared" si="21"/>
        <v>2022</v>
      </c>
    </row>
    <row r="1403" spans="2:11" x14ac:dyDescent="0.45">
      <c r="B1403" s="1" t="s">
        <v>11</v>
      </c>
      <c r="C1403" s="1" t="s">
        <v>1407</v>
      </c>
      <c r="D1403" s="7">
        <v>45864</v>
      </c>
      <c r="E1403" s="7">
        <v>45881</v>
      </c>
      <c r="F1403" s="7">
        <v>46092</v>
      </c>
      <c r="G1403" s="1" t="s">
        <v>212</v>
      </c>
      <c r="H1403" s="8">
        <v>28198694.010000002</v>
      </c>
      <c r="I1403" s="8">
        <v>12087071.970000001</v>
      </c>
      <c r="J1403" s="1">
        <f>IF(COUNTIF($C$4:C1403,C1403)=1,1,0)</f>
        <v>1</v>
      </c>
      <c r="K1403" s="1">
        <f t="shared" si="21"/>
        <v>2025</v>
      </c>
    </row>
    <row r="1404" spans="2:11" x14ac:dyDescent="0.45">
      <c r="B1404" s="1" t="s">
        <v>11</v>
      </c>
      <c r="C1404" s="1" t="s">
        <v>1408</v>
      </c>
      <c r="D1404" s="7">
        <v>44147</v>
      </c>
      <c r="E1404" s="7">
        <v>44160</v>
      </c>
      <c r="F1404" s="7">
        <v>44332</v>
      </c>
      <c r="G1404" s="1" t="s">
        <v>1348</v>
      </c>
      <c r="H1404" s="8">
        <v>21551804.600000001</v>
      </c>
      <c r="I1404" s="8">
        <v>12968811.970000001</v>
      </c>
      <c r="J1404" s="1">
        <f>IF(COUNTIF($C$4:C1404,C1404)=1,1,0)</f>
        <v>1</v>
      </c>
      <c r="K1404" s="1">
        <f t="shared" si="21"/>
        <v>2020</v>
      </c>
    </row>
    <row r="1405" spans="2:11" x14ac:dyDescent="0.45">
      <c r="B1405" s="1" t="s">
        <v>11</v>
      </c>
      <c r="C1405" s="1" t="s">
        <v>1409</v>
      </c>
      <c r="D1405" s="7">
        <v>44998</v>
      </c>
      <c r="E1405" s="7">
        <v>44999</v>
      </c>
      <c r="F1405" s="7">
        <v>45181</v>
      </c>
      <c r="G1405" s="1" t="s">
        <v>1348</v>
      </c>
      <c r="H1405" s="8">
        <v>33140277.25</v>
      </c>
      <c r="I1405" s="8">
        <v>24565268.710000001</v>
      </c>
      <c r="J1405" s="1">
        <f>IF(COUNTIF($C$4:C1405,C1405)=1,1,0)</f>
        <v>1</v>
      </c>
      <c r="K1405" s="1">
        <f t="shared" si="21"/>
        <v>2023</v>
      </c>
    </row>
    <row r="1406" spans="2:11" x14ac:dyDescent="0.45">
      <c r="B1406" s="1" t="s">
        <v>11</v>
      </c>
      <c r="C1406" s="1" t="s">
        <v>1410</v>
      </c>
      <c r="D1406" s="7">
        <v>45325</v>
      </c>
      <c r="E1406" s="7">
        <v>45354</v>
      </c>
      <c r="F1406" s="7">
        <v>45437</v>
      </c>
      <c r="G1406" s="1" t="s">
        <v>212</v>
      </c>
      <c r="H1406" s="8">
        <v>14345066.4</v>
      </c>
      <c r="I1406" s="8">
        <v>6537057.9500000002</v>
      </c>
      <c r="J1406" s="1">
        <f>IF(COUNTIF($C$4:C1406,C1406)=1,1,0)</f>
        <v>1</v>
      </c>
      <c r="K1406" s="1">
        <f t="shared" si="21"/>
        <v>2024</v>
      </c>
    </row>
    <row r="1407" spans="2:11" x14ac:dyDescent="0.45">
      <c r="B1407" s="1" t="s">
        <v>11</v>
      </c>
      <c r="C1407" s="1" t="s">
        <v>1411</v>
      </c>
      <c r="D1407" s="7">
        <v>45884</v>
      </c>
      <c r="E1407" s="7">
        <v>45894</v>
      </c>
      <c r="F1407" s="7">
        <v>46123</v>
      </c>
      <c r="G1407" s="1" t="s">
        <v>212</v>
      </c>
      <c r="H1407" s="8">
        <v>8846883.4600000009</v>
      </c>
      <c r="I1407" s="8">
        <v>5542586.8799999999</v>
      </c>
      <c r="J1407" s="1">
        <f>IF(COUNTIF($C$4:C1407,C1407)=1,1,0)</f>
        <v>1</v>
      </c>
      <c r="K1407" s="1">
        <f t="shared" si="21"/>
        <v>2025</v>
      </c>
    </row>
    <row r="1408" spans="2:11" x14ac:dyDescent="0.45">
      <c r="B1408" s="1" t="s">
        <v>11</v>
      </c>
      <c r="C1408" s="1" t="s">
        <v>1412</v>
      </c>
      <c r="D1408" s="7">
        <v>46142</v>
      </c>
      <c r="E1408" s="7">
        <v>46163</v>
      </c>
      <c r="F1408" s="7">
        <v>46276</v>
      </c>
      <c r="G1408" s="1" t="s">
        <v>41</v>
      </c>
      <c r="H1408" s="8">
        <v>34036.480000000003</v>
      </c>
      <c r="I1408" s="8">
        <v>26173.65</v>
      </c>
      <c r="J1408" s="1">
        <f>IF(COUNTIF($C$4:C1408,C1408)=1,1,0)</f>
        <v>1</v>
      </c>
      <c r="K1408" s="1">
        <f t="shared" si="21"/>
        <v>2026</v>
      </c>
    </row>
    <row r="1409" spans="2:11" x14ac:dyDescent="0.45">
      <c r="B1409" s="1" t="s">
        <v>11</v>
      </c>
      <c r="C1409" s="1" t="s">
        <v>1413</v>
      </c>
      <c r="D1409" s="7">
        <v>44047</v>
      </c>
      <c r="E1409" s="7">
        <v>44047</v>
      </c>
      <c r="F1409" s="7">
        <v>44244</v>
      </c>
      <c r="G1409" s="1" t="s">
        <v>13</v>
      </c>
      <c r="H1409" s="8">
        <v>188331.27</v>
      </c>
      <c r="I1409" s="8">
        <v>142353.12</v>
      </c>
      <c r="J1409" s="1">
        <f>IF(COUNTIF($C$4:C1409,C1409)=1,1,0)</f>
        <v>1</v>
      </c>
      <c r="K1409" s="1">
        <f t="shared" si="21"/>
        <v>2020</v>
      </c>
    </row>
    <row r="1410" spans="2:11" x14ac:dyDescent="0.45">
      <c r="B1410" s="1" t="s">
        <v>11</v>
      </c>
      <c r="C1410" s="1" t="s">
        <v>1414</v>
      </c>
      <c r="D1410" s="7">
        <v>45827</v>
      </c>
      <c r="E1410" s="7">
        <v>45835</v>
      </c>
      <c r="F1410" s="7">
        <v>45919</v>
      </c>
      <c r="G1410" s="1" t="s">
        <v>16</v>
      </c>
      <c r="H1410" s="8">
        <v>7984168.8200000003</v>
      </c>
      <c r="I1410" s="8">
        <v>4155751.13</v>
      </c>
      <c r="J1410" s="1">
        <f>IF(COUNTIF($C$4:C1410,C1410)=1,1,0)</f>
        <v>1</v>
      </c>
      <c r="K1410" s="1">
        <f t="shared" si="21"/>
        <v>2025</v>
      </c>
    </row>
    <row r="1411" spans="2:11" x14ac:dyDescent="0.45">
      <c r="B1411" s="1" t="s">
        <v>11</v>
      </c>
      <c r="C1411" s="1" t="s">
        <v>1415</v>
      </c>
      <c r="D1411" s="7">
        <v>43648</v>
      </c>
      <c r="E1411" s="7">
        <v>43677</v>
      </c>
      <c r="F1411" s="7">
        <v>43815</v>
      </c>
      <c r="G1411" s="1" t="s">
        <v>20</v>
      </c>
      <c r="H1411" s="8">
        <v>2096267.92</v>
      </c>
      <c r="I1411" s="8">
        <v>1232889.29</v>
      </c>
      <c r="J1411" s="1">
        <f>IF(COUNTIF($C$4:C1411,C1411)=1,1,0)</f>
        <v>1</v>
      </c>
      <c r="K1411" s="1">
        <f t="shared" si="21"/>
        <v>2019</v>
      </c>
    </row>
    <row r="1412" spans="2:11" x14ac:dyDescent="0.45">
      <c r="B1412" s="1" t="s">
        <v>11</v>
      </c>
      <c r="C1412" s="1" t="s">
        <v>1416</v>
      </c>
      <c r="D1412" s="7">
        <v>45963</v>
      </c>
      <c r="E1412" s="7">
        <v>45985</v>
      </c>
      <c r="F1412" s="7">
        <v>45994</v>
      </c>
      <c r="G1412" s="1" t="s">
        <v>38</v>
      </c>
      <c r="H1412" s="8">
        <v>877359.23</v>
      </c>
      <c r="I1412" s="8">
        <v>806642.64</v>
      </c>
      <c r="J1412" s="1">
        <f>IF(COUNTIF($C$4:C1412,C1412)=1,1,0)</f>
        <v>1</v>
      </c>
      <c r="K1412" s="1">
        <f t="shared" si="21"/>
        <v>2025</v>
      </c>
    </row>
    <row r="1413" spans="2:11" x14ac:dyDescent="0.45">
      <c r="B1413" s="1" t="s">
        <v>11</v>
      </c>
      <c r="C1413" s="1" t="s">
        <v>1417</v>
      </c>
      <c r="D1413" s="7">
        <v>43773</v>
      </c>
      <c r="E1413" s="7">
        <v>43785</v>
      </c>
      <c r="F1413" s="7">
        <v>44000</v>
      </c>
      <c r="G1413" s="1" t="s">
        <v>18</v>
      </c>
      <c r="H1413" s="8">
        <v>65605647</v>
      </c>
      <c r="I1413" s="8">
        <v>43765011.090000004</v>
      </c>
      <c r="J1413" s="1">
        <f>IF(COUNTIF($C$4:C1413,C1413)=1,1,0)</f>
        <v>1</v>
      </c>
      <c r="K1413" s="1">
        <f t="shared" ref="K1413:K1476" si="22">YEAR(D1413)</f>
        <v>2019</v>
      </c>
    </row>
    <row r="1414" spans="2:11" x14ac:dyDescent="0.45">
      <c r="B1414" s="1" t="s">
        <v>11</v>
      </c>
      <c r="C1414" s="1" t="s">
        <v>1418</v>
      </c>
      <c r="D1414" s="7">
        <v>44615</v>
      </c>
      <c r="E1414" s="7">
        <v>44645</v>
      </c>
      <c r="F1414" s="7">
        <v>44757</v>
      </c>
      <c r="G1414" s="1" t="s">
        <v>16</v>
      </c>
      <c r="H1414" s="8">
        <v>3013568.58</v>
      </c>
      <c r="I1414" s="8">
        <v>2129269.39</v>
      </c>
      <c r="J1414" s="1">
        <f>IF(COUNTIF($C$4:C1414,C1414)=1,1,0)</f>
        <v>1</v>
      </c>
      <c r="K1414" s="1">
        <f t="shared" si="22"/>
        <v>2022</v>
      </c>
    </row>
    <row r="1415" spans="2:11" x14ac:dyDescent="0.45">
      <c r="B1415" s="1" t="s">
        <v>11</v>
      </c>
      <c r="C1415" s="1" t="s">
        <v>1419</v>
      </c>
      <c r="D1415" s="7">
        <v>45867</v>
      </c>
      <c r="E1415" s="7">
        <v>45882</v>
      </c>
      <c r="F1415" s="7">
        <v>46068</v>
      </c>
      <c r="G1415" s="1" t="s">
        <v>18</v>
      </c>
      <c r="H1415" s="8">
        <v>11999016.32</v>
      </c>
      <c r="I1415" s="8">
        <v>8544620.7699999996</v>
      </c>
      <c r="J1415" s="1">
        <f>IF(COUNTIF($C$4:C1415,C1415)=1,1,0)</f>
        <v>1</v>
      </c>
      <c r="K1415" s="1">
        <f t="shared" si="22"/>
        <v>2025</v>
      </c>
    </row>
    <row r="1416" spans="2:11" x14ac:dyDescent="0.45">
      <c r="B1416" s="1" t="s">
        <v>11</v>
      </c>
      <c r="C1416" s="1" t="s">
        <v>1420</v>
      </c>
      <c r="D1416" s="7">
        <v>45405</v>
      </c>
      <c r="E1416" s="7">
        <v>45415</v>
      </c>
      <c r="F1416" s="7">
        <v>45514</v>
      </c>
      <c r="G1416" s="1" t="s">
        <v>13</v>
      </c>
      <c r="H1416" s="8">
        <v>404349.51</v>
      </c>
      <c r="I1416" s="8">
        <v>304061.58</v>
      </c>
      <c r="J1416" s="1">
        <f>IF(COUNTIF($C$4:C1416,C1416)=1,1,0)</f>
        <v>1</v>
      </c>
      <c r="K1416" s="1">
        <f t="shared" si="22"/>
        <v>2024</v>
      </c>
    </row>
    <row r="1417" spans="2:11" x14ac:dyDescent="0.45">
      <c r="B1417" s="1" t="s">
        <v>11</v>
      </c>
      <c r="C1417" s="1" t="s">
        <v>1421</v>
      </c>
      <c r="D1417" s="7">
        <v>43606</v>
      </c>
      <c r="E1417" s="7">
        <v>43632</v>
      </c>
      <c r="F1417" s="7">
        <v>43809</v>
      </c>
      <c r="G1417" s="1" t="s">
        <v>22</v>
      </c>
      <c r="H1417" s="8">
        <v>1265923.67</v>
      </c>
      <c r="I1417" s="8">
        <v>618319</v>
      </c>
      <c r="J1417" s="1">
        <f>IF(COUNTIF($C$4:C1417,C1417)=1,1,0)</f>
        <v>1</v>
      </c>
      <c r="K1417" s="1">
        <f t="shared" si="22"/>
        <v>2019</v>
      </c>
    </row>
    <row r="1418" spans="2:11" x14ac:dyDescent="0.45">
      <c r="B1418" s="1" t="s">
        <v>11</v>
      </c>
      <c r="C1418" s="1" t="s">
        <v>1422</v>
      </c>
      <c r="D1418" s="7">
        <v>43861</v>
      </c>
      <c r="E1418" s="7">
        <v>43867</v>
      </c>
      <c r="F1418" s="7">
        <v>43890</v>
      </c>
      <c r="G1418" s="1" t="s">
        <v>44</v>
      </c>
      <c r="H1418" s="8">
        <v>26955034.670000002</v>
      </c>
      <c r="I1418" s="8">
        <v>13707112.65</v>
      </c>
      <c r="J1418" s="1">
        <f>IF(COUNTIF($C$4:C1418,C1418)=1,1,0)</f>
        <v>1</v>
      </c>
      <c r="K1418" s="1">
        <f t="shared" si="22"/>
        <v>2020</v>
      </c>
    </row>
    <row r="1419" spans="2:11" x14ac:dyDescent="0.45">
      <c r="B1419" s="1" t="s">
        <v>11</v>
      </c>
      <c r="C1419" s="1" t="s">
        <v>1423</v>
      </c>
      <c r="D1419" s="7">
        <v>43617</v>
      </c>
      <c r="E1419" s="7">
        <v>43617</v>
      </c>
      <c r="F1419" s="7">
        <v>43624</v>
      </c>
      <c r="G1419" s="1" t="s">
        <v>38</v>
      </c>
      <c r="H1419" s="8">
        <v>462102.19</v>
      </c>
      <c r="I1419" s="8">
        <v>319598.52</v>
      </c>
      <c r="J1419" s="1">
        <f>IF(COUNTIF($C$4:C1419,C1419)=1,1,0)</f>
        <v>1</v>
      </c>
      <c r="K1419" s="1">
        <f t="shared" si="22"/>
        <v>2019</v>
      </c>
    </row>
    <row r="1420" spans="2:11" x14ac:dyDescent="0.45">
      <c r="B1420" s="1" t="s">
        <v>11</v>
      </c>
      <c r="C1420" s="1" t="s">
        <v>1424</v>
      </c>
      <c r="D1420" s="7">
        <v>46084</v>
      </c>
      <c r="E1420" s="7">
        <v>46099</v>
      </c>
      <c r="F1420" s="7">
        <v>46168</v>
      </c>
      <c r="G1420" s="1" t="s">
        <v>16</v>
      </c>
      <c r="H1420" s="8">
        <v>518796.33</v>
      </c>
      <c r="I1420" s="8">
        <v>361147.22</v>
      </c>
      <c r="J1420" s="1">
        <f>IF(COUNTIF($C$4:C1420,C1420)=1,1,0)</f>
        <v>1</v>
      </c>
      <c r="K1420" s="1">
        <f t="shared" si="22"/>
        <v>2026</v>
      </c>
    </row>
    <row r="1421" spans="2:11" x14ac:dyDescent="0.45">
      <c r="B1421" s="1" t="s">
        <v>11</v>
      </c>
      <c r="C1421" s="1" t="s">
        <v>1425</v>
      </c>
      <c r="D1421" s="7">
        <v>43460</v>
      </c>
      <c r="E1421" s="7">
        <v>43477</v>
      </c>
      <c r="F1421" s="7">
        <v>43558</v>
      </c>
      <c r="G1421" s="1" t="s">
        <v>22</v>
      </c>
      <c r="H1421" s="8">
        <v>16824059.879999999</v>
      </c>
      <c r="I1421" s="8">
        <v>12426360.640000001</v>
      </c>
      <c r="J1421" s="1">
        <f>IF(COUNTIF($C$4:C1421,C1421)=1,1,0)</f>
        <v>1</v>
      </c>
      <c r="K1421" s="1">
        <f t="shared" si="22"/>
        <v>2018</v>
      </c>
    </row>
    <row r="1422" spans="2:11" x14ac:dyDescent="0.45">
      <c r="B1422" s="1" t="s">
        <v>11</v>
      </c>
      <c r="C1422" s="1" t="s">
        <v>1426</v>
      </c>
      <c r="D1422" s="7">
        <v>45420</v>
      </c>
      <c r="E1422" s="7">
        <v>45421</v>
      </c>
      <c r="F1422" s="7">
        <v>45580</v>
      </c>
      <c r="G1422" s="1" t="s">
        <v>44</v>
      </c>
      <c r="H1422" s="8">
        <v>373604809.22000003</v>
      </c>
      <c r="I1422" s="8">
        <v>215755121.72999999</v>
      </c>
      <c r="J1422" s="1">
        <f>IF(COUNTIF($C$4:C1422,C1422)=1,1,0)</f>
        <v>1</v>
      </c>
      <c r="K1422" s="1">
        <f t="shared" si="22"/>
        <v>2024</v>
      </c>
    </row>
    <row r="1423" spans="2:11" x14ac:dyDescent="0.45">
      <c r="B1423" s="1" t="s">
        <v>11</v>
      </c>
      <c r="C1423" s="1" t="s">
        <v>1427</v>
      </c>
      <c r="D1423" s="7">
        <v>45090</v>
      </c>
      <c r="E1423" s="7">
        <v>45116</v>
      </c>
      <c r="F1423" s="7">
        <v>45293</v>
      </c>
      <c r="G1423" s="1" t="s">
        <v>41</v>
      </c>
      <c r="H1423" s="8">
        <v>486778.58</v>
      </c>
      <c r="I1423" s="8">
        <v>366000.11</v>
      </c>
      <c r="J1423" s="1">
        <f>IF(COUNTIF($C$4:C1423,C1423)=1,1,0)</f>
        <v>1</v>
      </c>
      <c r="K1423" s="1">
        <f t="shared" si="22"/>
        <v>2023</v>
      </c>
    </row>
    <row r="1424" spans="2:11" x14ac:dyDescent="0.45">
      <c r="B1424" s="1" t="s">
        <v>11</v>
      </c>
      <c r="C1424" s="1" t="s">
        <v>1428</v>
      </c>
      <c r="D1424" s="7">
        <v>43749</v>
      </c>
      <c r="E1424" s="7">
        <v>43763</v>
      </c>
      <c r="F1424" s="7">
        <v>43813</v>
      </c>
      <c r="G1424" s="1" t="s">
        <v>20</v>
      </c>
      <c r="H1424" s="8">
        <v>1894334.6</v>
      </c>
      <c r="I1424" s="8">
        <v>1123908.07</v>
      </c>
      <c r="J1424" s="1">
        <f>IF(COUNTIF($C$4:C1424,C1424)=1,1,0)</f>
        <v>1</v>
      </c>
      <c r="K1424" s="1">
        <f t="shared" si="22"/>
        <v>2019</v>
      </c>
    </row>
    <row r="1425" spans="2:11" x14ac:dyDescent="0.45">
      <c r="B1425" s="1" t="s">
        <v>11</v>
      </c>
      <c r="C1425" s="1" t="s">
        <v>1429</v>
      </c>
      <c r="D1425" s="7">
        <v>44669</v>
      </c>
      <c r="E1425" s="7">
        <v>44685</v>
      </c>
      <c r="F1425" s="7">
        <v>44869</v>
      </c>
      <c r="G1425" s="1" t="s">
        <v>16</v>
      </c>
      <c r="H1425" s="8">
        <v>1266507.77</v>
      </c>
      <c r="I1425" s="8">
        <v>751670.74</v>
      </c>
      <c r="J1425" s="1">
        <f>IF(COUNTIF($C$4:C1425,C1425)=1,1,0)</f>
        <v>1</v>
      </c>
      <c r="K1425" s="1">
        <f t="shared" si="22"/>
        <v>2022</v>
      </c>
    </row>
    <row r="1426" spans="2:11" x14ac:dyDescent="0.45">
      <c r="B1426" s="1" t="s">
        <v>11</v>
      </c>
      <c r="C1426" s="1" t="s">
        <v>1430</v>
      </c>
      <c r="D1426" s="7">
        <v>46143</v>
      </c>
      <c r="E1426" s="7">
        <v>46160</v>
      </c>
      <c r="F1426" s="7">
        <v>46259</v>
      </c>
      <c r="G1426" s="1" t="s">
        <v>22</v>
      </c>
      <c r="H1426" s="8">
        <v>4025884.47</v>
      </c>
      <c r="I1426" s="8">
        <v>3090101.6</v>
      </c>
      <c r="J1426" s="1">
        <f>IF(COUNTIF($C$4:C1426,C1426)=1,1,0)</f>
        <v>1</v>
      </c>
      <c r="K1426" s="1">
        <f t="shared" si="22"/>
        <v>2026</v>
      </c>
    </row>
    <row r="1427" spans="2:11" x14ac:dyDescent="0.45">
      <c r="B1427" s="1" t="s">
        <v>11</v>
      </c>
      <c r="C1427" s="1" t="s">
        <v>1431</v>
      </c>
      <c r="D1427" s="7">
        <v>44674</v>
      </c>
      <c r="E1427" s="7">
        <v>44689</v>
      </c>
      <c r="F1427" s="7">
        <v>44863</v>
      </c>
      <c r="G1427" s="1" t="s">
        <v>41</v>
      </c>
      <c r="H1427" s="8">
        <v>384741.1</v>
      </c>
      <c r="I1427" s="8">
        <v>318539.96000000002</v>
      </c>
      <c r="J1427" s="1">
        <f>IF(COUNTIF($C$4:C1427,C1427)=1,1,0)</f>
        <v>1</v>
      </c>
      <c r="K1427" s="1">
        <f t="shared" si="22"/>
        <v>2022</v>
      </c>
    </row>
    <row r="1428" spans="2:11" x14ac:dyDescent="0.45">
      <c r="B1428" s="1" t="s">
        <v>11</v>
      </c>
      <c r="C1428" s="1" t="s">
        <v>1432</v>
      </c>
      <c r="D1428" s="7">
        <v>43373</v>
      </c>
      <c r="E1428" s="7">
        <v>43378</v>
      </c>
      <c r="F1428" s="7">
        <v>43448</v>
      </c>
      <c r="G1428" s="1" t="s">
        <v>20</v>
      </c>
      <c r="H1428" s="8">
        <v>274175.73</v>
      </c>
      <c r="I1428" s="8">
        <v>196085.27</v>
      </c>
      <c r="J1428" s="1">
        <f>IF(COUNTIF($C$4:C1428,C1428)=1,1,0)</f>
        <v>1</v>
      </c>
      <c r="K1428" s="1">
        <f t="shared" si="22"/>
        <v>2018</v>
      </c>
    </row>
    <row r="1429" spans="2:11" x14ac:dyDescent="0.45">
      <c r="B1429" s="1" t="s">
        <v>11</v>
      </c>
      <c r="C1429" s="1" t="s">
        <v>1433</v>
      </c>
      <c r="D1429" s="7">
        <v>44212</v>
      </c>
      <c r="E1429" s="7">
        <v>44228</v>
      </c>
      <c r="F1429" s="7">
        <v>44331</v>
      </c>
      <c r="G1429" s="1" t="s">
        <v>16</v>
      </c>
      <c r="H1429" s="8">
        <v>779589.78</v>
      </c>
      <c r="I1429" s="8">
        <v>540261.16</v>
      </c>
      <c r="J1429" s="1">
        <f>IF(COUNTIF($C$4:C1429,C1429)=1,1,0)</f>
        <v>1</v>
      </c>
      <c r="K1429" s="1">
        <f t="shared" si="22"/>
        <v>2021</v>
      </c>
    </row>
    <row r="1430" spans="2:11" x14ac:dyDescent="0.45">
      <c r="B1430" s="1" t="s">
        <v>11</v>
      </c>
      <c r="C1430" s="1" t="s">
        <v>1434</v>
      </c>
      <c r="D1430" s="7">
        <v>45573</v>
      </c>
      <c r="E1430" s="7">
        <v>45573</v>
      </c>
      <c r="F1430" s="7">
        <v>45785</v>
      </c>
      <c r="G1430" s="1" t="s">
        <v>22</v>
      </c>
      <c r="H1430" s="8">
        <v>4829471.6100000003</v>
      </c>
      <c r="I1430" s="8">
        <v>3008218.76</v>
      </c>
      <c r="J1430" s="1">
        <f>IF(COUNTIF($C$4:C1430,C1430)=1,1,0)</f>
        <v>1</v>
      </c>
      <c r="K1430" s="1">
        <f t="shared" si="22"/>
        <v>2024</v>
      </c>
    </row>
    <row r="1431" spans="2:11" x14ac:dyDescent="0.45">
      <c r="B1431" s="1" t="s">
        <v>11</v>
      </c>
      <c r="C1431" s="1" t="s">
        <v>1435</v>
      </c>
      <c r="D1431" s="7">
        <v>45735</v>
      </c>
      <c r="E1431" s="7">
        <v>45750</v>
      </c>
      <c r="F1431" s="7">
        <v>45836</v>
      </c>
      <c r="G1431" s="1" t="s">
        <v>38</v>
      </c>
      <c r="H1431" s="8">
        <v>1479195.49</v>
      </c>
      <c r="I1431" s="8">
        <v>1272537.8999999999</v>
      </c>
      <c r="J1431" s="1">
        <f>IF(COUNTIF($C$4:C1431,C1431)=1,1,0)</f>
        <v>1</v>
      </c>
      <c r="K1431" s="1">
        <f t="shared" si="22"/>
        <v>2025</v>
      </c>
    </row>
    <row r="1432" spans="2:11" x14ac:dyDescent="0.45">
      <c r="B1432" s="1" t="s">
        <v>11</v>
      </c>
      <c r="C1432" s="1" t="s">
        <v>1436</v>
      </c>
      <c r="D1432" s="7">
        <v>43487</v>
      </c>
      <c r="E1432" s="7">
        <v>43511</v>
      </c>
      <c r="F1432" s="7">
        <v>43612</v>
      </c>
      <c r="G1432" s="1" t="s">
        <v>22</v>
      </c>
      <c r="H1432" s="8">
        <v>7989931.29</v>
      </c>
      <c r="I1432" s="8">
        <v>3711931.15</v>
      </c>
      <c r="J1432" s="1">
        <f>IF(COUNTIF($C$4:C1432,C1432)=1,1,0)</f>
        <v>1</v>
      </c>
      <c r="K1432" s="1">
        <f t="shared" si="22"/>
        <v>2019</v>
      </c>
    </row>
    <row r="1433" spans="2:11" x14ac:dyDescent="0.45">
      <c r="B1433" s="1" t="s">
        <v>11</v>
      </c>
      <c r="C1433" s="1" t="s">
        <v>1437</v>
      </c>
      <c r="D1433" s="7">
        <v>43801</v>
      </c>
      <c r="E1433" s="7">
        <v>43817</v>
      </c>
      <c r="F1433" s="7">
        <v>43969</v>
      </c>
      <c r="G1433" s="1" t="s">
        <v>212</v>
      </c>
      <c r="H1433" s="8">
        <v>48710452.07</v>
      </c>
      <c r="I1433" s="8">
        <v>23409336.460000001</v>
      </c>
      <c r="J1433" s="1">
        <f>IF(COUNTIF($C$4:C1433,C1433)=1,1,0)</f>
        <v>1</v>
      </c>
      <c r="K1433" s="1">
        <f t="shared" si="22"/>
        <v>2019</v>
      </c>
    </row>
    <row r="1434" spans="2:11" x14ac:dyDescent="0.45">
      <c r="B1434" s="1" t="s">
        <v>11</v>
      </c>
      <c r="C1434" s="1" t="s">
        <v>1438</v>
      </c>
      <c r="D1434" s="7">
        <v>44772</v>
      </c>
      <c r="E1434" s="7">
        <v>44788</v>
      </c>
      <c r="F1434" s="7">
        <v>45020</v>
      </c>
      <c r="G1434" s="1" t="s">
        <v>44</v>
      </c>
      <c r="H1434" s="8">
        <v>229827937.87</v>
      </c>
      <c r="I1434" s="8">
        <v>110470829.84999999</v>
      </c>
      <c r="J1434" s="1">
        <f>IF(COUNTIF($C$4:C1434,C1434)=1,1,0)</f>
        <v>1</v>
      </c>
      <c r="K1434" s="1">
        <f t="shared" si="22"/>
        <v>2022</v>
      </c>
    </row>
    <row r="1435" spans="2:11" x14ac:dyDescent="0.45">
      <c r="B1435" s="1" t="s">
        <v>11</v>
      </c>
      <c r="C1435" s="1" t="s">
        <v>1439</v>
      </c>
      <c r="D1435" s="7">
        <v>45433</v>
      </c>
      <c r="E1435" s="7">
        <v>45459</v>
      </c>
      <c r="F1435" s="7">
        <v>45624</v>
      </c>
      <c r="G1435" s="1" t="s">
        <v>41</v>
      </c>
      <c r="H1435" s="8">
        <v>204610.84</v>
      </c>
      <c r="I1435" s="8">
        <v>151053.01</v>
      </c>
      <c r="J1435" s="1">
        <f>IF(COUNTIF($C$4:C1435,C1435)=1,1,0)</f>
        <v>1</v>
      </c>
      <c r="K1435" s="1">
        <f t="shared" si="22"/>
        <v>2024</v>
      </c>
    </row>
    <row r="1436" spans="2:11" x14ac:dyDescent="0.45">
      <c r="B1436" s="1" t="s">
        <v>11</v>
      </c>
      <c r="C1436" s="1" t="s">
        <v>1440</v>
      </c>
      <c r="D1436" s="7">
        <v>44448</v>
      </c>
      <c r="E1436" s="7">
        <v>44471</v>
      </c>
      <c r="F1436" s="7">
        <v>44522</v>
      </c>
      <c r="G1436" s="1" t="s">
        <v>20</v>
      </c>
      <c r="H1436" s="8">
        <v>293508.28999999998</v>
      </c>
      <c r="I1436" s="8">
        <v>217332.73</v>
      </c>
      <c r="J1436" s="1">
        <f>IF(COUNTIF($C$4:C1436,C1436)=1,1,0)</f>
        <v>1</v>
      </c>
      <c r="K1436" s="1">
        <f t="shared" si="22"/>
        <v>2021</v>
      </c>
    </row>
    <row r="1437" spans="2:11" x14ac:dyDescent="0.45">
      <c r="B1437" s="1" t="s">
        <v>11</v>
      </c>
      <c r="C1437" s="1" t="s">
        <v>1441</v>
      </c>
      <c r="D1437" s="7">
        <v>44211</v>
      </c>
      <c r="E1437" s="7">
        <v>44233</v>
      </c>
      <c r="F1437" s="7">
        <v>44403</v>
      </c>
      <c r="G1437" s="1" t="s">
        <v>41</v>
      </c>
      <c r="H1437" s="8">
        <v>811979</v>
      </c>
      <c r="I1437" s="8">
        <v>627306.12</v>
      </c>
      <c r="J1437" s="1">
        <f>IF(COUNTIF($C$4:C1437,C1437)=1,1,0)</f>
        <v>1</v>
      </c>
      <c r="K1437" s="1">
        <f t="shared" si="22"/>
        <v>2021</v>
      </c>
    </row>
    <row r="1438" spans="2:11" x14ac:dyDescent="0.45">
      <c r="B1438" s="1" t="s">
        <v>11</v>
      </c>
      <c r="C1438" s="1" t="s">
        <v>1442</v>
      </c>
      <c r="D1438" s="7">
        <v>45205</v>
      </c>
      <c r="E1438" s="7">
        <v>45222</v>
      </c>
      <c r="F1438" s="7">
        <v>45241</v>
      </c>
      <c r="G1438" s="1" t="s">
        <v>212</v>
      </c>
      <c r="H1438" s="8">
        <v>18029007.289999999</v>
      </c>
      <c r="I1438" s="8">
        <v>11559458.27</v>
      </c>
      <c r="J1438" s="1">
        <f>IF(COUNTIF($C$4:C1438,C1438)=1,1,0)</f>
        <v>1</v>
      </c>
      <c r="K1438" s="1">
        <f t="shared" si="22"/>
        <v>2023</v>
      </c>
    </row>
    <row r="1439" spans="2:11" x14ac:dyDescent="0.45">
      <c r="B1439" s="1" t="s">
        <v>11</v>
      </c>
      <c r="C1439" s="1" t="s">
        <v>1443</v>
      </c>
      <c r="D1439" s="7">
        <v>44022</v>
      </c>
      <c r="E1439" s="7">
        <v>44049</v>
      </c>
      <c r="F1439" s="7">
        <v>44191</v>
      </c>
      <c r="G1439" s="1" t="s">
        <v>16</v>
      </c>
      <c r="H1439" s="8">
        <v>10599179.27</v>
      </c>
      <c r="I1439" s="8">
        <v>6931475.2400000002</v>
      </c>
      <c r="J1439" s="1">
        <f>IF(COUNTIF($C$4:C1439,C1439)=1,1,0)</f>
        <v>1</v>
      </c>
      <c r="K1439" s="1">
        <f t="shared" si="22"/>
        <v>2020</v>
      </c>
    </row>
    <row r="1440" spans="2:11" x14ac:dyDescent="0.45">
      <c r="B1440" s="1" t="s">
        <v>11</v>
      </c>
      <c r="C1440" s="1" t="s">
        <v>1444</v>
      </c>
      <c r="D1440" s="7">
        <v>44062</v>
      </c>
      <c r="E1440" s="7">
        <v>44069</v>
      </c>
      <c r="F1440" s="7">
        <v>44229</v>
      </c>
      <c r="G1440" s="1" t="s">
        <v>41</v>
      </c>
      <c r="H1440" s="8">
        <v>1407429.5</v>
      </c>
      <c r="I1440" s="8">
        <v>960486.07</v>
      </c>
      <c r="J1440" s="1">
        <f>IF(COUNTIF($C$4:C1440,C1440)=1,1,0)</f>
        <v>1</v>
      </c>
      <c r="K1440" s="1">
        <f t="shared" si="22"/>
        <v>2020</v>
      </c>
    </row>
    <row r="1441" spans="2:11" x14ac:dyDescent="0.45">
      <c r="B1441" s="1" t="s">
        <v>11</v>
      </c>
      <c r="C1441" s="1" t="s">
        <v>1445</v>
      </c>
      <c r="D1441" s="7">
        <v>45492</v>
      </c>
      <c r="E1441" s="7">
        <v>45502</v>
      </c>
      <c r="F1441" s="7">
        <v>45578</v>
      </c>
      <c r="G1441" s="1" t="s">
        <v>212</v>
      </c>
      <c r="H1441" s="8">
        <v>9825973.6199999992</v>
      </c>
      <c r="I1441" s="8">
        <v>3821863.89</v>
      </c>
      <c r="J1441" s="1">
        <f>IF(COUNTIF($C$4:C1441,C1441)=1,1,0)</f>
        <v>1</v>
      </c>
      <c r="K1441" s="1">
        <f t="shared" si="22"/>
        <v>2024</v>
      </c>
    </row>
    <row r="1442" spans="2:11" x14ac:dyDescent="0.45">
      <c r="B1442" s="1" t="s">
        <v>11</v>
      </c>
      <c r="C1442" s="1" t="s">
        <v>1446</v>
      </c>
      <c r="D1442" s="7">
        <v>44073</v>
      </c>
      <c r="E1442" s="7">
        <v>44085</v>
      </c>
      <c r="F1442" s="7">
        <v>44134</v>
      </c>
      <c r="G1442" s="1" t="s">
        <v>22</v>
      </c>
      <c r="H1442" s="8">
        <v>31540798.82</v>
      </c>
      <c r="I1442" s="8">
        <v>20141882.73</v>
      </c>
      <c r="J1442" s="1">
        <f>IF(COUNTIF($C$4:C1442,C1442)=1,1,0)</f>
        <v>1</v>
      </c>
      <c r="K1442" s="1">
        <f t="shared" si="22"/>
        <v>2020</v>
      </c>
    </row>
    <row r="1443" spans="2:11" x14ac:dyDescent="0.45">
      <c r="B1443" s="1" t="s">
        <v>11</v>
      </c>
      <c r="C1443" s="1" t="s">
        <v>1447</v>
      </c>
      <c r="D1443" s="7">
        <v>45745</v>
      </c>
      <c r="E1443" s="7">
        <v>45752</v>
      </c>
      <c r="F1443" s="7">
        <v>45967</v>
      </c>
      <c r="G1443" s="1" t="s">
        <v>212</v>
      </c>
      <c r="H1443" s="8">
        <v>18637202.469999999</v>
      </c>
      <c r="I1443" s="8">
        <v>10658950.02</v>
      </c>
      <c r="J1443" s="1">
        <f>IF(COUNTIF($C$4:C1443,C1443)=1,1,0)</f>
        <v>1</v>
      </c>
      <c r="K1443" s="1">
        <f t="shared" si="22"/>
        <v>2025</v>
      </c>
    </row>
    <row r="1444" spans="2:11" x14ac:dyDescent="0.45">
      <c r="B1444" s="1" t="s">
        <v>11</v>
      </c>
      <c r="C1444" s="1" t="s">
        <v>1448</v>
      </c>
      <c r="D1444" s="7">
        <v>45153</v>
      </c>
      <c r="E1444" s="7">
        <v>45177</v>
      </c>
      <c r="F1444" s="7">
        <v>45380</v>
      </c>
      <c r="G1444" s="1" t="s">
        <v>38</v>
      </c>
      <c r="H1444" s="8">
        <v>136079.98000000001</v>
      </c>
      <c r="I1444" s="8">
        <v>105035.46</v>
      </c>
      <c r="J1444" s="1">
        <f>IF(COUNTIF($C$4:C1444,C1444)=1,1,0)</f>
        <v>1</v>
      </c>
      <c r="K1444" s="1">
        <f t="shared" si="22"/>
        <v>2023</v>
      </c>
    </row>
    <row r="1445" spans="2:11" x14ac:dyDescent="0.45">
      <c r="B1445" s="1" t="s">
        <v>11</v>
      </c>
      <c r="C1445" s="1" t="s">
        <v>1449</v>
      </c>
      <c r="D1445" s="7">
        <v>45915</v>
      </c>
      <c r="E1445" s="7">
        <v>45932</v>
      </c>
      <c r="F1445" s="7">
        <v>46026</v>
      </c>
      <c r="G1445" s="1" t="s">
        <v>16</v>
      </c>
      <c r="H1445" s="8">
        <v>2832853.5</v>
      </c>
      <c r="I1445" s="8">
        <v>1637359.63</v>
      </c>
      <c r="J1445" s="1">
        <f>IF(COUNTIF($C$4:C1445,C1445)=1,1,0)</f>
        <v>1</v>
      </c>
      <c r="K1445" s="1">
        <f t="shared" si="22"/>
        <v>2025</v>
      </c>
    </row>
    <row r="1446" spans="2:11" x14ac:dyDescent="0.45">
      <c r="B1446" s="1" t="s">
        <v>11</v>
      </c>
      <c r="C1446" s="1" t="s">
        <v>1450</v>
      </c>
      <c r="D1446" s="7">
        <v>43563</v>
      </c>
      <c r="E1446" s="7">
        <v>43592</v>
      </c>
      <c r="F1446" s="7">
        <v>43646</v>
      </c>
      <c r="G1446" s="1" t="s">
        <v>38</v>
      </c>
      <c r="H1446" s="8">
        <v>699927.19</v>
      </c>
      <c r="I1446" s="8">
        <v>568751.96</v>
      </c>
      <c r="J1446" s="1">
        <f>IF(COUNTIF($C$4:C1446,C1446)=1,1,0)</f>
        <v>1</v>
      </c>
      <c r="K1446" s="1">
        <f t="shared" si="22"/>
        <v>2019</v>
      </c>
    </row>
    <row r="1447" spans="2:11" x14ac:dyDescent="0.45">
      <c r="B1447" s="1" t="s">
        <v>11</v>
      </c>
      <c r="C1447" s="1" t="s">
        <v>1451</v>
      </c>
      <c r="D1447" s="7">
        <v>43665</v>
      </c>
      <c r="E1447" s="7">
        <v>43684</v>
      </c>
      <c r="F1447" s="7">
        <v>43735</v>
      </c>
      <c r="G1447" s="1" t="s">
        <v>22</v>
      </c>
      <c r="H1447" s="8">
        <v>27051214.18</v>
      </c>
      <c r="I1447" s="8">
        <v>11162487.58</v>
      </c>
      <c r="J1447" s="1">
        <f>IF(COUNTIF($C$4:C1447,C1447)=1,1,0)</f>
        <v>1</v>
      </c>
      <c r="K1447" s="1">
        <f t="shared" si="22"/>
        <v>2019</v>
      </c>
    </row>
    <row r="1448" spans="2:11" x14ac:dyDescent="0.45">
      <c r="B1448" s="1" t="s">
        <v>11</v>
      </c>
      <c r="C1448" s="1" t="s">
        <v>1452</v>
      </c>
      <c r="D1448" s="7">
        <v>43684</v>
      </c>
      <c r="E1448" s="7">
        <v>43687</v>
      </c>
      <c r="F1448" s="7">
        <v>43747</v>
      </c>
      <c r="G1448" s="1" t="s">
        <v>20</v>
      </c>
      <c r="H1448" s="8">
        <v>942334.13</v>
      </c>
      <c r="I1448" s="8">
        <v>609823.97</v>
      </c>
      <c r="J1448" s="1">
        <f>IF(COUNTIF($C$4:C1448,C1448)=1,1,0)</f>
        <v>1</v>
      </c>
      <c r="K1448" s="1">
        <f t="shared" si="22"/>
        <v>2019</v>
      </c>
    </row>
    <row r="1449" spans="2:11" x14ac:dyDescent="0.45">
      <c r="B1449" s="1" t="s">
        <v>11</v>
      </c>
      <c r="C1449" s="1" t="s">
        <v>1453</v>
      </c>
      <c r="D1449" s="7">
        <v>44673</v>
      </c>
      <c r="E1449" s="7">
        <v>44688</v>
      </c>
      <c r="F1449" s="7">
        <v>44700</v>
      </c>
      <c r="G1449" s="1" t="s">
        <v>212</v>
      </c>
      <c r="H1449" s="8">
        <v>7500567.1500000004</v>
      </c>
      <c r="I1449" s="8">
        <v>3951805.46</v>
      </c>
      <c r="J1449" s="1">
        <f>IF(COUNTIF($C$4:C1449,C1449)=1,1,0)</f>
        <v>1</v>
      </c>
      <c r="K1449" s="1">
        <f t="shared" si="22"/>
        <v>2022</v>
      </c>
    </row>
    <row r="1450" spans="2:11" x14ac:dyDescent="0.45">
      <c r="B1450" s="1" t="s">
        <v>11</v>
      </c>
      <c r="C1450" s="1" t="s">
        <v>1454</v>
      </c>
      <c r="D1450" s="7">
        <v>44900</v>
      </c>
      <c r="E1450" s="7">
        <v>44926</v>
      </c>
      <c r="F1450" s="7">
        <v>45023</v>
      </c>
      <c r="G1450" s="1" t="s">
        <v>20</v>
      </c>
      <c r="H1450" s="8">
        <v>1040208.64</v>
      </c>
      <c r="I1450" s="8">
        <v>505972.05</v>
      </c>
      <c r="J1450" s="1">
        <f>IF(COUNTIF($C$4:C1450,C1450)=1,1,0)</f>
        <v>1</v>
      </c>
      <c r="K1450" s="1">
        <f t="shared" si="22"/>
        <v>2022</v>
      </c>
    </row>
    <row r="1451" spans="2:11" x14ac:dyDescent="0.45">
      <c r="B1451" s="1" t="s">
        <v>11</v>
      </c>
      <c r="C1451" s="1" t="s">
        <v>1455</v>
      </c>
      <c r="D1451" s="7">
        <v>43928</v>
      </c>
      <c r="E1451" s="7">
        <v>43947</v>
      </c>
      <c r="F1451" s="7">
        <v>44149</v>
      </c>
      <c r="G1451" s="1" t="s">
        <v>13</v>
      </c>
      <c r="H1451" s="8">
        <v>295738.81</v>
      </c>
      <c r="I1451" s="8">
        <v>224692.73</v>
      </c>
      <c r="J1451" s="1">
        <f>IF(COUNTIF($C$4:C1451,C1451)=1,1,0)</f>
        <v>1</v>
      </c>
      <c r="K1451" s="1">
        <f t="shared" si="22"/>
        <v>2020</v>
      </c>
    </row>
    <row r="1452" spans="2:11" x14ac:dyDescent="0.45">
      <c r="B1452" s="1" t="s">
        <v>11</v>
      </c>
      <c r="C1452" s="1" t="s">
        <v>1456</v>
      </c>
      <c r="D1452" s="7">
        <v>44554</v>
      </c>
      <c r="E1452" s="7">
        <v>44583</v>
      </c>
      <c r="F1452" s="7">
        <v>44727</v>
      </c>
      <c r="G1452" s="1" t="s">
        <v>38</v>
      </c>
      <c r="H1452" s="8">
        <v>809415.3</v>
      </c>
      <c r="I1452" s="8">
        <v>582690.77</v>
      </c>
      <c r="J1452" s="1">
        <f>IF(COUNTIF($C$4:C1452,C1452)=1,1,0)</f>
        <v>1</v>
      </c>
      <c r="K1452" s="1">
        <f t="shared" si="22"/>
        <v>2021</v>
      </c>
    </row>
    <row r="1453" spans="2:11" x14ac:dyDescent="0.45">
      <c r="B1453" s="1" t="s">
        <v>11</v>
      </c>
      <c r="C1453" s="1" t="s">
        <v>1457</v>
      </c>
      <c r="D1453" s="7">
        <v>45963</v>
      </c>
      <c r="E1453" s="7">
        <v>45976</v>
      </c>
      <c r="F1453" s="7">
        <v>46186</v>
      </c>
      <c r="G1453" s="1" t="s">
        <v>22</v>
      </c>
      <c r="H1453" s="8">
        <v>4318792.2</v>
      </c>
      <c r="I1453" s="8">
        <v>1457775.22</v>
      </c>
      <c r="J1453" s="1">
        <f>IF(COUNTIF($C$4:C1453,C1453)=1,1,0)</f>
        <v>1</v>
      </c>
      <c r="K1453" s="1">
        <f t="shared" si="22"/>
        <v>2025</v>
      </c>
    </row>
    <row r="1454" spans="2:11" x14ac:dyDescent="0.45">
      <c r="B1454" s="1" t="s">
        <v>11</v>
      </c>
      <c r="C1454" s="1" t="s">
        <v>1458</v>
      </c>
      <c r="D1454" s="7">
        <v>44264</v>
      </c>
      <c r="E1454" s="7">
        <v>44285</v>
      </c>
      <c r="F1454" s="7">
        <v>44406</v>
      </c>
      <c r="G1454" s="1" t="s">
        <v>38</v>
      </c>
      <c r="H1454" s="8">
        <v>360432.92</v>
      </c>
      <c r="I1454" s="8">
        <v>279861.2</v>
      </c>
      <c r="J1454" s="1">
        <f>IF(COUNTIF($C$4:C1454,C1454)=1,1,0)</f>
        <v>1</v>
      </c>
      <c r="K1454" s="1">
        <f t="shared" si="22"/>
        <v>2021</v>
      </c>
    </row>
    <row r="1455" spans="2:11" x14ac:dyDescent="0.45">
      <c r="B1455" s="1" t="s">
        <v>11</v>
      </c>
      <c r="C1455" s="1" t="s">
        <v>1459</v>
      </c>
      <c r="D1455" s="7">
        <v>45297</v>
      </c>
      <c r="E1455" s="7">
        <v>45313</v>
      </c>
      <c r="F1455" s="7">
        <v>45322</v>
      </c>
      <c r="G1455" s="1" t="s">
        <v>41</v>
      </c>
      <c r="H1455" s="8">
        <v>801731.52</v>
      </c>
      <c r="I1455" s="8">
        <v>704703.11</v>
      </c>
      <c r="J1455" s="1">
        <f>IF(COUNTIF($C$4:C1455,C1455)=1,1,0)</f>
        <v>1</v>
      </c>
      <c r="K1455" s="1">
        <f t="shared" si="22"/>
        <v>2024</v>
      </c>
    </row>
    <row r="1456" spans="2:11" x14ac:dyDescent="0.45">
      <c r="B1456" s="1" t="s">
        <v>11</v>
      </c>
      <c r="C1456" s="1" t="s">
        <v>1460</v>
      </c>
      <c r="D1456" s="7">
        <v>44639</v>
      </c>
      <c r="E1456" s="7">
        <v>44643</v>
      </c>
      <c r="F1456" s="7">
        <v>44762</v>
      </c>
      <c r="G1456" s="1" t="s">
        <v>20</v>
      </c>
      <c r="H1456" s="8">
        <v>522188.01</v>
      </c>
      <c r="I1456" s="8">
        <v>266609.78999999998</v>
      </c>
      <c r="J1456" s="1">
        <f>IF(COUNTIF($C$4:C1456,C1456)=1,1,0)</f>
        <v>1</v>
      </c>
      <c r="K1456" s="1">
        <f t="shared" si="22"/>
        <v>2022</v>
      </c>
    </row>
    <row r="1457" spans="2:11" x14ac:dyDescent="0.45">
      <c r="B1457" s="1" t="s">
        <v>11</v>
      </c>
      <c r="C1457" s="1" t="s">
        <v>1461</v>
      </c>
      <c r="D1457" s="7">
        <v>45939</v>
      </c>
      <c r="E1457" s="7">
        <v>45953</v>
      </c>
      <c r="F1457" s="7">
        <v>46004</v>
      </c>
      <c r="G1457" s="1" t="s">
        <v>38</v>
      </c>
      <c r="H1457" s="8">
        <v>82015.41</v>
      </c>
      <c r="I1457" s="8">
        <v>67158.86</v>
      </c>
      <c r="J1457" s="1">
        <f>IF(COUNTIF($C$4:C1457,C1457)=1,1,0)</f>
        <v>1</v>
      </c>
      <c r="K1457" s="1">
        <f t="shared" si="22"/>
        <v>2025</v>
      </c>
    </row>
    <row r="1458" spans="2:11" x14ac:dyDescent="0.45">
      <c r="B1458" s="1" t="s">
        <v>11</v>
      </c>
      <c r="C1458" s="1" t="s">
        <v>1462</v>
      </c>
      <c r="D1458" s="7">
        <v>44405</v>
      </c>
      <c r="E1458" s="7">
        <v>44415</v>
      </c>
      <c r="F1458" s="7">
        <v>44588</v>
      </c>
      <c r="G1458" s="1" t="s">
        <v>20</v>
      </c>
      <c r="H1458" s="8">
        <v>640651.46</v>
      </c>
      <c r="I1458" s="8">
        <v>436790.8</v>
      </c>
      <c r="J1458" s="1">
        <f>IF(COUNTIF($C$4:C1458,C1458)=1,1,0)</f>
        <v>1</v>
      </c>
      <c r="K1458" s="1">
        <f t="shared" si="22"/>
        <v>2021</v>
      </c>
    </row>
    <row r="1459" spans="2:11" x14ac:dyDescent="0.45">
      <c r="B1459" s="1" t="s">
        <v>11</v>
      </c>
      <c r="C1459" s="1" t="s">
        <v>1463</v>
      </c>
      <c r="D1459" s="7">
        <v>45097</v>
      </c>
      <c r="E1459" s="7">
        <v>45103</v>
      </c>
      <c r="F1459" s="7">
        <v>45244</v>
      </c>
      <c r="G1459" s="1" t="s">
        <v>20</v>
      </c>
      <c r="H1459" s="8">
        <v>1211199.93</v>
      </c>
      <c r="I1459" s="8">
        <v>889315.03</v>
      </c>
      <c r="J1459" s="1">
        <f>IF(COUNTIF($C$4:C1459,C1459)=1,1,0)</f>
        <v>1</v>
      </c>
      <c r="K1459" s="1">
        <f t="shared" si="22"/>
        <v>2023</v>
      </c>
    </row>
    <row r="1460" spans="2:11" x14ac:dyDescent="0.45">
      <c r="B1460" s="1" t="s">
        <v>11</v>
      </c>
      <c r="C1460" s="1" t="s">
        <v>1464</v>
      </c>
      <c r="D1460" s="7">
        <v>45926</v>
      </c>
      <c r="E1460" s="7">
        <v>45947</v>
      </c>
      <c r="F1460" s="7">
        <v>45955</v>
      </c>
      <c r="G1460" s="1" t="s">
        <v>44</v>
      </c>
      <c r="H1460" s="8">
        <v>157014029.56999999</v>
      </c>
      <c r="I1460" s="8">
        <v>77253749.349999994</v>
      </c>
      <c r="J1460" s="1">
        <f>IF(COUNTIF($C$4:C1460,C1460)=1,1,0)</f>
        <v>1</v>
      </c>
      <c r="K1460" s="1">
        <f t="shared" si="22"/>
        <v>2025</v>
      </c>
    </row>
    <row r="1461" spans="2:11" x14ac:dyDescent="0.45">
      <c r="B1461" s="1" t="s">
        <v>11</v>
      </c>
      <c r="C1461" s="1" t="s">
        <v>1465</v>
      </c>
      <c r="D1461" s="7">
        <v>44038</v>
      </c>
      <c r="E1461" s="7">
        <v>44041</v>
      </c>
      <c r="F1461" s="7">
        <v>44110</v>
      </c>
      <c r="G1461" s="1" t="s">
        <v>212</v>
      </c>
      <c r="H1461" s="8">
        <v>9553174.8900000006</v>
      </c>
      <c r="I1461" s="8">
        <v>4309790.49</v>
      </c>
      <c r="J1461" s="1">
        <f>IF(COUNTIF($C$4:C1461,C1461)=1,1,0)</f>
        <v>1</v>
      </c>
      <c r="K1461" s="1">
        <f t="shared" si="22"/>
        <v>2020</v>
      </c>
    </row>
    <row r="1462" spans="2:11" x14ac:dyDescent="0.45">
      <c r="B1462" s="1" t="s">
        <v>11</v>
      </c>
      <c r="C1462" s="1" t="s">
        <v>1466</v>
      </c>
      <c r="D1462" s="7">
        <v>45650</v>
      </c>
      <c r="E1462" s="7">
        <v>45674</v>
      </c>
      <c r="F1462" s="7">
        <v>45841</v>
      </c>
      <c r="G1462" s="1" t="s">
        <v>41</v>
      </c>
      <c r="H1462" s="8">
        <v>540989.55000000005</v>
      </c>
      <c r="I1462" s="8">
        <v>320847.55</v>
      </c>
      <c r="J1462" s="1">
        <f>IF(COUNTIF($C$4:C1462,C1462)=1,1,0)</f>
        <v>1</v>
      </c>
      <c r="K1462" s="1">
        <f t="shared" si="22"/>
        <v>2024</v>
      </c>
    </row>
    <row r="1463" spans="2:11" x14ac:dyDescent="0.45">
      <c r="B1463" s="1" t="s">
        <v>11</v>
      </c>
      <c r="C1463" s="1" t="s">
        <v>1467</v>
      </c>
      <c r="D1463" s="7">
        <v>44177</v>
      </c>
      <c r="E1463" s="7">
        <v>44202</v>
      </c>
      <c r="F1463" s="7">
        <v>44327</v>
      </c>
      <c r="G1463" s="1" t="s">
        <v>16</v>
      </c>
      <c r="H1463" s="8">
        <v>252920.7</v>
      </c>
      <c r="I1463" s="8">
        <v>140334.04</v>
      </c>
      <c r="J1463" s="1">
        <f>IF(COUNTIF($C$4:C1463,C1463)=1,1,0)</f>
        <v>1</v>
      </c>
      <c r="K1463" s="1">
        <f t="shared" si="22"/>
        <v>2020</v>
      </c>
    </row>
    <row r="1464" spans="2:11" x14ac:dyDescent="0.45">
      <c r="B1464" s="1" t="s">
        <v>11</v>
      </c>
      <c r="C1464" s="1" t="s">
        <v>1468</v>
      </c>
      <c r="D1464" s="7">
        <v>44435</v>
      </c>
      <c r="E1464" s="7">
        <v>44449</v>
      </c>
      <c r="F1464" s="7">
        <v>44642</v>
      </c>
      <c r="G1464" s="1" t="s">
        <v>20</v>
      </c>
      <c r="H1464" s="8">
        <v>434389.51</v>
      </c>
      <c r="I1464" s="8">
        <v>291818.39</v>
      </c>
      <c r="J1464" s="1">
        <f>IF(COUNTIF($C$4:C1464,C1464)=1,1,0)</f>
        <v>1</v>
      </c>
      <c r="K1464" s="1">
        <f t="shared" si="22"/>
        <v>2021</v>
      </c>
    </row>
    <row r="1465" spans="2:11" x14ac:dyDescent="0.45">
      <c r="B1465" s="1" t="s">
        <v>11</v>
      </c>
      <c r="C1465" s="1" t="s">
        <v>1469</v>
      </c>
      <c r="D1465" s="7">
        <v>44159</v>
      </c>
      <c r="E1465" s="7">
        <v>44175</v>
      </c>
      <c r="F1465" s="7">
        <v>44380</v>
      </c>
      <c r="G1465" s="1" t="s">
        <v>16</v>
      </c>
      <c r="H1465" s="8">
        <v>4727415.91</v>
      </c>
      <c r="I1465" s="8">
        <v>3311124.85</v>
      </c>
      <c r="J1465" s="1">
        <f>IF(COUNTIF($C$4:C1465,C1465)=1,1,0)</f>
        <v>1</v>
      </c>
      <c r="K1465" s="1">
        <f t="shared" si="22"/>
        <v>2020</v>
      </c>
    </row>
    <row r="1466" spans="2:11" x14ac:dyDescent="0.45">
      <c r="B1466" s="1" t="s">
        <v>11</v>
      </c>
      <c r="C1466" s="1" t="s">
        <v>1470</v>
      </c>
      <c r="D1466" s="7">
        <v>45311</v>
      </c>
      <c r="E1466" s="7">
        <v>45333</v>
      </c>
      <c r="F1466" s="7">
        <v>45411</v>
      </c>
      <c r="G1466" s="1" t="s">
        <v>16</v>
      </c>
      <c r="H1466" s="8">
        <v>6865529.25</v>
      </c>
      <c r="I1466" s="8">
        <v>3187134.74</v>
      </c>
      <c r="J1466" s="1">
        <f>IF(COUNTIF($C$4:C1466,C1466)=1,1,0)</f>
        <v>1</v>
      </c>
      <c r="K1466" s="1">
        <f t="shared" si="22"/>
        <v>2024</v>
      </c>
    </row>
    <row r="1467" spans="2:11" x14ac:dyDescent="0.45">
      <c r="B1467" s="1" t="s">
        <v>11</v>
      </c>
      <c r="C1467" s="1" t="s">
        <v>1471</v>
      </c>
      <c r="D1467" s="7">
        <v>45919</v>
      </c>
      <c r="E1467" s="7">
        <v>45924</v>
      </c>
      <c r="F1467" s="7">
        <v>46114</v>
      </c>
      <c r="G1467" s="1" t="s">
        <v>13</v>
      </c>
      <c r="H1467" s="8">
        <v>270100.90000000002</v>
      </c>
      <c r="I1467" s="8">
        <v>223225.75</v>
      </c>
      <c r="J1467" s="1">
        <f>IF(COUNTIF($C$4:C1467,C1467)=1,1,0)</f>
        <v>1</v>
      </c>
      <c r="K1467" s="1">
        <f t="shared" si="22"/>
        <v>2025</v>
      </c>
    </row>
    <row r="1468" spans="2:11" x14ac:dyDescent="0.45">
      <c r="B1468" s="1" t="s">
        <v>11</v>
      </c>
      <c r="C1468" s="1" t="s">
        <v>1472</v>
      </c>
      <c r="D1468" s="7">
        <v>43863</v>
      </c>
      <c r="E1468" s="7">
        <v>43888</v>
      </c>
      <c r="F1468" s="7">
        <v>43999</v>
      </c>
      <c r="G1468" s="1" t="s">
        <v>44</v>
      </c>
      <c r="H1468" s="8">
        <v>75069468.760000005</v>
      </c>
      <c r="I1468" s="8">
        <v>35624893.539999999</v>
      </c>
      <c r="J1468" s="1">
        <f>IF(COUNTIF($C$4:C1468,C1468)=1,1,0)</f>
        <v>1</v>
      </c>
      <c r="K1468" s="1">
        <f t="shared" si="22"/>
        <v>2020</v>
      </c>
    </row>
    <row r="1469" spans="2:11" x14ac:dyDescent="0.45">
      <c r="B1469" s="1" t="s">
        <v>11</v>
      </c>
      <c r="C1469" s="1" t="s">
        <v>1473</v>
      </c>
      <c r="D1469" s="7">
        <v>45532</v>
      </c>
      <c r="E1469" s="7">
        <v>45554</v>
      </c>
      <c r="F1469" s="7">
        <v>45655</v>
      </c>
      <c r="G1469" s="1" t="s">
        <v>13</v>
      </c>
      <c r="H1469" s="8">
        <v>146156.79</v>
      </c>
      <c r="I1469" s="8">
        <v>101161.71</v>
      </c>
      <c r="J1469" s="1">
        <f>IF(COUNTIF($C$4:C1469,C1469)=1,1,0)</f>
        <v>1</v>
      </c>
      <c r="K1469" s="1">
        <f t="shared" si="22"/>
        <v>2024</v>
      </c>
    </row>
    <row r="1470" spans="2:11" x14ac:dyDescent="0.45">
      <c r="B1470" s="1" t="s">
        <v>11</v>
      </c>
      <c r="C1470" s="1" t="s">
        <v>1474</v>
      </c>
      <c r="D1470" s="7">
        <v>46032</v>
      </c>
      <c r="E1470" s="7">
        <v>46061</v>
      </c>
      <c r="F1470" s="7">
        <v>46139</v>
      </c>
      <c r="G1470" s="1" t="s">
        <v>16</v>
      </c>
      <c r="H1470" s="8">
        <v>16944773.809999999</v>
      </c>
      <c r="I1470" s="8">
        <v>9068601.9000000004</v>
      </c>
      <c r="J1470" s="1">
        <f>IF(COUNTIF($C$4:C1470,C1470)=1,1,0)</f>
        <v>1</v>
      </c>
      <c r="K1470" s="1">
        <f t="shared" si="22"/>
        <v>2026</v>
      </c>
    </row>
    <row r="1471" spans="2:11" x14ac:dyDescent="0.45">
      <c r="B1471" s="1" t="s">
        <v>11</v>
      </c>
      <c r="C1471" s="1" t="s">
        <v>1475</v>
      </c>
      <c r="D1471" s="7">
        <v>44530</v>
      </c>
      <c r="E1471" s="7">
        <v>44536</v>
      </c>
      <c r="F1471" s="7">
        <v>44736</v>
      </c>
      <c r="G1471" s="1" t="s">
        <v>38</v>
      </c>
      <c r="H1471" s="8">
        <v>225101.35</v>
      </c>
      <c r="I1471" s="8">
        <v>169558.42</v>
      </c>
      <c r="J1471" s="1">
        <f>IF(COUNTIF($C$4:C1471,C1471)=1,1,0)</f>
        <v>1</v>
      </c>
      <c r="K1471" s="1">
        <f t="shared" si="22"/>
        <v>2021</v>
      </c>
    </row>
    <row r="1472" spans="2:11" x14ac:dyDescent="0.45">
      <c r="B1472" s="1" t="s">
        <v>11</v>
      </c>
      <c r="C1472" s="1" t="s">
        <v>1476</v>
      </c>
      <c r="D1472" s="7">
        <v>45689</v>
      </c>
      <c r="E1472" s="7">
        <v>45693</v>
      </c>
      <c r="F1472" s="7">
        <v>45822</v>
      </c>
      <c r="G1472" s="1" t="s">
        <v>20</v>
      </c>
      <c r="H1472" s="8">
        <v>2021949.03</v>
      </c>
      <c r="I1472" s="8">
        <v>1261430.3600000001</v>
      </c>
      <c r="J1472" s="1">
        <f>IF(COUNTIF($C$4:C1472,C1472)=1,1,0)</f>
        <v>1</v>
      </c>
      <c r="K1472" s="1">
        <f t="shared" si="22"/>
        <v>2025</v>
      </c>
    </row>
    <row r="1473" spans="2:11" x14ac:dyDescent="0.45">
      <c r="B1473" s="1" t="s">
        <v>11</v>
      </c>
      <c r="C1473" s="1" t="s">
        <v>1477</v>
      </c>
      <c r="D1473" s="7">
        <v>44674</v>
      </c>
      <c r="E1473" s="7">
        <v>44691</v>
      </c>
      <c r="F1473" s="7">
        <v>44802</v>
      </c>
      <c r="G1473" s="1" t="s">
        <v>212</v>
      </c>
      <c r="H1473" s="8">
        <v>28536176.66</v>
      </c>
      <c r="I1473" s="8">
        <v>20661907.210000001</v>
      </c>
      <c r="J1473" s="1">
        <f>IF(COUNTIF($C$4:C1473,C1473)=1,1,0)</f>
        <v>1</v>
      </c>
      <c r="K1473" s="1">
        <f t="shared" si="22"/>
        <v>2022</v>
      </c>
    </row>
    <row r="1474" spans="2:11" x14ac:dyDescent="0.45">
      <c r="B1474" s="1" t="s">
        <v>11</v>
      </c>
      <c r="C1474" s="1" t="s">
        <v>1478</v>
      </c>
      <c r="D1474" s="7">
        <v>45682</v>
      </c>
      <c r="E1474" s="7">
        <v>45708</v>
      </c>
      <c r="F1474" s="7">
        <v>45785</v>
      </c>
      <c r="G1474" s="1" t="s">
        <v>212</v>
      </c>
      <c r="H1474" s="8">
        <v>9766117.3900000006</v>
      </c>
      <c r="I1474" s="8">
        <v>2950459.12</v>
      </c>
      <c r="J1474" s="1">
        <f>IF(COUNTIF($C$4:C1474,C1474)=1,1,0)</f>
        <v>1</v>
      </c>
      <c r="K1474" s="1">
        <f t="shared" si="22"/>
        <v>2025</v>
      </c>
    </row>
    <row r="1475" spans="2:11" x14ac:dyDescent="0.45">
      <c r="B1475" s="1" t="s">
        <v>11</v>
      </c>
      <c r="C1475" s="1" t="s">
        <v>1479</v>
      </c>
      <c r="D1475" s="7">
        <v>46116</v>
      </c>
      <c r="E1475" s="7">
        <v>46137</v>
      </c>
      <c r="F1475" s="7">
        <v>46308</v>
      </c>
      <c r="G1475" s="1" t="s">
        <v>20</v>
      </c>
      <c r="H1475" s="8">
        <v>564517.64</v>
      </c>
      <c r="I1475" s="8">
        <v>347123.45</v>
      </c>
      <c r="J1475" s="1">
        <f>IF(COUNTIF($C$4:C1475,C1475)=1,1,0)</f>
        <v>1</v>
      </c>
      <c r="K1475" s="1">
        <f t="shared" si="22"/>
        <v>2026</v>
      </c>
    </row>
    <row r="1476" spans="2:11" x14ac:dyDescent="0.45">
      <c r="B1476" s="1" t="s">
        <v>11</v>
      </c>
      <c r="C1476" s="1" t="s">
        <v>1480</v>
      </c>
      <c r="D1476" s="7">
        <v>43591</v>
      </c>
      <c r="E1476" s="7">
        <v>43592</v>
      </c>
      <c r="F1476" s="7">
        <v>43671</v>
      </c>
      <c r="G1476" s="1" t="s">
        <v>44</v>
      </c>
      <c r="H1476" s="8">
        <v>151710154.38999999</v>
      </c>
      <c r="I1476" s="8">
        <v>81802308.299999997</v>
      </c>
      <c r="J1476" s="1">
        <f>IF(COUNTIF($C$4:C1476,C1476)=1,1,0)</f>
        <v>1</v>
      </c>
      <c r="K1476" s="1">
        <f t="shared" si="22"/>
        <v>2019</v>
      </c>
    </row>
    <row r="1477" spans="2:11" x14ac:dyDescent="0.45">
      <c r="B1477" s="1" t="s">
        <v>11</v>
      </c>
      <c r="C1477" s="1" t="s">
        <v>1481</v>
      </c>
      <c r="D1477" s="7">
        <v>45522</v>
      </c>
      <c r="E1477" s="7">
        <v>45550</v>
      </c>
      <c r="F1477" s="7">
        <v>45738</v>
      </c>
      <c r="G1477" s="1" t="s">
        <v>212</v>
      </c>
      <c r="H1477" s="8">
        <v>24544940.59</v>
      </c>
      <c r="I1477" s="8">
        <v>16304212.880000001</v>
      </c>
      <c r="J1477" s="1">
        <f>IF(COUNTIF($C$4:C1477,C1477)=1,1,0)</f>
        <v>1</v>
      </c>
      <c r="K1477" s="1">
        <f t="shared" ref="K1477:K1540" si="23">YEAR(D1477)</f>
        <v>2024</v>
      </c>
    </row>
    <row r="1478" spans="2:11" x14ac:dyDescent="0.45">
      <c r="B1478" s="1" t="s">
        <v>11</v>
      </c>
      <c r="C1478" s="1" t="s">
        <v>1482</v>
      </c>
      <c r="D1478" s="7">
        <v>43398</v>
      </c>
      <c r="E1478" s="7">
        <v>43400</v>
      </c>
      <c r="F1478" s="7">
        <v>43500</v>
      </c>
      <c r="G1478" s="1" t="s">
        <v>20</v>
      </c>
      <c r="H1478" s="8">
        <v>695779.73</v>
      </c>
      <c r="I1478" s="8">
        <v>570683.39</v>
      </c>
      <c r="J1478" s="1">
        <f>IF(COUNTIF($C$4:C1478,C1478)=1,1,0)</f>
        <v>1</v>
      </c>
      <c r="K1478" s="1">
        <f t="shared" si="23"/>
        <v>2018</v>
      </c>
    </row>
    <row r="1479" spans="2:11" x14ac:dyDescent="0.45">
      <c r="B1479" s="1" t="s">
        <v>11</v>
      </c>
      <c r="C1479" s="1" t="s">
        <v>1483</v>
      </c>
      <c r="D1479" s="7">
        <v>45303</v>
      </c>
      <c r="E1479" s="7">
        <v>45322</v>
      </c>
      <c r="F1479" s="7">
        <v>45335</v>
      </c>
      <c r="G1479" s="1" t="s">
        <v>212</v>
      </c>
      <c r="H1479" s="8">
        <v>25790974.870000001</v>
      </c>
      <c r="I1479" s="8">
        <v>18207380.620000001</v>
      </c>
      <c r="J1479" s="1">
        <f>IF(COUNTIF($C$4:C1479,C1479)=1,1,0)</f>
        <v>1</v>
      </c>
      <c r="K1479" s="1">
        <f t="shared" si="23"/>
        <v>2024</v>
      </c>
    </row>
    <row r="1480" spans="2:11" x14ac:dyDescent="0.45">
      <c r="B1480" s="1" t="s">
        <v>11</v>
      </c>
      <c r="C1480" s="1" t="s">
        <v>1484</v>
      </c>
      <c r="D1480" s="7">
        <v>46022</v>
      </c>
      <c r="E1480" s="7">
        <v>46037</v>
      </c>
      <c r="F1480" s="7">
        <v>46070</v>
      </c>
      <c r="G1480" s="1" t="s">
        <v>44</v>
      </c>
      <c r="H1480" s="8">
        <v>34316268.57</v>
      </c>
      <c r="I1480" s="8">
        <v>16408465.82</v>
      </c>
      <c r="J1480" s="1">
        <f>IF(COUNTIF($C$4:C1480,C1480)=1,1,0)</f>
        <v>1</v>
      </c>
      <c r="K1480" s="1">
        <f t="shared" si="23"/>
        <v>2025</v>
      </c>
    </row>
    <row r="1481" spans="2:11" x14ac:dyDescent="0.45">
      <c r="B1481" s="1" t="s">
        <v>11</v>
      </c>
      <c r="C1481" s="1" t="s">
        <v>1485</v>
      </c>
      <c r="D1481" s="7">
        <v>45225</v>
      </c>
      <c r="E1481" s="7">
        <v>45251</v>
      </c>
      <c r="F1481" s="7">
        <v>45258</v>
      </c>
      <c r="G1481" s="1" t="s">
        <v>41</v>
      </c>
      <c r="H1481" s="8">
        <v>1189516.55</v>
      </c>
      <c r="I1481" s="8">
        <v>867360.09</v>
      </c>
      <c r="J1481" s="1">
        <f>IF(COUNTIF($C$4:C1481,C1481)=1,1,0)</f>
        <v>1</v>
      </c>
      <c r="K1481" s="1">
        <f t="shared" si="23"/>
        <v>2023</v>
      </c>
    </row>
    <row r="1482" spans="2:11" x14ac:dyDescent="0.45">
      <c r="B1482" s="1" t="s">
        <v>11</v>
      </c>
      <c r="C1482" s="1" t="s">
        <v>1486</v>
      </c>
      <c r="D1482" s="7">
        <v>45211</v>
      </c>
      <c r="E1482" s="7">
        <v>45232</v>
      </c>
      <c r="F1482" s="7">
        <v>45366</v>
      </c>
      <c r="G1482" s="1" t="s">
        <v>44</v>
      </c>
      <c r="H1482" s="8">
        <v>115943320.77</v>
      </c>
      <c r="I1482" s="8">
        <v>63854907.899999999</v>
      </c>
      <c r="J1482" s="1">
        <f>IF(COUNTIF($C$4:C1482,C1482)=1,1,0)</f>
        <v>1</v>
      </c>
      <c r="K1482" s="1">
        <f t="shared" si="23"/>
        <v>2023</v>
      </c>
    </row>
    <row r="1483" spans="2:11" x14ac:dyDescent="0.45">
      <c r="B1483" s="1" t="s">
        <v>11</v>
      </c>
      <c r="C1483" s="1" t="s">
        <v>1487</v>
      </c>
      <c r="D1483" s="7">
        <v>46048</v>
      </c>
      <c r="E1483" s="7">
        <v>46075</v>
      </c>
      <c r="F1483" s="7">
        <v>46161</v>
      </c>
      <c r="G1483" s="1" t="s">
        <v>38</v>
      </c>
      <c r="H1483" s="8">
        <v>121029.19</v>
      </c>
      <c r="I1483" s="8">
        <v>80603.509999999995</v>
      </c>
      <c r="J1483" s="1">
        <f>IF(COUNTIF($C$4:C1483,C1483)=1,1,0)</f>
        <v>1</v>
      </c>
      <c r="K1483" s="1">
        <f t="shared" si="23"/>
        <v>2026</v>
      </c>
    </row>
    <row r="1484" spans="2:11" x14ac:dyDescent="0.45">
      <c r="B1484" s="1" t="s">
        <v>11</v>
      </c>
      <c r="C1484" s="1" t="s">
        <v>1488</v>
      </c>
      <c r="D1484" s="7">
        <v>44831</v>
      </c>
      <c r="E1484" s="7">
        <v>44834</v>
      </c>
      <c r="F1484" s="7">
        <v>44865</v>
      </c>
      <c r="G1484" s="1" t="s">
        <v>13</v>
      </c>
      <c r="H1484" s="8">
        <v>510673.8</v>
      </c>
      <c r="I1484" s="8">
        <v>442691.89</v>
      </c>
      <c r="J1484" s="1">
        <f>IF(COUNTIF($C$4:C1484,C1484)=1,1,0)</f>
        <v>1</v>
      </c>
      <c r="K1484" s="1">
        <f t="shared" si="23"/>
        <v>2022</v>
      </c>
    </row>
    <row r="1485" spans="2:11" x14ac:dyDescent="0.45">
      <c r="B1485" s="1" t="s">
        <v>11</v>
      </c>
      <c r="C1485" s="1" t="s">
        <v>1489</v>
      </c>
      <c r="D1485" s="7">
        <v>45097</v>
      </c>
      <c r="E1485" s="7">
        <v>45107</v>
      </c>
      <c r="F1485" s="7">
        <v>45320</v>
      </c>
      <c r="G1485" s="1" t="s">
        <v>16</v>
      </c>
      <c r="H1485" s="8">
        <v>5819124.5599999996</v>
      </c>
      <c r="I1485" s="8">
        <v>3624341.19</v>
      </c>
      <c r="J1485" s="1">
        <f>IF(COUNTIF($C$4:C1485,C1485)=1,1,0)</f>
        <v>1</v>
      </c>
      <c r="K1485" s="1">
        <f t="shared" si="23"/>
        <v>2023</v>
      </c>
    </row>
    <row r="1486" spans="2:11" x14ac:dyDescent="0.45">
      <c r="B1486" s="1" t="s">
        <v>11</v>
      </c>
      <c r="C1486" s="1" t="s">
        <v>1490</v>
      </c>
      <c r="D1486" s="7">
        <v>44972</v>
      </c>
      <c r="E1486" s="7">
        <v>44991</v>
      </c>
      <c r="F1486" s="7">
        <v>45036</v>
      </c>
      <c r="G1486" s="1" t="s">
        <v>212</v>
      </c>
      <c r="H1486" s="8">
        <v>64796826.530000001</v>
      </c>
      <c r="I1486" s="8">
        <v>42193868.43</v>
      </c>
      <c r="J1486" s="1">
        <f>IF(COUNTIF($C$4:C1486,C1486)=1,1,0)</f>
        <v>1</v>
      </c>
      <c r="K1486" s="1">
        <f t="shared" si="23"/>
        <v>2023</v>
      </c>
    </row>
    <row r="1487" spans="2:11" x14ac:dyDescent="0.45">
      <c r="B1487" s="1" t="s">
        <v>11</v>
      </c>
      <c r="C1487" s="1" t="s">
        <v>1491</v>
      </c>
      <c r="D1487" s="7">
        <v>45975</v>
      </c>
      <c r="E1487" s="7">
        <v>45986</v>
      </c>
      <c r="F1487" s="7">
        <v>46018</v>
      </c>
      <c r="G1487" s="1" t="s">
        <v>16</v>
      </c>
      <c r="H1487" s="8">
        <v>4487945.3499999996</v>
      </c>
      <c r="I1487" s="8">
        <v>3332424.96</v>
      </c>
      <c r="J1487" s="1">
        <f>IF(COUNTIF($C$4:C1487,C1487)=1,1,0)</f>
        <v>1</v>
      </c>
      <c r="K1487" s="1">
        <f t="shared" si="23"/>
        <v>2025</v>
      </c>
    </row>
    <row r="1488" spans="2:11" x14ac:dyDescent="0.45">
      <c r="B1488" s="1" t="s">
        <v>11</v>
      </c>
      <c r="C1488" s="1" t="s">
        <v>1492</v>
      </c>
      <c r="D1488" s="7">
        <v>45937</v>
      </c>
      <c r="E1488" s="7">
        <v>45962</v>
      </c>
      <c r="F1488" s="7">
        <v>46012</v>
      </c>
      <c r="G1488" s="1" t="s">
        <v>13</v>
      </c>
      <c r="H1488" s="8">
        <v>680828.37</v>
      </c>
      <c r="I1488" s="8">
        <v>534602.06999999995</v>
      </c>
      <c r="J1488" s="1">
        <f>IF(COUNTIF($C$4:C1488,C1488)=1,1,0)</f>
        <v>1</v>
      </c>
      <c r="K1488" s="1">
        <f t="shared" si="23"/>
        <v>2025</v>
      </c>
    </row>
    <row r="1489" spans="2:11" x14ac:dyDescent="0.45">
      <c r="B1489" s="1" t="s">
        <v>11</v>
      </c>
      <c r="C1489" s="1" t="s">
        <v>1493</v>
      </c>
      <c r="D1489" s="7">
        <v>44550</v>
      </c>
      <c r="E1489" s="7">
        <v>44564</v>
      </c>
      <c r="F1489" s="7">
        <v>44592</v>
      </c>
      <c r="G1489" s="1" t="s">
        <v>20</v>
      </c>
      <c r="H1489" s="8">
        <v>2408390.5499999998</v>
      </c>
      <c r="I1489" s="8">
        <v>1600386.39</v>
      </c>
      <c r="J1489" s="1">
        <f>IF(COUNTIF($C$4:C1489,C1489)=1,1,0)</f>
        <v>1</v>
      </c>
      <c r="K1489" s="1">
        <f t="shared" si="23"/>
        <v>2021</v>
      </c>
    </row>
    <row r="1490" spans="2:11" x14ac:dyDescent="0.45">
      <c r="B1490" s="1" t="s">
        <v>11</v>
      </c>
      <c r="C1490" s="1" t="s">
        <v>1494</v>
      </c>
      <c r="D1490" s="7">
        <v>46042</v>
      </c>
      <c r="E1490" s="7">
        <v>46056</v>
      </c>
      <c r="F1490" s="7">
        <v>46195</v>
      </c>
      <c r="G1490" s="1" t="s">
        <v>44</v>
      </c>
      <c r="H1490" s="8">
        <v>206689776.91999999</v>
      </c>
      <c r="I1490" s="8">
        <v>140545284.18000001</v>
      </c>
      <c r="J1490" s="1">
        <f>IF(COUNTIF($C$4:C1490,C1490)=1,1,0)</f>
        <v>1</v>
      </c>
      <c r="K1490" s="1">
        <f t="shared" si="23"/>
        <v>2026</v>
      </c>
    </row>
    <row r="1491" spans="2:11" x14ac:dyDescent="0.45">
      <c r="B1491" s="1" t="s">
        <v>11</v>
      </c>
      <c r="C1491" s="1" t="s">
        <v>1495</v>
      </c>
      <c r="D1491" s="7">
        <v>43171</v>
      </c>
      <c r="E1491" s="7">
        <v>43198</v>
      </c>
      <c r="F1491" s="7">
        <v>43378</v>
      </c>
      <c r="G1491" s="1" t="s">
        <v>16</v>
      </c>
      <c r="H1491" s="8">
        <v>1645408.78</v>
      </c>
      <c r="I1491" s="8">
        <v>1285190.56</v>
      </c>
      <c r="J1491" s="1">
        <f>IF(COUNTIF($C$4:C1491,C1491)=1,1,0)</f>
        <v>1</v>
      </c>
      <c r="K1491" s="1">
        <f t="shared" si="23"/>
        <v>2018</v>
      </c>
    </row>
    <row r="1492" spans="2:11" x14ac:dyDescent="0.45">
      <c r="B1492" s="1" t="s">
        <v>11</v>
      </c>
      <c r="C1492" s="1" t="s">
        <v>1496</v>
      </c>
      <c r="D1492" s="7">
        <v>43960</v>
      </c>
      <c r="E1492" s="7">
        <v>43980</v>
      </c>
      <c r="F1492" s="7">
        <v>44125</v>
      </c>
      <c r="G1492" s="1" t="s">
        <v>13</v>
      </c>
      <c r="H1492" s="8">
        <v>122381.31</v>
      </c>
      <c r="I1492" s="8">
        <v>102510.17</v>
      </c>
      <c r="J1492" s="1">
        <f>IF(COUNTIF($C$4:C1492,C1492)=1,1,0)</f>
        <v>1</v>
      </c>
      <c r="K1492" s="1">
        <f t="shared" si="23"/>
        <v>2020</v>
      </c>
    </row>
    <row r="1493" spans="2:11" x14ac:dyDescent="0.45">
      <c r="B1493" s="1" t="s">
        <v>11</v>
      </c>
      <c r="C1493" s="1" t="s">
        <v>1497</v>
      </c>
      <c r="D1493" s="7">
        <v>46092</v>
      </c>
      <c r="E1493" s="7">
        <v>46112</v>
      </c>
      <c r="F1493" s="7">
        <v>46229</v>
      </c>
      <c r="G1493" s="1" t="s">
        <v>13</v>
      </c>
      <c r="H1493" s="8">
        <v>426877.76</v>
      </c>
      <c r="I1493" s="8">
        <v>291681.45</v>
      </c>
      <c r="J1493" s="1">
        <f>IF(COUNTIF($C$4:C1493,C1493)=1,1,0)</f>
        <v>1</v>
      </c>
      <c r="K1493" s="1">
        <f t="shared" si="23"/>
        <v>2026</v>
      </c>
    </row>
    <row r="1494" spans="2:11" x14ac:dyDescent="0.45">
      <c r="B1494" s="1" t="s">
        <v>11</v>
      </c>
      <c r="C1494" s="1" t="s">
        <v>1498</v>
      </c>
      <c r="D1494" s="7">
        <v>43515</v>
      </c>
      <c r="E1494" s="7">
        <v>43533</v>
      </c>
      <c r="F1494" s="7">
        <v>43765</v>
      </c>
      <c r="G1494" s="1" t="s">
        <v>20</v>
      </c>
      <c r="H1494" s="8">
        <v>293590249.57999998</v>
      </c>
      <c r="I1494" s="8">
        <v>166264623.13999999</v>
      </c>
      <c r="J1494" s="1">
        <f>IF(COUNTIF($C$4:C1494,C1494)=1,1,0)</f>
        <v>1</v>
      </c>
      <c r="K1494" s="1">
        <f t="shared" si="23"/>
        <v>2019</v>
      </c>
    </row>
    <row r="1495" spans="2:11" x14ac:dyDescent="0.45">
      <c r="B1495" s="1" t="s">
        <v>11</v>
      </c>
      <c r="C1495" s="1" t="s">
        <v>1499</v>
      </c>
      <c r="D1495" s="7">
        <v>46201</v>
      </c>
      <c r="E1495" s="7">
        <v>46214</v>
      </c>
      <c r="F1495" s="7">
        <v>46258</v>
      </c>
      <c r="G1495" s="1" t="s">
        <v>20</v>
      </c>
      <c r="H1495" s="8">
        <v>2713810.31</v>
      </c>
      <c r="I1495" s="8">
        <v>1580118.9</v>
      </c>
      <c r="J1495" s="1">
        <f>IF(COUNTIF($C$4:C1495,C1495)=1,1,0)</f>
        <v>1</v>
      </c>
      <c r="K1495" s="1">
        <f t="shared" si="23"/>
        <v>2026</v>
      </c>
    </row>
    <row r="1496" spans="2:11" x14ac:dyDescent="0.45">
      <c r="B1496" s="1" t="s">
        <v>11</v>
      </c>
      <c r="C1496" s="1" t="s">
        <v>1500</v>
      </c>
      <c r="D1496" s="7">
        <v>44066</v>
      </c>
      <c r="E1496" s="7">
        <v>44088</v>
      </c>
      <c r="F1496" s="7">
        <v>44098</v>
      </c>
      <c r="G1496" s="1" t="s">
        <v>13</v>
      </c>
      <c r="H1496" s="8">
        <v>128474.9</v>
      </c>
      <c r="I1496" s="8">
        <v>106646.03</v>
      </c>
      <c r="J1496" s="1">
        <f>IF(COUNTIF($C$4:C1496,C1496)=1,1,0)</f>
        <v>1</v>
      </c>
      <c r="K1496" s="1">
        <f t="shared" si="23"/>
        <v>2020</v>
      </c>
    </row>
    <row r="1497" spans="2:11" x14ac:dyDescent="0.45">
      <c r="B1497" s="1" t="s">
        <v>11</v>
      </c>
      <c r="C1497" s="1" t="s">
        <v>1501</v>
      </c>
      <c r="D1497" s="7">
        <v>44753</v>
      </c>
      <c r="E1497" s="7">
        <v>44770</v>
      </c>
      <c r="F1497" s="7">
        <v>44881</v>
      </c>
      <c r="G1497" s="1" t="s">
        <v>13</v>
      </c>
      <c r="H1497" s="8">
        <v>202535.11</v>
      </c>
      <c r="I1497" s="8">
        <v>147926.59</v>
      </c>
      <c r="J1497" s="1">
        <f>IF(COUNTIF($C$4:C1497,C1497)=1,1,0)</f>
        <v>1</v>
      </c>
      <c r="K1497" s="1">
        <f t="shared" si="23"/>
        <v>2022</v>
      </c>
    </row>
    <row r="1498" spans="2:11" x14ac:dyDescent="0.45">
      <c r="B1498" s="1" t="s">
        <v>11</v>
      </c>
      <c r="C1498" s="1" t="s">
        <v>1502</v>
      </c>
      <c r="D1498" s="7">
        <v>44886</v>
      </c>
      <c r="E1498" s="7">
        <v>44888</v>
      </c>
      <c r="F1498" s="7">
        <v>45018</v>
      </c>
      <c r="G1498" s="1" t="s">
        <v>212</v>
      </c>
      <c r="H1498" s="8">
        <v>90456458.609999999</v>
      </c>
      <c r="I1498" s="8">
        <v>28839249.079999998</v>
      </c>
      <c r="J1498" s="1">
        <f>IF(COUNTIF($C$4:C1498,C1498)=1,1,0)</f>
        <v>1</v>
      </c>
      <c r="K1498" s="1">
        <f t="shared" si="23"/>
        <v>2022</v>
      </c>
    </row>
    <row r="1499" spans="2:11" x14ac:dyDescent="0.45">
      <c r="B1499" s="1" t="s">
        <v>11</v>
      </c>
      <c r="C1499" s="1" t="s">
        <v>1503</v>
      </c>
      <c r="D1499" s="7">
        <v>44730</v>
      </c>
      <c r="E1499" s="7">
        <v>44732</v>
      </c>
      <c r="F1499" s="7">
        <v>44818</v>
      </c>
      <c r="G1499" s="1" t="s">
        <v>22</v>
      </c>
      <c r="H1499" s="8">
        <v>17597241.370000001</v>
      </c>
      <c r="I1499" s="8">
        <v>7891908.9500000002</v>
      </c>
      <c r="J1499" s="1">
        <f>IF(COUNTIF($C$4:C1499,C1499)=1,1,0)</f>
        <v>1</v>
      </c>
      <c r="K1499" s="1">
        <f t="shared" si="23"/>
        <v>2022</v>
      </c>
    </row>
    <row r="1500" spans="2:11" x14ac:dyDescent="0.45">
      <c r="B1500" s="1" t="s">
        <v>11</v>
      </c>
      <c r="C1500" s="1" t="s">
        <v>1504</v>
      </c>
      <c r="D1500" s="7">
        <v>45120</v>
      </c>
      <c r="E1500" s="7">
        <v>45127</v>
      </c>
      <c r="F1500" s="7">
        <v>45306</v>
      </c>
      <c r="G1500" s="1" t="s">
        <v>22</v>
      </c>
      <c r="H1500" s="8">
        <v>14648321.49</v>
      </c>
      <c r="I1500" s="8">
        <v>9334739.4100000001</v>
      </c>
      <c r="J1500" s="1">
        <f>IF(COUNTIF($C$4:C1500,C1500)=1,1,0)</f>
        <v>1</v>
      </c>
      <c r="K1500" s="1">
        <f t="shared" si="23"/>
        <v>2023</v>
      </c>
    </row>
    <row r="1501" spans="2:11" x14ac:dyDescent="0.45">
      <c r="B1501" s="1" t="s">
        <v>11</v>
      </c>
      <c r="C1501" s="1" t="s">
        <v>1505</v>
      </c>
      <c r="D1501" s="7">
        <v>43917</v>
      </c>
      <c r="E1501" s="7">
        <v>43946</v>
      </c>
      <c r="F1501" s="7">
        <v>43960</v>
      </c>
      <c r="G1501" s="1" t="s">
        <v>22</v>
      </c>
      <c r="H1501" s="8">
        <v>17828859.670000002</v>
      </c>
      <c r="I1501" s="8">
        <v>13070172</v>
      </c>
      <c r="J1501" s="1">
        <f>IF(COUNTIF($C$4:C1501,C1501)=1,1,0)</f>
        <v>1</v>
      </c>
      <c r="K1501" s="1">
        <f t="shared" si="23"/>
        <v>2020</v>
      </c>
    </row>
    <row r="1502" spans="2:11" x14ac:dyDescent="0.45">
      <c r="B1502" s="1" t="s">
        <v>11</v>
      </c>
      <c r="C1502" s="1" t="s">
        <v>1506</v>
      </c>
      <c r="D1502" s="7">
        <v>43930</v>
      </c>
      <c r="E1502" s="7">
        <v>43946</v>
      </c>
      <c r="F1502" s="7">
        <v>44154</v>
      </c>
      <c r="G1502" s="1" t="s">
        <v>212</v>
      </c>
      <c r="H1502" s="8">
        <v>43930675.439999998</v>
      </c>
      <c r="I1502" s="8">
        <v>29946563.539999999</v>
      </c>
      <c r="J1502" s="1">
        <f>IF(COUNTIF($C$4:C1502,C1502)=1,1,0)</f>
        <v>1</v>
      </c>
      <c r="K1502" s="1">
        <f t="shared" si="23"/>
        <v>2020</v>
      </c>
    </row>
    <row r="1503" spans="2:11" x14ac:dyDescent="0.45">
      <c r="B1503" s="1" t="s">
        <v>11</v>
      </c>
      <c r="C1503" s="1" t="s">
        <v>1507</v>
      </c>
      <c r="D1503" s="7">
        <v>44015</v>
      </c>
      <c r="E1503" s="7">
        <v>44043</v>
      </c>
      <c r="F1503" s="7">
        <v>44127</v>
      </c>
      <c r="G1503" s="1" t="s">
        <v>13</v>
      </c>
      <c r="H1503" s="8">
        <v>506555.76</v>
      </c>
      <c r="I1503" s="8">
        <v>371625.83</v>
      </c>
      <c r="J1503" s="1">
        <f>IF(COUNTIF($C$4:C1503,C1503)=1,1,0)</f>
        <v>1</v>
      </c>
      <c r="K1503" s="1">
        <f t="shared" si="23"/>
        <v>2020</v>
      </c>
    </row>
    <row r="1504" spans="2:11" x14ac:dyDescent="0.45">
      <c r="B1504" s="1" t="s">
        <v>11</v>
      </c>
      <c r="C1504" s="1" t="s">
        <v>1508</v>
      </c>
      <c r="D1504" s="7">
        <v>44065</v>
      </c>
      <c r="E1504" s="7">
        <v>44075</v>
      </c>
      <c r="F1504" s="7">
        <v>44085</v>
      </c>
      <c r="G1504" s="1" t="s">
        <v>22</v>
      </c>
      <c r="H1504" s="8">
        <v>71091602.290000007</v>
      </c>
      <c r="I1504" s="8">
        <v>49879087.189999998</v>
      </c>
      <c r="J1504" s="1">
        <f>IF(COUNTIF($C$4:C1504,C1504)=1,1,0)</f>
        <v>1</v>
      </c>
      <c r="K1504" s="1">
        <f t="shared" si="23"/>
        <v>2020</v>
      </c>
    </row>
    <row r="1505" spans="2:11" x14ac:dyDescent="0.45">
      <c r="B1505" s="1" t="s">
        <v>11</v>
      </c>
      <c r="C1505" s="1" t="s">
        <v>1509</v>
      </c>
      <c r="D1505" s="7">
        <v>44697</v>
      </c>
      <c r="E1505" s="7">
        <v>44703</v>
      </c>
      <c r="F1505" s="7">
        <v>44830</v>
      </c>
      <c r="G1505" s="1" t="s">
        <v>38</v>
      </c>
      <c r="H1505" s="8">
        <v>93326.68</v>
      </c>
      <c r="I1505" s="8">
        <v>76975.98</v>
      </c>
      <c r="J1505" s="1">
        <f>IF(COUNTIF($C$4:C1505,C1505)=1,1,0)</f>
        <v>1</v>
      </c>
      <c r="K1505" s="1">
        <f t="shared" si="23"/>
        <v>2022</v>
      </c>
    </row>
    <row r="1506" spans="2:11" x14ac:dyDescent="0.45">
      <c r="B1506" s="1" t="s">
        <v>11</v>
      </c>
      <c r="C1506" s="1" t="s">
        <v>1510</v>
      </c>
      <c r="D1506" s="7">
        <v>45125</v>
      </c>
      <c r="E1506" s="7">
        <v>45139</v>
      </c>
      <c r="F1506" s="7">
        <v>45193</v>
      </c>
      <c r="G1506" s="1" t="s">
        <v>13</v>
      </c>
      <c r="H1506" s="8">
        <v>766398.85</v>
      </c>
      <c r="I1506" s="8">
        <v>646854.52</v>
      </c>
      <c r="J1506" s="1">
        <f>IF(COUNTIF($C$4:C1506,C1506)=1,1,0)</f>
        <v>1</v>
      </c>
      <c r="K1506" s="1">
        <f t="shared" si="23"/>
        <v>2023</v>
      </c>
    </row>
    <row r="1507" spans="2:11" x14ac:dyDescent="0.45">
      <c r="B1507" s="1" t="s">
        <v>11</v>
      </c>
      <c r="C1507" s="1" t="s">
        <v>1511</v>
      </c>
      <c r="D1507" s="7">
        <v>45885</v>
      </c>
      <c r="E1507" s="7">
        <v>45885</v>
      </c>
      <c r="F1507" s="7">
        <v>45930</v>
      </c>
      <c r="G1507" s="1" t="s">
        <v>20</v>
      </c>
      <c r="H1507" s="8">
        <v>822241.44</v>
      </c>
      <c r="I1507" s="8">
        <v>650387.91</v>
      </c>
      <c r="J1507" s="1">
        <f>IF(COUNTIF($C$4:C1507,C1507)=1,1,0)</f>
        <v>1</v>
      </c>
      <c r="K1507" s="1">
        <f t="shared" si="23"/>
        <v>2025</v>
      </c>
    </row>
    <row r="1508" spans="2:11" x14ac:dyDescent="0.45">
      <c r="B1508" s="1" t="s">
        <v>11</v>
      </c>
      <c r="C1508" s="1" t="s">
        <v>1512</v>
      </c>
      <c r="D1508" s="7">
        <v>44699</v>
      </c>
      <c r="E1508" s="7">
        <v>44700</v>
      </c>
      <c r="F1508" s="7">
        <v>44916</v>
      </c>
      <c r="G1508" s="1" t="s">
        <v>212</v>
      </c>
      <c r="H1508" s="8">
        <v>121598344.84</v>
      </c>
      <c r="I1508" s="8">
        <v>58209485.189999998</v>
      </c>
      <c r="J1508" s="1">
        <f>IF(COUNTIF($C$4:C1508,C1508)=1,1,0)</f>
        <v>1</v>
      </c>
      <c r="K1508" s="1">
        <f t="shared" si="23"/>
        <v>2022</v>
      </c>
    </row>
    <row r="1509" spans="2:11" x14ac:dyDescent="0.45">
      <c r="B1509" s="1" t="s">
        <v>11</v>
      </c>
      <c r="C1509" s="1" t="s">
        <v>1513</v>
      </c>
      <c r="D1509" s="7">
        <v>44432</v>
      </c>
      <c r="E1509" s="7">
        <v>44442</v>
      </c>
      <c r="F1509" s="7">
        <v>44547</v>
      </c>
      <c r="G1509" s="1" t="s">
        <v>16</v>
      </c>
      <c r="H1509" s="8">
        <v>1523111.14</v>
      </c>
      <c r="I1509" s="8">
        <v>878927.97</v>
      </c>
      <c r="J1509" s="1">
        <f>IF(COUNTIF($C$4:C1509,C1509)=1,1,0)</f>
        <v>1</v>
      </c>
      <c r="K1509" s="1">
        <f t="shared" si="23"/>
        <v>2021</v>
      </c>
    </row>
    <row r="1510" spans="2:11" x14ac:dyDescent="0.45">
      <c r="B1510" s="1" t="s">
        <v>11</v>
      </c>
      <c r="C1510" s="1" t="s">
        <v>1514</v>
      </c>
      <c r="D1510" s="7">
        <v>44426</v>
      </c>
      <c r="E1510" s="7">
        <v>44456</v>
      </c>
      <c r="F1510" s="7">
        <v>44660</v>
      </c>
      <c r="G1510" s="1" t="s">
        <v>22</v>
      </c>
      <c r="H1510" s="8">
        <v>1816245.02</v>
      </c>
      <c r="I1510" s="8">
        <v>1249610.1599999999</v>
      </c>
      <c r="J1510" s="1">
        <f>IF(COUNTIF($C$4:C1510,C1510)=1,1,0)</f>
        <v>1</v>
      </c>
      <c r="K1510" s="1">
        <f t="shared" si="23"/>
        <v>2021</v>
      </c>
    </row>
    <row r="1511" spans="2:11" x14ac:dyDescent="0.45">
      <c r="B1511" s="1" t="s">
        <v>11</v>
      </c>
      <c r="C1511" s="1" t="s">
        <v>1515</v>
      </c>
      <c r="D1511" s="7">
        <v>44996</v>
      </c>
      <c r="E1511" s="7">
        <v>45022</v>
      </c>
      <c r="F1511" s="7">
        <v>45259</v>
      </c>
      <c r="G1511" s="1" t="s">
        <v>13</v>
      </c>
      <c r="H1511" s="8">
        <v>72430.28</v>
      </c>
      <c r="I1511" s="8">
        <v>54098.36</v>
      </c>
      <c r="J1511" s="1">
        <f>IF(COUNTIF($C$4:C1511,C1511)=1,1,0)</f>
        <v>1</v>
      </c>
      <c r="K1511" s="1">
        <f t="shared" si="23"/>
        <v>2023</v>
      </c>
    </row>
    <row r="1512" spans="2:11" x14ac:dyDescent="0.45">
      <c r="B1512" s="1" t="s">
        <v>11</v>
      </c>
      <c r="C1512" s="1" t="s">
        <v>1516</v>
      </c>
      <c r="D1512" s="7">
        <v>45238</v>
      </c>
      <c r="E1512" s="7">
        <v>45246</v>
      </c>
      <c r="F1512" s="7">
        <v>45439</v>
      </c>
      <c r="G1512" s="1" t="s">
        <v>13</v>
      </c>
      <c r="H1512" s="8">
        <v>49922.26</v>
      </c>
      <c r="I1512" s="8">
        <v>42534.55</v>
      </c>
      <c r="J1512" s="1">
        <f>IF(COUNTIF($C$4:C1512,C1512)=1,1,0)</f>
        <v>1</v>
      </c>
      <c r="K1512" s="1">
        <f t="shared" si="23"/>
        <v>2023</v>
      </c>
    </row>
    <row r="1513" spans="2:11" x14ac:dyDescent="0.45">
      <c r="B1513" s="1" t="s">
        <v>11</v>
      </c>
      <c r="C1513" s="1" t="s">
        <v>1517</v>
      </c>
      <c r="D1513" s="7">
        <v>44061</v>
      </c>
      <c r="E1513" s="7">
        <v>44089</v>
      </c>
      <c r="F1513" s="7">
        <v>44245</v>
      </c>
      <c r="G1513" s="1" t="s">
        <v>16</v>
      </c>
      <c r="H1513" s="8">
        <v>2112888.67</v>
      </c>
      <c r="I1513" s="8">
        <v>1563765.69</v>
      </c>
      <c r="J1513" s="1">
        <f>IF(COUNTIF($C$4:C1513,C1513)=1,1,0)</f>
        <v>1</v>
      </c>
      <c r="K1513" s="1">
        <f t="shared" si="23"/>
        <v>2020</v>
      </c>
    </row>
    <row r="1514" spans="2:11" x14ac:dyDescent="0.45">
      <c r="B1514" s="1" t="s">
        <v>11</v>
      </c>
      <c r="C1514" s="1" t="s">
        <v>1518</v>
      </c>
      <c r="D1514" s="7">
        <v>45918</v>
      </c>
      <c r="E1514" s="7">
        <v>45932</v>
      </c>
      <c r="F1514" s="7">
        <v>46170</v>
      </c>
      <c r="G1514" s="1" t="s">
        <v>16</v>
      </c>
      <c r="H1514" s="8">
        <v>1843295.91</v>
      </c>
      <c r="I1514" s="8">
        <v>1370632.39</v>
      </c>
      <c r="J1514" s="1">
        <f>IF(COUNTIF($C$4:C1514,C1514)=1,1,0)</f>
        <v>1</v>
      </c>
      <c r="K1514" s="1">
        <f t="shared" si="23"/>
        <v>2025</v>
      </c>
    </row>
    <row r="1515" spans="2:11" x14ac:dyDescent="0.45">
      <c r="B1515" s="1" t="s">
        <v>11</v>
      </c>
      <c r="C1515" s="1" t="s">
        <v>1519</v>
      </c>
      <c r="D1515" s="7">
        <v>44107</v>
      </c>
      <c r="E1515" s="7">
        <v>44137</v>
      </c>
      <c r="F1515" s="7">
        <v>44160</v>
      </c>
      <c r="G1515" s="1" t="s">
        <v>41</v>
      </c>
      <c r="H1515" s="8">
        <v>285004.62</v>
      </c>
      <c r="I1515" s="8">
        <v>219102.2</v>
      </c>
      <c r="J1515" s="1">
        <f>IF(COUNTIF($C$4:C1515,C1515)=1,1,0)</f>
        <v>1</v>
      </c>
      <c r="K1515" s="1">
        <f t="shared" si="23"/>
        <v>2020</v>
      </c>
    </row>
    <row r="1516" spans="2:11" x14ac:dyDescent="0.45">
      <c r="B1516" s="1" t="s">
        <v>11</v>
      </c>
      <c r="C1516" s="1" t="s">
        <v>1520</v>
      </c>
      <c r="D1516" s="7">
        <v>45561</v>
      </c>
      <c r="E1516" s="7">
        <v>45562</v>
      </c>
      <c r="F1516" s="7">
        <v>45570</v>
      </c>
      <c r="G1516" s="1" t="s">
        <v>20</v>
      </c>
      <c r="H1516" s="8">
        <v>1071878.95</v>
      </c>
      <c r="I1516" s="8">
        <v>711420.83</v>
      </c>
      <c r="J1516" s="1">
        <f>IF(COUNTIF($C$4:C1516,C1516)=1,1,0)</f>
        <v>1</v>
      </c>
      <c r="K1516" s="1">
        <f t="shared" si="23"/>
        <v>2024</v>
      </c>
    </row>
    <row r="1517" spans="2:11" x14ac:dyDescent="0.45">
      <c r="B1517" s="1" t="s">
        <v>11</v>
      </c>
      <c r="C1517" s="1" t="s">
        <v>1521</v>
      </c>
      <c r="D1517" s="7">
        <v>45298</v>
      </c>
      <c r="E1517" s="7">
        <v>45298</v>
      </c>
      <c r="F1517" s="7">
        <v>45487</v>
      </c>
      <c r="G1517" s="1" t="s">
        <v>13</v>
      </c>
      <c r="H1517" s="8">
        <v>167320.87</v>
      </c>
      <c r="I1517" s="8">
        <v>136477.48000000001</v>
      </c>
      <c r="J1517" s="1">
        <f>IF(COUNTIF($C$4:C1517,C1517)=1,1,0)</f>
        <v>1</v>
      </c>
      <c r="K1517" s="1">
        <f t="shared" si="23"/>
        <v>2024</v>
      </c>
    </row>
    <row r="1518" spans="2:11" x14ac:dyDescent="0.45">
      <c r="B1518" s="1" t="s">
        <v>11</v>
      </c>
      <c r="C1518" s="1" t="s">
        <v>1522</v>
      </c>
      <c r="D1518" s="7">
        <v>43919</v>
      </c>
      <c r="E1518" s="7">
        <v>43948</v>
      </c>
      <c r="F1518" s="7">
        <v>44142</v>
      </c>
      <c r="G1518" s="1" t="s">
        <v>38</v>
      </c>
      <c r="H1518" s="8">
        <v>624377.22</v>
      </c>
      <c r="I1518" s="8">
        <v>484591.37</v>
      </c>
      <c r="J1518" s="1">
        <f>IF(COUNTIF($C$4:C1518,C1518)=1,1,0)</f>
        <v>1</v>
      </c>
      <c r="K1518" s="1">
        <f t="shared" si="23"/>
        <v>2020</v>
      </c>
    </row>
    <row r="1519" spans="2:11" x14ac:dyDescent="0.45">
      <c r="B1519" s="1" t="s">
        <v>11</v>
      </c>
      <c r="C1519" s="1" t="s">
        <v>1523</v>
      </c>
      <c r="D1519" s="7">
        <v>45801</v>
      </c>
      <c r="E1519" s="7">
        <v>45819</v>
      </c>
      <c r="F1519" s="7">
        <v>46058</v>
      </c>
      <c r="G1519" s="1" t="s">
        <v>13</v>
      </c>
      <c r="H1519" s="8">
        <v>219698.58</v>
      </c>
      <c r="I1519" s="8">
        <v>180361.65</v>
      </c>
      <c r="J1519" s="1">
        <f>IF(COUNTIF($C$4:C1519,C1519)=1,1,0)</f>
        <v>1</v>
      </c>
      <c r="K1519" s="1">
        <f t="shared" si="23"/>
        <v>2025</v>
      </c>
    </row>
    <row r="1520" spans="2:11" x14ac:dyDescent="0.45">
      <c r="B1520" s="1" t="s">
        <v>11</v>
      </c>
      <c r="C1520" s="1" t="s">
        <v>1524</v>
      </c>
      <c r="D1520" s="7">
        <v>45463</v>
      </c>
      <c r="E1520" s="7">
        <v>45474</v>
      </c>
      <c r="F1520" s="7">
        <v>45596</v>
      </c>
      <c r="G1520" s="1" t="s">
        <v>212</v>
      </c>
      <c r="H1520" s="8">
        <v>2308350.88</v>
      </c>
      <c r="I1520" s="8">
        <v>839543.19</v>
      </c>
      <c r="J1520" s="1">
        <f>IF(COUNTIF($C$4:C1520,C1520)=1,1,0)</f>
        <v>1</v>
      </c>
      <c r="K1520" s="1">
        <f t="shared" si="23"/>
        <v>2024</v>
      </c>
    </row>
    <row r="1521" spans="2:11" x14ac:dyDescent="0.45">
      <c r="B1521" s="1" t="s">
        <v>11</v>
      </c>
      <c r="C1521" s="1" t="s">
        <v>1525</v>
      </c>
      <c r="D1521" s="7">
        <v>43824</v>
      </c>
      <c r="E1521" s="7">
        <v>43835</v>
      </c>
      <c r="F1521" s="7">
        <v>44029</v>
      </c>
      <c r="G1521" s="1" t="s">
        <v>44</v>
      </c>
      <c r="H1521" s="8">
        <v>609601426.03999996</v>
      </c>
      <c r="I1521" s="8">
        <v>382341709.52999997</v>
      </c>
      <c r="J1521" s="1">
        <f>IF(COUNTIF($C$4:C1521,C1521)=1,1,0)</f>
        <v>1</v>
      </c>
      <c r="K1521" s="1">
        <f t="shared" si="23"/>
        <v>2019</v>
      </c>
    </row>
    <row r="1522" spans="2:11" x14ac:dyDescent="0.45">
      <c r="B1522" s="1" t="s">
        <v>11</v>
      </c>
      <c r="C1522" s="1" t="s">
        <v>1526</v>
      </c>
      <c r="D1522" s="7">
        <v>46185</v>
      </c>
      <c r="E1522" s="7">
        <v>46197</v>
      </c>
      <c r="F1522" s="7">
        <v>46261</v>
      </c>
      <c r="G1522" s="1" t="s">
        <v>38</v>
      </c>
      <c r="H1522" s="8">
        <v>687585.73</v>
      </c>
      <c r="I1522" s="8">
        <v>517293.69</v>
      </c>
      <c r="J1522" s="1">
        <f>IF(COUNTIF($C$4:C1522,C1522)=1,1,0)</f>
        <v>1</v>
      </c>
      <c r="K1522" s="1">
        <f t="shared" si="23"/>
        <v>2026</v>
      </c>
    </row>
    <row r="1523" spans="2:11" x14ac:dyDescent="0.45">
      <c r="B1523" s="1" t="s">
        <v>11</v>
      </c>
      <c r="C1523" s="1" t="s">
        <v>1527</v>
      </c>
      <c r="D1523" s="7">
        <v>43456</v>
      </c>
      <c r="E1523" s="7">
        <v>43485</v>
      </c>
      <c r="F1523" s="7">
        <v>43689</v>
      </c>
      <c r="G1523" s="1" t="s">
        <v>38</v>
      </c>
      <c r="H1523" s="8">
        <v>844540.74</v>
      </c>
      <c r="I1523" s="8">
        <v>543234.52</v>
      </c>
      <c r="J1523" s="1">
        <f>IF(COUNTIF($C$4:C1523,C1523)=1,1,0)</f>
        <v>1</v>
      </c>
      <c r="K1523" s="1">
        <f t="shared" si="23"/>
        <v>2018</v>
      </c>
    </row>
    <row r="1524" spans="2:11" x14ac:dyDescent="0.45">
      <c r="B1524" s="1" t="s">
        <v>11</v>
      </c>
      <c r="C1524" s="1" t="s">
        <v>1528</v>
      </c>
      <c r="D1524" s="7">
        <v>43350</v>
      </c>
      <c r="E1524" s="7">
        <v>43353</v>
      </c>
      <c r="F1524" s="7">
        <v>43588</v>
      </c>
      <c r="G1524" s="1" t="s">
        <v>212</v>
      </c>
      <c r="H1524" s="8">
        <v>92083430.719999999</v>
      </c>
      <c r="I1524" s="8">
        <v>61941669.969999999</v>
      </c>
      <c r="J1524" s="1">
        <f>IF(COUNTIF($C$4:C1524,C1524)=1,1,0)</f>
        <v>1</v>
      </c>
      <c r="K1524" s="1">
        <f t="shared" si="23"/>
        <v>2018</v>
      </c>
    </row>
    <row r="1525" spans="2:11" x14ac:dyDescent="0.45">
      <c r="B1525" s="1" t="s">
        <v>11</v>
      </c>
      <c r="C1525" s="1" t="s">
        <v>1126</v>
      </c>
      <c r="D1525" s="7">
        <v>43377</v>
      </c>
      <c r="E1525" s="7">
        <v>43401</v>
      </c>
      <c r="F1525" s="7">
        <v>43495</v>
      </c>
      <c r="G1525" s="1" t="s">
        <v>44</v>
      </c>
      <c r="H1525" s="8">
        <v>38925939.020000003</v>
      </c>
      <c r="I1525" s="8">
        <v>19259439.050000001</v>
      </c>
      <c r="J1525" s="1">
        <f>IF(COUNTIF($C$4:C1525,C1525)=1,1,0)</f>
        <v>0</v>
      </c>
      <c r="K1525" s="1">
        <f t="shared" si="23"/>
        <v>2018</v>
      </c>
    </row>
    <row r="1526" spans="2:11" x14ac:dyDescent="0.45">
      <c r="B1526" s="1" t="s">
        <v>11</v>
      </c>
      <c r="C1526" s="1" t="s">
        <v>1529</v>
      </c>
      <c r="D1526" s="7">
        <v>44543</v>
      </c>
      <c r="E1526" s="7">
        <v>44562</v>
      </c>
      <c r="F1526" s="7">
        <v>44775</v>
      </c>
      <c r="G1526" s="1" t="s">
        <v>16</v>
      </c>
      <c r="H1526" s="8">
        <v>712707.97</v>
      </c>
      <c r="I1526" s="8">
        <v>496553.18</v>
      </c>
      <c r="J1526" s="1">
        <f>IF(COUNTIF($C$4:C1526,C1526)=1,1,0)</f>
        <v>1</v>
      </c>
      <c r="K1526" s="1">
        <f t="shared" si="23"/>
        <v>2021</v>
      </c>
    </row>
    <row r="1527" spans="2:11" x14ac:dyDescent="0.45">
      <c r="B1527" s="1" t="s">
        <v>11</v>
      </c>
      <c r="C1527" s="1" t="s">
        <v>1530</v>
      </c>
      <c r="D1527" s="7">
        <v>43304</v>
      </c>
      <c r="E1527" s="7">
        <v>43333</v>
      </c>
      <c r="F1527" s="7">
        <v>43467</v>
      </c>
      <c r="G1527" s="1" t="s">
        <v>20</v>
      </c>
      <c r="H1527" s="8">
        <v>293736.48</v>
      </c>
      <c r="I1527" s="8">
        <v>196323.91</v>
      </c>
      <c r="J1527" s="1">
        <f>IF(COUNTIF($C$4:C1527,C1527)=1,1,0)</f>
        <v>1</v>
      </c>
      <c r="K1527" s="1">
        <f t="shared" si="23"/>
        <v>2018</v>
      </c>
    </row>
    <row r="1528" spans="2:11" x14ac:dyDescent="0.45">
      <c r="B1528" s="1" t="s">
        <v>11</v>
      </c>
      <c r="C1528" s="1" t="s">
        <v>1531</v>
      </c>
      <c r="D1528" s="7">
        <v>43993</v>
      </c>
      <c r="E1528" s="7">
        <v>44004</v>
      </c>
      <c r="F1528" s="7">
        <v>44207</v>
      </c>
      <c r="G1528" s="1" t="s">
        <v>44</v>
      </c>
      <c r="H1528" s="8">
        <v>155656011.56999999</v>
      </c>
      <c r="I1528" s="8">
        <v>109180849.03</v>
      </c>
      <c r="J1528" s="1">
        <f>IF(COUNTIF($C$4:C1528,C1528)=1,1,0)</f>
        <v>1</v>
      </c>
      <c r="K1528" s="1">
        <f t="shared" si="23"/>
        <v>2020</v>
      </c>
    </row>
    <row r="1529" spans="2:11" x14ac:dyDescent="0.45">
      <c r="B1529" s="1" t="s">
        <v>11</v>
      </c>
      <c r="C1529" s="1" t="s">
        <v>1532</v>
      </c>
      <c r="D1529" s="7">
        <v>44855</v>
      </c>
      <c r="E1529" s="7">
        <v>44870</v>
      </c>
      <c r="F1529" s="7">
        <v>44956</v>
      </c>
      <c r="G1529" s="1" t="s">
        <v>20</v>
      </c>
      <c r="H1529" s="8">
        <v>776945.09</v>
      </c>
      <c r="I1529" s="8">
        <v>527082.81999999995</v>
      </c>
      <c r="J1529" s="1">
        <f>IF(COUNTIF($C$4:C1529,C1529)=1,1,0)</f>
        <v>1</v>
      </c>
      <c r="K1529" s="1">
        <f t="shared" si="23"/>
        <v>2022</v>
      </c>
    </row>
    <row r="1530" spans="2:11" x14ac:dyDescent="0.45">
      <c r="B1530" s="1" t="s">
        <v>11</v>
      </c>
      <c r="C1530" s="1" t="s">
        <v>1533</v>
      </c>
      <c r="D1530" s="7">
        <v>45088</v>
      </c>
      <c r="E1530" s="7">
        <v>45116</v>
      </c>
      <c r="F1530" s="7">
        <v>45286</v>
      </c>
      <c r="G1530" s="1" t="s">
        <v>20</v>
      </c>
      <c r="H1530" s="8">
        <v>360644.86</v>
      </c>
      <c r="I1530" s="8">
        <v>220539.84</v>
      </c>
      <c r="J1530" s="1">
        <f>IF(COUNTIF($C$4:C1530,C1530)=1,1,0)</f>
        <v>1</v>
      </c>
      <c r="K1530" s="1">
        <f t="shared" si="23"/>
        <v>2023</v>
      </c>
    </row>
    <row r="1531" spans="2:11" x14ac:dyDescent="0.45">
      <c r="B1531" s="1" t="s">
        <v>11</v>
      </c>
      <c r="C1531" s="1" t="s">
        <v>1534</v>
      </c>
      <c r="D1531" s="7">
        <v>46078</v>
      </c>
      <c r="E1531" s="7">
        <v>46106</v>
      </c>
      <c r="F1531" s="7">
        <v>46211</v>
      </c>
      <c r="G1531" s="1" t="s">
        <v>22</v>
      </c>
      <c r="H1531" s="8">
        <v>84977425.260000005</v>
      </c>
      <c r="I1531" s="8">
        <v>38908811.119999997</v>
      </c>
      <c r="J1531" s="1">
        <f>IF(COUNTIF($C$4:C1531,C1531)=1,1,0)</f>
        <v>1</v>
      </c>
      <c r="K1531" s="1">
        <f t="shared" si="23"/>
        <v>2026</v>
      </c>
    </row>
    <row r="1532" spans="2:11" x14ac:dyDescent="0.45">
      <c r="B1532" s="1" t="s">
        <v>11</v>
      </c>
      <c r="C1532" s="1" t="s">
        <v>1535</v>
      </c>
      <c r="D1532" s="7">
        <v>43920</v>
      </c>
      <c r="E1532" s="7">
        <v>43927</v>
      </c>
      <c r="F1532" s="7">
        <v>44047</v>
      </c>
      <c r="G1532" s="1" t="s">
        <v>38</v>
      </c>
      <c r="H1532" s="8">
        <v>220852.96</v>
      </c>
      <c r="I1532" s="8">
        <v>192259.09</v>
      </c>
      <c r="J1532" s="1">
        <f>IF(COUNTIF($C$4:C1532,C1532)=1,1,0)</f>
        <v>1</v>
      </c>
      <c r="K1532" s="1">
        <f t="shared" si="23"/>
        <v>2020</v>
      </c>
    </row>
    <row r="1533" spans="2:11" x14ac:dyDescent="0.45">
      <c r="B1533" s="1" t="s">
        <v>11</v>
      </c>
      <c r="C1533" s="1" t="s">
        <v>1536</v>
      </c>
      <c r="D1533" s="7">
        <v>43518</v>
      </c>
      <c r="E1533" s="7">
        <v>43523</v>
      </c>
      <c r="F1533" s="7">
        <v>43536</v>
      </c>
      <c r="G1533" s="1" t="s">
        <v>212</v>
      </c>
      <c r="H1533" s="8">
        <v>6118173.2300000004</v>
      </c>
      <c r="I1533" s="8">
        <v>3161408.84</v>
      </c>
      <c r="J1533" s="1">
        <f>IF(COUNTIF($C$4:C1533,C1533)=1,1,0)</f>
        <v>1</v>
      </c>
      <c r="K1533" s="1">
        <f t="shared" si="23"/>
        <v>2019</v>
      </c>
    </row>
    <row r="1534" spans="2:11" x14ac:dyDescent="0.45">
      <c r="B1534" s="1" t="s">
        <v>11</v>
      </c>
      <c r="C1534" s="1" t="s">
        <v>1537</v>
      </c>
      <c r="D1534" s="7">
        <v>45722</v>
      </c>
      <c r="E1534" s="7">
        <v>45747</v>
      </c>
      <c r="F1534" s="7">
        <v>45938</v>
      </c>
      <c r="G1534" s="1" t="s">
        <v>16</v>
      </c>
      <c r="H1534" s="8">
        <v>2327338.35</v>
      </c>
      <c r="I1534" s="8">
        <v>1787348.7</v>
      </c>
      <c r="J1534" s="1">
        <f>IF(COUNTIF($C$4:C1534,C1534)=1,1,0)</f>
        <v>1</v>
      </c>
      <c r="K1534" s="1">
        <f t="shared" si="23"/>
        <v>2025</v>
      </c>
    </row>
    <row r="1535" spans="2:11" x14ac:dyDescent="0.45">
      <c r="B1535" s="1" t="s">
        <v>11</v>
      </c>
      <c r="C1535" s="1" t="s">
        <v>1538</v>
      </c>
      <c r="D1535" s="7">
        <v>44750</v>
      </c>
      <c r="E1535" s="7">
        <v>44757</v>
      </c>
      <c r="F1535" s="7">
        <v>44949</v>
      </c>
      <c r="G1535" s="1" t="s">
        <v>22</v>
      </c>
      <c r="H1535" s="8">
        <v>21197030.890000001</v>
      </c>
      <c r="I1535" s="8">
        <v>15549229.689999999</v>
      </c>
      <c r="J1535" s="1">
        <f>IF(COUNTIF($C$4:C1535,C1535)=1,1,0)</f>
        <v>1</v>
      </c>
      <c r="K1535" s="1">
        <f t="shared" si="23"/>
        <v>2022</v>
      </c>
    </row>
    <row r="1536" spans="2:11" x14ac:dyDescent="0.45">
      <c r="B1536" s="1" t="s">
        <v>11</v>
      </c>
      <c r="C1536" s="1" t="s">
        <v>1539</v>
      </c>
      <c r="D1536" s="7">
        <v>44257</v>
      </c>
      <c r="E1536" s="7">
        <v>44269</v>
      </c>
      <c r="F1536" s="7">
        <v>44500</v>
      </c>
      <c r="G1536" s="1" t="s">
        <v>16</v>
      </c>
      <c r="H1536" s="8">
        <v>2278175.36</v>
      </c>
      <c r="I1536" s="8">
        <v>1194328.53</v>
      </c>
      <c r="J1536" s="1">
        <f>IF(COUNTIF($C$4:C1536,C1536)=1,1,0)</f>
        <v>1</v>
      </c>
      <c r="K1536" s="1">
        <f t="shared" si="23"/>
        <v>2021</v>
      </c>
    </row>
    <row r="1537" spans="2:11" x14ac:dyDescent="0.45">
      <c r="B1537" s="1" t="s">
        <v>11</v>
      </c>
      <c r="C1537" s="1" t="s">
        <v>1540</v>
      </c>
      <c r="D1537" s="7">
        <v>44537</v>
      </c>
      <c r="E1537" s="7">
        <v>44552</v>
      </c>
      <c r="F1537" s="7">
        <v>44631</v>
      </c>
      <c r="G1537" s="1" t="s">
        <v>13</v>
      </c>
      <c r="H1537" s="8">
        <v>76760.160000000003</v>
      </c>
      <c r="I1537" s="8">
        <v>50990.94</v>
      </c>
      <c r="J1537" s="1">
        <f>IF(COUNTIF($C$4:C1537,C1537)=1,1,0)</f>
        <v>1</v>
      </c>
      <c r="K1537" s="1">
        <f t="shared" si="23"/>
        <v>2021</v>
      </c>
    </row>
    <row r="1538" spans="2:11" x14ac:dyDescent="0.45">
      <c r="B1538" s="1" t="s">
        <v>11</v>
      </c>
      <c r="C1538" s="1" t="s">
        <v>1541</v>
      </c>
      <c r="D1538" s="7">
        <v>43914</v>
      </c>
      <c r="E1538" s="7">
        <v>43931</v>
      </c>
      <c r="F1538" s="7">
        <v>43977</v>
      </c>
      <c r="G1538" s="1" t="s">
        <v>13</v>
      </c>
      <c r="H1538" s="8">
        <v>1196521.6100000001</v>
      </c>
      <c r="I1538" s="8">
        <v>867221.63</v>
      </c>
      <c r="J1538" s="1">
        <f>IF(COUNTIF($C$4:C1538,C1538)=1,1,0)</f>
        <v>1</v>
      </c>
      <c r="K1538" s="1">
        <f t="shared" si="23"/>
        <v>2020</v>
      </c>
    </row>
    <row r="1539" spans="2:11" x14ac:dyDescent="0.45">
      <c r="B1539" s="1" t="s">
        <v>11</v>
      </c>
      <c r="C1539" s="1" t="s">
        <v>1542</v>
      </c>
      <c r="D1539" s="7">
        <v>44748</v>
      </c>
      <c r="E1539" s="7">
        <v>44754</v>
      </c>
      <c r="F1539" s="7">
        <v>44771</v>
      </c>
      <c r="G1539" s="1" t="s">
        <v>16</v>
      </c>
      <c r="H1539" s="8">
        <v>11474252.210000001</v>
      </c>
      <c r="I1539" s="8">
        <v>8979814.2300000004</v>
      </c>
      <c r="J1539" s="1">
        <f>IF(COUNTIF($C$4:C1539,C1539)=1,1,0)</f>
        <v>1</v>
      </c>
      <c r="K1539" s="1">
        <f t="shared" si="23"/>
        <v>2022</v>
      </c>
    </row>
    <row r="1540" spans="2:11" x14ac:dyDescent="0.45">
      <c r="B1540" s="1" t="s">
        <v>11</v>
      </c>
      <c r="C1540" s="1" t="s">
        <v>1543</v>
      </c>
      <c r="D1540" s="7">
        <v>43372</v>
      </c>
      <c r="E1540" s="7">
        <v>43394</v>
      </c>
      <c r="F1540" s="7">
        <v>43571</v>
      </c>
      <c r="G1540" s="1" t="s">
        <v>22</v>
      </c>
      <c r="H1540" s="8">
        <v>21045942.789999999</v>
      </c>
      <c r="I1540" s="8">
        <v>15728613.23</v>
      </c>
      <c r="J1540" s="1">
        <f>IF(COUNTIF($C$4:C1540,C1540)=1,1,0)</f>
        <v>1</v>
      </c>
      <c r="K1540" s="1">
        <f t="shared" si="23"/>
        <v>2018</v>
      </c>
    </row>
    <row r="1541" spans="2:11" x14ac:dyDescent="0.45">
      <c r="B1541" s="1" t="s">
        <v>11</v>
      </c>
      <c r="C1541" s="1" t="s">
        <v>1544</v>
      </c>
      <c r="D1541" s="7">
        <v>45427</v>
      </c>
      <c r="E1541" s="7">
        <v>45436</v>
      </c>
      <c r="F1541" s="7">
        <v>45651</v>
      </c>
      <c r="G1541" s="1" t="s">
        <v>212</v>
      </c>
      <c r="H1541" s="8">
        <v>10031736.380000001</v>
      </c>
      <c r="I1541" s="8">
        <v>6733952.5300000003</v>
      </c>
      <c r="J1541" s="1">
        <f>IF(COUNTIF($C$4:C1541,C1541)=1,1,0)</f>
        <v>1</v>
      </c>
      <c r="K1541" s="1">
        <f t="shared" ref="K1541:K1604" si="24">YEAR(D1541)</f>
        <v>2024</v>
      </c>
    </row>
    <row r="1542" spans="2:11" x14ac:dyDescent="0.45">
      <c r="B1542" s="1" t="s">
        <v>11</v>
      </c>
      <c r="C1542" s="1" t="s">
        <v>1545</v>
      </c>
      <c r="D1542" s="7">
        <v>44206</v>
      </c>
      <c r="E1542" s="7">
        <v>44207</v>
      </c>
      <c r="F1542" s="7">
        <v>44305</v>
      </c>
      <c r="G1542" s="1" t="s">
        <v>38</v>
      </c>
      <c r="H1542" s="8">
        <v>573133.82999999996</v>
      </c>
      <c r="I1542" s="8">
        <v>481530.32</v>
      </c>
      <c r="J1542" s="1">
        <f>IF(COUNTIF($C$4:C1542,C1542)=1,1,0)</f>
        <v>1</v>
      </c>
      <c r="K1542" s="1">
        <f t="shared" si="24"/>
        <v>2021</v>
      </c>
    </row>
    <row r="1543" spans="2:11" x14ac:dyDescent="0.45">
      <c r="B1543" s="1" t="s">
        <v>11</v>
      </c>
      <c r="C1543" s="1" t="s">
        <v>1546</v>
      </c>
      <c r="D1543" s="7">
        <v>43778</v>
      </c>
      <c r="E1543" s="7">
        <v>43795</v>
      </c>
      <c r="F1543" s="7">
        <v>43869</v>
      </c>
      <c r="G1543" s="1" t="s">
        <v>16</v>
      </c>
      <c r="H1543" s="8">
        <v>3262834.85</v>
      </c>
      <c r="I1543" s="8">
        <v>2269573.61</v>
      </c>
      <c r="J1543" s="1">
        <f>IF(COUNTIF($C$4:C1543,C1543)=1,1,0)</f>
        <v>1</v>
      </c>
      <c r="K1543" s="1">
        <f t="shared" si="24"/>
        <v>2019</v>
      </c>
    </row>
    <row r="1544" spans="2:11" x14ac:dyDescent="0.45">
      <c r="B1544" s="1" t="s">
        <v>11</v>
      </c>
      <c r="C1544" s="1" t="s">
        <v>1547</v>
      </c>
      <c r="D1544" s="7">
        <v>46195</v>
      </c>
      <c r="E1544" s="7">
        <v>46207</v>
      </c>
      <c r="F1544" s="7">
        <v>46238</v>
      </c>
      <c r="G1544" s="1" t="s">
        <v>13</v>
      </c>
      <c r="H1544" s="8">
        <v>643305.16</v>
      </c>
      <c r="I1544" s="8">
        <v>417584.31</v>
      </c>
      <c r="J1544" s="1">
        <f>IF(COUNTIF($C$4:C1544,C1544)=1,1,0)</f>
        <v>1</v>
      </c>
      <c r="K1544" s="1">
        <f t="shared" si="24"/>
        <v>2026</v>
      </c>
    </row>
    <row r="1545" spans="2:11" x14ac:dyDescent="0.45">
      <c r="B1545" s="1" t="s">
        <v>11</v>
      </c>
      <c r="C1545" s="1" t="s">
        <v>1548</v>
      </c>
      <c r="D1545" s="7">
        <v>45301</v>
      </c>
      <c r="E1545" s="7">
        <v>45309</v>
      </c>
      <c r="F1545" s="7">
        <v>45531</v>
      </c>
      <c r="G1545" s="1" t="s">
        <v>20</v>
      </c>
      <c r="H1545" s="8">
        <v>101534572.43000001</v>
      </c>
      <c r="I1545" s="8">
        <v>58196493.82</v>
      </c>
      <c r="J1545" s="1">
        <f>IF(COUNTIF($C$4:C1545,C1545)=1,1,0)</f>
        <v>1</v>
      </c>
      <c r="K1545" s="1">
        <f t="shared" si="24"/>
        <v>2024</v>
      </c>
    </row>
    <row r="1546" spans="2:11" x14ac:dyDescent="0.45">
      <c r="B1546" s="1" t="s">
        <v>11</v>
      </c>
      <c r="C1546" s="1" t="s">
        <v>1549</v>
      </c>
      <c r="D1546" s="7">
        <v>43949</v>
      </c>
      <c r="E1546" s="7">
        <v>43961</v>
      </c>
      <c r="F1546" s="7">
        <v>43985</v>
      </c>
      <c r="G1546" s="1" t="s">
        <v>22</v>
      </c>
      <c r="H1546" s="8">
        <v>1578730.55</v>
      </c>
      <c r="I1546" s="8">
        <v>899388.79</v>
      </c>
      <c r="J1546" s="1">
        <f>IF(COUNTIF($C$4:C1546,C1546)=1,1,0)</f>
        <v>1</v>
      </c>
      <c r="K1546" s="1">
        <f t="shared" si="24"/>
        <v>2020</v>
      </c>
    </row>
    <row r="1547" spans="2:11" x14ac:dyDescent="0.45">
      <c r="B1547" s="1" t="s">
        <v>11</v>
      </c>
      <c r="C1547" s="1" t="s">
        <v>1550</v>
      </c>
      <c r="D1547" s="7">
        <v>45197</v>
      </c>
      <c r="E1547" s="7">
        <v>45205</v>
      </c>
      <c r="F1547" s="7">
        <v>45429</v>
      </c>
      <c r="G1547" s="1" t="s">
        <v>20</v>
      </c>
      <c r="H1547" s="8">
        <v>81973844.629999995</v>
      </c>
      <c r="I1547" s="8">
        <v>42162946.979999997</v>
      </c>
      <c r="J1547" s="1">
        <f>IF(COUNTIF($C$4:C1547,C1547)=1,1,0)</f>
        <v>1</v>
      </c>
      <c r="K1547" s="1">
        <f t="shared" si="24"/>
        <v>2023</v>
      </c>
    </row>
    <row r="1548" spans="2:11" x14ac:dyDescent="0.45">
      <c r="B1548" s="1" t="s">
        <v>11</v>
      </c>
      <c r="C1548" s="1" t="s">
        <v>1551</v>
      </c>
      <c r="D1548" s="7">
        <v>43335</v>
      </c>
      <c r="E1548" s="7">
        <v>43352</v>
      </c>
      <c r="F1548" s="7">
        <v>43531</v>
      </c>
      <c r="G1548" s="1" t="s">
        <v>212</v>
      </c>
      <c r="H1548" s="8">
        <v>24027832.629999999</v>
      </c>
      <c r="I1548" s="8">
        <v>17304769.52</v>
      </c>
      <c r="J1548" s="1">
        <f>IF(COUNTIF($C$4:C1548,C1548)=1,1,0)</f>
        <v>1</v>
      </c>
      <c r="K1548" s="1">
        <f t="shared" si="24"/>
        <v>2018</v>
      </c>
    </row>
    <row r="1549" spans="2:11" x14ac:dyDescent="0.45">
      <c r="B1549" s="1" t="s">
        <v>11</v>
      </c>
      <c r="C1549" s="1" t="s">
        <v>1552</v>
      </c>
      <c r="D1549" s="7">
        <v>44870</v>
      </c>
      <c r="E1549" s="7">
        <v>44880</v>
      </c>
      <c r="F1549" s="7">
        <v>45019</v>
      </c>
      <c r="G1549" s="1" t="s">
        <v>41</v>
      </c>
      <c r="H1549" s="8">
        <v>89128.53</v>
      </c>
      <c r="I1549" s="8">
        <v>72470.570000000007</v>
      </c>
      <c r="J1549" s="1">
        <f>IF(COUNTIF($C$4:C1549,C1549)=1,1,0)</f>
        <v>1</v>
      </c>
      <c r="K1549" s="1">
        <f t="shared" si="24"/>
        <v>2022</v>
      </c>
    </row>
    <row r="1550" spans="2:11" x14ac:dyDescent="0.45">
      <c r="B1550" s="1" t="s">
        <v>11</v>
      </c>
      <c r="C1550" s="1" t="s">
        <v>1553</v>
      </c>
      <c r="D1550" s="7">
        <v>46098</v>
      </c>
      <c r="E1550" s="7">
        <v>46099</v>
      </c>
      <c r="F1550" s="7">
        <v>46167</v>
      </c>
      <c r="G1550" s="1" t="s">
        <v>16</v>
      </c>
      <c r="H1550" s="8">
        <v>3097042.39</v>
      </c>
      <c r="I1550" s="8">
        <v>1647322.91</v>
      </c>
      <c r="J1550" s="1">
        <f>IF(COUNTIF($C$4:C1550,C1550)=1,1,0)</f>
        <v>1</v>
      </c>
      <c r="K1550" s="1">
        <f t="shared" si="24"/>
        <v>2026</v>
      </c>
    </row>
    <row r="1551" spans="2:11" x14ac:dyDescent="0.45">
      <c r="B1551" s="1" t="s">
        <v>11</v>
      </c>
      <c r="C1551" s="1" t="s">
        <v>1554</v>
      </c>
      <c r="D1551" s="7">
        <v>45240</v>
      </c>
      <c r="E1551" s="7">
        <v>45256</v>
      </c>
      <c r="F1551" s="7">
        <v>45392</v>
      </c>
      <c r="G1551" s="1" t="s">
        <v>20</v>
      </c>
      <c r="H1551" s="8">
        <v>949690.68</v>
      </c>
      <c r="I1551" s="8">
        <v>621928.07999999996</v>
      </c>
      <c r="J1551" s="1">
        <f>IF(COUNTIF($C$4:C1551,C1551)=1,1,0)</f>
        <v>1</v>
      </c>
      <c r="K1551" s="1">
        <f t="shared" si="24"/>
        <v>2023</v>
      </c>
    </row>
    <row r="1552" spans="2:11" x14ac:dyDescent="0.45">
      <c r="B1552" s="1" t="s">
        <v>11</v>
      </c>
      <c r="C1552" s="1" t="s">
        <v>1555</v>
      </c>
      <c r="D1552" s="7">
        <v>46270</v>
      </c>
      <c r="E1552" s="7">
        <v>46284</v>
      </c>
      <c r="F1552" s="7">
        <v>46458</v>
      </c>
      <c r="G1552" s="1" t="s">
        <v>20</v>
      </c>
      <c r="H1552" s="8">
        <v>60058599.590000004</v>
      </c>
      <c r="I1552" s="8">
        <v>37624261.539999999</v>
      </c>
      <c r="J1552" s="1">
        <f>IF(COUNTIF($C$4:C1552,C1552)=1,1,0)</f>
        <v>1</v>
      </c>
      <c r="K1552" s="1">
        <f t="shared" si="24"/>
        <v>2026</v>
      </c>
    </row>
    <row r="1553" spans="2:11" x14ac:dyDescent="0.45">
      <c r="B1553" s="1" t="s">
        <v>11</v>
      </c>
      <c r="C1553" s="1" t="s">
        <v>1556</v>
      </c>
      <c r="D1553" s="7">
        <v>45636</v>
      </c>
      <c r="E1553" s="7">
        <v>45664</v>
      </c>
      <c r="F1553" s="7">
        <v>45827</v>
      </c>
      <c r="G1553" s="1" t="s">
        <v>20</v>
      </c>
      <c r="H1553" s="8">
        <v>74441014.670000002</v>
      </c>
      <c r="I1553" s="8">
        <v>40471277.990000002</v>
      </c>
      <c r="J1553" s="1">
        <f>IF(COUNTIF($C$4:C1553,C1553)=1,1,0)</f>
        <v>1</v>
      </c>
      <c r="K1553" s="1">
        <f t="shared" si="24"/>
        <v>2024</v>
      </c>
    </row>
    <row r="1554" spans="2:11" x14ac:dyDescent="0.45">
      <c r="B1554" s="1" t="s">
        <v>11</v>
      </c>
      <c r="C1554" s="1" t="s">
        <v>1557</v>
      </c>
      <c r="D1554" s="7">
        <v>45909</v>
      </c>
      <c r="E1554" s="7">
        <v>45909</v>
      </c>
      <c r="F1554" s="7">
        <v>46137</v>
      </c>
      <c r="G1554" s="1" t="s">
        <v>16</v>
      </c>
      <c r="H1554" s="8">
        <v>3577704.07</v>
      </c>
      <c r="I1554" s="8">
        <v>2417148.38</v>
      </c>
      <c r="J1554" s="1">
        <f>IF(COUNTIF($C$4:C1554,C1554)=1,1,0)</f>
        <v>1</v>
      </c>
      <c r="K1554" s="1">
        <f t="shared" si="24"/>
        <v>2025</v>
      </c>
    </row>
    <row r="1555" spans="2:11" x14ac:dyDescent="0.45">
      <c r="B1555" s="1" t="s">
        <v>11</v>
      </c>
      <c r="C1555" s="1" t="s">
        <v>1558</v>
      </c>
      <c r="D1555" s="7">
        <v>43282</v>
      </c>
      <c r="E1555" s="7">
        <v>43295</v>
      </c>
      <c r="F1555" s="7">
        <v>43503</v>
      </c>
      <c r="G1555" s="1" t="s">
        <v>16</v>
      </c>
      <c r="H1555" s="8">
        <v>7546756.8700000001</v>
      </c>
      <c r="I1555" s="8">
        <v>5118732.87</v>
      </c>
      <c r="J1555" s="1">
        <f>IF(COUNTIF($C$4:C1555,C1555)=1,1,0)</f>
        <v>1</v>
      </c>
      <c r="K1555" s="1">
        <f t="shared" si="24"/>
        <v>2018</v>
      </c>
    </row>
    <row r="1556" spans="2:11" x14ac:dyDescent="0.45">
      <c r="B1556" s="1" t="s">
        <v>11</v>
      </c>
      <c r="C1556" s="1" t="s">
        <v>1559</v>
      </c>
      <c r="D1556" s="7">
        <v>44712</v>
      </c>
      <c r="E1556" s="7">
        <v>44725</v>
      </c>
      <c r="F1556" s="7">
        <v>44835</v>
      </c>
      <c r="G1556" s="1" t="s">
        <v>22</v>
      </c>
      <c r="H1556" s="8">
        <v>1204260.83</v>
      </c>
      <c r="I1556" s="8">
        <v>498881.41</v>
      </c>
      <c r="J1556" s="1">
        <f>IF(COUNTIF($C$4:C1556,C1556)=1,1,0)</f>
        <v>1</v>
      </c>
      <c r="K1556" s="1">
        <f t="shared" si="24"/>
        <v>2022</v>
      </c>
    </row>
    <row r="1557" spans="2:11" x14ac:dyDescent="0.45">
      <c r="B1557" s="1" t="s">
        <v>11</v>
      </c>
      <c r="C1557" s="1" t="s">
        <v>1560</v>
      </c>
      <c r="D1557" s="7">
        <v>44395</v>
      </c>
      <c r="E1557" s="7">
        <v>44401</v>
      </c>
      <c r="F1557" s="7">
        <v>44637</v>
      </c>
      <c r="G1557" s="1" t="s">
        <v>20</v>
      </c>
      <c r="H1557" s="8">
        <v>494953.15</v>
      </c>
      <c r="I1557" s="8">
        <v>297963.36</v>
      </c>
      <c r="J1557" s="1">
        <f>IF(COUNTIF($C$4:C1557,C1557)=1,1,0)</f>
        <v>1</v>
      </c>
      <c r="K1557" s="1">
        <f t="shared" si="24"/>
        <v>2021</v>
      </c>
    </row>
    <row r="1558" spans="2:11" x14ac:dyDescent="0.45">
      <c r="B1558" s="1" t="s">
        <v>11</v>
      </c>
      <c r="C1558" s="1" t="s">
        <v>1561</v>
      </c>
      <c r="D1558" s="7">
        <v>44549</v>
      </c>
      <c r="E1558" s="7">
        <v>44579</v>
      </c>
      <c r="F1558" s="7">
        <v>44694</v>
      </c>
      <c r="G1558" s="1" t="s">
        <v>41</v>
      </c>
      <c r="H1558" s="8">
        <v>27714.34</v>
      </c>
      <c r="I1558" s="8">
        <v>20905.68</v>
      </c>
      <c r="J1558" s="1">
        <f>IF(COUNTIF($C$4:C1558,C1558)=1,1,0)</f>
        <v>1</v>
      </c>
      <c r="K1558" s="1">
        <f t="shared" si="24"/>
        <v>2021</v>
      </c>
    </row>
    <row r="1559" spans="2:11" x14ac:dyDescent="0.45">
      <c r="B1559" s="1" t="s">
        <v>11</v>
      </c>
      <c r="C1559" s="1" t="s">
        <v>1562</v>
      </c>
      <c r="D1559" s="7">
        <v>45770</v>
      </c>
      <c r="E1559" s="7">
        <v>45795</v>
      </c>
      <c r="F1559" s="7">
        <v>45968</v>
      </c>
      <c r="G1559" s="1" t="s">
        <v>16</v>
      </c>
      <c r="H1559" s="8">
        <v>4527719.8499999996</v>
      </c>
      <c r="I1559" s="8">
        <v>2875253.61</v>
      </c>
      <c r="J1559" s="1">
        <f>IF(COUNTIF($C$4:C1559,C1559)=1,1,0)</f>
        <v>1</v>
      </c>
      <c r="K1559" s="1">
        <f t="shared" si="24"/>
        <v>2025</v>
      </c>
    </row>
    <row r="1560" spans="2:11" x14ac:dyDescent="0.45">
      <c r="B1560" s="1" t="s">
        <v>11</v>
      </c>
      <c r="C1560" s="1" t="s">
        <v>1563</v>
      </c>
      <c r="D1560" s="7">
        <v>44730</v>
      </c>
      <c r="E1560" s="7">
        <v>44731</v>
      </c>
      <c r="F1560" s="7">
        <v>44967</v>
      </c>
      <c r="G1560" s="1" t="s">
        <v>38</v>
      </c>
      <c r="H1560" s="8">
        <v>485344.49</v>
      </c>
      <c r="I1560" s="8">
        <v>377752.45</v>
      </c>
      <c r="J1560" s="1">
        <f>IF(COUNTIF($C$4:C1560,C1560)=1,1,0)</f>
        <v>1</v>
      </c>
      <c r="K1560" s="1">
        <f t="shared" si="24"/>
        <v>2022</v>
      </c>
    </row>
    <row r="1561" spans="2:11" x14ac:dyDescent="0.45">
      <c r="B1561" s="1" t="s">
        <v>11</v>
      </c>
      <c r="C1561" s="1" t="s">
        <v>1564</v>
      </c>
      <c r="D1561" s="7">
        <v>45274</v>
      </c>
      <c r="E1561" s="7">
        <v>45287</v>
      </c>
      <c r="F1561" s="7">
        <v>45324</v>
      </c>
      <c r="G1561" s="1" t="s">
        <v>13</v>
      </c>
      <c r="H1561" s="8">
        <v>365192.77</v>
      </c>
      <c r="I1561" s="8">
        <v>309208.01</v>
      </c>
      <c r="J1561" s="1">
        <f>IF(COUNTIF($C$4:C1561,C1561)=1,1,0)</f>
        <v>1</v>
      </c>
      <c r="K1561" s="1">
        <f t="shared" si="24"/>
        <v>2023</v>
      </c>
    </row>
    <row r="1562" spans="2:11" x14ac:dyDescent="0.45">
      <c r="B1562" s="1" t="s">
        <v>11</v>
      </c>
      <c r="C1562" s="1" t="s">
        <v>1565</v>
      </c>
      <c r="D1562" s="7">
        <v>43871</v>
      </c>
      <c r="E1562" s="7">
        <v>43873</v>
      </c>
      <c r="F1562" s="7">
        <v>44030</v>
      </c>
      <c r="G1562" s="1" t="s">
        <v>20</v>
      </c>
      <c r="H1562" s="8">
        <v>276465.48</v>
      </c>
      <c r="I1562" s="8">
        <v>182962.44</v>
      </c>
      <c r="J1562" s="1">
        <f>IF(COUNTIF($C$4:C1562,C1562)=1,1,0)</f>
        <v>1</v>
      </c>
      <c r="K1562" s="1">
        <f t="shared" si="24"/>
        <v>2020</v>
      </c>
    </row>
    <row r="1563" spans="2:11" x14ac:dyDescent="0.45">
      <c r="B1563" s="1" t="s">
        <v>11</v>
      </c>
      <c r="C1563" s="1" t="s">
        <v>1566</v>
      </c>
      <c r="D1563" s="7">
        <v>45312</v>
      </c>
      <c r="E1563" s="7">
        <v>45315</v>
      </c>
      <c r="F1563" s="7">
        <v>45548</v>
      </c>
      <c r="G1563" s="1" t="s">
        <v>22</v>
      </c>
      <c r="H1563" s="8">
        <v>40368329.600000001</v>
      </c>
      <c r="I1563" s="8">
        <v>17047779.859999999</v>
      </c>
      <c r="J1563" s="1">
        <f>IF(COUNTIF($C$4:C1563,C1563)=1,1,0)</f>
        <v>1</v>
      </c>
      <c r="K1563" s="1">
        <f t="shared" si="24"/>
        <v>2024</v>
      </c>
    </row>
    <row r="1564" spans="2:11" x14ac:dyDescent="0.45">
      <c r="B1564" s="1" t="s">
        <v>11</v>
      </c>
      <c r="C1564" s="1" t="s">
        <v>1567</v>
      </c>
      <c r="D1564" s="7">
        <v>45254</v>
      </c>
      <c r="E1564" s="7">
        <v>45272</v>
      </c>
      <c r="F1564" s="7">
        <v>45491</v>
      </c>
      <c r="G1564" s="1" t="s">
        <v>22</v>
      </c>
      <c r="H1564" s="8">
        <v>24152858.469999999</v>
      </c>
      <c r="I1564" s="8">
        <v>10058500.369999999</v>
      </c>
      <c r="J1564" s="1">
        <f>IF(COUNTIF($C$4:C1564,C1564)=1,1,0)</f>
        <v>1</v>
      </c>
      <c r="K1564" s="1">
        <f t="shared" si="24"/>
        <v>2023</v>
      </c>
    </row>
    <row r="1565" spans="2:11" x14ac:dyDescent="0.45">
      <c r="B1565" s="1" t="s">
        <v>11</v>
      </c>
      <c r="C1565" s="1" t="s">
        <v>1568</v>
      </c>
      <c r="D1565" s="7">
        <v>44190</v>
      </c>
      <c r="E1565" s="7">
        <v>44205</v>
      </c>
      <c r="F1565" s="7">
        <v>44412</v>
      </c>
      <c r="G1565" s="1" t="s">
        <v>41</v>
      </c>
      <c r="H1565" s="8">
        <v>148942.20000000001</v>
      </c>
      <c r="I1565" s="8">
        <v>127782.17</v>
      </c>
      <c r="J1565" s="1">
        <f>IF(COUNTIF($C$4:C1565,C1565)=1,1,0)</f>
        <v>1</v>
      </c>
      <c r="K1565" s="1">
        <f t="shared" si="24"/>
        <v>2020</v>
      </c>
    </row>
    <row r="1566" spans="2:11" x14ac:dyDescent="0.45">
      <c r="B1566" s="1" t="s">
        <v>11</v>
      </c>
      <c r="C1566" s="1" t="s">
        <v>1569</v>
      </c>
      <c r="D1566" s="7">
        <v>46095</v>
      </c>
      <c r="E1566" s="7">
        <v>46123</v>
      </c>
      <c r="F1566" s="7">
        <v>46319</v>
      </c>
      <c r="G1566" s="1" t="s">
        <v>38</v>
      </c>
      <c r="H1566" s="8">
        <v>687211.79</v>
      </c>
      <c r="I1566" s="8">
        <v>454137.66</v>
      </c>
      <c r="J1566" s="1">
        <f>IF(COUNTIF($C$4:C1566,C1566)=1,1,0)</f>
        <v>1</v>
      </c>
      <c r="K1566" s="1">
        <f t="shared" si="24"/>
        <v>2026</v>
      </c>
    </row>
    <row r="1567" spans="2:11" x14ac:dyDescent="0.45">
      <c r="B1567" s="1" t="s">
        <v>11</v>
      </c>
      <c r="C1567" s="1" t="s">
        <v>1570</v>
      </c>
      <c r="D1567" s="7">
        <v>46144</v>
      </c>
      <c r="E1567" s="7">
        <v>46168</v>
      </c>
      <c r="F1567" s="7">
        <v>46260</v>
      </c>
      <c r="G1567" s="1" t="s">
        <v>20</v>
      </c>
      <c r="H1567" s="8">
        <v>700737.07</v>
      </c>
      <c r="I1567" s="8">
        <v>445333.11</v>
      </c>
      <c r="J1567" s="1">
        <f>IF(COUNTIF($C$4:C1567,C1567)=1,1,0)</f>
        <v>1</v>
      </c>
      <c r="K1567" s="1">
        <f t="shared" si="24"/>
        <v>2026</v>
      </c>
    </row>
    <row r="1568" spans="2:11" x14ac:dyDescent="0.45">
      <c r="B1568" s="1" t="s">
        <v>11</v>
      </c>
      <c r="C1568" s="1" t="s">
        <v>1571</v>
      </c>
      <c r="D1568" s="7">
        <v>45061</v>
      </c>
      <c r="E1568" s="7">
        <v>45066</v>
      </c>
      <c r="F1568" s="7">
        <v>45089</v>
      </c>
      <c r="G1568" s="1" t="s">
        <v>13</v>
      </c>
      <c r="H1568" s="8">
        <v>129896.62</v>
      </c>
      <c r="I1568" s="8">
        <v>92157.49</v>
      </c>
      <c r="J1568" s="1">
        <f>IF(COUNTIF($C$4:C1568,C1568)=1,1,0)</f>
        <v>1</v>
      </c>
      <c r="K1568" s="1">
        <f t="shared" si="24"/>
        <v>2023</v>
      </c>
    </row>
    <row r="1569" spans="2:11" x14ac:dyDescent="0.45">
      <c r="B1569" s="1" t="s">
        <v>11</v>
      </c>
      <c r="C1569" s="1" t="s">
        <v>1572</v>
      </c>
      <c r="D1569" s="7">
        <v>43687</v>
      </c>
      <c r="E1569" s="7">
        <v>43712</v>
      </c>
      <c r="F1569" s="7">
        <v>43771</v>
      </c>
      <c r="G1569" s="1" t="s">
        <v>20</v>
      </c>
      <c r="H1569" s="8">
        <v>737992.3</v>
      </c>
      <c r="I1569" s="8">
        <v>531955.29</v>
      </c>
      <c r="J1569" s="1">
        <f>IF(COUNTIF($C$4:C1569,C1569)=1,1,0)</f>
        <v>1</v>
      </c>
      <c r="K1569" s="1">
        <f t="shared" si="24"/>
        <v>2019</v>
      </c>
    </row>
    <row r="1570" spans="2:11" x14ac:dyDescent="0.45">
      <c r="B1570" s="1" t="s">
        <v>11</v>
      </c>
      <c r="C1570" s="1" t="s">
        <v>1573</v>
      </c>
      <c r="D1570" s="7">
        <v>44732</v>
      </c>
      <c r="E1570" s="7">
        <v>44736</v>
      </c>
      <c r="F1570" s="7">
        <v>44857</v>
      </c>
      <c r="G1570" s="1" t="s">
        <v>38</v>
      </c>
      <c r="H1570" s="8">
        <v>1877919.85</v>
      </c>
      <c r="I1570" s="8">
        <v>1454782.89</v>
      </c>
      <c r="J1570" s="1">
        <f>IF(COUNTIF($C$4:C1570,C1570)=1,1,0)</f>
        <v>1</v>
      </c>
      <c r="K1570" s="1">
        <f t="shared" si="24"/>
        <v>2022</v>
      </c>
    </row>
    <row r="1571" spans="2:11" x14ac:dyDescent="0.45">
      <c r="B1571" s="1" t="s">
        <v>11</v>
      </c>
      <c r="C1571" s="1" t="s">
        <v>1574</v>
      </c>
      <c r="D1571" s="7">
        <v>45017</v>
      </c>
      <c r="E1571" s="7">
        <v>45018</v>
      </c>
      <c r="F1571" s="7">
        <v>45117</v>
      </c>
      <c r="G1571" s="1" t="s">
        <v>22</v>
      </c>
      <c r="H1571" s="8">
        <v>8660443.9000000004</v>
      </c>
      <c r="I1571" s="8">
        <v>3864771.49</v>
      </c>
      <c r="J1571" s="1">
        <f>IF(COUNTIF($C$4:C1571,C1571)=1,1,0)</f>
        <v>1</v>
      </c>
      <c r="K1571" s="1">
        <f t="shared" si="24"/>
        <v>2023</v>
      </c>
    </row>
    <row r="1572" spans="2:11" x14ac:dyDescent="0.45">
      <c r="B1572" s="1" t="s">
        <v>11</v>
      </c>
      <c r="C1572" s="1" t="s">
        <v>1575</v>
      </c>
      <c r="D1572" s="7">
        <v>43234</v>
      </c>
      <c r="E1572" s="7">
        <v>43236</v>
      </c>
      <c r="F1572" s="7">
        <v>43271</v>
      </c>
      <c r="G1572" s="1" t="s">
        <v>41</v>
      </c>
      <c r="H1572" s="8">
        <v>567599.16</v>
      </c>
      <c r="I1572" s="8">
        <v>446683.92</v>
      </c>
      <c r="J1572" s="1">
        <f>IF(COUNTIF($C$4:C1572,C1572)=1,1,0)</f>
        <v>1</v>
      </c>
      <c r="K1572" s="1">
        <f t="shared" si="24"/>
        <v>2018</v>
      </c>
    </row>
    <row r="1573" spans="2:11" x14ac:dyDescent="0.45">
      <c r="B1573" s="1" t="s">
        <v>11</v>
      </c>
      <c r="C1573" s="1" t="s">
        <v>1576</v>
      </c>
      <c r="D1573" s="7">
        <v>44061</v>
      </c>
      <c r="E1573" s="7">
        <v>44080</v>
      </c>
      <c r="F1573" s="7">
        <v>44281</v>
      </c>
      <c r="G1573" s="1" t="s">
        <v>22</v>
      </c>
      <c r="H1573" s="8">
        <v>74396311.549999997</v>
      </c>
      <c r="I1573" s="8">
        <v>43441881.68</v>
      </c>
      <c r="J1573" s="1">
        <f>IF(COUNTIF($C$4:C1573,C1573)=1,1,0)</f>
        <v>1</v>
      </c>
      <c r="K1573" s="1">
        <f t="shared" si="24"/>
        <v>2020</v>
      </c>
    </row>
    <row r="1574" spans="2:11" x14ac:dyDescent="0.45">
      <c r="B1574" s="1" t="s">
        <v>11</v>
      </c>
      <c r="C1574" s="1" t="s">
        <v>1577</v>
      </c>
      <c r="D1574" s="7">
        <v>43707</v>
      </c>
      <c r="E1574" s="7">
        <v>43715</v>
      </c>
      <c r="F1574" s="7">
        <v>43733</v>
      </c>
      <c r="G1574" s="1" t="s">
        <v>22</v>
      </c>
      <c r="H1574" s="8">
        <v>14370962.25</v>
      </c>
      <c r="I1574" s="8">
        <v>10690428.140000001</v>
      </c>
      <c r="J1574" s="1">
        <f>IF(COUNTIF($C$4:C1574,C1574)=1,1,0)</f>
        <v>1</v>
      </c>
      <c r="K1574" s="1">
        <f t="shared" si="24"/>
        <v>2019</v>
      </c>
    </row>
    <row r="1575" spans="2:11" x14ac:dyDescent="0.45">
      <c r="B1575" s="1" t="s">
        <v>11</v>
      </c>
      <c r="C1575" s="1" t="s">
        <v>1578</v>
      </c>
      <c r="D1575" s="7">
        <v>45735</v>
      </c>
      <c r="E1575" s="7">
        <v>45742</v>
      </c>
      <c r="F1575" s="7">
        <v>45903</v>
      </c>
      <c r="G1575" s="1" t="s">
        <v>38</v>
      </c>
      <c r="H1575" s="8">
        <v>263305.90000000002</v>
      </c>
      <c r="I1575" s="8">
        <v>186336.01</v>
      </c>
      <c r="J1575" s="1">
        <f>IF(COUNTIF($C$4:C1575,C1575)=1,1,0)</f>
        <v>1</v>
      </c>
      <c r="K1575" s="1">
        <f t="shared" si="24"/>
        <v>2025</v>
      </c>
    </row>
    <row r="1576" spans="2:11" x14ac:dyDescent="0.45">
      <c r="B1576" s="1" t="s">
        <v>11</v>
      </c>
      <c r="C1576" s="1" t="s">
        <v>1579</v>
      </c>
      <c r="D1576" s="7">
        <v>44451</v>
      </c>
      <c r="E1576" s="7">
        <v>44461</v>
      </c>
      <c r="F1576" s="7">
        <v>44516</v>
      </c>
      <c r="G1576" s="1" t="s">
        <v>38</v>
      </c>
      <c r="H1576" s="8">
        <v>107882.05</v>
      </c>
      <c r="I1576" s="8">
        <v>85112.14</v>
      </c>
      <c r="J1576" s="1">
        <f>IF(COUNTIF($C$4:C1576,C1576)=1,1,0)</f>
        <v>1</v>
      </c>
      <c r="K1576" s="1">
        <f t="shared" si="24"/>
        <v>2021</v>
      </c>
    </row>
    <row r="1577" spans="2:11" x14ac:dyDescent="0.45">
      <c r="B1577" s="1" t="s">
        <v>11</v>
      </c>
      <c r="C1577" s="1" t="s">
        <v>1580</v>
      </c>
      <c r="D1577" s="7">
        <v>45526</v>
      </c>
      <c r="E1577" s="7">
        <v>45556</v>
      </c>
      <c r="F1577" s="7">
        <v>45638</v>
      </c>
      <c r="G1577" s="1" t="s">
        <v>16</v>
      </c>
      <c r="H1577" s="8">
        <v>4038247.37</v>
      </c>
      <c r="I1577" s="8">
        <v>3282505.13</v>
      </c>
      <c r="J1577" s="1">
        <f>IF(COUNTIF($C$4:C1577,C1577)=1,1,0)</f>
        <v>1</v>
      </c>
      <c r="K1577" s="1">
        <f t="shared" si="24"/>
        <v>2024</v>
      </c>
    </row>
    <row r="1578" spans="2:11" x14ac:dyDescent="0.45">
      <c r="B1578" s="1" t="s">
        <v>11</v>
      </c>
      <c r="C1578" s="1" t="s">
        <v>1581</v>
      </c>
      <c r="D1578" s="7">
        <v>45060</v>
      </c>
      <c r="E1578" s="7">
        <v>45086</v>
      </c>
      <c r="F1578" s="7">
        <v>45233</v>
      </c>
      <c r="G1578" s="1" t="s">
        <v>13</v>
      </c>
      <c r="H1578" s="8">
        <v>172599.73</v>
      </c>
      <c r="I1578" s="8">
        <v>143712.44</v>
      </c>
      <c r="J1578" s="1">
        <f>IF(COUNTIF($C$4:C1578,C1578)=1,1,0)</f>
        <v>1</v>
      </c>
      <c r="K1578" s="1">
        <f t="shared" si="24"/>
        <v>2023</v>
      </c>
    </row>
    <row r="1579" spans="2:11" x14ac:dyDescent="0.45">
      <c r="B1579" s="1" t="s">
        <v>11</v>
      </c>
      <c r="C1579" s="1" t="s">
        <v>1582</v>
      </c>
      <c r="D1579" s="7">
        <v>43850</v>
      </c>
      <c r="E1579" s="7">
        <v>43878</v>
      </c>
      <c r="F1579" s="7">
        <v>43919</v>
      </c>
      <c r="G1579" s="1" t="s">
        <v>41</v>
      </c>
      <c r="H1579" s="8">
        <v>203666.76</v>
      </c>
      <c r="I1579" s="8">
        <v>153018.91</v>
      </c>
      <c r="J1579" s="1">
        <f>IF(COUNTIF($C$4:C1579,C1579)=1,1,0)</f>
        <v>1</v>
      </c>
      <c r="K1579" s="1">
        <f t="shared" si="24"/>
        <v>2020</v>
      </c>
    </row>
    <row r="1580" spans="2:11" x14ac:dyDescent="0.45">
      <c r="B1580" s="1" t="s">
        <v>11</v>
      </c>
      <c r="C1580" s="1" t="s">
        <v>1583</v>
      </c>
      <c r="D1580" s="7">
        <v>44507</v>
      </c>
      <c r="E1580" s="7">
        <v>44522</v>
      </c>
      <c r="F1580" s="7">
        <v>44531</v>
      </c>
      <c r="G1580" s="1" t="s">
        <v>212</v>
      </c>
      <c r="H1580" s="8">
        <v>35466212.600000001</v>
      </c>
      <c r="I1580" s="8">
        <v>21096521.91</v>
      </c>
      <c r="J1580" s="1">
        <f>IF(COUNTIF($C$4:C1580,C1580)=1,1,0)</f>
        <v>1</v>
      </c>
      <c r="K1580" s="1">
        <f t="shared" si="24"/>
        <v>2021</v>
      </c>
    </row>
    <row r="1581" spans="2:11" x14ac:dyDescent="0.45">
      <c r="B1581" s="1" t="s">
        <v>11</v>
      </c>
      <c r="C1581" s="1" t="s">
        <v>1584</v>
      </c>
      <c r="D1581" s="7">
        <v>44646</v>
      </c>
      <c r="E1581" s="7">
        <v>44648</v>
      </c>
      <c r="F1581" s="7">
        <v>44861</v>
      </c>
      <c r="G1581" s="1" t="s">
        <v>212</v>
      </c>
      <c r="H1581" s="8">
        <v>12231693.35</v>
      </c>
      <c r="I1581" s="8">
        <v>6791590.3099999996</v>
      </c>
      <c r="J1581" s="1">
        <f>IF(COUNTIF($C$4:C1581,C1581)=1,1,0)</f>
        <v>1</v>
      </c>
      <c r="K1581" s="1">
        <f t="shared" si="24"/>
        <v>2022</v>
      </c>
    </row>
    <row r="1582" spans="2:11" x14ac:dyDescent="0.45">
      <c r="B1582" s="1" t="s">
        <v>11</v>
      </c>
      <c r="C1582" s="1" t="s">
        <v>1585</v>
      </c>
      <c r="D1582" s="7">
        <v>45313</v>
      </c>
      <c r="E1582" s="7">
        <v>45313</v>
      </c>
      <c r="F1582" s="7">
        <v>45551</v>
      </c>
      <c r="G1582" s="1" t="s">
        <v>20</v>
      </c>
      <c r="H1582" s="8">
        <v>1369219.76</v>
      </c>
      <c r="I1582" s="8">
        <v>846008.58</v>
      </c>
      <c r="J1582" s="1">
        <f>IF(COUNTIF($C$4:C1582,C1582)=1,1,0)</f>
        <v>1</v>
      </c>
      <c r="K1582" s="1">
        <f t="shared" si="24"/>
        <v>2024</v>
      </c>
    </row>
    <row r="1583" spans="2:11" x14ac:dyDescent="0.45">
      <c r="B1583" s="1" t="s">
        <v>11</v>
      </c>
      <c r="C1583" s="1" t="s">
        <v>1586</v>
      </c>
      <c r="D1583" s="7">
        <v>45263</v>
      </c>
      <c r="E1583" s="7">
        <v>45281</v>
      </c>
      <c r="F1583" s="7">
        <v>45308</v>
      </c>
      <c r="G1583" s="1" t="s">
        <v>20</v>
      </c>
      <c r="H1583" s="8">
        <v>202873.5</v>
      </c>
      <c r="I1583" s="8">
        <v>121553.88</v>
      </c>
      <c r="J1583" s="1">
        <f>IF(COUNTIF($C$4:C1583,C1583)=1,1,0)</f>
        <v>1</v>
      </c>
      <c r="K1583" s="1">
        <f t="shared" si="24"/>
        <v>2023</v>
      </c>
    </row>
    <row r="1584" spans="2:11" x14ac:dyDescent="0.45">
      <c r="B1584" s="1" t="s">
        <v>11</v>
      </c>
      <c r="C1584" s="1" t="s">
        <v>1587</v>
      </c>
      <c r="D1584" s="7">
        <v>45434</v>
      </c>
      <c r="E1584" s="7">
        <v>45452</v>
      </c>
      <c r="F1584" s="7">
        <v>45670</v>
      </c>
      <c r="G1584" s="1" t="s">
        <v>20</v>
      </c>
      <c r="H1584" s="8">
        <v>1720629.82</v>
      </c>
      <c r="I1584" s="8">
        <v>1385867.05</v>
      </c>
      <c r="J1584" s="1">
        <f>IF(COUNTIF($C$4:C1584,C1584)=1,1,0)</f>
        <v>1</v>
      </c>
      <c r="K1584" s="1">
        <f t="shared" si="24"/>
        <v>2024</v>
      </c>
    </row>
    <row r="1585" spans="2:11" x14ac:dyDescent="0.45">
      <c r="B1585" s="1" t="s">
        <v>11</v>
      </c>
      <c r="C1585" s="1" t="s">
        <v>1588</v>
      </c>
      <c r="D1585" s="7">
        <v>45956</v>
      </c>
      <c r="E1585" s="7">
        <v>45966</v>
      </c>
      <c r="F1585" s="7">
        <v>46146</v>
      </c>
      <c r="G1585" s="1" t="s">
        <v>41</v>
      </c>
      <c r="H1585" s="8">
        <v>139647.15</v>
      </c>
      <c r="I1585" s="8">
        <v>107781.68</v>
      </c>
      <c r="J1585" s="1">
        <f>IF(COUNTIF($C$4:C1585,C1585)=1,1,0)</f>
        <v>1</v>
      </c>
      <c r="K1585" s="1">
        <f t="shared" si="24"/>
        <v>2025</v>
      </c>
    </row>
    <row r="1586" spans="2:11" x14ac:dyDescent="0.45">
      <c r="B1586" s="1" t="s">
        <v>11</v>
      </c>
      <c r="C1586" s="1" t="s">
        <v>1589</v>
      </c>
      <c r="D1586" s="7">
        <v>44897</v>
      </c>
      <c r="E1586" s="7">
        <v>44902</v>
      </c>
      <c r="F1586" s="7">
        <v>45032</v>
      </c>
      <c r="G1586" s="1" t="s">
        <v>212</v>
      </c>
      <c r="H1586" s="8">
        <v>89001182.25</v>
      </c>
      <c r="I1586" s="8">
        <v>37652641.350000001</v>
      </c>
      <c r="J1586" s="1">
        <f>IF(COUNTIF($C$4:C1586,C1586)=1,1,0)</f>
        <v>1</v>
      </c>
      <c r="K1586" s="1">
        <f t="shared" si="24"/>
        <v>2022</v>
      </c>
    </row>
    <row r="1587" spans="2:11" x14ac:dyDescent="0.45">
      <c r="B1587" s="1" t="s">
        <v>11</v>
      </c>
      <c r="C1587" s="1" t="s">
        <v>1590</v>
      </c>
      <c r="D1587" s="7">
        <v>45138</v>
      </c>
      <c r="E1587" s="7">
        <v>45156</v>
      </c>
      <c r="F1587" s="7">
        <v>45236</v>
      </c>
      <c r="G1587" s="1" t="s">
        <v>20</v>
      </c>
      <c r="H1587" s="8">
        <v>1146076.8500000001</v>
      </c>
      <c r="I1587" s="8">
        <v>746537.91</v>
      </c>
      <c r="J1587" s="1">
        <f>IF(COUNTIF($C$4:C1587,C1587)=1,1,0)</f>
        <v>1</v>
      </c>
      <c r="K1587" s="1">
        <f t="shared" si="24"/>
        <v>2023</v>
      </c>
    </row>
    <row r="1588" spans="2:11" x14ac:dyDescent="0.45">
      <c r="B1588" s="1" t="s">
        <v>11</v>
      </c>
      <c r="C1588" s="1" t="s">
        <v>1591</v>
      </c>
      <c r="D1588" s="7">
        <v>44700</v>
      </c>
      <c r="E1588" s="7">
        <v>44700</v>
      </c>
      <c r="F1588" s="7">
        <v>44832</v>
      </c>
      <c r="G1588" s="1" t="s">
        <v>41</v>
      </c>
      <c r="H1588" s="8">
        <v>935686.46</v>
      </c>
      <c r="I1588" s="8">
        <v>753627.04</v>
      </c>
      <c r="J1588" s="1">
        <f>IF(COUNTIF($C$4:C1588,C1588)=1,1,0)</f>
        <v>1</v>
      </c>
      <c r="K1588" s="1">
        <f t="shared" si="24"/>
        <v>2022</v>
      </c>
    </row>
    <row r="1589" spans="2:11" x14ac:dyDescent="0.45">
      <c r="B1589" s="1" t="s">
        <v>11</v>
      </c>
      <c r="C1589" s="1" t="s">
        <v>1592</v>
      </c>
      <c r="D1589" s="7">
        <v>45634</v>
      </c>
      <c r="E1589" s="7">
        <v>45638</v>
      </c>
      <c r="F1589" s="7">
        <v>45669</v>
      </c>
      <c r="G1589" s="1" t="s">
        <v>16</v>
      </c>
      <c r="H1589" s="8">
        <v>1573762.09</v>
      </c>
      <c r="I1589" s="8">
        <v>1102812.54</v>
      </c>
      <c r="J1589" s="1">
        <f>IF(COUNTIF($C$4:C1589,C1589)=1,1,0)</f>
        <v>1</v>
      </c>
      <c r="K1589" s="1">
        <f t="shared" si="24"/>
        <v>2024</v>
      </c>
    </row>
    <row r="1590" spans="2:11" x14ac:dyDescent="0.45">
      <c r="B1590" s="1" t="s">
        <v>11</v>
      </c>
      <c r="C1590" s="1" t="s">
        <v>1593</v>
      </c>
      <c r="D1590" s="7">
        <v>43435</v>
      </c>
      <c r="E1590" s="7">
        <v>43453</v>
      </c>
      <c r="F1590" s="7">
        <v>43612</v>
      </c>
      <c r="G1590" s="1" t="s">
        <v>13</v>
      </c>
      <c r="H1590" s="8">
        <v>188339.66</v>
      </c>
      <c r="I1590" s="8">
        <v>164812.29</v>
      </c>
      <c r="J1590" s="1">
        <f>IF(COUNTIF($C$4:C1590,C1590)=1,1,0)</f>
        <v>1</v>
      </c>
      <c r="K1590" s="1">
        <f t="shared" si="24"/>
        <v>2018</v>
      </c>
    </row>
    <row r="1591" spans="2:11" x14ac:dyDescent="0.45">
      <c r="B1591" s="1" t="s">
        <v>11</v>
      </c>
      <c r="C1591" s="1" t="s">
        <v>1594</v>
      </c>
      <c r="D1591" s="7">
        <v>44787</v>
      </c>
      <c r="E1591" s="7">
        <v>44814</v>
      </c>
      <c r="F1591" s="7">
        <v>45051</v>
      </c>
      <c r="G1591" s="1" t="s">
        <v>38</v>
      </c>
      <c r="H1591" s="8">
        <v>358843.73</v>
      </c>
      <c r="I1591" s="8">
        <v>272645.73</v>
      </c>
      <c r="J1591" s="1">
        <f>IF(COUNTIF($C$4:C1591,C1591)=1,1,0)</f>
        <v>1</v>
      </c>
      <c r="K1591" s="1">
        <f t="shared" si="24"/>
        <v>2022</v>
      </c>
    </row>
    <row r="1592" spans="2:11" x14ac:dyDescent="0.45">
      <c r="B1592" s="1" t="s">
        <v>11</v>
      </c>
      <c r="C1592" s="1" t="s">
        <v>1595</v>
      </c>
      <c r="D1592" s="7">
        <v>45491</v>
      </c>
      <c r="E1592" s="7">
        <v>45518</v>
      </c>
      <c r="F1592" s="7">
        <v>45558</v>
      </c>
      <c r="G1592" s="1" t="s">
        <v>20</v>
      </c>
      <c r="H1592" s="8">
        <v>1639333.05</v>
      </c>
      <c r="I1592" s="8">
        <v>1006064.71</v>
      </c>
      <c r="J1592" s="1">
        <f>IF(COUNTIF($C$4:C1592,C1592)=1,1,0)</f>
        <v>1</v>
      </c>
      <c r="K1592" s="1">
        <f t="shared" si="24"/>
        <v>2024</v>
      </c>
    </row>
    <row r="1593" spans="2:11" x14ac:dyDescent="0.45">
      <c r="B1593" s="1" t="s">
        <v>11</v>
      </c>
      <c r="C1593" s="1" t="s">
        <v>1596</v>
      </c>
      <c r="D1593" s="7">
        <v>44666</v>
      </c>
      <c r="E1593" s="7">
        <v>44671</v>
      </c>
      <c r="F1593" s="7">
        <v>44861</v>
      </c>
      <c r="G1593" s="1" t="s">
        <v>13</v>
      </c>
      <c r="H1593" s="8">
        <v>452811.77</v>
      </c>
      <c r="I1593" s="8">
        <v>313819.90999999997</v>
      </c>
      <c r="J1593" s="1">
        <f>IF(COUNTIF($C$4:C1593,C1593)=1,1,0)</f>
        <v>1</v>
      </c>
      <c r="K1593" s="1">
        <f t="shared" si="24"/>
        <v>2022</v>
      </c>
    </row>
    <row r="1594" spans="2:11" x14ac:dyDescent="0.45">
      <c r="B1594" s="1" t="s">
        <v>11</v>
      </c>
      <c r="C1594" s="1" t="s">
        <v>1597</v>
      </c>
      <c r="D1594" s="7">
        <v>45548</v>
      </c>
      <c r="E1594" s="7">
        <v>45573</v>
      </c>
      <c r="F1594" s="7">
        <v>45582</v>
      </c>
      <c r="G1594" s="1" t="s">
        <v>22</v>
      </c>
      <c r="H1594" s="8">
        <v>7371572.7400000002</v>
      </c>
      <c r="I1594" s="8">
        <v>3295596.33</v>
      </c>
      <c r="J1594" s="1">
        <f>IF(COUNTIF($C$4:C1594,C1594)=1,1,0)</f>
        <v>1</v>
      </c>
      <c r="K1594" s="1">
        <f t="shared" si="24"/>
        <v>2024</v>
      </c>
    </row>
    <row r="1595" spans="2:11" x14ac:dyDescent="0.45">
      <c r="B1595" s="1" t="s">
        <v>11</v>
      </c>
      <c r="C1595" s="1" t="s">
        <v>1598</v>
      </c>
      <c r="D1595" s="7">
        <v>44855</v>
      </c>
      <c r="E1595" s="7">
        <v>44883</v>
      </c>
      <c r="F1595" s="7">
        <v>45031</v>
      </c>
      <c r="G1595" s="1" t="s">
        <v>20</v>
      </c>
      <c r="H1595" s="8">
        <v>1743064.63</v>
      </c>
      <c r="I1595" s="8">
        <v>947004.56</v>
      </c>
      <c r="J1595" s="1">
        <f>IF(COUNTIF($C$4:C1595,C1595)=1,1,0)</f>
        <v>1</v>
      </c>
      <c r="K1595" s="1">
        <f t="shared" si="24"/>
        <v>2022</v>
      </c>
    </row>
    <row r="1596" spans="2:11" x14ac:dyDescent="0.45">
      <c r="B1596" s="1" t="s">
        <v>11</v>
      </c>
      <c r="C1596" s="1" t="s">
        <v>1599</v>
      </c>
      <c r="D1596" s="7">
        <v>46042</v>
      </c>
      <c r="E1596" s="7">
        <v>46069</v>
      </c>
      <c r="F1596" s="7">
        <v>46145</v>
      </c>
      <c r="G1596" s="1" t="s">
        <v>22</v>
      </c>
      <c r="H1596" s="8">
        <v>48287042.939999998</v>
      </c>
      <c r="I1596" s="8">
        <v>21661209.399999999</v>
      </c>
      <c r="J1596" s="1">
        <f>IF(COUNTIF($C$4:C1596,C1596)=1,1,0)</f>
        <v>1</v>
      </c>
      <c r="K1596" s="1">
        <f t="shared" si="24"/>
        <v>2026</v>
      </c>
    </row>
    <row r="1597" spans="2:11" x14ac:dyDescent="0.45">
      <c r="B1597" s="1" t="s">
        <v>11</v>
      </c>
      <c r="C1597" s="1" t="s">
        <v>1600</v>
      </c>
      <c r="D1597" s="7">
        <v>44011</v>
      </c>
      <c r="E1597" s="7">
        <v>44018</v>
      </c>
      <c r="F1597" s="7">
        <v>44172</v>
      </c>
      <c r="G1597" s="1" t="s">
        <v>20</v>
      </c>
      <c r="H1597" s="8">
        <v>1283864.04</v>
      </c>
      <c r="I1597" s="8">
        <v>950588.17</v>
      </c>
      <c r="J1597" s="1">
        <f>IF(COUNTIF($C$4:C1597,C1597)=1,1,0)</f>
        <v>1</v>
      </c>
      <c r="K1597" s="1">
        <f t="shared" si="24"/>
        <v>2020</v>
      </c>
    </row>
    <row r="1598" spans="2:11" x14ac:dyDescent="0.45">
      <c r="B1598" s="1" t="s">
        <v>11</v>
      </c>
      <c r="C1598" s="1" t="s">
        <v>1601</v>
      </c>
      <c r="D1598" s="7">
        <v>45422</v>
      </c>
      <c r="E1598" s="7">
        <v>45448</v>
      </c>
      <c r="F1598" s="7">
        <v>45590</v>
      </c>
      <c r="G1598" s="1" t="s">
        <v>38</v>
      </c>
      <c r="H1598" s="8">
        <v>269151.77</v>
      </c>
      <c r="I1598" s="8">
        <v>196863.85</v>
      </c>
      <c r="J1598" s="1">
        <f>IF(COUNTIF($C$4:C1598,C1598)=1,1,0)</f>
        <v>1</v>
      </c>
      <c r="K1598" s="1">
        <f t="shared" si="24"/>
        <v>2024</v>
      </c>
    </row>
    <row r="1599" spans="2:11" x14ac:dyDescent="0.45">
      <c r="B1599" s="1" t="s">
        <v>11</v>
      </c>
      <c r="C1599" s="1" t="s">
        <v>1602</v>
      </c>
      <c r="D1599" s="7">
        <v>43418</v>
      </c>
      <c r="E1599" s="7">
        <v>43422</v>
      </c>
      <c r="F1599" s="7">
        <v>43558</v>
      </c>
      <c r="G1599" s="1" t="s">
        <v>16</v>
      </c>
      <c r="H1599" s="8">
        <v>409450.4</v>
      </c>
      <c r="I1599" s="8">
        <v>283633.40000000002</v>
      </c>
      <c r="J1599" s="1">
        <f>IF(COUNTIF($C$4:C1599,C1599)=1,1,0)</f>
        <v>1</v>
      </c>
      <c r="K1599" s="1">
        <f t="shared" si="24"/>
        <v>2018</v>
      </c>
    </row>
    <row r="1600" spans="2:11" x14ac:dyDescent="0.45">
      <c r="B1600" s="1" t="s">
        <v>11</v>
      </c>
      <c r="C1600" s="1" t="s">
        <v>1603</v>
      </c>
      <c r="D1600" s="7">
        <v>45382</v>
      </c>
      <c r="E1600" s="7">
        <v>45383</v>
      </c>
      <c r="F1600" s="7">
        <v>45591</v>
      </c>
      <c r="G1600" s="1" t="s">
        <v>13</v>
      </c>
      <c r="H1600" s="8">
        <v>625773.79</v>
      </c>
      <c r="I1600" s="8">
        <v>467090.91</v>
      </c>
      <c r="J1600" s="1">
        <f>IF(COUNTIF($C$4:C1600,C1600)=1,1,0)</f>
        <v>1</v>
      </c>
      <c r="K1600" s="1">
        <f t="shared" si="24"/>
        <v>2024</v>
      </c>
    </row>
    <row r="1601" spans="2:11" x14ac:dyDescent="0.45">
      <c r="B1601" s="1" t="s">
        <v>11</v>
      </c>
      <c r="C1601" s="1" t="s">
        <v>1604</v>
      </c>
      <c r="D1601" s="7">
        <v>44092</v>
      </c>
      <c r="E1601" s="7">
        <v>44100</v>
      </c>
      <c r="F1601" s="7">
        <v>44112</v>
      </c>
      <c r="G1601" s="1" t="s">
        <v>13</v>
      </c>
      <c r="H1601" s="8">
        <v>1101838.44</v>
      </c>
      <c r="I1601" s="8">
        <v>822181.5</v>
      </c>
      <c r="J1601" s="1">
        <f>IF(COUNTIF($C$4:C1601,C1601)=1,1,0)</f>
        <v>1</v>
      </c>
      <c r="K1601" s="1">
        <f t="shared" si="24"/>
        <v>2020</v>
      </c>
    </row>
    <row r="1602" spans="2:11" x14ac:dyDescent="0.45">
      <c r="B1602" s="1" t="s">
        <v>11</v>
      </c>
      <c r="C1602" s="1" t="s">
        <v>1605</v>
      </c>
      <c r="D1602" s="7">
        <v>45572</v>
      </c>
      <c r="E1602" s="7">
        <v>45578</v>
      </c>
      <c r="F1602" s="7">
        <v>45588</v>
      </c>
      <c r="G1602" s="1" t="s">
        <v>41</v>
      </c>
      <c r="H1602" s="8">
        <v>281480.59000000003</v>
      </c>
      <c r="I1602" s="8">
        <v>247353.67</v>
      </c>
      <c r="J1602" s="1">
        <f>IF(COUNTIF($C$4:C1602,C1602)=1,1,0)</f>
        <v>1</v>
      </c>
      <c r="K1602" s="1">
        <f t="shared" si="24"/>
        <v>2024</v>
      </c>
    </row>
    <row r="1603" spans="2:11" x14ac:dyDescent="0.45">
      <c r="B1603" s="1" t="s">
        <v>11</v>
      </c>
      <c r="C1603" s="1" t="s">
        <v>1606</v>
      </c>
      <c r="D1603" s="7">
        <v>45725</v>
      </c>
      <c r="E1603" s="7">
        <v>45735</v>
      </c>
      <c r="F1603" s="7">
        <v>45862</v>
      </c>
      <c r="G1603" s="1" t="s">
        <v>20</v>
      </c>
      <c r="H1603" s="8">
        <v>106706009.86</v>
      </c>
      <c r="I1603" s="8">
        <v>52155455.93</v>
      </c>
      <c r="J1603" s="1">
        <f>IF(COUNTIF($C$4:C1603,C1603)=1,1,0)</f>
        <v>1</v>
      </c>
      <c r="K1603" s="1">
        <f t="shared" si="24"/>
        <v>2025</v>
      </c>
    </row>
    <row r="1604" spans="2:11" x14ac:dyDescent="0.45">
      <c r="B1604" s="1" t="s">
        <v>11</v>
      </c>
      <c r="C1604" s="1" t="s">
        <v>1607</v>
      </c>
      <c r="D1604" s="7">
        <v>45964</v>
      </c>
      <c r="E1604" s="7">
        <v>45993</v>
      </c>
      <c r="F1604" s="7">
        <v>46122</v>
      </c>
      <c r="G1604" s="1" t="s">
        <v>41</v>
      </c>
      <c r="H1604" s="8">
        <v>20998.720000000001</v>
      </c>
      <c r="I1604" s="8">
        <v>14791.09</v>
      </c>
      <c r="J1604" s="1">
        <f>IF(COUNTIF($C$4:C1604,C1604)=1,1,0)</f>
        <v>1</v>
      </c>
      <c r="K1604" s="1">
        <f t="shared" si="24"/>
        <v>2025</v>
      </c>
    </row>
    <row r="1605" spans="2:11" x14ac:dyDescent="0.45">
      <c r="B1605" s="1" t="s">
        <v>11</v>
      </c>
      <c r="C1605" s="1" t="s">
        <v>1608</v>
      </c>
      <c r="D1605" s="7">
        <v>46136</v>
      </c>
      <c r="E1605" s="7">
        <v>46166</v>
      </c>
      <c r="F1605" s="7">
        <v>46392</v>
      </c>
      <c r="G1605" s="1" t="s">
        <v>212</v>
      </c>
      <c r="H1605" s="8">
        <v>21457966.879999999</v>
      </c>
      <c r="I1605" s="8">
        <v>13961187.85</v>
      </c>
      <c r="J1605" s="1">
        <f>IF(COUNTIF($C$4:C1605,C1605)=1,1,0)</f>
        <v>1</v>
      </c>
      <c r="K1605" s="1">
        <f t="shared" ref="K1605:K1668" si="25">YEAR(D1605)</f>
        <v>2026</v>
      </c>
    </row>
    <row r="1606" spans="2:11" x14ac:dyDescent="0.45">
      <c r="B1606" s="1" t="s">
        <v>11</v>
      </c>
      <c r="C1606" s="1" t="s">
        <v>1609</v>
      </c>
      <c r="D1606" s="7">
        <v>45564</v>
      </c>
      <c r="E1606" s="7">
        <v>45566</v>
      </c>
      <c r="F1606" s="7">
        <v>45676</v>
      </c>
      <c r="G1606" s="1" t="s">
        <v>16</v>
      </c>
      <c r="H1606" s="8">
        <v>1029911.8</v>
      </c>
      <c r="I1606" s="8">
        <v>796100.17</v>
      </c>
      <c r="J1606" s="1">
        <f>IF(COUNTIF($C$4:C1606,C1606)=1,1,0)</f>
        <v>1</v>
      </c>
      <c r="K1606" s="1">
        <f t="shared" si="25"/>
        <v>2024</v>
      </c>
    </row>
    <row r="1607" spans="2:11" x14ac:dyDescent="0.45">
      <c r="B1607" s="1" t="s">
        <v>11</v>
      </c>
      <c r="C1607" s="1" t="s">
        <v>1610</v>
      </c>
      <c r="D1607" s="7">
        <v>45062</v>
      </c>
      <c r="E1607" s="7">
        <v>45081</v>
      </c>
      <c r="F1607" s="7">
        <v>45266</v>
      </c>
      <c r="G1607" s="1" t="s">
        <v>38</v>
      </c>
      <c r="H1607" s="8">
        <v>1277545.06</v>
      </c>
      <c r="I1607" s="8">
        <v>1070685.82</v>
      </c>
      <c r="J1607" s="1">
        <f>IF(COUNTIF($C$4:C1607,C1607)=1,1,0)</f>
        <v>1</v>
      </c>
      <c r="K1607" s="1">
        <f t="shared" si="25"/>
        <v>2023</v>
      </c>
    </row>
    <row r="1608" spans="2:11" x14ac:dyDescent="0.45">
      <c r="B1608" s="1" t="s">
        <v>11</v>
      </c>
      <c r="C1608" s="1" t="s">
        <v>1611</v>
      </c>
      <c r="D1608" s="7">
        <v>43939</v>
      </c>
      <c r="E1608" s="7">
        <v>43944</v>
      </c>
      <c r="F1608" s="7">
        <v>44178</v>
      </c>
      <c r="G1608" s="1" t="s">
        <v>20</v>
      </c>
      <c r="H1608" s="8">
        <v>1405610.79</v>
      </c>
      <c r="I1608" s="8">
        <v>869001.31</v>
      </c>
      <c r="J1608" s="1">
        <f>IF(COUNTIF($C$4:C1608,C1608)=1,1,0)</f>
        <v>1</v>
      </c>
      <c r="K1608" s="1">
        <f t="shared" si="25"/>
        <v>2020</v>
      </c>
    </row>
    <row r="1609" spans="2:11" x14ac:dyDescent="0.45">
      <c r="B1609" s="1" t="s">
        <v>11</v>
      </c>
      <c r="C1609" s="1" t="s">
        <v>1612</v>
      </c>
      <c r="D1609" s="7">
        <v>44352</v>
      </c>
      <c r="E1609" s="7">
        <v>44382</v>
      </c>
      <c r="F1609" s="7">
        <v>44502</v>
      </c>
      <c r="G1609" s="1" t="s">
        <v>22</v>
      </c>
      <c r="H1609" s="8">
        <v>91487575.329999998</v>
      </c>
      <c r="I1609" s="8">
        <v>62485529.280000001</v>
      </c>
      <c r="J1609" s="1">
        <f>IF(COUNTIF($C$4:C1609,C1609)=1,1,0)</f>
        <v>1</v>
      </c>
      <c r="K1609" s="1">
        <f t="shared" si="25"/>
        <v>2021</v>
      </c>
    </row>
    <row r="1610" spans="2:11" x14ac:dyDescent="0.45">
      <c r="B1610" s="1" t="s">
        <v>11</v>
      </c>
      <c r="C1610" s="1" t="s">
        <v>1613</v>
      </c>
      <c r="D1610" s="7">
        <v>45045</v>
      </c>
      <c r="E1610" s="7">
        <v>45065</v>
      </c>
      <c r="F1610" s="7">
        <v>45247</v>
      </c>
      <c r="G1610" s="1" t="s">
        <v>20</v>
      </c>
      <c r="H1610" s="8">
        <v>38443530.700000003</v>
      </c>
      <c r="I1610" s="8">
        <v>27361060.079999998</v>
      </c>
      <c r="J1610" s="1">
        <f>IF(COUNTIF($C$4:C1610,C1610)=1,1,0)</f>
        <v>1</v>
      </c>
      <c r="K1610" s="1">
        <f t="shared" si="25"/>
        <v>2023</v>
      </c>
    </row>
    <row r="1611" spans="2:11" x14ac:dyDescent="0.45">
      <c r="B1611" s="1" t="s">
        <v>11</v>
      </c>
      <c r="C1611" s="1" t="s">
        <v>1614</v>
      </c>
      <c r="D1611" s="7">
        <v>44501</v>
      </c>
      <c r="E1611" s="7">
        <v>44513</v>
      </c>
      <c r="F1611" s="7">
        <v>44589</v>
      </c>
      <c r="G1611" s="1" t="s">
        <v>22</v>
      </c>
      <c r="H1611" s="8">
        <v>9509984.8300000001</v>
      </c>
      <c r="I1611" s="8">
        <v>2544009.83</v>
      </c>
      <c r="J1611" s="1">
        <f>IF(COUNTIF($C$4:C1611,C1611)=1,1,0)</f>
        <v>1</v>
      </c>
      <c r="K1611" s="1">
        <f t="shared" si="25"/>
        <v>2021</v>
      </c>
    </row>
    <row r="1612" spans="2:11" x14ac:dyDescent="0.45">
      <c r="B1612" s="1" t="s">
        <v>11</v>
      </c>
      <c r="C1612" s="1" t="s">
        <v>1615</v>
      </c>
      <c r="D1612" s="7">
        <v>45691</v>
      </c>
      <c r="E1612" s="7">
        <v>45698</v>
      </c>
      <c r="F1612" s="7">
        <v>45791</v>
      </c>
      <c r="G1612" s="1" t="s">
        <v>41</v>
      </c>
      <c r="H1612" s="8">
        <v>89317.4</v>
      </c>
      <c r="I1612" s="8">
        <v>67059.679999999993</v>
      </c>
      <c r="J1612" s="1">
        <f>IF(COUNTIF($C$4:C1612,C1612)=1,1,0)</f>
        <v>1</v>
      </c>
      <c r="K1612" s="1">
        <f t="shared" si="25"/>
        <v>2025</v>
      </c>
    </row>
    <row r="1613" spans="2:11" x14ac:dyDescent="0.45">
      <c r="B1613" s="1" t="s">
        <v>11</v>
      </c>
      <c r="C1613" s="1" t="s">
        <v>1616</v>
      </c>
      <c r="D1613" s="7">
        <v>45226</v>
      </c>
      <c r="E1613" s="7">
        <v>45233</v>
      </c>
      <c r="F1613" s="7">
        <v>45470</v>
      </c>
      <c r="G1613" s="1" t="s">
        <v>20</v>
      </c>
      <c r="H1613" s="8">
        <v>165961.62</v>
      </c>
      <c r="I1613" s="8">
        <v>119403.06</v>
      </c>
      <c r="J1613" s="1">
        <f>IF(COUNTIF($C$4:C1613,C1613)=1,1,0)</f>
        <v>1</v>
      </c>
      <c r="K1613" s="1">
        <f t="shared" si="25"/>
        <v>2023</v>
      </c>
    </row>
    <row r="1614" spans="2:11" x14ac:dyDescent="0.45">
      <c r="B1614" s="1" t="s">
        <v>11</v>
      </c>
      <c r="C1614" s="1" t="s">
        <v>1617</v>
      </c>
      <c r="D1614" s="7">
        <v>43892</v>
      </c>
      <c r="E1614" s="7">
        <v>43920</v>
      </c>
      <c r="F1614" s="7">
        <v>44102</v>
      </c>
      <c r="G1614" s="1" t="s">
        <v>16</v>
      </c>
      <c r="H1614" s="8">
        <v>1563312.49</v>
      </c>
      <c r="I1614" s="8">
        <v>1031030.49</v>
      </c>
      <c r="J1614" s="1">
        <f>IF(COUNTIF($C$4:C1614,C1614)=1,1,0)</f>
        <v>1</v>
      </c>
      <c r="K1614" s="1">
        <f t="shared" si="25"/>
        <v>2020</v>
      </c>
    </row>
    <row r="1615" spans="2:11" x14ac:dyDescent="0.45">
      <c r="B1615" s="1" t="s">
        <v>11</v>
      </c>
      <c r="C1615" s="1" t="s">
        <v>1618</v>
      </c>
      <c r="D1615" s="7">
        <v>44881</v>
      </c>
      <c r="E1615" s="7">
        <v>44885</v>
      </c>
      <c r="F1615" s="7">
        <v>44907</v>
      </c>
      <c r="G1615" s="1" t="s">
        <v>41</v>
      </c>
      <c r="H1615" s="8">
        <v>274812.36</v>
      </c>
      <c r="I1615" s="8">
        <v>224159.76</v>
      </c>
      <c r="J1615" s="1">
        <f>IF(COUNTIF($C$4:C1615,C1615)=1,1,0)</f>
        <v>1</v>
      </c>
      <c r="K1615" s="1">
        <f t="shared" si="25"/>
        <v>2022</v>
      </c>
    </row>
    <row r="1616" spans="2:11" x14ac:dyDescent="0.45">
      <c r="B1616" s="1" t="s">
        <v>11</v>
      </c>
      <c r="C1616" s="1" t="s">
        <v>1619</v>
      </c>
      <c r="D1616" s="7">
        <v>44419</v>
      </c>
      <c r="E1616" s="7">
        <v>44442</v>
      </c>
      <c r="F1616" s="7">
        <v>44558</v>
      </c>
      <c r="G1616" s="1" t="s">
        <v>13</v>
      </c>
      <c r="H1616" s="8">
        <v>503168.47</v>
      </c>
      <c r="I1616" s="8">
        <v>308671.65999999997</v>
      </c>
      <c r="J1616" s="1">
        <f>IF(COUNTIF($C$4:C1616,C1616)=1,1,0)</f>
        <v>1</v>
      </c>
      <c r="K1616" s="1">
        <f t="shared" si="25"/>
        <v>2021</v>
      </c>
    </row>
    <row r="1617" spans="2:11" x14ac:dyDescent="0.45">
      <c r="B1617" s="1" t="s">
        <v>11</v>
      </c>
      <c r="C1617" s="1" t="s">
        <v>1620</v>
      </c>
      <c r="D1617" s="7">
        <v>45059</v>
      </c>
      <c r="E1617" s="7">
        <v>45064</v>
      </c>
      <c r="F1617" s="7">
        <v>45187</v>
      </c>
      <c r="G1617" s="1" t="s">
        <v>22</v>
      </c>
      <c r="H1617" s="8">
        <v>5535983.4900000002</v>
      </c>
      <c r="I1617" s="8">
        <v>3507944.28</v>
      </c>
      <c r="J1617" s="1">
        <f>IF(COUNTIF($C$4:C1617,C1617)=1,1,0)</f>
        <v>1</v>
      </c>
      <c r="K1617" s="1">
        <f t="shared" si="25"/>
        <v>2023</v>
      </c>
    </row>
    <row r="1618" spans="2:11" x14ac:dyDescent="0.45">
      <c r="B1618" s="1" t="s">
        <v>11</v>
      </c>
      <c r="C1618" s="1" t="s">
        <v>1621</v>
      </c>
      <c r="D1618" s="7">
        <v>45565</v>
      </c>
      <c r="E1618" s="7">
        <v>45571</v>
      </c>
      <c r="F1618" s="7">
        <v>45809</v>
      </c>
      <c r="G1618" s="1" t="s">
        <v>22</v>
      </c>
      <c r="H1618" s="8">
        <v>52817917.149999999</v>
      </c>
      <c r="I1618" s="8">
        <v>27753844.68</v>
      </c>
      <c r="J1618" s="1">
        <f>IF(COUNTIF($C$4:C1618,C1618)=1,1,0)</f>
        <v>1</v>
      </c>
      <c r="K1618" s="1">
        <f t="shared" si="25"/>
        <v>2024</v>
      </c>
    </row>
    <row r="1619" spans="2:11" x14ac:dyDescent="0.45">
      <c r="B1619" s="1" t="s">
        <v>11</v>
      </c>
      <c r="C1619" s="1" t="s">
        <v>1622</v>
      </c>
      <c r="D1619" s="7">
        <v>45407</v>
      </c>
      <c r="E1619" s="7">
        <v>45418</v>
      </c>
      <c r="F1619" s="7">
        <v>45580</v>
      </c>
      <c r="G1619" s="1" t="s">
        <v>212</v>
      </c>
      <c r="H1619" s="8">
        <v>1795422.14</v>
      </c>
      <c r="I1619" s="8">
        <v>1354060.14</v>
      </c>
      <c r="J1619" s="1">
        <f>IF(COUNTIF($C$4:C1619,C1619)=1,1,0)</f>
        <v>1</v>
      </c>
      <c r="K1619" s="1">
        <f t="shared" si="25"/>
        <v>2024</v>
      </c>
    </row>
    <row r="1620" spans="2:11" x14ac:dyDescent="0.45">
      <c r="B1620" s="1" t="s">
        <v>11</v>
      </c>
      <c r="C1620" s="1" t="s">
        <v>1623</v>
      </c>
      <c r="D1620" s="7">
        <v>45009</v>
      </c>
      <c r="E1620" s="7">
        <v>45034</v>
      </c>
      <c r="F1620" s="7">
        <v>45163</v>
      </c>
      <c r="G1620" s="1" t="s">
        <v>20</v>
      </c>
      <c r="H1620" s="8">
        <v>206477.39</v>
      </c>
      <c r="I1620" s="8">
        <v>141330.74</v>
      </c>
      <c r="J1620" s="1">
        <f>IF(COUNTIF($C$4:C1620,C1620)=1,1,0)</f>
        <v>1</v>
      </c>
      <c r="K1620" s="1">
        <f t="shared" si="25"/>
        <v>2023</v>
      </c>
    </row>
    <row r="1621" spans="2:11" x14ac:dyDescent="0.45">
      <c r="B1621" s="1" t="s">
        <v>11</v>
      </c>
      <c r="C1621" s="1" t="s">
        <v>1624</v>
      </c>
      <c r="D1621" s="7">
        <v>43555</v>
      </c>
      <c r="E1621" s="7">
        <v>43556</v>
      </c>
      <c r="F1621" s="7">
        <v>43737</v>
      </c>
      <c r="G1621" s="1" t="s">
        <v>38</v>
      </c>
      <c r="H1621" s="8">
        <v>72589.03</v>
      </c>
      <c r="I1621" s="8">
        <v>52884.63</v>
      </c>
      <c r="J1621" s="1">
        <f>IF(COUNTIF($C$4:C1621,C1621)=1,1,0)</f>
        <v>1</v>
      </c>
      <c r="K1621" s="1">
        <f t="shared" si="25"/>
        <v>2019</v>
      </c>
    </row>
    <row r="1622" spans="2:11" x14ac:dyDescent="0.45">
      <c r="B1622" s="1" t="s">
        <v>11</v>
      </c>
      <c r="C1622" s="1" t="s">
        <v>1625</v>
      </c>
      <c r="D1622" s="7">
        <v>44851</v>
      </c>
      <c r="E1622" s="7">
        <v>44868</v>
      </c>
      <c r="F1622" s="7">
        <v>45063</v>
      </c>
      <c r="G1622" s="1" t="s">
        <v>16</v>
      </c>
      <c r="H1622" s="8">
        <v>713286.6</v>
      </c>
      <c r="I1622" s="8">
        <v>499933.73</v>
      </c>
      <c r="J1622" s="1">
        <f>IF(COUNTIF($C$4:C1622,C1622)=1,1,0)</f>
        <v>1</v>
      </c>
      <c r="K1622" s="1">
        <f t="shared" si="25"/>
        <v>2022</v>
      </c>
    </row>
    <row r="1623" spans="2:11" x14ac:dyDescent="0.45">
      <c r="B1623" s="1" t="s">
        <v>11</v>
      </c>
      <c r="C1623" s="1" t="s">
        <v>1626</v>
      </c>
      <c r="D1623" s="7">
        <v>44820</v>
      </c>
      <c r="E1623" s="7">
        <v>44826</v>
      </c>
      <c r="F1623" s="7">
        <v>44882</v>
      </c>
      <c r="G1623" s="1" t="s">
        <v>22</v>
      </c>
      <c r="H1623" s="8">
        <v>14296904.949999999</v>
      </c>
      <c r="I1623" s="8">
        <v>7967588.8799999999</v>
      </c>
      <c r="J1623" s="1">
        <f>IF(COUNTIF($C$4:C1623,C1623)=1,1,0)</f>
        <v>1</v>
      </c>
      <c r="K1623" s="1">
        <f t="shared" si="25"/>
        <v>2022</v>
      </c>
    </row>
    <row r="1624" spans="2:11" x14ac:dyDescent="0.45">
      <c r="B1624" s="1" t="s">
        <v>11</v>
      </c>
      <c r="C1624" s="1" t="s">
        <v>1627</v>
      </c>
      <c r="D1624" s="7">
        <v>44281</v>
      </c>
      <c r="E1624" s="7">
        <v>44292</v>
      </c>
      <c r="F1624" s="7">
        <v>44434</v>
      </c>
      <c r="G1624" s="1" t="s">
        <v>38</v>
      </c>
      <c r="H1624" s="8">
        <v>1715443.14</v>
      </c>
      <c r="I1624" s="8">
        <v>1222861.1299999999</v>
      </c>
      <c r="J1624" s="1">
        <f>IF(COUNTIF($C$4:C1624,C1624)=1,1,0)</f>
        <v>1</v>
      </c>
      <c r="K1624" s="1">
        <f t="shared" si="25"/>
        <v>2021</v>
      </c>
    </row>
    <row r="1625" spans="2:11" x14ac:dyDescent="0.45">
      <c r="B1625" s="1" t="s">
        <v>11</v>
      </c>
      <c r="C1625" s="1" t="s">
        <v>1628</v>
      </c>
      <c r="D1625" s="7">
        <v>44918</v>
      </c>
      <c r="E1625" s="7">
        <v>44927</v>
      </c>
      <c r="F1625" s="7">
        <v>45079</v>
      </c>
      <c r="G1625" s="1" t="s">
        <v>22</v>
      </c>
      <c r="H1625" s="8">
        <v>46608888.100000001</v>
      </c>
      <c r="I1625" s="8">
        <v>23433298.469999999</v>
      </c>
      <c r="J1625" s="1">
        <f>IF(COUNTIF($C$4:C1625,C1625)=1,1,0)</f>
        <v>1</v>
      </c>
      <c r="K1625" s="1">
        <f t="shared" si="25"/>
        <v>2022</v>
      </c>
    </row>
    <row r="1626" spans="2:11" x14ac:dyDescent="0.45">
      <c r="B1626" s="1" t="s">
        <v>11</v>
      </c>
      <c r="C1626" s="1" t="s">
        <v>1629</v>
      </c>
      <c r="D1626" s="7">
        <v>43203</v>
      </c>
      <c r="E1626" s="7">
        <v>43231</v>
      </c>
      <c r="F1626" s="7">
        <v>43265</v>
      </c>
      <c r="G1626" s="1" t="s">
        <v>212</v>
      </c>
      <c r="H1626" s="8">
        <v>52836282.149999999</v>
      </c>
      <c r="I1626" s="8">
        <v>30276150.07</v>
      </c>
      <c r="J1626" s="1">
        <f>IF(COUNTIF($C$4:C1626,C1626)=1,1,0)</f>
        <v>1</v>
      </c>
      <c r="K1626" s="1">
        <f t="shared" si="25"/>
        <v>2018</v>
      </c>
    </row>
    <row r="1627" spans="2:11" x14ac:dyDescent="0.45">
      <c r="B1627" s="1" t="s">
        <v>11</v>
      </c>
      <c r="C1627" s="1" t="s">
        <v>1630</v>
      </c>
      <c r="D1627" s="7">
        <v>45819</v>
      </c>
      <c r="E1627" s="7">
        <v>45832</v>
      </c>
      <c r="F1627" s="7">
        <v>45985</v>
      </c>
      <c r="G1627" s="1" t="s">
        <v>22</v>
      </c>
      <c r="H1627" s="8">
        <v>5221546.7300000004</v>
      </c>
      <c r="I1627" s="8">
        <v>2777292.59</v>
      </c>
      <c r="J1627" s="1">
        <f>IF(COUNTIF($C$4:C1627,C1627)=1,1,0)</f>
        <v>1</v>
      </c>
      <c r="K1627" s="1">
        <f t="shared" si="25"/>
        <v>2025</v>
      </c>
    </row>
    <row r="1628" spans="2:11" x14ac:dyDescent="0.45">
      <c r="B1628" s="1" t="s">
        <v>11</v>
      </c>
      <c r="C1628" s="1" t="s">
        <v>1631</v>
      </c>
      <c r="D1628" s="7">
        <v>45936</v>
      </c>
      <c r="E1628" s="7">
        <v>45954</v>
      </c>
      <c r="F1628" s="7">
        <v>45988</v>
      </c>
      <c r="G1628" s="1" t="s">
        <v>212</v>
      </c>
      <c r="H1628" s="8">
        <v>23325250.629999999</v>
      </c>
      <c r="I1628" s="8">
        <v>17607396.57</v>
      </c>
      <c r="J1628" s="1">
        <f>IF(COUNTIF($C$4:C1628,C1628)=1,1,0)</f>
        <v>1</v>
      </c>
      <c r="K1628" s="1">
        <f t="shared" si="25"/>
        <v>2025</v>
      </c>
    </row>
    <row r="1629" spans="2:11" x14ac:dyDescent="0.45">
      <c r="B1629" s="1" t="s">
        <v>11</v>
      </c>
      <c r="C1629" s="1" t="s">
        <v>1632</v>
      </c>
      <c r="D1629" s="7">
        <v>45355</v>
      </c>
      <c r="E1629" s="7">
        <v>45358</v>
      </c>
      <c r="F1629" s="7">
        <v>45504</v>
      </c>
      <c r="G1629" s="1" t="s">
        <v>16</v>
      </c>
      <c r="H1629" s="8">
        <v>1882955.61</v>
      </c>
      <c r="I1629" s="8">
        <v>1153512.53</v>
      </c>
      <c r="J1629" s="1">
        <f>IF(COUNTIF($C$4:C1629,C1629)=1,1,0)</f>
        <v>1</v>
      </c>
      <c r="K1629" s="1">
        <f t="shared" si="25"/>
        <v>2024</v>
      </c>
    </row>
    <row r="1630" spans="2:11" x14ac:dyDescent="0.45">
      <c r="B1630" s="1" t="s">
        <v>11</v>
      </c>
      <c r="C1630" s="1" t="s">
        <v>1633</v>
      </c>
      <c r="D1630" s="7">
        <v>44749</v>
      </c>
      <c r="E1630" s="7">
        <v>44779</v>
      </c>
      <c r="F1630" s="7">
        <v>45005</v>
      </c>
      <c r="G1630" s="1" t="s">
        <v>41</v>
      </c>
      <c r="H1630" s="8">
        <v>1675101.5</v>
      </c>
      <c r="I1630" s="8">
        <v>1193966.25</v>
      </c>
      <c r="J1630" s="1">
        <f>IF(COUNTIF($C$4:C1630,C1630)=1,1,0)</f>
        <v>1</v>
      </c>
      <c r="K1630" s="1">
        <f t="shared" si="25"/>
        <v>2022</v>
      </c>
    </row>
    <row r="1631" spans="2:11" x14ac:dyDescent="0.45">
      <c r="B1631" s="1" t="s">
        <v>11</v>
      </c>
      <c r="C1631" s="1" t="s">
        <v>1634</v>
      </c>
      <c r="D1631" s="7">
        <v>46020</v>
      </c>
      <c r="E1631" s="7">
        <v>46035</v>
      </c>
      <c r="F1631" s="7">
        <v>46233</v>
      </c>
      <c r="G1631" s="1" t="s">
        <v>22</v>
      </c>
      <c r="H1631" s="8">
        <v>52141992.009999998</v>
      </c>
      <c r="I1631" s="8">
        <v>22339900.559999999</v>
      </c>
      <c r="J1631" s="1">
        <f>IF(COUNTIF($C$4:C1631,C1631)=1,1,0)</f>
        <v>1</v>
      </c>
      <c r="K1631" s="1">
        <f t="shared" si="25"/>
        <v>2025</v>
      </c>
    </row>
    <row r="1632" spans="2:11" x14ac:dyDescent="0.45">
      <c r="B1632" s="1" t="s">
        <v>11</v>
      </c>
      <c r="C1632" s="1" t="s">
        <v>1635</v>
      </c>
      <c r="D1632" s="7">
        <v>44612</v>
      </c>
      <c r="E1632" s="7">
        <v>44615</v>
      </c>
      <c r="F1632" s="7">
        <v>44698</v>
      </c>
      <c r="G1632" s="1" t="s">
        <v>16</v>
      </c>
      <c r="H1632" s="8">
        <v>1223025.1299999999</v>
      </c>
      <c r="I1632" s="8">
        <v>807976.74</v>
      </c>
      <c r="J1632" s="1">
        <f>IF(COUNTIF($C$4:C1632,C1632)=1,1,0)</f>
        <v>1</v>
      </c>
      <c r="K1632" s="1">
        <f t="shared" si="25"/>
        <v>2022</v>
      </c>
    </row>
    <row r="1633" spans="2:11" x14ac:dyDescent="0.45">
      <c r="B1633" s="1" t="s">
        <v>11</v>
      </c>
      <c r="C1633" s="1" t="s">
        <v>1636</v>
      </c>
      <c r="D1633" s="7">
        <v>44833</v>
      </c>
      <c r="E1633" s="7">
        <v>44861</v>
      </c>
      <c r="F1633" s="7">
        <v>44890</v>
      </c>
      <c r="G1633" s="1" t="s">
        <v>212</v>
      </c>
      <c r="H1633" s="8">
        <v>65163140.170000002</v>
      </c>
      <c r="I1633" s="8">
        <v>34410494.259999998</v>
      </c>
      <c r="J1633" s="1">
        <f>IF(COUNTIF($C$4:C1633,C1633)=1,1,0)</f>
        <v>1</v>
      </c>
      <c r="K1633" s="1">
        <f t="shared" si="25"/>
        <v>2022</v>
      </c>
    </row>
    <row r="1634" spans="2:11" x14ac:dyDescent="0.45">
      <c r="B1634" s="1" t="s">
        <v>11</v>
      </c>
      <c r="C1634" s="1" t="s">
        <v>1637</v>
      </c>
      <c r="D1634" s="7">
        <v>43917</v>
      </c>
      <c r="E1634" s="7">
        <v>43939</v>
      </c>
      <c r="F1634" s="7">
        <v>44143</v>
      </c>
      <c r="G1634" s="1" t="s">
        <v>13</v>
      </c>
      <c r="H1634" s="8">
        <v>454142.58</v>
      </c>
      <c r="I1634" s="8">
        <v>370353.93</v>
      </c>
      <c r="J1634" s="1">
        <f>IF(COUNTIF($C$4:C1634,C1634)=1,1,0)</f>
        <v>1</v>
      </c>
      <c r="K1634" s="1">
        <f t="shared" si="25"/>
        <v>2020</v>
      </c>
    </row>
    <row r="1635" spans="2:11" x14ac:dyDescent="0.45">
      <c r="B1635" s="1" t="s">
        <v>11</v>
      </c>
      <c r="C1635" s="1" t="s">
        <v>1638</v>
      </c>
      <c r="D1635" s="7">
        <v>45995</v>
      </c>
      <c r="E1635" s="7">
        <v>46008</v>
      </c>
      <c r="F1635" s="7">
        <v>46104</v>
      </c>
      <c r="G1635" s="1" t="s">
        <v>41</v>
      </c>
      <c r="H1635" s="8">
        <v>6217.19</v>
      </c>
      <c r="I1635" s="8">
        <v>5462.87</v>
      </c>
      <c r="J1635" s="1">
        <f>IF(COUNTIF($C$4:C1635,C1635)=1,1,0)</f>
        <v>1</v>
      </c>
      <c r="K1635" s="1">
        <f t="shared" si="25"/>
        <v>2025</v>
      </c>
    </row>
    <row r="1636" spans="2:11" x14ac:dyDescent="0.45">
      <c r="B1636" s="1" t="s">
        <v>11</v>
      </c>
      <c r="C1636" s="1" t="s">
        <v>1639</v>
      </c>
      <c r="D1636" s="7">
        <v>44023</v>
      </c>
      <c r="E1636" s="7">
        <v>44025</v>
      </c>
      <c r="F1636" s="7">
        <v>44168</v>
      </c>
      <c r="G1636" s="1" t="s">
        <v>20</v>
      </c>
      <c r="H1636" s="8">
        <v>1609152.54</v>
      </c>
      <c r="I1636" s="8">
        <v>1112957.4399999999</v>
      </c>
      <c r="J1636" s="1">
        <f>IF(COUNTIF($C$4:C1636,C1636)=1,1,0)</f>
        <v>1</v>
      </c>
      <c r="K1636" s="1">
        <f t="shared" si="25"/>
        <v>2020</v>
      </c>
    </row>
    <row r="1637" spans="2:11" x14ac:dyDescent="0.45">
      <c r="B1637" s="1" t="s">
        <v>11</v>
      </c>
      <c r="C1637" s="1" t="s">
        <v>1640</v>
      </c>
      <c r="D1637" s="7">
        <v>43926</v>
      </c>
      <c r="E1637" s="7">
        <v>43950</v>
      </c>
      <c r="F1637" s="7">
        <v>44189</v>
      </c>
      <c r="G1637" s="1" t="s">
        <v>13</v>
      </c>
      <c r="H1637" s="8">
        <v>371707.74</v>
      </c>
      <c r="I1637" s="8">
        <v>268563.15999999997</v>
      </c>
      <c r="J1637" s="1">
        <f>IF(COUNTIF($C$4:C1637,C1637)=1,1,0)</f>
        <v>1</v>
      </c>
      <c r="K1637" s="1">
        <f t="shared" si="25"/>
        <v>2020</v>
      </c>
    </row>
    <row r="1638" spans="2:11" x14ac:dyDescent="0.45">
      <c r="B1638" s="1" t="s">
        <v>11</v>
      </c>
      <c r="C1638" s="1" t="s">
        <v>1641</v>
      </c>
      <c r="D1638" s="7">
        <v>44329</v>
      </c>
      <c r="E1638" s="7">
        <v>44356</v>
      </c>
      <c r="F1638" s="7">
        <v>44445</v>
      </c>
      <c r="G1638" s="1" t="s">
        <v>13</v>
      </c>
      <c r="H1638" s="8">
        <v>1194010.68</v>
      </c>
      <c r="I1638" s="8">
        <v>963813.6</v>
      </c>
      <c r="J1638" s="1">
        <f>IF(COUNTIF($C$4:C1638,C1638)=1,1,0)</f>
        <v>1</v>
      </c>
      <c r="K1638" s="1">
        <f t="shared" si="25"/>
        <v>2021</v>
      </c>
    </row>
    <row r="1639" spans="2:11" x14ac:dyDescent="0.45">
      <c r="B1639" s="1" t="s">
        <v>11</v>
      </c>
      <c r="C1639" s="1" t="s">
        <v>1642</v>
      </c>
      <c r="D1639" s="7">
        <v>43736</v>
      </c>
      <c r="E1639" s="7">
        <v>43754</v>
      </c>
      <c r="F1639" s="7">
        <v>43891</v>
      </c>
      <c r="G1639" s="1" t="s">
        <v>38</v>
      </c>
      <c r="H1639" s="8">
        <v>954430.9</v>
      </c>
      <c r="I1639" s="8">
        <v>738197.53</v>
      </c>
      <c r="J1639" s="1">
        <f>IF(COUNTIF($C$4:C1639,C1639)=1,1,0)</f>
        <v>1</v>
      </c>
      <c r="K1639" s="1">
        <f t="shared" si="25"/>
        <v>2019</v>
      </c>
    </row>
    <row r="1640" spans="2:11" x14ac:dyDescent="0.45">
      <c r="B1640" s="1" t="s">
        <v>11</v>
      </c>
      <c r="C1640" s="1" t="s">
        <v>1643</v>
      </c>
      <c r="D1640" s="7">
        <v>43913</v>
      </c>
      <c r="E1640" s="7">
        <v>43923</v>
      </c>
      <c r="F1640" s="7">
        <v>43995</v>
      </c>
      <c r="G1640" s="1" t="s">
        <v>41</v>
      </c>
      <c r="H1640" s="8">
        <v>151951.24</v>
      </c>
      <c r="I1640" s="8">
        <v>103694.86</v>
      </c>
      <c r="J1640" s="1">
        <f>IF(COUNTIF($C$4:C1640,C1640)=1,1,0)</f>
        <v>1</v>
      </c>
      <c r="K1640" s="1">
        <f t="shared" si="25"/>
        <v>2020</v>
      </c>
    </row>
    <row r="1641" spans="2:11" x14ac:dyDescent="0.45">
      <c r="B1641" s="1" t="s">
        <v>11</v>
      </c>
      <c r="C1641" s="1" t="s">
        <v>1644</v>
      </c>
      <c r="D1641" s="7">
        <v>43552</v>
      </c>
      <c r="E1641" s="7">
        <v>43555</v>
      </c>
      <c r="F1641" s="7">
        <v>43779</v>
      </c>
      <c r="G1641" s="1" t="s">
        <v>20</v>
      </c>
      <c r="H1641" s="8">
        <v>3696362.05</v>
      </c>
      <c r="I1641" s="8">
        <v>2383925.6</v>
      </c>
      <c r="J1641" s="1">
        <f>IF(COUNTIF($C$4:C1641,C1641)=1,1,0)</f>
        <v>1</v>
      </c>
      <c r="K1641" s="1">
        <f t="shared" si="25"/>
        <v>2019</v>
      </c>
    </row>
    <row r="1642" spans="2:11" x14ac:dyDescent="0.45">
      <c r="B1642" s="1" t="s">
        <v>11</v>
      </c>
      <c r="C1642" s="1" t="s">
        <v>1645</v>
      </c>
      <c r="D1642" s="7">
        <v>45919</v>
      </c>
      <c r="E1642" s="7">
        <v>45939</v>
      </c>
      <c r="F1642" s="7">
        <v>46175</v>
      </c>
      <c r="G1642" s="1" t="s">
        <v>212</v>
      </c>
      <c r="H1642" s="8">
        <v>46854568.5</v>
      </c>
      <c r="I1642" s="8">
        <v>22664959.34</v>
      </c>
      <c r="J1642" s="1">
        <f>IF(COUNTIF($C$4:C1642,C1642)=1,1,0)</f>
        <v>1</v>
      </c>
      <c r="K1642" s="1">
        <f t="shared" si="25"/>
        <v>2025</v>
      </c>
    </row>
    <row r="1643" spans="2:11" x14ac:dyDescent="0.45">
      <c r="B1643" s="1" t="s">
        <v>11</v>
      </c>
      <c r="C1643" s="1" t="s">
        <v>1646</v>
      </c>
      <c r="D1643" s="7">
        <v>43749</v>
      </c>
      <c r="E1643" s="7">
        <v>43765</v>
      </c>
      <c r="F1643" s="7">
        <v>43906</v>
      </c>
      <c r="G1643" s="1" t="s">
        <v>212</v>
      </c>
      <c r="H1643" s="8">
        <v>25601793.239999998</v>
      </c>
      <c r="I1643" s="8">
        <v>17642328.699999999</v>
      </c>
      <c r="J1643" s="1">
        <f>IF(COUNTIF($C$4:C1643,C1643)=1,1,0)</f>
        <v>1</v>
      </c>
      <c r="K1643" s="1">
        <f t="shared" si="25"/>
        <v>2019</v>
      </c>
    </row>
    <row r="1644" spans="2:11" x14ac:dyDescent="0.45">
      <c r="B1644" s="1" t="s">
        <v>11</v>
      </c>
      <c r="C1644" s="1" t="s">
        <v>1647</v>
      </c>
      <c r="D1644" s="7">
        <v>43529</v>
      </c>
      <c r="E1644" s="7">
        <v>43557</v>
      </c>
      <c r="F1644" s="7">
        <v>43797</v>
      </c>
      <c r="G1644" s="1" t="s">
        <v>16</v>
      </c>
      <c r="H1644" s="8">
        <v>344854.46</v>
      </c>
      <c r="I1644" s="8">
        <v>153710.26999999999</v>
      </c>
      <c r="J1644" s="1">
        <f>IF(COUNTIF($C$4:C1644,C1644)=1,1,0)</f>
        <v>1</v>
      </c>
      <c r="K1644" s="1">
        <f t="shared" si="25"/>
        <v>2019</v>
      </c>
    </row>
    <row r="1645" spans="2:11" x14ac:dyDescent="0.45">
      <c r="B1645" s="1" t="s">
        <v>11</v>
      </c>
      <c r="C1645" s="1" t="s">
        <v>1648</v>
      </c>
      <c r="D1645" s="7">
        <v>43430</v>
      </c>
      <c r="E1645" s="7">
        <v>43455</v>
      </c>
      <c r="F1645" s="7">
        <v>43633</v>
      </c>
      <c r="G1645" s="1" t="s">
        <v>20</v>
      </c>
      <c r="H1645" s="8">
        <v>329999.44</v>
      </c>
      <c r="I1645" s="8">
        <v>246461.66</v>
      </c>
      <c r="J1645" s="1">
        <f>IF(COUNTIF($C$4:C1645,C1645)=1,1,0)</f>
        <v>1</v>
      </c>
      <c r="K1645" s="1">
        <f t="shared" si="25"/>
        <v>2018</v>
      </c>
    </row>
    <row r="1646" spans="2:11" x14ac:dyDescent="0.45">
      <c r="B1646" s="1" t="s">
        <v>11</v>
      </c>
      <c r="C1646" s="1" t="s">
        <v>1649</v>
      </c>
      <c r="D1646" s="7">
        <v>44621</v>
      </c>
      <c r="E1646" s="7">
        <v>44624</v>
      </c>
      <c r="F1646" s="7">
        <v>44801</v>
      </c>
      <c r="G1646" s="1" t="s">
        <v>20</v>
      </c>
      <c r="H1646" s="8">
        <v>37585291.829999998</v>
      </c>
      <c r="I1646" s="8">
        <v>19844260.57</v>
      </c>
      <c r="J1646" s="1">
        <f>IF(COUNTIF($C$4:C1646,C1646)=1,1,0)</f>
        <v>1</v>
      </c>
      <c r="K1646" s="1">
        <f t="shared" si="25"/>
        <v>2022</v>
      </c>
    </row>
    <row r="1647" spans="2:11" x14ac:dyDescent="0.45">
      <c r="B1647" s="1" t="s">
        <v>11</v>
      </c>
      <c r="C1647" s="1" t="s">
        <v>1650</v>
      </c>
      <c r="D1647" s="7">
        <v>46096</v>
      </c>
      <c r="E1647" s="7">
        <v>46118</v>
      </c>
      <c r="F1647" s="7">
        <v>46314</v>
      </c>
      <c r="G1647" s="1" t="s">
        <v>16</v>
      </c>
      <c r="H1647" s="8">
        <v>4369331.5599999996</v>
      </c>
      <c r="I1647" s="8">
        <v>2796796.18</v>
      </c>
      <c r="J1647" s="1">
        <f>IF(COUNTIF($C$4:C1647,C1647)=1,1,0)</f>
        <v>1</v>
      </c>
      <c r="K1647" s="1">
        <f t="shared" si="25"/>
        <v>2026</v>
      </c>
    </row>
    <row r="1648" spans="2:11" x14ac:dyDescent="0.45">
      <c r="B1648" s="1" t="s">
        <v>11</v>
      </c>
      <c r="C1648" s="1" t="s">
        <v>1651</v>
      </c>
      <c r="D1648" s="7">
        <v>45212</v>
      </c>
      <c r="E1648" s="7">
        <v>45229</v>
      </c>
      <c r="F1648" s="7">
        <v>45289</v>
      </c>
      <c r="G1648" s="1" t="s">
        <v>13</v>
      </c>
      <c r="H1648" s="8">
        <v>302745.37</v>
      </c>
      <c r="I1648" s="8">
        <v>213295.26</v>
      </c>
      <c r="J1648" s="1">
        <f>IF(COUNTIF($C$4:C1648,C1648)=1,1,0)</f>
        <v>1</v>
      </c>
      <c r="K1648" s="1">
        <f t="shared" si="25"/>
        <v>2023</v>
      </c>
    </row>
    <row r="1649" spans="2:11" x14ac:dyDescent="0.45">
      <c r="B1649" s="1" t="s">
        <v>11</v>
      </c>
      <c r="C1649" s="1" t="s">
        <v>1652</v>
      </c>
      <c r="D1649" s="7">
        <v>43769</v>
      </c>
      <c r="E1649" s="7">
        <v>43769</v>
      </c>
      <c r="F1649" s="7">
        <v>43836</v>
      </c>
      <c r="G1649" s="1" t="s">
        <v>20</v>
      </c>
      <c r="H1649" s="8">
        <v>816057.07</v>
      </c>
      <c r="I1649" s="8">
        <v>588776.95999999996</v>
      </c>
      <c r="J1649" s="1">
        <f>IF(COUNTIF($C$4:C1649,C1649)=1,1,0)</f>
        <v>1</v>
      </c>
      <c r="K1649" s="1">
        <f t="shared" si="25"/>
        <v>2019</v>
      </c>
    </row>
    <row r="1650" spans="2:11" x14ac:dyDescent="0.45">
      <c r="B1650" s="1" t="s">
        <v>11</v>
      </c>
      <c r="C1650" s="1" t="s">
        <v>1653</v>
      </c>
      <c r="D1650" s="7">
        <v>45425</v>
      </c>
      <c r="E1650" s="7">
        <v>45446</v>
      </c>
      <c r="F1650" s="7">
        <v>45503</v>
      </c>
      <c r="G1650" s="1" t="s">
        <v>41</v>
      </c>
      <c r="H1650" s="8">
        <v>203793.97</v>
      </c>
      <c r="I1650" s="8">
        <v>142697.46</v>
      </c>
      <c r="J1650" s="1">
        <f>IF(COUNTIF($C$4:C1650,C1650)=1,1,0)</f>
        <v>1</v>
      </c>
      <c r="K1650" s="1">
        <f t="shared" si="25"/>
        <v>2024</v>
      </c>
    </row>
    <row r="1651" spans="2:11" x14ac:dyDescent="0.45">
      <c r="B1651" s="1" t="s">
        <v>11</v>
      </c>
      <c r="C1651" s="1" t="s">
        <v>1654</v>
      </c>
      <c r="D1651" s="7">
        <v>44865</v>
      </c>
      <c r="E1651" s="7">
        <v>44870</v>
      </c>
      <c r="F1651" s="7">
        <v>44908</v>
      </c>
      <c r="G1651" s="1" t="s">
        <v>212</v>
      </c>
      <c r="H1651" s="8">
        <v>610401.18999999994</v>
      </c>
      <c r="I1651" s="8">
        <v>445238.74</v>
      </c>
      <c r="J1651" s="1">
        <f>IF(COUNTIF($C$4:C1651,C1651)=1,1,0)</f>
        <v>1</v>
      </c>
      <c r="K1651" s="1">
        <f t="shared" si="25"/>
        <v>2022</v>
      </c>
    </row>
    <row r="1652" spans="2:11" x14ac:dyDescent="0.45">
      <c r="B1652" s="1" t="s">
        <v>11</v>
      </c>
      <c r="C1652" s="1" t="s">
        <v>1655</v>
      </c>
      <c r="D1652" s="7">
        <v>45826</v>
      </c>
      <c r="E1652" s="7">
        <v>45852</v>
      </c>
      <c r="F1652" s="7">
        <v>46056</v>
      </c>
      <c r="G1652" s="1" t="s">
        <v>20</v>
      </c>
      <c r="H1652" s="8">
        <v>65824671.799999997</v>
      </c>
      <c r="I1652" s="8">
        <v>22866608.48</v>
      </c>
      <c r="J1652" s="1">
        <f>IF(COUNTIF($C$4:C1652,C1652)=1,1,0)</f>
        <v>1</v>
      </c>
      <c r="K1652" s="1">
        <f t="shared" si="25"/>
        <v>2025</v>
      </c>
    </row>
    <row r="1653" spans="2:11" x14ac:dyDescent="0.45">
      <c r="B1653" s="1" t="s">
        <v>11</v>
      </c>
      <c r="C1653" s="1" t="s">
        <v>1656</v>
      </c>
      <c r="D1653" s="7">
        <v>44313</v>
      </c>
      <c r="E1653" s="7">
        <v>44340</v>
      </c>
      <c r="F1653" s="7">
        <v>44389</v>
      </c>
      <c r="G1653" s="1" t="s">
        <v>41</v>
      </c>
      <c r="H1653" s="8">
        <v>202365.81</v>
      </c>
      <c r="I1653" s="8">
        <v>157362.26999999999</v>
      </c>
      <c r="J1653" s="1">
        <f>IF(COUNTIF($C$4:C1653,C1653)=1,1,0)</f>
        <v>1</v>
      </c>
      <c r="K1653" s="1">
        <f t="shared" si="25"/>
        <v>2021</v>
      </c>
    </row>
    <row r="1654" spans="2:11" x14ac:dyDescent="0.45">
      <c r="B1654" s="1" t="s">
        <v>11</v>
      </c>
      <c r="C1654" s="1" t="s">
        <v>1657</v>
      </c>
      <c r="D1654" s="7">
        <v>45988</v>
      </c>
      <c r="E1654" s="7">
        <v>46007</v>
      </c>
      <c r="F1654" s="7">
        <v>46135</v>
      </c>
      <c r="G1654" s="1" t="s">
        <v>212</v>
      </c>
      <c r="H1654" s="8">
        <v>6366844.96</v>
      </c>
      <c r="I1654" s="8">
        <v>3664871.26</v>
      </c>
      <c r="J1654" s="1">
        <f>IF(COUNTIF($C$4:C1654,C1654)=1,1,0)</f>
        <v>1</v>
      </c>
      <c r="K1654" s="1">
        <f t="shared" si="25"/>
        <v>2025</v>
      </c>
    </row>
    <row r="1655" spans="2:11" x14ac:dyDescent="0.45">
      <c r="B1655" s="1" t="s">
        <v>11</v>
      </c>
      <c r="C1655" s="1" t="s">
        <v>1658</v>
      </c>
      <c r="D1655" s="7">
        <v>43606</v>
      </c>
      <c r="E1655" s="7">
        <v>43627</v>
      </c>
      <c r="F1655" s="7">
        <v>43708</v>
      </c>
      <c r="G1655" s="1" t="s">
        <v>38</v>
      </c>
      <c r="H1655" s="8">
        <v>694185.45</v>
      </c>
      <c r="I1655" s="8">
        <v>491074.61</v>
      </c>
      <c r="J1655" s="1">
        <f>IF(COUNTIF($C$4:C1655,C1655)=1,1,0)</f>
        <v>1</v>
      </c>
      <c r="K1655" s="1">
        <f t="shared" si="25"/>
        <v>2019</v>
      </c>
    </row>
    <row r="1656" spans="2:11" x14ac:dyDescent="0.45">
      <c r="B1656" s="1" t="s">
        <v>11</v>
      </c>
      <c r="C1656" s="1" t="s">
        <v>1659</v>
      </c>
      <c r="D1656" s="7">
        <v>44635</v>
      </c>
      <c r="E1656" s="7">
        <v>44636</v>
      </c>
      <c r="F1656" s="7">
        <v>44841</v>
      </c>
      <c r="G1656" s="1" t="s">
        <v>38</v>
      </c>
      <c r="H1656" s="8">
        <v>1324672.78</v>
      </c>
      <c r="I1656" s="8">
        <v>868296.82</v>
      </c>
      <c r="J1656" s="1">
        <f>IF(COUNTIF($C$4:C1656,C1656)=1,1,0)</f>
        <v>1</v>
      </c>
      <c r="K1656" s="1">
        <f t="shared" si="25"/>
        <v>2022</v>
      </c>
    </row>
    <row r="1657" spans="2:11" x14ac:dyDescent="0.45">
      <c r="B1657" s="1" t="s">
        <v>11</v>
      </c>
      <c r="C1657" s="1" t="s">
        <v>1660</v>
      </c>
      <c r="D1657" s="7">
        <v>43886</v>
      </c>
      <c r="E1657" s="7">
        <v>43901</v>
      </c>
      <c r="F1657" s="7">
        <v>43909</v>
      </c>
      <c r="G1657" s="1" t="s">
        <v>22</v>
      </c>
      <c r="H1657" s="8">
        <v>10110943.35</v>
      </c>
      <c r="I1657" s="8">
        <v>5629476.6299999999</v>
      </c>
      <c r="J1657" s="1">
        <f>IF(COUNTIF($C$4:C1657,C1657)=1,1,0)</f>
        <v>1</v>
      </c>
      <c r="K1657" s="1">
        <f t="shared" si="25"/>
        <v>2020</v>
      </c>
    </row>
    <row r="1658" spans="2:11" x14ac:dyDescent="0.45">
      <c r="B1658" s="1" t="s">
        <v>11</v>
      </c>
      <c r="C1658" s="1" t="s">
        <v>1661</v>
      </c>
      <c r="D1658" s="7">
        <v>43726</v>
      </c>
      <c r="E1658" s="7">
        <v>43742</v>
      </c>
      <c r="F1658" s="7">
        <v>43895</v>
      </c>
      <c r="G1658" s="1" t="s">
        <v>20</v>
      </c>
      <c r="H1658" s="8">
        <v>1093623.1299999999</v>
      </c>
      <c r="I1658" s="8">
        <v>736863.27</v>
      </c>
      <c r="J1658" s="1">
        <f>IF(COUNTIF($C$4:C1658,C1658)=1,1,0)</f>
        <v>1</v>
      </c>
      <c r="K1658" s="1">
        <f t="shared" si="25"/>
        <v>2019</v>
      </c>
    </row>
    <row r="1659" spans="2:11" x14ac:dyDescent="0.45">
      <c r="B1659" s="1" t="s">
        <v>11</v>
      </c>
      <c r="C1659" s="1" t="s">
        <v>1662</v>
      </c>
      <c r="D1659" s="7">
        <v>43176</v>
      </c>
      <c r="E1659" s="7">
        <v>43184</v>
      </c>
      <c r="F1659" s="7">
        <v>43390</v>
      </c>
      <c r="G1659" s="1" t="s">
        <v>16</v>
      </c>
      <c r="H1659" s="8">
        <v>4639265.09</v>
      </c>
      <c r="I1659" s="8">
        <v>2819173.14</v>
      </c>
      <c r="J1659" s="1">
        <f>IF(COUNTIF($C$4:C1659,C1659)=1,1,0)</f>
        <v>1</v>
      </c>
      <c r="K1659" s="1">
        <f t="shared" si="25"/>
        <v>2018</v>
      </c>
    </row>
    <row r="1660" spans="2:11" x14ac:dyDescent="0.45">
      <c r="B1660" s="1" t="s">
        <v>11</v>
      </c>
      <c r="C1660" s="1" t="s">
        <v>1663</v>
      </c>
      <c r="D1660" s="7">
        <v>45070</v>
      </c>
      <c r="E1660" s="7">
        <v>45078</v>
      </c>
      <c r="F1660" s="7">
        <v>45124</v>
      </c>
      <c r="G1660" s="1" t="s">
        <v>20</v>
      </c>
      <c r="H1660" s="8">
        <v>193340248.53</v>
      </c>
      <c r="I1660" s="8">
        <v>71823952.659999996</v>
      </c>
      <c r="J1660" s="1">
        <f>IF(COUNTIF($C$4:C1660,C1660)=1,1,0)</f>
        <v>1</v>
      </c>
      <c r="K1660" s="1">
        <f t="shared" si="25"/>
        <v>2023</v>
      </c>
    </row>
    <row r="1661" spans="2:11" x14ac:dyDescent="0.45">
      <c r="B1661" s="1" t="s">
        <v>11</v>
      </c>
      <c r="C1661" s="1" t="s">
        <v>1664</v>
      </c>
      <c r="D1661" s="7">
        <v>43526</v>
      </c>
      <c r="E1661" s="7">
        <v>43541</v>
      </c>
      <c r="F1661" s="7">
        <v>43651</v>
      </c>
      <c r="G1661" s="1" t="s">
        <v>212</v>
      </c>
      <c r="H1661" s="8">
        <v>59846364.649999999</v>
      </c>
      <c r="I1661" s="8">
        <v>32873567.010000002</v>
      </c>
      <c r="J1661" s="1">
        <f>IF(COUNTIF($C$4:C1661,C1661)=1,1,0)</f>
        <v>1</v>
      </c>
      <c r="K1661" s="1">
        <f t="shared" si="25"/>
        <v>2019</v>
      </c>
    </row>
    <row r="1662" spans="2:11" x14ac:dyDescent="0.45">
      <c r="B1662" s="1" t="s">
        <v>11</v>
      </c>
      <c r="C1662" s="1" t="s">
        <v>1665</v>
      </c>
      <c r="D1662" s="7">
        <v>45430</v>
      </c>
      <c r="E1662" s="7">
        <v>45434</v>
      </c>
      <c r="F1662" s="7">
        <v>45589</v>
      </c>
      <c r="G1662" s="1" t="s">
        <v>20</v>
      </c>
      <c r="H1662" s="8">
        <v>1968358.17</v>
      </c>
      <c r="I1662" s="8">
        <v>1493986.85</v>
      </c>
      <c r="J1662" s="1">
        <f>IF(COUNTIF($C$4:C1662,C1662)=1,1,0)</f>
        <v>1</v>
      </c>
      <c r="K1662" s="1">
        <f t="shared" si="25"/>
        <v>2024</v>
      </c>
    </row>
    <row r="1663" spans="2:11" x14ac:dyDescent="0.45">
      <c r="B1663" s="1" t="s">
        <v>11</v>
      </c>
      <c r="C1663" s="1" t="s">
        <v>1666</v>
      </c>
      <c r="D1663" s="7">
        <v>45653</v>
      </c>
      <c r="E1663" s="7">
        <v>45661</v>
      </c>
      <c r="F1663" s="7">
        <v>45771</v>
      </c>
      <c r="G1663" s="1" t="s">
        <v>20</v>
      </c>
      <c r="H1663" s="8">
        <v>26635608.140000001</v>
      </c>
      <c r="I1663" s="8">
        <v>9320176.5</v>
      </c>
      <c r="J1663" s="1">
        <f>IF(COUNTIF($C$4:C1663,C1663)=1,1,0)</f>
        <v>1</v>
      </c>
      <c r="K1663" s="1">
        <f t="shared" si="25"/>
        <v>2024</v>
      </c>
    </row>
    <row r="1664" spans="2:11" x14ac:dyDescent="0.45">
      <c r="B1664" s="1" t="s">
        <v>11</v>
      </c>
      <c r="C1664" s="1" t="s">
        <v>1667</v>
      </c>
      <c r="D1664" s="7">
        <v>45982</v>
      </c>
      <c r="E1664" s="7">
        <v>46001</v>
      </c>
      <c r="F1664" s="7">
        <v>46207</v>
      </c>
      <c r="G1664" s="1" t="s">
        <v>41</v>
      </c>
      <c r="H1664" s="8">
        <v>1038853.49</v>
      </c>
      <c r="I1664" s="8">
        <v>719233.77</v>
      </c>
      <c r="J1664" s="1">
        <f>IF(COUNTIF($C$4:C1664,C1664)=1,1,0)</f>
        <v>1</v>
      </c>
      <c r="K1664" s="1">
        <f t="shared" si="25"/>
        <v>2025</v>
      </c>
    </row>
    <row r="1665" spans="2:11" x14ac:dyDescent="0.45">
      <c r="B1665" s="1" t="s">
        <v>11</v>
      </c>
      <c r="C1665" s="1" t="s">
        <v>1668</v>
      </c>
      <c r="D1665" s="7">
        <v>44611</v>
      </c>
      <c r="E1665" s="7">
        <v>44625</v>
      </c>
      <c r="F1665" s="7">
        <v>44778</v>
      </c>
      <c r="G1665" s="1" t="s">
        <v>22</v>
      </c>
      <c r="H1665" s="8">
        <v>27428905.629999999</v>
      </c>
      <c r="I1665" s="8">
        <v>14001961.91</v>
      </c>
      <c r="J1665" s="1">
        <f>IF(COUNTIF($C$4:C1665,C1665)=1,1,0)</f>
        <v>1</v>
      </c>
      <c r="K1665" s="1">
        <f t="shared" si="25"/>
        <v>2022</v>
      </c>
    </row>
    <row r="1666" spans="2:11" x14ac:dyDescent="0.45">
      <c r="B1666" s="1" t="s">
        <v>11</v>
      </c>
      <c r="C1666" s="1" t="s">
        <v>1669</v>
      </c>
      <c r="D1666" s="7">
        <v>44637</v>
      </c>
      <c r="E1666" s="7">
        <v>44662</v>
      </c>
      <c r="F1666" s="7">
        <v>44730</v>
      </c>
      <c r="G1666" s="1" t="s">
        <v>41</v>
      </c>
      <c r="H1666" s="8">
        <v>306172.93</v>
      </c>
      <c r="I1666" s="8">
        <v>206522.99</v>
      </c>
      <c r="J1666" s="1">
        <f>IF(COUNTIF($C$4:C1666,C1666)=1,1,0)</f>
        <v>1</v>
      </c>
      <c r="K1666" s="1">
        <f t="shared" si="25"/>
        <v>2022</v>
      </c>
    </row>
    <row r="1667" spans="2:11" x14ac:dyDescent="0.45">
      <c r="B1667" s="1" t="s">
        <v>11</v>
      </c>
      <c r="C1667" s="1" t="s">
        <v>1670</v>
      </c>
      <c r="D1667" s="7">
        <v>45098</v>
      </c>
      <c r="E1667" s="7">
        <v>45108</v>
      </c>
      <c r="F1667" s="7">
        <v>45280</v>
      </c>
      <c r="G1667" s="1" t="s">
        <v>20</v>
      </c>
      <c r="H1667" s="8">
        <v>179108357.99000001</v>
      </c>
      <c r="I1667" s="8">
        <v>80602509.150000006</v>
      </c>
      <c r="J1667" s="1">
        <f>IF(COUNTIF($C$4:C1667,C1667)=1,1,0)</f>
        <v>1</v>
      </c>
      <c r="K1667" s="1">
        <f t="shared" si="25"/>
        <v>2023</v>
      </c>
    </row>
    <row r="1668" spans="2:11" x14ac:dyDescent="0.45">
      <c r="B1668" s="1" t="s">
        <v>11</v>
      </c>
      <c r="C1668" s="1" t="s">
        <v>1671</v>
      </c>
      <c r="D1668" s="7">
        <v>44839</v>
      </c>
      <c r="E1668" s="7">
        <v>44854</v>
      </c>
      <c r="F1668" s="7">
        <v>45029</v>
      </c>
      <c r="G1668" s="1" t="s">
        <v>20</v>
      </c>
      <c r="H1668" s="8">
        <v>421860.85</v>
      </c>
      <c r="I1668" s="8">
        <v>311823.81</v>
      </c>
      <c r="J1668" s="1">
        <f>IF(COUNTIF($C$4:C1668,C1668)=1,1,0)</f>
        <v>1</v>
      </c>
      <c r="K1668" s="1">
        <f t="shared" si="25"/>
        <v>2022</v>
      </c>
    </row>
    <row r="1669" spans="2:11" x14ac:dyDescent="0.45">
      <c r="B1669" s="1" t="s">
        <v>11</v>
      </c>
      <c r="C1669" s="1" t="s">
        <v>1672</v>
      </c>
      <c r="D1669" s="7">
        <v>44360</v>
      </c>
      <c r="E1669" s="7">
        <v>44372</v>
      </c>
      <c r="F1669" s="7">
        <v>44561</v>
      </c>
      <c r="G1669" s="1" t="s">
        <v>20</v>
      </c>
      <c r="H1669" s="8">
        <v>972844.6</v>
      </c>
      <c r="I1669" s="8">
        <v>746125.49</v>
      </c>
      <c r="J1669" s="1">
        <f>IF(COUNTIF($C$4:C1669,C1669)=1,1,0)</f>
        <v>1</v>
      </c>
      <c r="K1669" s="1">
        <f t="shared" ref="K1669:K1732" si="26">YEAR(D1669)</f>
        <v>2021</v>
      </c>
    </row>
    <row r="1670" spans="2:11" x14ac:dyDescent="0.45">
      <c r="B1670" s="1" t="s">
        <v>11</v>
      </c>
      <c r="C1670" s="1" t="s">
        <v>1673</v>
      </c>
      <c r="D1670" s="7">
        <v>44647</v>
      </c>
      <c r="E1670" s="7">
        <v>44672</v>
      </c>
      <c r="F1670" s="7">
        <v>44795</v>
      </c>
      <c r="G1670" s="1" t="s">
        <v>20</v>
      </c>
      <c r="H1670" s="8">
        <v>35912261.890000001</v>
      </c>
      <c r="I1670" s="8">
        <v>17664820.41</v>
      </c>
      <c r="J1670" s="1">
        <f>IF(COUNTIF($C$4:C1670,C1670)=1,1,0)</f>
        <v>1</v>
      </c>
      <c r="K1670" s="1">
        <f t="shared" si="26"/>
        <v>2022</v>
      </c>
    </row>
    <row r="1671" spans="2:11" x14ac:dyDescent="0.45">
      <c r="B1671" s="1" t="s">
        <v>11</v>
      </c>
      <c r="C1671" s="1" t="s">
        <v>1674</v>
      </c>
      <c r="D1671" s="7">
        <v>44725</v>
      </c>
      <c r="E1671" s="7">
        <v>44751</v>
      </c>
      <c r="F1671" s="7">
        <v>44899</v>
      </c>
      <c r="G1671" s="1" t="s">
        <v>20</v>
      </c>
      <c r="H1671" s="8">
        <v>2187073.4900000002</v>
      </c>
      <c r="I1671" s="8">
        <v>1280225.71</v>
      </c>
      <c r="J1671" s="1">
        <f>IF(COUNTIF($C$4:C1671,C1671)=1,1,0)</f>
        <v>1</v>
      </c>
      <c r="K1671" s="1">
        <f t="shared" si="26"/>
        <v>2022</v>
      </c>
    </row>
    <row r="1672" spans="2:11" x14ac:dyDescent="0.45">
      <c r="B1672" s="1" t="s">
        <v>11</v>
      </c>
      <c r="C1672" s="1" t="s">
        <v>1418</v>
      </c>
      <c r="D1672" s="7">
        <v>44473</v>
      </c>
      <c r="E1672" s="7">
        <v>44485</v>
      </c>
      <c r="F1672" s="7">
        <v>44574</v>
      </c>
      <c r="G1672" s="1" t="s">
        <v>16</v>
      </c>
      <c r="H1672" s="8">
        <v>11664467.369999999</v>
      </c>
      <c r="I1672" s="8">
        <v>6130892.8200000003</v>
      </c>
      <c r="J1672" s="1">
        <f>IF(COUNTIF($C$4:C1672,C1672)=1,1,0)</f>
        <v>0</v>
      </c>
      <c r="K1672" s="1">
        <f t="shared" si="26"/>
        <v>2021</v>
      </c>
    </row>
    <row r="1673" spans="2:11" x14ac:dyDescent="0.45">
      <c r="B1673" s="1" t="s">
        <v>11</v>
      </c>
      <c r="C1673" s="1" t="s">
        <v>1675</v>
      </c>
      <c r="D1673" s="7">
        <v>43851</v>
      </c>
      <c r="E1673" s="7">
        <v>43853</v>
      </c>
      <c r="F1673" s="7">
        <v>43943</v>
      </c>
      <c r="G1673" s="1" t="s">
        <v>20</v>
      </c>
      <c r="H1673" s="8">
        <v>1276522.31</v>
      </c>
      <c r="I1673" s="8">
        <v>895290.09</v>
      </c>
      <c r="J1673" s="1">
        <f>IF(COUNTIF($C$4:C1673,C1673)=1,1,0)</f>
        <v>1</v>
      </c>
      <c r="K1673" s="1">
        <f t="shared" si="26"/>
        <v>2020</v>
      </c>
    </row>
    <row r="1674" spans="2:11" x14ac:dyDescent="0.45">
      <c r="B1674" s="1" t="s">
        <v>11</v>
      </c>
      <c r="C1674" s="1" t="s">
        <v>1676</v>
      </c>
      <c r="D1674" s="7">
        <v>44797</v>
      </c>
      <c r="E1674" s="7">
        <v>44797</v>
      </c>
      <c r="F1674" s="7">
        <v>44932</v>
      </c>
      <c r="G1674" s="1" t="s">
        <v>16</v>
      </c>
      <c r="H1674" s="8">
        <v>1337049.78</v>
      </c>
      <c r="I1674" s="8">
        <v>994966.88</v>
      </c>
      <c r="J1674" s="1">
        <f>IF(COUNTIF($C$4:C1674,C1674)=1,1,0)</f>
        <v>1</v>
      </c>
      <c r="K1674" s="1">
        <f t="shared" si="26"/>
        <v>2022</v>
      </c>
    </row>
    <row r="1675" spans="2:11" x14ac:dyDescent="0.45">
      <c r="B1675" s="1" t="s">
        <v>11</v>
      </c>
      <c r="C1675" s="1" t="s">
        <v>1677</v>
      </c>
      <c r="D1675" s="7">
        <v>46039</v>
      </c>
      <c r="E1675" s="7">
        <v>46063</v>
      </c>
      <c r="F1675" s="7">
        <v>46284</v>
      </c>
      <c r="G1675" s="1" t="s">
        <v>212</v>
      </c>
      <c r="H1675" s="8">
        <v>15833483.380000001</v>
      </c>
      <c r="I1675" s="8">
        <v>9797930.3200000003</v>
      </c>
      <c r="J1675" s="1">
        <f>IF(COUNTIF($C$4:C1675,C1675)=1,1,0)</f>
        <v>1</v>
      </c>
      <c r="K1675" s="1">
        <f t="shared" si="26"/>
        <v>2026</v>
      </c>
    </row>
    <row r="1676" spans="2:11" x14ac:dyDescent="0.45">
      <c r="B1676" s="1" t="s">
        <v>11</v>
      </c>
      <c r="C1676" s="1" t="s">
        <v>1678</v>
      </c>
      <c r="D1676" s="7">
        <v>45442</v>
      </c>
      <c r="E1676" s="7">
        <v>45448</v>
      </c>
      <c r="F1676" s="7">
        <v>45649</v>
      </c>
      <c r="G1676" s="1" t="s">
        <v>13</v>
      </c>
      <c r="H1676" s="8">
        <v>99321.03</v>
      </c>
      <c r="I1676" s="8">
        <v>81767.22</v>
      </c>
      <c r="J1676" s="1">
        <f>IF(COUNTIF($C$4:C1676,C1676)=1,1,0)</f>
        <v>1</v>
      </c>
      <c r="K1676" s="1">
        <f t="shared" si="26"/>
        <v>2024</v>
      </c>
    </row>
    <row r="1677" spans="2:11" x14ac:dyDescent="0.45">
      <c r="B1677" s="1" t="s">
        <v>11</v>
      </c>
      <c r="C1677" s="1" t="s">
        <v>1679</v>
      </c>
      <c r="D1677" s="7">
        <v>44005</v>
      </c>
      <c r="E1677" s="7">
        <v>44006</v>
      </c>
      <c r="F1677" s="7">
        <v>44085</v>
      </c>
      <c r="G1677" s="1" t="s">
        <v>13</v>
      </c>
      <c r="H1677" s="8">
        <v>812675.3</v>
      </c>
      <c r="I1677" s="8">
        <v>672902.65</v>
      </c>
      <c r="J1677" s="1">
        <f>IF(COUNTIF($C$4:C1677,C1677)=1,1,0)</f>
        <v>1</v>
      </c>
      <c r="K1677" s="1">
        <f t="shared" si="26"/>
        <v>2020</v>
      </c>
    </row>
    <row r="1678" spans="2:11" x14ac:dyDescent="0.45">
      <c r="B1678" s="1" t="s">
        <v>11</v>
      </c>
      <c r="C1678" s="1" t="s">
        <v>1680</v>
      </c>
      <c r="D1678" s="7">
        <v>44644</v>
      </c>
      <c r="E1678" s="7">
        <v>44654</v>
      </c>
      <c r="F1678" s="7">
        <v>44762</v>
      </c>
      <c r="G1678" s="1" t="s">
        <v>20</v>
      </c>
      <c r="H1678" s="8">
        <v>253082582.28999999</v>
      </c>
      <c r="I1678" s="8">
        <v>169482940.56</v>
      </c>
      <c r="J1678" s="1">
        <f>IF(COUNTIF($C$4:C1678,C1678)=1,1,0)</f>
        <v>1</v>
      </c>
      <c r="K1678" s="1">
        <f t="shared" si="26"/>
        <v>2022</v>
      </c>
    </row>
    <row r="1679" spans="2:11" x14ac:dyDescent="0.45">
      <c r="B1679" s="1" t="s">
        <v>11</v>
      </c>
      <c r="C1679" s="1" t="s">
        <v>1681</v>
      </c>
      <c r="D1679" s="7">
        <v>43927</v>
      </c>
      <c r="E1679" s="7">
        <v>43955</v>
      </c>
      <c r="F1679" s="7">
        <v>44125</v>
      </c>
      <c r="G1679" s="1" t="s">
        <v>41</v>
      </c>
      <c r="H1679" s="8">
        <v>260209.3</v>
      </c>
      <c r="I1679" s="8">
        <v>156839.44</v>
      </c>
      <c r="J1679" s="1">
        <f>IF(COUNTIF($C$4:C1679,C1679)=1,1,0)</f>
        <v>1</v>
      </c>
      <c r="K1679" s="1">
        <f t="shared" si="26"/>
        <v>2020</v>
      </c>
    </row>
    <row r="1680" spans="2:11" x14ac:dyDescent="0.45">
      <c r="B1680" s="1" t="s">
        <v>11</v>
      </c>
      <c r="C1680" s="1" t="s">
        <v>1682</v>
      </c>
      <c r="D1680" s="7">
        <v>44735</v>
      </c>
      <c r="E1680" s="7">
        <v>44755</v>
      </c>
      <c r="F1680" s="7">
        <v>44942</v>
      </c>
      <c r="G1680" s="1" t="s">
        <v>13</v>
      </c>
      <c r="H1680" s="8">
        <v>158207.44</v>
      </c>
      <c r="I1680" s="8">
        <v>121986.47</v>
      </c>
      <c r="J1680" s="1">
        <f>IF(COUNTIF($C$4:C1680,C1680)=1,1,0)</f>
        <v>1</v>
      </c>
      <c r="K1680" s="1">
        <f t="shared" si="26"/>
        <v>2022</v>
      </c>
    </row>
    <row r="1681" spans="2:11" x14ac:dyDescent="0.45">
      <c r="B1681" s="1" t="s">
        <v>11</v>
      </c>
      <c r="C1681" s="1" t="s">
        <v>1683</v>
      </c>
      <c r="D1681" s="7">
        <v>45822</v>
      </c>
      <c r="E1681" s="7">
        <v>45838</v>
      </c>
      <c r="F1681" s="7">
        <v>46065</v>
      </c>
      <c r="G1681" s="1" t="s">
        <v>13</v>
      </c>
      <c r="H1681" s="8">
        <v>840655.75</v>
      </c>
      <c r="I1681" s="8">
        <v>708319.63</v>
      </c>
      <c r="J1681" s="1">
        <f>IF(COUNTIF($C$4:C1681,C1681)=1,1,0)</f>
        <v>1</v>
      </c>
      <c r="K1681" s="1">
        <f t="shared" si="26"/>
        <v>2025</v>
      </c>
    </row>
    <row r="1682" spans="2:11" x14ac:dyDescent="0.45">
      <c r="B1682" s="1" t="s">
        <v>11</v>
      </c>
      <c r="C1682" s="1" t="s">
        <v>1684</v>
      </c>
      <c r="D1682" s="7">
        <v>44000</v>
      </c>
      <c r="E1682" s="7">
        <v>44002</v>
      </c>
      <c r="F1682" s="7">
        <v>44082</v>
      </c>
      <c r="G1682" s="1" t="s">
        <v>16</v>
      </c>
      <c r="H1682" s="8">
        <v>133716.47</v>
      </c>
      <c r="I1682" s="8">
        <v>83434.710000000006</v>
      </c>
      <c r="J1682" s="1">
        <f>IF(COUNTIF($C$4:C1682,C1682)=1,1,0)</f>
        <v>1</v>
      </c>
      <c r="K1682" s="1">
        <f t="shared" si="26"/>
        <v>2020</v>
      </c>
    </row>
    <row r="1683" spans="2:11" x14ac:dyDescent="0.45">
      <c r="B1683" s="1" t="s">
        <v>11</v>
      </c>
      <c r="C1683" s="1" t="s">
        <v>1685</v>
      </c>
      <c r="D1683" s="7">
        <v>44748</v>
      </c>
      <c r="E1683" s="7">
        <v>44749</v>
      </c>
      <c r="F1683" s="7">
        <v>44805</v>
      </c>
      <c r="G1683" s="1" t="s">
        <v>20</v>
      </c>
      <c r="H1683" s="8">
        <v>872209.48</v>
      </c>
      <c r="I1683" s="8">
        <v>550823.4</v>
      </c>
      <c r="J1683" s="1">
        <f>IF(COUNTIF($C$4:C1683,C1683)=1,1,0)</f>
        <v>1</v>
      </c>
      <c r="K1683" s="1">
        <f t="shared" si="26"/>
        <v>2022</v>
      </c>
    </row>
    <row r="1684" spans="2:11" x14ac:dyDescent="0.45">
      <c r="B1684" s="1" t="s">
        <v>11</v>
      </c>
      <c r="C1684" s="1" t="s">
        <v>1686</v>
      </c>
      <c r="D1684" s="7">
        <v>44967</v>
      </c>
      <c r="E1684" s="7">
        <v>44983</v>
      </c>
      <c r="F1684" s="7">
        <v>45162</v>
      </c>
      <c r="G1684" s="1" t="s">
        <v>20</v>
      </c>
      <c r="H1684" s="8">
        <v>523172.03</v>
      </c>
      <c r="I1684" s="8">
        <v>337262.83</v>
      </c>
      <c r="J1684" s="1">
        <f>IF(COUNTIF($C$4:C1684,C1684)=1,1,0)</f>
        <v>1</v>
      </c>
      <c r="K1684" s="1">
        <f t="shared" si="26"/>
        <v>2023</v>
      </c>
    </row>
    <row r="1685" spans="2:11" x14ac:dyDescent="0.45">
      <c r="B1685" s="1" t="s">
        <v>11</v>
      </c>
      <c r="C1685" s="1" t="s">
        <v>1687</v>
      </c>
      <c r="D1685" s="7">
        <v>45793</v>
      </c>
      <c r="E1685" s="7">
        <v>45799</v>
      </c>
      <c r="F1685" s="7">
        <v>45873</v>
      </c>
      <c r="G1685" s="1" t="s">
        <v>38</v>
      </c>
      <c r="H1685" s="8">
        <v>126517.34</v>
      </c>
      <c r="I1685" s="8">
        <v>107293.57</v>
      </c>
      <c r="J1685" s="1">
        <f>IF(COUNTIF($C$4:C1685,C1685)=1,1,0)</f>
        <v>1</v>
      </c>
      <c r="K1685" s="1">
        <f t="shared" si="26"/>
        <v>2025</v>
      </c>
    </row>
    <row r="1686" spans="2:11" x14ac:dyDescent="0.45">
      <c r="B1686" s="1" t="s">
        <v>11</v>
      </c>
      <c r="C1686" s="1" t="s">
        <v>1688</v>
      </c>
      <c r="D1686" s="7">
        <v>45828</v>
      </c>
      <c r="E1686" s="7">
        <v>45848</v>
      </c>
      <c r="F1686" s="7">
        <v>45967</v>
      </c>
      <c r="G1686" s="1" t="s">
        <v>41</v>
      </c>
      <c r="H1686" s="8">
        <v>103550.37</v>
      </c>
      <c r="I1686" s="8">
        <v>83557.62</v>
      </c>
      <c r="J1686" s="1">
        <f>IF(COUNTIF($C$4:C1686,C1686)=1,1,0)</f>
        <v>1</v>
      </c>
      <c r="K1686" s="1">
        <f t="shared" si="26"/>
        <v>2025</v>
      </c>
    </row>
    <row r="1687" spans="2:11" x14ac:dyDescent="0.45">
      <c r="B1687" s="1" t="s">
        <v>11</v>
      </c>
      <c r="C1687" s="1" t="s">
        <v>1689</v>
      </c>
      <c r="D1687" s="7">
        <v>44771</v>
      </c>
      <c r="E1687" s="7">
        <v>44781</v>
      </c>
      <c r="F1687" s="7">
        <v>44856</v>
      </c>
      <c r="G1687" s="1" t="s">
        <v>20</v>
      </c>
      <c r="H1687" s="8">
        <v>730293.06</v>
      </c>
      <c r="I1687" s="8">
        <v>421744.22</v>
      </c>
      <c r="J1687" s="1">
        <f>IF(COUNTIF($C$4:C1687,C1687)=1,1,0)</f>
        <v>1</v>
      </c>
      <c r="K1687" s="1">
        <f t="shared" si="26"/>
        <v>2022</v>
      </c>
    </row>
    <row r="1688" spans="2:11" x14ac:dyDescent="0.45">
      <c r="B1688" s="1" t="s">
        <v>11</v>
      </c>
      <c r="C1688" s="1" t="s">
        <v>1690</v>
      </c>
      <c r="D1688" s="7">
        <v>45753</v>
      </c>
      <c r="E1688" s="7">
        <v>45764</v>
      </c>
      <c r="F1688" s="7">
        <v>45918</v>
      </c>
      <c r="G1688" s="1" t="s">
        <v>212</v>
      </c>
      <c r="H1688" s="8">
        <v>62367177</v>
      </c>
      <c r="I1688" s="8">
        <v>30564896.780000001</v>
      </c>
      <c r="J1688" s="1">
        <f>IF(COUNTIF($C$4:C1688,C1688)=1,1,0)</f>
        <v>1</v>
      </c>
      <c r="K1688" s="1">
        <f t="shared" si="26"/>
        <v>2025</v>
      </c>
    </row>
    <row r="1689" spans="2:11" x14ac:dyDescent="0.45">
      <c r="B1689" s="1" t="s">
        <v>11</v>
      </c>
      <c r="C1689" s="1" t="s">
        <v>1691</v>
      </c>
      <c r="D1689" s="7">
        <v>44929</v>
      </c>
      <c r="E1689" s="7">
        <v>44956</v>
      </c>
      <c r="F1689" s="7">
        <v>45163</v>
      </c>
      <c r="G1689" s="1" t="s">
        <v>20</v>
      </c>
      <c r="H1689" s="8">
        <v>2557845.5499999998</v>
      </c>
      <c r="I1689" s="8">
        <v>2087096.73</v>
      </c>
      <c r="J1689" s="1">
        <f>IF(COUNTIF($C$4:C1689,C1689)=1,1,0)</f>
        <v>1</v>
      </c>
      <c r="K1689" s="1">
        <f t="shared" si="26"/>
        <v>2023</v>
      </c>
    </row>
    <row r="1690" spans="2:11" x14ac:dyDescent="0.45">
      <c r="B1690" s="1" t="s">
        <v>11</v>
      </c>
      <c r="C1690" s="1" t="s">
        <v>1692</v>
      </c>
      <c r="D1690" s="7">
        <v>45440</v>
      </c>
      <c r="E1690" s="7">
        <v>45456</v>
      </c>
      <c r="F1690" s="7">
        <v>45559</v>
      </c>
      <c r="G1690" s="1" t="s">
        <v>38</v>
      </c>
      <c r="H1690" s="8">
        <v>794329.61</v>
      </c>
      <c r="I1690" s="8">
        <v>583005.06999999995</v>
      </c>
      <c r="J1690" s="1">
        <f>IF(COUNTIF($C$4:C1690,C1690)=1,1,0)</f>
        <v>1</v>
      </c>
      <c r="K1690" s="1">
        <f t="shared" si="26"/>
        <v>2024</v>
      </c>
    </row>
    <row r="1691" spans="2:11" x14ac:dyDescent="0.45">
      <c r="B1691" s="1" t="s">
        <v>11</v>
      </c>
      <c r="C1691" s="1" t="s">
        <v>1693</v>
      </c>
      <c r="D1691" s="7">
        <v>44703</v>
      </c>
      <c r="E1691" s="7">
        <v>44711</v>
      </c>
      <c r="F1691" s="7">
        <v>44877</v>
      </c>
      <c r="G1691" s="1" t="s">
        <v>16</v>
      </c>
      <c r="H1691" s="8">
        <v>3662471.41</v>
      </c>
      <c r="I1691" s="8">
        <v>2099236.4300000002</v>
      </c>
      <c r="J1691" s="1">
        <f>IF(COUNTIF($C$4:C1691,C1691)=1,1,0)</f>
        <v>1</v>
      </c>
      <c r="K1691" s="1">
        <f t="shared" si="26"/>
        <v>2022</v>
      </c>
    </row>
    <row r="1692" spans="2:11" x14ac:dyDescent="0.45">
      <c r="B1692" s="1" t="s">
        <v>11</v>
      </c>
      <c r="C1692" s="1" t="s">
        <v>1694</v>
      </c>
      <c r="D1692" s="7">
        <v>45188</v>
      </c>
      <c r="E1692" s="7">
        <v>45207</v>
      </c>
      <c r="F1692" s="7">
        <v>45289</v>
      </c>
      <c r="G1692" s="1" t="s">
        <v>212</v>
      </c>
      <c r="H1692" s="8">
        <v>42546859.409999996</v>
      </c>
      <c r="I1692" s="8">
        <v>22921471.940000001</v>
      </c>
      <c r="J1692" s="1">
        <f>IF(COUNTIF($C$4:C1692,C1692)=1,1,0)</f>
        <v>1</v>
      </c>
      <c r="K1692" s="1">
        <f t="shared" si="26"/>
        <v>2023</v>
      </c>
    </row>
    <row r="1693" spans="2:11" x14ac:dyDescent="0.45">
      <c r="B1693" s="1" t="s">
        <v>11</v>
      </c>
      <c r="C1693" s="1" t="s">
        <v>1695</v>
      </c>
      <c r="D1693" s="7">
        <v>45348</v>
      </c>
      <c r="E1693" s="7">
        <v>45362</v>
      </c>
      <c r="F1693" s="7">
        <v>45533</v>
      </c>
      <c r="G1693" s="1" t="s">
        <v>212</v>
      </c>
      <c r="H1693" s="8">
        <v>12392929.48</v>
      </c>
      <c r="I1693" s="8">
        <v>5381574.96</v>
      </c>
      <c r="J1693" s="1">
        <f>IF(COUNTIF($C$4:C1693,C1693)=1,1,0)</f>
        <v>1</v>
      </c>
      <c r="K1693" s="1">
        <f t="shared" si="26"/>
        <v>2024</v>
      </c>
    </row>
    <row r="1694" spans="2:11" x14ac:dyDescent="0.45">
      <c r="B1694" s="1" t="s">
        <v>11</v>
      </c>
      <c r="C1694" s="1" t="s">
        <v>1696</v>
      </c>
      <c r="D1694" s="7">
        <v>43918</v>
      </c>
      <c r="E1694" s="7">
        <v>43935</v>
      </c>
      <c r="F1694" s="7">
        <v>44160</v>
      </c>
      <c r="G1694" s="1" t="s">
        <v>212</v>
      </c>
      <c r="H1694" s="8">
        <v>47183513.840000004</v>
      </c>
      <c r="I1694" s="8">
        <v>26628760.739999998</v>
      </c>
      <c r="J1694" s="1">
        <f>IF(COUNTIF($C$4:C1694,C1694)=1,1,0)</f>
        <v>1</v>
      </c>
      <c r="K1694" s="1">
        <f t="shared" si="26"/>
        <v>2020</v>
      </c>
    </row>
    <row r="1695" spans="2:11" x14ac:dyDescent="0.45">
      <c r="B1695" s="1" t="s">
        <v>11</v>
      </c>
      <c r="C1695" s="1" t="s">
        <v>1697</v>
      </c>
      <c r="D1695" s="7">
        <v>44027</v>
      </c>
      <c r="E1695" s="7">
        <v>44057</v>
      </c>
      <c r="F1695" s="7">
        <v>44138</v>
      </c>
      <c r="G1695" s="1" t="s">
        <v>41</v>
      </c>
      <c r="H1695" s="8">
        <v>1245552.52</v>
      </c>
      <c r="I1695" s="8">
        <v>1038064.49</v>
      </c>
      <c r="J1695" s="1">
        <f>IF(COUNTIF($C$4:C1695,C1695)=1,1,0)</f>
        <v>1</v>
      </c>
      <c r="K1695" s="1">
        <f t="shared" si="26"/>
        <v>2020</v>
      </c>
    </row>
    <row r="1696" spans="2:11" x14ac:dyDescent="0.45">
      <c r="B1696" s="1" t="s">
        <v>11</v>
      </c>
      <c r="C1696" s="1" t="s">
        <v>1698</v>
      </c>
      <c r="D1696" s="7">
        <v>46074</v>
      </c>
      <c r="E1696" s="7">
        <v>46086</v>
      </c>
      <c r="F1696" s="7">
        <v>46297</v>
      </c>
      <c r="G1696" s="1" t="s">
        <v>41</v>
      </c>
      <c r="H1696" s="8">
        <v>194081.22</v>
      </c>
      <c r="I1696" s="8">
        <v>146370.91</v>
      </c>
      <c r="J1696" s="1">
        <f>IF(COUNTIF($C$4:C1696,C1696)=1,1,0)</f>
        <v>1</v>
      </c>
      <c r="K1696" s="1">
        <f t="shared" si="26"/>
        <v>2026</v>
      </c>
    </row>
    <row r="1697" spans="2:11" x14ac:dyDescent="0.45">
      <c r="B1697" s="1" t="s">
        <v>11</v>
      </c>
      <c r="C1697" s="1" t="s">
        <v>1699</v>
      </c>
      <c r="D1697" s="7">
        <v>44532</v>
      </c>
      <c r="E1697" s="7">
        <v>44547</v>
      </c>
      <c r="F1697" s="7">
        <v>44654</v>
      </c>
      <c r="G1697" s="1" t="s">
        <v>41</v>
      </c>
      <c r="H1697" s="8">
        <v>372234.23999999999</v>
      </c>
      <c r="I1697" s="8">
        <v>317821.68</v>
      </c>
      <c r="J1697" s="1">
        <f>IF(COUNTIF($C$4:C1697,C1697)=1,1,0)</f>
        <v>1</v>
      </c>
      <c r="K1697" s="1">
        <f t="shared" si="26"/>
        <v>2021</v>
      </c>
    </row>
    <row r="1698" spans="2:11" x14ac:dyDescent="0.45">
      <c r="B1698" s="1" t="s">
        <v>11</v>
      </c>
      <c r="C1698" s="1" t="s">
        <v>1700</v>
      </c>
      <c r="D1698" s="7">
        <v>45037</v>
      </c>
      <c r="E1698" s="7">
        <v>45046</v>
      </c>
      <c r="F1698" s="7">
        <v>45162</v>
      </c>
      <c r="G1698" s="1" t="s">
        <v>20</v>
      </c>
      <c r="H1698" s="8">
        <v>1033935.92</v>
      </c>
      <c r="I1698" s="8">
        <v>619985.82999999996</v>
      </c>
      <c r="J1698" s="1">
        <f>IF(COUNTIF($C$4:C1698,C1698)=1,1,0)</f>
        <v>1</v>
      </c>
      <c r="K1698" s="1">
        <f t="shared" si="26"/>
        <v>2023</v>
      </c>
    </row>
    <row r="1699" spans="2:11" x14ac:dyDescent="0.45">
      <c r="B1699" s="1" t="s">
        <v>11</v>
      </c>
      <c r="C1699" s="1" t="s">
        <v>1701</v>
      </c>
      <c r="D1699" s="7">
        <v>43501</v>
      </c>
      <c r="E1699" s="7">
        <v>43521</v>
      </c>
      <c r="F1699" s="7">
        <v>43682</v>
      </c>
      <c r="G1699" s="1" t="s">
        <v>16</v>
      </c>
      <c r="H1699" s="8">
        <v>389002.14</v>
      </c>
      <c r="I1699" s="8">
        <v>257355.91</v>
      </c>
      <c r="J1699" s="1">
        <f>IF(COUNTIF($C$4:C1699,C1699)=1,1,0)</f>
        <v>1</v>
      </c>
      <c r="K1699" s="1">
        <f t="shared" si="26"/>
        <v>2019</v>
      </c>
    </row>
    <row r="1700" spans="2:11" x14ac:dyDescent="0.45">
      <c r="B1700" s="1" t="s">
        <v>11</v>
      </c>
      <c r="C1700" s="1" t="s">
        <v>1702</v>
      </c>
      <c r="D1700" s="7">
        <v>44899</v>
      </c>
      <c r="E1700" s="7">
        <v>44919</v>
      </c>
      <c r="F1700" s="7">
        <v>45138</v>
      </c>
      <c r="G1700" s="1" t="s">
        <v>212</v>
      </c>
      <c r="H1700" s="8">
        <v>10128772.15</v>
      </c>
      <c r="I1700" s="8">
        <v>7673882.1500000004</v>
      </c>
      <c r="J1700" s="1">
        <f>IF(COUNTIF($C$4:C1700,C1700)=1,1,0)</f>
        <v>1</v>
      </c>
      <c r="K1700" s="1">
        <f t="shared" si="26"/>
        <v>2022</v>
      </c>
    </row>
    <row r="1701" spans="2:11" x14ac:dyDescent="0.45">
      <c r="B1701" s="1" t="s">
        <v>11</v>
      </c>
      <c r="C1701" s="1" t="s">
        <v>1703</v>
      </c>
      <c r="D1701" s="7">
        <v>45855</v>
      </c>
      <c r="E1701" s="7">
        <v>45869</v>
      </c>
      <c r="F1701" s="7">
        <v>45930</v>
      </c>
      <c r="G1701" s="1" t="s">
        <v>212</v>
      </c>
      <c r="H1701" s="8">
        <v>87329425.879999995</v>
      </c>
      <c r="I1701" s="8">
        <v>52926971.359999999</v>
      </c>
      <c r="J1701" s="1">
        <f>IF(COUNTIF($C$4:C1701,C1701)=1,1,0)</f>
        <v>1</v>
      </c>
      <c r="K1701" s="1">
        <f t="shared" si="26"/>
        <v>2025</v>
      </c>
    </row>
    <row r="1702" spans="2:11" x14ac:dyDescent="0.45">
      <c r="B1702" s="1" t="s">
        <v>11</v>
      </c>
      <c r="C1702" s="1" t="s">
        <v>1704</v>
      </c>
      <c r="D1702" s="7">
        <v>44445</v>
      </c>
      <c r="E1702" s="7">
        <v>44469</v>
      </c>
      <c r="F1702" s="7">
        <v>44683</v>
      </c>
      <c r="G1702" s="1" t="s">
        <v>41</v>
      </c>
      <c r="H1702" s="8">
        <v>123380.23</v>
      </c>
      <c r="I1702" s="8">
        <v>98779.7</v>
      </c>
      <c r="J1702" s="1">
        <f>IF(COUNTIF($C$4:C1702,C1702)=1,1,0)</f>
        <v>1</v>
      </c>
      <c r="K1702" s="1">
        <f t="shared" si="26"/>
        <v>2021</v>
      </c>
    </row>
    <row r="1703" spans="2:11" x14ac:dyDescent="0.45">
      <c r="B1703" s="1" t="s">
        <v>11</v>
      </c>
      <c r="C1703" s="1" t="s">
        <v>1705</v>
      </c>
      <c r="D1703" s="7">
        <v>43887</v>
      </c>
      <c r="E1703" s="7">
        <v>43909</v>
      </c>
      <c r="F1703" s="7">
        <v>43933</v>
      </c>
      <c r="G1703" s="1" t="s">
        <v>13</v>
      </c>
      <c r="H1703" s="8">
        <v>215441.12</v>
      </c>
      <c r="I1703" s="8">
        <v>167638.25</v>
      </c>
      <c r="J1703" s="1">
        <f>IF(COUNTIF($C$4:C1703,C1703)=1,1,0)</f>
        <v>1</v>
      </c>
      <c r="K1703" s="1">
        <f t="shared" si="26"/>
        <v>2020</v>
      </c>
    </row>
    <row r="1704" spans="2:11" x14ac:dyDescent="0.45">
      <c r="B1704" s="1" t="s">
        <v>11</v>
      </c>
      <c r="C1704" s="1" t="s">
        <v>1706</v>
      </c>
      <c r="D1704" s="7">
        <v>45874</v>
      </c>
      <c r="E1704" s="7">
        <v>45886</v>
      </c>
      <c r="F1704" s="7">
        <v>45986</v>
      </c>
      <c r="G1704" s="1" t="s">
        <v>13</v>
      </c>
      <c r="H1704" s="8">
        <v>291944.87</v>
      </c>
      <c r="I1704" s="8">
        <v>229790.2</v>
      </c>
      <c r="J1704" s="1">
        <f>IF(COUNTIF($C$4:C1704,C1704)=1,1,0)</f>
        <v>1</v>
      </c>
      <c r="K1704" s="1">
        <f t="shared" si="26"/>
        <v>2025</v>
      </c>
    </row>
    <row r="1705" spans="2:11" x14ac:dyDescent="0.45">
      <c r="B1705" s="1" t="s">
        <v>11</v>
      </c>
      <c r="C1705" s="1" t="s">
        <v>1707</v>
      </c>
      <c r="D1705" s="7">
        <v>44559</v>
      </c>
      <c r="E1705" s="7">
        <v>44578</v>
      </c>
      <c r="F1705" s="7">
        <v>44631</v>
      </c>
      <c r="G1705" s="1" t="s">
        <v>41</v>
      </c>
      <c r="H1705" s="8">
        <v>1235509.1200000001</v>
      </c>
      <c r="I1705" s="8">
        <v>1013168.95</v>
      </c>
      <c r="J1705" s="1">
        <f>IF(COUNTIF($C$4:C1705,C1705)=1,1,0)</f>
        <v>1</v>
      </c>
      <c r="K1705" s="1">
        <f t="shared" si="26"/>
        <v>2021</v>
      </c>
    </row>
    <row r="1706" spans="2:11" x14ac:dyDescent="0.45">
      <c r="B1706" s="1" t="s">
        <v>11</v>
      </c>
      <c r="C1706" s="1" t="s">
        <v>1708</v>
      </c>
      <c r="D1706" s="7">
        <v>44482</v>
      </c>
      <c r="E1706" s="7">
        <v>44493</v>
      </c>
      <c r="F1706" s="7">
        <v>44724</v>
      </c>
      <c r="G1706" s="1" t="s">
        <v>38</v>
      </c>
      <c r="H1706" s="8">
        <v>714862.56</v>
      </c>
      <c r="I1706" s="8">
        <v>547544.64</v>
      </c>
      <c r="J1706" s="1">
        <f>IF(COUNTIF($C$4:C1706,C1706)=1,1,0)</f>
        <v>1</v>
      </c>
      <c r="K1706" s="1">
        <f t="shared" si="26"/>
        <v>2021</v>
      </c>
    </row>
    <row r="1707" spans="2:11" x14ac:dyDescent="0.45">
      <c r="B1707" s="1" t="s">
        <v>11</v>
      </c>
      <c r="C1707" s="1" t="s">
        <v>1709</v>
      </c>
      <c r="D1707" s="7">
        <v>43581</v>
      </c>
      <c r="E1707" s="7">
        <v>43581</v>
      </c>
      <c r="F1707" s="7">
        <v>43685</v>
      </c>
      <c r="G1707" s="1" t="s">
        <v>41</v>
      </c>
      <c r="H1707" s="8">
        <v>311173.94</v>
      </c>
      <c r="I1707" s="8">
        <v>233405.21</v>
      </c>
      <c r="J1707" s="1">
        <f>IF(COUNTIF($C$4:C1707,C1707)=1,1,0)</f>
        <v>1</v>
      </c>
      <c r="K1707" s="1">
        <f t="shared" si="26"/>
        <v>2019</v>
      </c>
    </row>
    <row r="1708" spans="2:11" x14ac:dyDescent="0.45">
      <c r="B1708" s="1" t="s">
        <v>11</v>
      </c>
      <c r="C1708" s="1" t="s">
        <v>1710</v>
      </c>
      <c r="D1708" s="7">
        <v>44881</v>
      </c>
      <c r="E1708" s="7">
        <v>44903</v>
      </c>
      <c r="F1708" s="7">
        <v>44977</v>
      </c>
      <c r="G1708" s="1" t="s">
        <v>41</v>
      </c>
      <c r="H1708" s="8">
        <v>15463.74</v>
      </c>
      <c r="I1708" s="8">
        <v>10378.84</v>
      </c>
      <c r="J1708" s="1">
        <f>IF(COUNTIF($C$4:C1708,C1708)=1,1,0)</f>
        <v>1</v>
      </c>
      <c r="K1708" s="1">
        <f t="shared" si="26"/>
        <v>2022</v>
      </c>
    </row>
    <row r="1709" spans="2:11" x14ac:dyDescent="0.45">
      <c r="B1709" s="1" t="s">
        <v>11</v>
      </c>
      <c r="C1709" s="1" t="s">
        <v>1711</v>
      </c>
      <c r="D1709" s="7">
        <v>44432</v>
      </c>
      <c r="E1709" s="7">
        <v>44435</v>
      </c>
      <c r="F1709" s="7">
        <v>44612</v>
      </c>
      <c r="G1709" s="1" t="s">
        <v>13</v>
      </c>
      <c r="H1709" s="8">
        <v>1418460.05</v>
      </c>
      <c r="I1709" s="8">
        <v>1003536.13</v>
      </c>
      <c r="J1709" s="1">
        <f>IF(COUNTIF($C$4:C1709,C1709)=1,1,0)</f>
        <v>1</v>
      </c>
      <c r="K1709" s="1">
        <f t="shared" si="26"/>
        <v>2021</v>
      </c>
    </row>
    <row r="1710" spans="2:11" x14ac:dyDescent="0.45">
      <c r="B1710" s="1" t="s">
        <v>11</v>
      </c>
      <c r="C1710" s="1" t="s">
        <v>1712</v>
      </c>
      <c r="D1710" s="7">
        <v>44539</v>
      </c>
      <c r="E1710" s="7">
        <v>44539</v>
      </c>
      <c r="F1710" s="7">
        <v>44751</v>
      </c>
      <c r="G1710" s="1" t="s">
        <v>41</v>
      </c>
      <c r="H1710" s="8">
        <v>186371.5</v>
      </c>
      <c r="I1710" s="8">
        <v>140715.75</v>
      </c>
      <c r="J1710" s="1">
        <f>IF(COUNTIF($C$4:C1710,C1710)=1,1,0)</f>
        <v>1</v>
      </c>
      <c r="K1710" s="1">
        <f t="shared" si="26"/>
        <v>2021</v>
      </c>
    </row>
    <row r="1711" spans="2:11" x14ac:dyDescent="0.45">
      <c r="B1711" s="1" t="s">
        <v>11</v>
      </c>
      <c r="C1711" s="1" t="s">
        <v>1713</v>
      </c>
      <c r="D1711" s="7">
        <v>46022</v>
      </c>
      <c r="E1711" s="7">
        <v>46027</v>
      </c>
      <c r="F1711" s="7">
        <v>46262</v>
      </c>
      <c r="G1711" s="1" t="s">
        <v>20</v>
      </c>
      <c r="H1711" s="8">
        <v>826970.47</v>
      </c>
      <c r="I1711" s="8">
        <v>503480.96</v>
      </c>
      <c r="J1711" s="1">
        <f>IF(COUNTIF($C$4:C1711,C1711)=1,1,0)</f>
        <v>1</v>
      </c>
      <c r="K1711" s="1">
        <f t="shared" si="26"/>
        <v>2025</v>
      </c>
    </row>
    <row r="1712" spans="2:11" x14ac:dyDescent="0.45">
      <c r="B1712" s="1" t="s">
        <v>11</v>
      </c>
      <c r="C1712" s="1" t="s">
        <v>1714</v>
      </c>
      <c r="D1712" s="7">
        <v>44871</v>
      </c>
      <c r="E1712" s="7">
        <v>44872</v>
      </c>
      <c r="F1712" s="7">
        <v>44950</v>
      </c>
      <c r="G1712" s="1" t="s">
        <v>41</v>
      </c>
      <c r="H1712" s="8">
        <v>248813.81</v>
      </c>
      <c r="I1712" s="8">
        <v>214509.18</v>
      </c>
      <c r="J1712" s="1">
        <f>IF(COUNTIF($C$4:C1712,C1712)=1,1,0)</f>
        <v>1</v>
      </c>
      <c r="K1712" s="1">
        <f t="shared" si="26"/>
        <v>2022</v>
      </c>
    </row>
    <row r="1713" spans="2:11" x14ac:dyDescent="0.45">
      <c r="B1713" s="1" t="s">
        <v>11</v>
      </c>
      <c r="C1713" s="1" t="s">
        <v>1715</v>
      </c>
      <c r="D1713" s="7">
        <v>45864</v>
      </c>
      <c r="E1713" s="7">
        <v>45867</v>
      </c>
      <c r="F1713" s="7">
        <v>46105</v>
      </c>
      <c r="G1713" s="1" t="s">
        <v>38</v>
      </c>
      <c r="H1713" s="8">
        <v>219981.11</v>
      </c>
      <c r="I1713" s="8">
        <v>194131.34</v>
      </c>
      <c r="J1713" s="1">
        <f>IF(COUNTIF($C$4:C1713,C1713)=1,1,0)</f>
        <v>1</v>
      </c>
      <c r="K1713" s="1">
        <f t="shared" si="26"/>
        <v>2025</v>
      </c>
    </row>
    <row r="1714" spans="2:11" x14ac:dyDescent="0.45">
      <c r="B1714" s="1" t="s">
        <v>11</v>
      </c>
      <c r="C1714" s="1" t="s">
        <v>1716</v>
      </c>
      <c r="D1714" s="7">
        <v>44405</v>
      </c>
      <c r="E1714" s="7">
        <v>44427</v>
      </c>
      <c r="F1714" s="7">
        <v>44484</v>
      </c>
      <c r="G1714" s="1" t="s">
        <v>38</v>
      </c>
      <c r="H1714" s="8">
        <v>2141507.06</v>
      </c>
      <c r="I1714" s="8">
        <v>1763330.24</v>
      </c>
      <c r="J1714" s="1">
        <f>IF(COUNTIF($C$4:C1714,C1714)=1,1,0)</f>
        <v>1</v>
      </c>
      <c r="K1714" s="1">
        <f t="shared" si="26"/>
        <v>2021</v>
      </c>
    </row>
    <row r="1715" spans="2:11" x14ac:dyDescent="0.45">
      <c r="B1715" s="1" t="s">
        <v>11</v>
      </c>
      <c r="C1715" s="1" t="s">
        <v>1717</v>
      </c>
      <c r="D1715" s="7">
        <v>45693</v>
      </c>
      <c r="E1715" s="7">
        <v>45693</v>
      </c>
      <c r="F1715" s="7">
        <v>45720</v>
      </c>
      <c r="G1715" s="1" t="s">
        <v>212</v>
      </c>
      <c r="H1715" s="8">
        <v>51728227.539999999</v>
      </c>
      <c r="I1715" s="8">
        <v>21235862.57</v>
      </c>
      <c r="J1715" s="1">
        <f>IF(COUNTIF($C$4:C1715,C1715)=1,1,0)</f>
        <v>1</v>
      </c>
      <c r="K1715" s="1">
        <f t="shared" si="26"/>
        <v>2025</v>
      </c>
    </row>
    <row r="1716" spans="2:11" x14ac:dyDescent="0.45">
      <c r="B1716" s="1" t="s">
        <v>11</v>
      </c>
      <c r="C1716" s="1" t="s">
        <v>1718</v>
      </c>
      <c r="D1716" s="7">
        <v>43473</v>
      </c>
      <c r="E1716" s="7">
        <v>43492</v>
      </c>
      <c r="F1716" s="7">
        <v>43683</v>
      </c>
      <c r="G1716" s="1" t="s">
        <v>212</v>
      </c>
      <c r="H1716" s="8">
        <v>27409516.329999998</v>
      </c>
      <c r="I1716" s="8">
        <v>16418070.140000001</v>
      </c>
      <c r="J1716" s="1">
        <f>IF(COUNTIF($C$4:C1716,C1716)=1,1,0)</f>
        <v>1</v>
      </c>
      <c r="K1716" s="1">
        <f t="shared" si="26"/>
        <v>2019</v>
      </c>
    </row>
    <row r="1717" spans="2:11" x14ac:dyDescent="0.45">
      <c r="B1717" s="1" t="s">
        <v>11</v>
      </c>
      <c r="C1717" s="1" t="s">
        <v>1719</v>
      </c>
      <c r="D1717" s="7">
        <v>43363</v>
      </c>
      <c r="E1717" s="7">
        <v>43367</v>
      </c>
      <c r="F1717" s="7">
        <v>43460</v>
      </c>
      <c r="G1717" s="1" t="s">
        <v>16</v>
      </c>
      <c r="H1717" s="8">
        <v>7872670.2000000002</v>
      </c>
      <c r="I1717" s="8">
        <v>5430508.3399999999</v>
      </c>
      <c r="J1717" s="1">
        <f>IF(COUNTIF($C$4:C1717,C1717)=1,1,0)</f>
        <v>1</v>
      </c>
      <c r="K1717" s="1">
        <f t="shared" si="26"/>
        <v>2018</v>
      </c>
    </row>
    <row r="1718" spans="2:11" x14ac:dyDescent="0.45">
      <c r="B1718" s="1" t="s">
        <v>11</v>
      </c>
      <c r="C1718" s="1" t="s">
        <v>1720</v>
      </c>
      <c r="D1718" s="7">
        <v>45400</v>
      </c>
      <c r="E1718" s="7">
        <v>45406</v>
      </c>
      <c r="F1718" s="7">
        <v>45438</v>
      </c>
      <c r="G1718" s="1" t="s">
        <v>212</v>
      </c>
      <c r="H1718" s="8">
        <v>49420105.880000003</v>
      </c>
      <c r="I1718" s="8">
        <v>25231917.66</v>
      </c>
      <c r="J1718" s="1">
        <f>IF(COUNTIF($C$4:C1718,C1718)=1,1,0)</f>
        <v>1</v>
      </c>
      <c r="K1718" s="1">
        <f t="shared" si="26"/>
        <v>2024</v>
      </c>
    </row>
    <row r="1719" spans="2:11" x14ac:dyDescent="0.45">
      <c r="B1719" s="1" t="s">
        <v>11</v>
      </c>
      <c r="C1719" s="1" t="s">
        <v>1721</v>
      </c>
      <c r="D1719" s="7">
        <v>45913</v>
      </c>
      <c r="E1719" s="7">
        <v>45916</v>
      </c>
      <c r="F1719" s="7">
        <v>46135</v>
      </c>
      <c r="G1719" s="1" t="s">
        <v>212</v>
      </c>
      <c r="H1719" s="8">
        <v>24241781.890000001</v>
      </c>
      <c r="I1719" s="8">
        <v>18512786</v>
      </c>
      <c r="J1719" s="1">
        <f>IF(COUNTIF($C$4:C1719,C1719)=1,1,0)</f>
        <v>1</v>
      </c>
      <c r="K1719" s="1">
        <f t="shared" si="26"/>
        <v>2025</v>
      </c>
    </row>
    <row r="1720" spans="2:11" x14ac:dyDescent="0.45">
      <c r="B1720" s="1" t="s">
        <v>11</v>
      </c>
      <c r="C1720" s="1" t="s">
        <v>1722</v>
      </c>
      <c r="D1720" s="7">
        <v>45582</v>
      </c>
      <c r="E1720" s="7">
        <v>45586</v>
      </c>
      <c r="F1720" s="7">
        <v>45795</v>
      </c>
      <c r="G1720" s="1" t="s">
        <v>13</v>
      </c>
      <c r="H1720" s="8">
        <v>500055.7</v>
      </c>
      <c r="I1720" s="8">
        <v>343582.57</v>
      </c>
      <c r="J1720" s="1">
        <f>IF(COUNTIF($C$4:C1720,C1720)=1,1,0)</f>
        <v>1</v>
      </c>
      <c r="K1720" s="1">
        <f t="shared" si="26"/>
        <v>2024</v>
      </c>
    </row>
    <row r="1721" spans="2:11" x14ac:dyDescent="0.45">
      <c r="B1721" s="1" t="s">
        <v>11</v>
      </c>
      <c r="C1721" s="1" t="s">
        <v>1723</v>
      </c>
      <c r="D1721" s="7">
        <v>45171</v>
      </c>
      <c r="E1721" s="7">
        <v>45173</v>
      </c>
      <c r="F1721" s="7">
        <v>45246</v>
      </c>
      <c r="G1721" s="1" t="s">
        <v>16</v>
      </c>
      <c r="H1721" s="8">
        <v>7536747.8499999996</v>
      </c>
      <c r="I1721" s="8">
        <v>3961798.06</v>
      </c>
      <c r="J1721" s="1">
        <f>IF(COUNTIF($C$4:C1721,C1721)=1,1,0)</f>
        <v>1</v>
      </c>
      <c r="K1721" s="1">
        <f t="shared" si="26"/>
        <v>2023</v>
      </c>
    </row>
    <row r="1722" spans="2:11" x14ac:dyDescent="0.45">
      <c r="B1722" s="1" t="s">
        <v>11</v>
      </c>
      <c r="C1722" s="1" t="s">
        <v>1724</v>
      </c>
      <c r="D1722" s="7">
        <v>44282</v>
      </c>
      <c r="E1722" s="7">
        <v>44286</v>
      </c>
      <c r="F1722" s="7">
        <v>44300</v>
      </c>
      <c r="G1722" s="1" t="s">
        <v>16</v>
      </c>
      <c r="H1722" s="8">
        <v>418822.48</v>
      </c>
      <c r="I1722" s="8">
        <v>269755.40000000002</v>
      </c>
      <c r="J1722" s="1">
        <f>IF(COUNTIF($C$4:C1722,C1722)=1,1,0)</f>
        <v>1</v>
      </c>
      <c r="K1722" s="1">
        <f t="shared" si="26"/>
        <v>2021</v>
      </c>
    </row>
    <row r="1723" spans="2:11" x14ac:dyDescent="0.45">
      <c r="B1723" s="1" t="s">
        <v>11</v>
      </c>
      <c r="C1723" s="1" t="s">
        <v>1725</v>
      </c>
      <c r="D1723" s="7">
        <v>44174</v>
      </c>
      <c r="E1723" s="7">
        <v>44199</v>
      </c>
      <c r="F1723" s="7">
        <v>44332</v>
      </c>
      <c r="G1723" s="1" t="s">
        <v>13</v>
      </c>
      <c r="H1723" s="8">
        <v>215247.55</v>
      </c>
      <c r="I1723" s="8">
        <v>181301</v>
      </c>
      <c r="J1723" s="1">
        <f>IF(COUNTIF($C$4:C1723,C1723)=1,1,0)</f>
        <v>1</v>
      </c>
      <c r="K1723" s="1">
        <f t="shared" si="26"/>
        <v>2020</v>
      </c>
    </row>
    <row r="1724" spans="2:11" x14ac:dyDescent="0.45">
      <c r="B1724" s="1" t="s">
        <v>11</v>
      </c>
      <c r="C1724" s="1" t="s">
        <v>1726</v>
      </c>
      <c r="D1724" s="7">
        <v>44077</v>
      </c>
      <c r="E1724" s="7">
        <v>44094</v>
      </c>
      <c r="F1724" s="7">
        <v>44132</v>
      </c>
      <c r="G1724" s="1" t="s">
        <v>38</v>
      </c>
      <c r="H1724" s="8">
        <v>727439.79</v>
      </c>
      <c r="I1724" s="8">
        <v>605412.07999999996</v>
      </c>
      <c r="J1724" s="1">
        <f>IF(COUNTIF($C$4:C1724,C1724)=1,1,0)</f>
        <v>1</v>
      </c>
      <c r="K1724" s="1">
        <f t="shared" si="26"/>
        <v>2020</v>
      </c>
    </row>
    <row r="1725" spans="2:11" x14ac:dyDescent="0.45">
      <c r="B1725" s="1" t="s">
        <v>11</v>
      </c>
      <c r="C1725" s="1" t="s">
        <v>1727</v>
      </c>
      <c r="D1725" s="7">
        <v>45489</v>
      </c>
      <c r="E1725" s="7">
        <v>45510</v>
      </c>
      <c r="F1725" s="7">
        <v>45603</v>
      </c>
      <c r="G1725" s="1" t="s">
        <v>20</v>
      </c>
      <c r="H1725" s="8">
        <v>677885.83</v>
      </c>
      <c r="I1725" s="8">
        <v>518582.45</v>
      </c>
      <c r="J1725" s="1">
        <f>IF(COUNTIF($C$4:C1725,C1725)=1,1,0)</f>
        <v>1</v>
      </c>
      <c r="K1725" s="1">
        <f t="shared" si="26"/>
        <v>2024</v>
      </c>
    </row>
    <row r="1726" spans="2:11" x14ac:dyDescent="0.45">
      <c r="B1726" s="1" t="s">
        <v>11</v>
      </c>
      <c r="C1726" s="1" t="s">
        <v>1728</v>
      </c>
      <c r="D1726" s="7">
        <v>43725</v>
      </c>
      <c r="E1726" s="7">
        <v>43750</v>
      </c>
      <c r="F1726" s="7">
        <v>43792</v>
      </c>
      <c r="G1726" s="1" t="s">
        <v>22</v>
      </c>
      <c r="H1726" s="8">
        <v>12770734.85</v>
      </c>
      <c r="I1726" s="8">
        <v>8041810.8499999996</v>
      </c>
      <c r="J1726" s="1">
        <f>IF(COUNTIF($C$4:C1726,C1726)=1,1,0)</f>
        <v>1</v>
      </c>
      <c r="K1726" s="1">
        <f t="shared" si="26"/>
        <v>2019</v>
      </c>
    </row>
    <row r="1727" spans="2:11" x14ac:dyDescent="0.45">
      <c r="B1727" s="1" t="s">
        <v>11</v>
      </c>
      <c r="C1727" s="1" t="s">
        <v>1729</v>
      </c>
      <c r="D1727" s="7">
        <v>44989</v>
      </c>
      <c r="E1727" s="7">
        <v>45016</v>
      </c>
      <c r="F1727" s="7">
        <v>45044</v>
      </c>
      <c r="G1727" s="1" t="s">
        <v>13</v>
      </c>
      <c r="H1727" s="8">
        <v>514868.9</v>
      </c>
      <c r="I1727" s="8">
        <v>363695.26</v>
      </c>
      <c r="J1727" s="1">
        <f>IF(COUNTIF($C$4:C1727,C1727)=1,1,0)</f>
        <v>1</v>
      </c>
      <c r="K1727" s="1">
        <f t="shared" si="26"/>
        <v>2023</v>
      </c>
    </row>
    <row r="1728" spans="2:11" x14ac:dyDescent="0.45">
      <c r="B1728" s="1" t="s">
        <v>11</v>
      </c>
      <c r="C1728" s="1" t="s">
        <v>1730</v>
      </c>
      <c r="D1728" s="7">
        <v>45668</v>
      </c>
      <c r="E1728" s="7">
        <v>45698</v>
      </c>
      <c r="F1728" s="7">
        <v>45707</v>
      </c>
      <c r="G1728" s="1" t="s">
        <v>16</v>
      </c>
      <c r="H1728" s="8">
        <v>1943442.91</v>
      </c>
      <c r="I1728" s="8">
        <v>1256298.08</v>
      </c>
      <c r="J1728" s="1">
        <f>IF(COUNTIF($C$4:C1728,C1728)=1,1,0)</f>
        <v>1</v>
      </c>
      <c r="K1728" s="1">
        <f t="shared" si="26"/>
        <v>2025</v>
      </c>
    </row>
    <row r="1729" spans="2:11" x14ac:dyDescent="0.45">
      <c r="B1729" s="1" t="s">
        <v>11</v>
      </c>
      <c r="C1729" s="1" t="s">
        <v>1731</v>
      </c>
      <c r="D1729" s="7">
        <v>46348</v>
      </c>
      <c r="E1729" s="7">
        <v>46369</v>
      </c>
      <c r="F1729" s="7">
        <v>46428</v>
      </c>
      <c r="G1729" s="1" t="s">
        <v>20</v>
      </c>
      <c r="H1729" s="8">
        <v>1467956.78</v>
      </c>
      <c r="I1729" s="8">
        <v>896291.59</v>
      </c>
      <c r="J1729" s="1">
        <f>IF(COUNTIF($C$4:C1729,C1729)=1,1,0)</f>
        <v>1</v>
      </c>
      <c r="K1729" s="1">
        <f t="shared" si="26"/>
        <v>2026</v>
      </c>
    </row>
    <row r="1730" spans="2:11" x14ac:dyDescent="0.45">
      <c r="B1730" s="1" t="s">
        <v>11</v>
      </c>
      <c r="C1730" s="1" t="s">
        <v>1732</v>
      </c>
      <c r="D1730" s="7">
        <v>44862</v>
      </c>
      <c r="E1730" s="7">
        <v>44889</v>
      </c>
      <c r="F1730" s="7">
        <v>45013</v>
      </c>
      <c r="G1730" s="1" t="s">
        <v>20</v>
      </c>
      <c r="H1730" s="8">
        <v>943886.14</v>
      </c>
      <c r="I1730" s="8">
        <v>521820.87</v>
      </c>
      <c r="J1730" s="1">
        <f>IF(COUNTIF($C$4:C1730,C1730)=1,1,0)</f>
        <v>1</v>
      </c>
      <c r="K1730" s="1">
        <f t="shared" si="26"/>
        <v>2022</v>
      </c>
    </row>
    <row r="1731" spans="2:11" x14ac:dyDescent="0.45">
      <c r="B1731" s="1" t="s">
        <v>11</v>
      </c>
      <c r="C1731" s="1" t="s">
        <v>1733</v>
      </c>
      <c r="D1731" s="7">
        <v>44575</v>
      </c>
      <c r="E1731" s="7">
        <v>44582</v>
      </c>
      <c r="F1731" s="7">
        <v>44754</v>
      </c>
      <c r="G1731" s="1" t="s">
        <v>22</v>
      </c>
      <c r="H1731" s="8">
        <v>89802148.480000004</v>
      </c>
      <c r="I1731" s="8">
        <v>45090822.469999999</v>
      </c>
      <c r="J1731" s="1">
        <f>IF(COUNTIF($C$4:C1731,C1731)=1,1,0)</f>
        <v>1</v>
      </c>
      <c r="K1731" s="1">
        <f t="shared" si="26"/>
        <v>2022</v>
      </c>
    </row>
    <row r="1732" spans="2:11" x14ac:dyDescent="0.45">
      <c r="B1732" s="1" t="s">
        <v>11</v>
      </c>
      <c r="C1732" s="1" t="s">
        <v>1734</v>
      </c>
      <c r="D1732" s="7">
        <v>44348</v>
      </c>
      <c r="E1732" s="7">
        <v>44372</v>
      </c>
      <c r="F1732" s="7">
        <v>44523</v>
      </c>
      <c r="G1732" s="1" t="s">
        <v>16</v>
      </c>
      <c r="H1732" s="8">
        <v>1859979.7</v>
      </c>
      <c r="I1732" s="8">
        <v>957535.55</v>
      </c>
      <c r="J1732" s="1">
        <f>IF(COUNTIF($C$4:C1732,C1732)=1,1,0)</f>
        <v>1</v>
      </c>
      <c r="K1732" s="1">
        <f t="shared" si="26"/>
        <v>2021</v>
      </c>
    </row>
    <row r="1733" spans="2:11" x14ac:dyDescent="0.45">
      <c r="B1733" s="1" t="s">
        <v>11</v>
      </c>
      <c r="C1733" s="1" t="s">
        <v>1735</v>
      </c>
      <c r="D1733" s="7">
        <v>44263</v>
      </c>
      <c r="E1733" s="7">
        <v>44265</v>
      </c>
      <c r="F1733" s="7">
        <v>44409</v>
      </c>
      <c r="G1733" s="1" t="s">
        <v>13</v>
      </c>
      <c r="H1733" s="8">
        <v>312532.47999999998</v>
      </c>
      <c r="I1733" s="8">
        <v>257550.35</v>
      </c>
      <c r="J1733" s="1">
        <f>IF(COUNTIF($C$4:C1733,C1733)=1,1,0)</f>
        <v>1</v>
      </c>
      <c r="K1733" s="1">
        <f t="shared" ref="K1733:K1796" si="27">YEAR(D1733)</f>
        <v>2021</v>
      </c>
    </row>
    <row r="1734" spans="2:11" x14ac:dyDescent="0.45">
      <c r="B1734" s="1" t="s">
        <v>11</v>
      </c>
      <c r="C1734" s="1" t="s">
        <v>1736</v>
      </c>
      <c r="D1734" s="7">
        <v>43747</v>
      </c>
      <c r="E1734" s="7">
        <v>43776</v>
      </c>
      <c r="F1734" s="7">
        <v>43832</v>
      </c>
      <c r="G1734" s="1" t="s">
        <v>41</v>
      </c>
      <c r="H1734" s="8">
        <v>77822.48</v>
      </c>
      <c r="I1734" s="8">
        <v>55112.58</v>
      </c>
      <c r="J1734" s="1">
        <f>IF(COUNTIF($C$4:C1734,C1734)=1,1,0)</f>
        <v>1</v>
      </c>
      <c r="K1734" s="1">
        <f t="shared" si="27"/>
        <v>2019</v>
      </c>
    </row>
    <row r="1735" spans="2:11" x14ac:dyDescent="0.45">
      <c r="B1735" s="1" t="s">
        <v>11</v>
      </c>
      <c r="C1735" s="1" t="s">
        <v>1737</v>
      </c>
      <c r="D1735" s="7">
        <v>43499</v>
      </c>
      <c r="E1735" s="7">
        <v>43518</v>
      </c>
      <c r="F1735" s="7">
        <v>43591</v>
      </c>
      <c r="G1735" s="1" t="s">
        <v>212</v>
      </c>
      <c r="H1735" s="8">
        <v>37704637.329999998</v>
      </c>
      <c r="I1735" s="8">
        <v>29174252.600000001</v>
      </c>
      <c r="J1735" s="1">
        <f>IF(COUNTIF($C$4:C1735,C1735)=1,1,0)</f>
        <v>1</v>
      </c>
      <c r="K1735" s="1">
        <f t="shared" si="27"/>
        <v>2019</v>
      </c>
    </row>
    <row r="1736" spans="2:11" x14ac:dyDescent="0.45">
      <c r="B1736" s="1" t="s">
        <v>11</v>
      </c>
      <c r="C1736" s="1" t="s">
        <v>1738</v>
      </c>
      <c r="D1736" s="7">
        <v>45378</v>
      </c>
      <c r="E1736" s="7">
        <v>45390</v>
      </c>
      <c r="F1736" s="7">
        <v>45400</v>
      </c>
      <c r="G1736" s="1" t="s">
        <v>16</v>
      </c>
      <c r="H1736" s="8">
        <v>357152.77</v>
      </c>
      <c r="I1736" s="8">
        <v>220877.98</v>
      </c>
      <c r="J1736" s="1">
        <f>IF(COUNTIF($C$4:C1736,C1736)=1,1,0)</f>
        <v>1</v>
      </c>
      <c r="K1736" s="1">
        <f t="shared" si="27"/>
        <v>2024</v>
      </c>
    </row>
    <row r="1737" spans="2:11" x14ac:dyDescent="0.45">
      <c r="B1737" s="1" t="s">
        <v>11</v>
      </c>
      <c r="C1737" s="1" t="s">
        <v>1739</v>
      </c>
      <c r="D1737" s="7">
        <v>46032</v>
      </c>
      <c r="E1737" s="7">
        <v>46059</v>
      </c>
      <c r="F1737" s="7">
        <v>46079</v>
      </c>
      <c r="G1737" s="1" t="s">
        <v>41</v>
      </c>
      <c r="H1737" s="8">
        <v>530782.68999999994</v>
      </c>
      <c r="I1737" s="8">
        <v>437607.98</v>
      </c>
      <c r="J1737" s="1">
        <f>IF(COUNTIF($C$4:C1737,C1737)=1,1,0)</f>
        <v>1</v>
      </c>
      <c r="K1737" s="1">
        <f t="shared" si="27"/>
        <v>2026</v>
      </c>
    </row>
    <row r="1738" spans="2:11" x14ac:dyDescent="0.45">
      <c r="B1738" s="1" t="s">
        <v>11</v>
      </c>
      <c r="C1738" s="1" t="s">
        <v>1740</v>
      </c>
      <c r="D1738" s="7">
        <v>45055</v>
      </c>
      <c r="E1738" s="7">
        <v>45058</v>
      </c>
      <c r="F1738" s="7">
        <v>45168</v>
      </c>
      <c r="G1738" s="1" t="s">
        <v>13</v>
      </c>
      <c r="H1738" s="8">
        <v>377213.79</v>
      </c>
      <c r="I1738" s="8">
        <v>259641.35</v>
      </c>
      <c r="J1738" s="1">
        <f>IF(COUNTIF($C$4:C1738,C1738)=1,1,0)</f>
        <v>1</v>
      </c>
      <c r="K1738" s="1">
        <f t="shared" si="27"/>
        <v>2023</v>
      </c>
    </row>
    <row r="1739" spans="2:11" x14ac:dyDescent="0.45">
      <c r="B1739" s="1" t="s">
        <v>11</v>
      </c>
      <c r="C1739" s="1" t="s">
        <v>1741</v>
      </c>
      <c r="D1739" s="7">
        <v>45656</v>
      </c>
      <c r="E1739" s="7">
        <v>45666</v>
      </c>
      <c r="F1739" s="7">
        <v>45830</v>
      </c>
      <c r="G1739" s="1" t="s">
        <v>212</v>
      </c>
      <c r="H1739" s="8">
        <v>21096224.02</v>
      </c>
      <c r="I1739" s="8">
        <v>15559320.800000001</v>
      </c>
      <c r="J1739" s="1">
        <f>IF(COUNTIF($C$4:C1739,C1739)=1,1,0)</f>
        <v>1</v>
      </c>
      <c r="K1739" s="1">
        <f t="shared" si="27"/>
        <v>2024</v>
      </c>
    </row>
    <row r="1740" spans="2:11" x14ac:dyDescent="0.45">
      <c r="B1740" s="1" t="s">
        <v>11</v>
      </c>
      <c r="C1740" s="1" t="s">
        <v>1742</v>
      </c>
      <c r="D1740" s="7">
        <v>43815</v>
      </c>
      <c r="E1740" s="7">
        <v>43821</v>
      </c>
      <c r="F1740" s="7">
        <v>43880</v>
      </c>
      <c r="G1740" s="1" t="s">
        <v>38</v>
      </c>
      <c r="H1740" s="8">
        <v>863757.95</v>
      </c>
      <c r="I1740" s="8">
        <v>657769.63</v>
      </c>
      <c r="J1740" s="1">
        <f>IF(COUNTIF($C$4:C1740,C1740)=1,1,0)</f>
        <v>1</v>
      </c>
      <c r="K1740" s="1">
        <f t="shared" si="27"/>
        <v>2019</v>
      </c>
    </row>
    <row r="1741" spans="2:11" x14ac:dyDescent="0.45">
      <c r="B1741" s="1" t="s">
        <v>11</v>
      </c>
      <c r="C1741" s="1" t="s">
        <v>1743</v>
      </c>
      <c r="D1741" s="7">
        <v>45911</v>
      </c>
      <c r="E1741" s="7">
        <v>45926</v>
      </c>
      <c r="F1741" s="7">
        <v>45951</v>
      </c>
      <c r="G1741" s="1" t="s">
        <v>22</v>
      </c>
      <c r="H1741" s="8">
        <v>5619351.5800000001</v>
      </c>
      <c r="I1741" s="8">
        <v>3022971.96</v>
      </c>
      <c r="J1741" s="1">
        <f>IF(COUNTIF($C$4:C1741,C1741)=1,1,0)</f>
        <v>1</v>
      </c>
      <c r="K1741" s="1">
        <f t="shared" si="27"/>
        <v>2025</v>
      </c>
    </row>
    <row r="1742" spans="2:11" x14ac:dyDescent="0.45">
      <c r="B1742" s="1" t="s">
        <v>11</v>
      </c>
      <c r="C1742" s="1" t="s">
        <v>1744</v>
      </c>
      <c r="D1742" s="7">
        <v>43750</v>
      </c>
      <c r="E1742" s="7">
        <v>43776</v>
      </c>
      <c r="F1742" s="7">
        <v>44015</v>
      </c>
      <c r="G1742" s="1" t="s">
        <v>41</v>
      </c>
      <c r="H1742" s="8">
        <v>399481.53</v>
      </c>
      <c r="I1742" s="8">
        <v>310495.90000000002</v>
      </c>
      <c r="J1742" s="1">
        <f>IF(COUNTIF($C$4:C1742,C1742)=1,1,0)</f>
        <v>1</v>
      </c>
      <c r="K1742" s="1">
        <f t="shared" si="27"/>
        <v>2019</v>
      </c>
    </row>
    <row r="1743" spans="2:11" x14ac:dyDescent="0.45">
      <c r="B1743" s="1" t="s">
        <v>11</v>
      </c>
      <c r="C1743" s="1" t="s">
        <v>1745</v>
      </c>
      <c r="D1743" s="7">
        <v>43798</v>
      </c>
      <c r="E1743" s="7">
        <v>43812</v>
      </c>
      <c r="F1743" s="7">
        <v>43936</v>
      </c>
      <c r="G1743" s="1" t="s">
        <v>38</v>
      </c>
      <c r="H1743" s="8">
        <v>621245.82999999996</v>
      </c>
      <c r="I1743" s="8">
        <v>463426.81</v>
      </c>
      <c r="J1743" s="1">
        <f>IF(COUNTIF($C$4:C1743,C1743)=1,1,0)</f>
        <v>1</v>
      </c>
      <c r="K1743" s="1">
        <f t="shared" si="27"/>
        <v>2019</v>
      </c>
    </row>
    <row r="1744" spans="2:11" x14ac:dyDescent="0.45">
      <c r="B1744" s="1" t="s">
        <v>11</v>
      </c>
      <c r="C1744" s="1" t="s">
        <v>1746</v>
      </c>
      <c r="D1744" s="7">
        <v>45957</v>
      </c>
      <c r="E1744" s="7">
        <v>45962</v>
      </c>
      <c r="F1744" s="7">
        <v>46136</v>
      </c>
      <c r="G1744" s="1" t="s">
        <v>20</v>
      </c>
      <c r="H1744" s="8">
        <v>11402960.77</v>
      </c>
      <c r="I1744" s="8">
        <v>7388473.6699999999</v>
      </c>
      <c r="J1744" s="1">
        <f>IF(COUNTIF($C$4:C1744,C1744)=1,1,0)</f>
        <v>1</v>
      </c>
      <c r="K1744" s="1">
        <f t="shared" si="27"/>
        <v>2025</v>
      </c>
    </row>
    <row r="1745" spans="2:11" x14ac:dyDescent="0.45">
      <c r="B1745" s="1" t="s">
        <v>11</v>
      </c>
      <c r="C1745" s="1" t="s">
        <v>1747</v>
      </c>
      <c r="D1745" s="7">
        <v>44147</v>
      </c>
      <c r="E1745" s="7">
        <v>44159</v>
      </c>
      <c r="F1745" s="7">
        <v>44299</v>
      </c>
      <c r="G1745" s="1" t="s">
        <v>20</v>
      </c>
      <c r="H1745" s="8">
        <v>1486715.89</v>
      </c>
      <c r="I1745" s="8">
        <v>848050.34</v>
      </c>
      <c r="J1745" s="1">
        <f>IF(COUNTIF($C$4:C1745,C1745)=1,1,0)</f>
        <v>1</v>
      </c>
      <c r="K1745" s="1">
        <f t="shared" si="27"/>
        <v>2020</v>
      </c>
    </row>
    <row r="1746" spans="2:11" x14ac:dyDescent="0.45">
      <c r="B1746" s="1" t="s">
        <v>11</v>
      </c>
      <c r="C1746" s="1" t="s">
        <v>1748</v>
      </c>
      <c r="D1746" s="7">
        <v>46129</v>
      </c>
      <c r="E1746" s="7">
        <v>46130</v>
      </c>
      <c r="F1746" s="7">
        <v>46184</v>
      </c>
      <c r="G1746" s="1" t="s">
        <v>38</v>
      </c>
      <c r="H1746" s="8">
        <v>232885.13</v>
      </c>
      <c r="I1746" s="8">
        <v>193595.75</v>
      </c>
      <c r="J1746" s="1">
        <f>IF(COUNTIF($C$4:C1746,C1746)=1,1,0)</f>
        <v>1</v>
      </c>
      <c r="K1746" s="1">
        <f t="shared" si="27"/>
        <v>2026</v>
      </c>
    </row>
    <row r="1747" spans="2:11" x14ac:dyDescent="0.45">
      <c r="B1747" s="1" t="s">
        <v>11</v>
      </c>
      <c r="C1747" s="1" t="s">
        <v>1749</v>
      </c>
      <c r="D1747" s="7">
        <v>44811</v>
      </c>
      <c r="E1747" s="7">
        <v>44841</v>
      </c>
      <c r="F1747" s="7">
        <v>44917</v>
      </c>
      <c r="G1747" s="1" t="s">
        <v>22</v>
      </c>
      <c r="H1747" s="8">
        <v>4603167.3099999996</v>
      </c>
      <c r="I1747" s="8">
        <v>2426427.14</v>
      </c>
      <c r="J1747" s="1">
        <f>IF(COUNTIF($C$4:C1747,C1747)=1,1,0)</f>
        <v>1</v>
      </c>
      <c r="K1747" s="1">
        <f t="shared" si="27"/>
        <v>2022</v>
      </c>
    </row>
    <row r="1748" spans="2:11" x14ac:dyDescent="0.45">
      <c r="B1748" s="1" t="s">
        <v>11</v>
      </c>
      <c r="C1748" s="1" t="s">
        <v>1750</v>
      </c>
      <c r="D1748" s="7">
        <v>44884</v>
      </c>
      <c r="E1748" s="7">
        <v>44914</v>
      </c>
      <c r="F1748" s="7">
        <v>44958</v>
      </c>
      <c r="G1748" s="1" t="s">
        <v>41</v>
      </c>
      <c r="H1748" s="8">
        <v>826070.6</v>
      </c>
      <c r="I1748" s="8">
        <v>598801.72</v>
      </c>
      <c r="J1748" s="1">
        <f>IF(COUNTIF($C$4:C1748,C1748)=1,1,0)</f>
        <v>1</v>
      </c>
      <c r="K1748" s="1">
        <f t="shared" si="27"/>
        <v>2022</v>
      </c>
    </row>
    <row r="1749" spans="2:11" x14ac:dyDescent="0.45">
      <c r="B1749" s="1" t="s">
        <v>11</v>
      </c>
      <c r="C1749" s="1" t="s">
        <v>1751</v>
      </c>
      <c r="D1749" s="7">
        <v>43677</v>
      </c>
      <c r="E1749" s="7">
        <v>43704</v>
      </c>
      <c r="F1749" s="7">
        <v>43872</v>
      </c>
      <c r="G1749" s="1" t="s">
        <v>22</v>
      </c>
      <c r="H1749" s="8">
        <v>5641262.9800000004</v>
      </c>
      <c r="I1749" s="8">
        <v>3476724.83</v>
      </c>
      <c r="J1749" s="1">
        <f>IF(COUNTIF($C$4:C1749,C1749)=1,1,0)</f>
        <v>1</v>
      </c>
      <c r="K1749" s="1">
        <f t="shared" si="27"/>
        <v>2019</v>
      </c>
    </row>
    <row r="1750" spans="2:11" x14ac:dyDescent="0.45">
      <c r="B1750" s="1" t="s">
        <v>11</v>
      </c>
      <c r="C1750" s="1" t="s">
        <v>1752</v>
      </c>
      <c r="D1750" s="7">
        <v>45146</v>
      </c>
      <c r="E1750" s="7">
        <v>45160</v>
      </c>
      <c r="F1750" s="7">
        <v>45217</v>
      </c>
      <c r="G1750" s="1" t="s">
        <v>20</v>
      </c>
      <c r="H1750" s="8">
        <v>610642.25</v>
      </c>
      <c r="I1750" s="8">
        <v>436456.49</v>
      </c>
      <c r="J1750" s="1">
        <f>IF(COUNTIF($C$4:C1750,C1750)=1,1,0)</f>
        <v>1</v>
      </c>
      <c r="K1750" s="1">
        <f t="shared" si="27"/>
        <v>2023</v>
      </c>
    </row>
    <row r="1751" spans="2:11" x14ac:dyDescent="0.45">
      <c r="B1751" s="1" t="s">
        <v>11</v>
      </c>
      <c r="C1751" s="1" t="s">
        <v>1753</v>
      </c>
      <c r="D1751" s="7">
        <v>44522</v>
      </c>
      <c r="E1751" s="7">
        <v>44536</v>
      </c>
      <c r="F1751" s="7">
        <v>44612</v>
      </c>
      <c r="G1751" s="1" t="s">
        <v>38</v>
      </c>
      <c r="H1751" s="8">
        <v>1127865.92</v>
      </c>
      <c r="I1751" s="8">
        <v>979221.44</v>
      </c>
      <c r="J1751" s="1">
        <f>IF(COUNTIF($C$4:C1751,C1751)=1,1,0)</f>
        <v>1</v>
      </c>
      <c r="K1751" s="1">
        <f t="shared" si="27"/>
        <v>2021</v>
      </c>
    </row>
    <row r="1752" spans="2:11" x14ac:dyDescent="0.45">
      <c r="B1752" s="1" t="s">
        <v>11</v>
      </c>
      <c r="C1752" s="1" t="s">
        <v>1754</v>
      </c>
      <c r="D1752" s="7">
        <v>43541</v>
      </c>
      <c r="E1752" s="7">
        <v>43544</v>
      </c>
      <c r="F1752" s="7">
        <v>43708</v>
      </c>
      <c r="G1752" s="1" t="s">
        <v>38</v>
      </c>
      <c r="H1752" s="8">
        <v>2050630.49</v>
      </c>
      <c r="I1752" s="8">
        <v>1678139.06</v>
      </c>
      <c r="J1752" s="1">
        <f>IF(COUNTIF($C$4:C1752,C1752)=1,1,0)</f>
        <v>1</v>
      </c>
      <c r="K1752" s="1">
        <f t="shared" si="27"/>
        <v>2019</v>
      </c>
    </row>
    <row r="1753" spans="2:11" x14ac:dyDescent="0.45">
      <c r="B1753" s="1" t="s">
        <v>11</v>
      </c>
      <c r="C1753" s="1" t="s">
        <v>1755</v>
      </c>
      <c r="D1753" s="7">
        <v>45966</v>
      </c>
      <c r="E1753" s="7">
        <v>45983</v>
      </c>
      <c r="F1753" s="7">
        <v>46218</v>
      </c>
      <c r="G1753" s="1" t="s">
        <v>212</v>
      </c>
      <c r="H1753" s="8">
        <v>35628618.82</v>
      </c>
      <c r="I1753" s="8">
        <v>16554876.369999999</v>
      </c>
      <c r="J1753" s="1">
        <f>IF(COUNTIF($C$4:C1753,C1753)=1,1,0)</f>
        <v>1</v>
      </c>
      <c r="K1753" s="1">
        <f t="shared" si="27"/>
        <v>2025</v>
      </c>
    </row>
    <row r="1754" spans="2:11" x14ac:dyDescent="0.45">
      <c r="B1754" s="1" t="s">
        <v>11</v>
      </c>
      <c r="C1754" s="1" t="s">
        <v>1756</v>
      </c>
      <c r="D1754" s="7">
        <v>44678</v>
      </c>
      <c r="E1754" s="7">
        <v>44691</v>
      </c>
      <c r="F1754" s="7">
        <v>44797</v>
      </c>
      <c r="G1754" s="1" t="s">
        <v>1348</v>
      </c>
      <c r="H1754" s="8">
        <v>192094111.08000001</v>
      </c>
      <c r="I1754" s="8">
        <v>74041719.459999993</v>
      </c>
      <c r="J1754" s="1">
        <f>IF(COUNTIF($C$4:C1754,C1754)=1,1,0)</f>
        <v>1</v>
      </c>
      <c r="K1754" s="1">
        <f t="shared" si="27"/>
        <v>2022</v>
      </c>
    </row>
    <row r="1755" spans="2:11" x14ac:dyDescent="0.45">
      <c r="B1755" s="1" t="s">
        <v>11</v>
      </c>
      <c r="C1755" s="1" t="s">
        <v>1757</v>
      </c>
      <c r="D1755" s="7">
        <v>43911</v>
      </c>
      <c r="E1755" s="7">
        <v>43940</v>
      </c>
      <c r="F1755" s="7">
        <v>44036</v>
      </c>
      <c r="G1755" s="1" t="s">
        <v>20</v>
      </c>
      <c r="H1755" s="8">
        <v>1486417.59</v>
      </c>
      <c r="I1755" s="8">
        <v>1021719.69</v>
      </c>
      <c r="J1755" s="1">
        <f>IF(COUNTIF($C$4:C1755,C1755)=1,1,0)</f>
        <v>1</v>
      </c>
      <c r="K1755" s="1">
        <f t="shared" si="27"/>
        <v>2020</v>
      </c>
    </row>
    <row r="1756" spans="2:11" x14ac:dyDescent="0.45">
      <c r="B1756" s="1" t="s">
        <v>11</v>
      </c>
      <c r="C1756" s="1" t="s">
        <v>1758</v>
      </c>
      <c r="D1756" s="7">
        <v>44797</v>
      </c>
      <c r="E1756" s="7">
        <v>44810</v>
      </c>
      <c r="F1756" s="7">
        <v>44847</v>
      </c>
      <c r="G1756" s="1" t="s">
        <v>20</v>
      </c>
      <c r="H1756" s="8">
        <v>2091358.73</v>
      </c>
      <c r="I1756" s="8">
        <v>1253953.6499999999</v>
      </c>
      <c r="J1756" s="1">
        <f>IF(COUNTIF($C$4:C1756,C1756)=1,1,0)</f>
        <v>1</v>
      </c>
      <c r="K1756" s="1">
        <f t="shared" si="27"/>
        <v>2022</v>
      </c>
    </row>
    <row r="1757" spans="2:11" x14ac:dyDescent="0.45">
      <c r="B1757" s="1" t="s">
        <v>11</v>
      </c>
      <c r="C1757" s="1" t="s">
        <v>1759</v>
      </c>
      <c r="D1757" s="7">
        <v>44968</v>
      </c>
      <c r="E1757" s="7">
        <v>44978</v>
      </c>
      <c r="F1757" s="7">
        <v>45080</v>
      </c>
      <c r="G1757" s="1" t="s">
        <v>13</v>
      </c>
      <c r="H1757" s="8">
        <v>1085680.44</v>
      </c>
      <c r="I1757" s="8">
        <v>741766.07</v>
      </c>
      <c r="J1757" s="1">
        <f>IF(COUNTIF($C$4:C1757,C1757)=1,1,0)</f>
        <v>1</v>
      </c>
      <c r="K1757" s="1">
        <f t="shared" si="27"/>
        <v>2023</v>
      </c>
    </row>
    <row r="1758" spans="2:11" x14ac:dyDescent="0.45">
      <c r="B1758" s="1" t="s">
        <v>11</v>
      </c>
      <c r="C1758" s="1" t="s">
        <v>1760</v>
      </c>
      <c r="D1758" s="7">
        <v>45173</v>
      </c>
      <c r="E1758" s="7">
        <v>45179</v>
      </c>
      <c r="F1758" s="7">
        <v>45277</v>
      </c>
      <c r="G1758" s="1" t="s">
        <v>13</v>
      </c>
      <c r="H1758" s="8">
        <v>1184409.8700000001</v>
      </c>
      <c r="I1758" s="8">
        <v>973778.97</v>
      </c>
      <c r="J1758" s="1">
        <f>IF(COUNTIF($C$4:C1758,C1758)=1,1,0)</f>
        <v>1</v>
      </c>
      <c r="K1758" s="1">
        <f t="shared" si="27"/>
        <v>2023</v>
      </c>
    </row>
    <row r="1759" spans="2:11" x14ac:dyDescent="0.45">
      <c r="B1759" s="1" t="s">
        <v>11</v>
      </c>
      <c r="C1759" s="1" t="s">
        <v>1761</v>
      </c>
      <c r="D1759" s="7">
        <v>44589</v>
      </c>
      <c r="E1759" s="7">
        <v>44605</v>
      </c>
      <c r="F1759" s="7">
        <v>44840</v>
      </c>
      <c r="G1759" s="1" t="s">
        <v>212</v>
      </c>
      <c r="H1759" s="8">
        <v>1945894.2</v>
      </c>
      <c r="I1759" s="8">
        <v>1349218.28</v>
      </c>
      <c r="J1759" s="1">
        <f>IF(COUNTIF($C$4:C1759,C1759)=1,1,0)</f>
        <v>1</v>
      </c>
      <c r="K1759" s="1">
        <f t="shared" si="27"/>
        <v>2022</v>
      </c>
    </row>
    <row r="1760" spans="2:11" x14ac:dyDescent="0.45">
      <c r="B1760" s="1" t="s">
        <v>11</v>
      </c>
      <c r="C1760" s="1" t="s">
        <v>1762</v>
      </c>
      <c r="D1760" s="7">
        <v>44639</v>
      </c>
      <c r="E1760" s="7">
        <v>44658</v>
      </c>
      <c r="F1760" s="7">
        <v>44866</v>
      </c>
      <c r="G1760" s="1" t="s">
        <v>13</v>
      </c>
      <c r="H1760" s="8">
        <v>364328.41</v>
      </c>
      <c r="I1760" s="8">
        <v>282731.76</v>
      </c>
      <c r="J1760" s="1">
        <f>IF(COUNTIF($C$4:C1760,C1760)=1,1,0)</f>
        <v>1</v>
      </c>
      <c r="K1760" s="1">
        <f t="shared" si="27"/>
        <v>2022</v>
      </c>
    </row>
    <row r="1761" spans="2:11" x14ac:dyDescent="0.45">
      <c r="B1761" s="1" t="s">
        <v>11</v>
      </c>
      <c r="C1761" s="1" t="s">
        <v>1763</v>
      </c>
      <c r="D1761" s="7">
        <v>45123</v>
      </c>
      <c r="E1761" s="7">
        <v>45151</v>
      </c>
      <c r="F1761" s="7">
        <v>45288</v>
      </c>
      <c r="G1761" s="1" t="s">
        <v>41</v>
      </c>
      <c r="H1761" s="8">
        <v>189058.81</v>
      </c>
      <c r="I1761" s="8">
        <v>152820.22</v>
      </c>
      <c r="J1761" s="1">
        <f>IF(COUNTIF($C$4:C1761,C1761)=1,1,0)</f>
        <v>1</v>
      </c>
      <c r="K1761" s="1">
        <f t="shared" si="27"/>
        <v>2023</v>
      </c>
    </row>
    <row r="1762" spans="2:11" x14ac:dyDescent="0.45">
      <c r="B1762" s="1" t="s">
        <v>11</v>
      </c>
      <c r="C1762" s="1" t="s">
        <v>1764</v>
      </c>
      <c r="D1762" s="7">
        <v>44840</v>
      </c>
      <c r="E1762" s="7">
        <v>44853</v>
      </c>
      <c r="F1762" s="7">
        <v>44980</v>
      </c>
      <c r="G1762" s="1" t="s">
        <v>41</v>
      </c>
      <c r="H1762" s="8">
        <v>770537.62</v>
      </c>
      <c r="I1762" s="8">
        <v>614622.61</v>
      </c>
      <c r="J1762" s="1">
        <f>IF(COUNTIF($C$4:C1762,C1762)=1,1,0)</f>
        <v>1</v>
      </c>
      <c r="K1762" s="1">
        <f t="shared" si="27"/>
        <v>2022</v>
      </c>
    </row>
    <row r="1763" spans="2:11" x14ac:dyDescent="0.45">
      <c r="B1763" s="1" t="s">
        <v>11</v>
      </c>
      <c r="C1763" s="1" t="s">
        <v>1765</v>
      </c>
      <c r="D1763" s="7">
        <v>43589</v>
      </c>
      <c r="E1763" s="7">
        <v>43614</v>
      </c>
      <c r="F1763" s="7">
        <v>43813</v>
      </c>
      <c r="G1763" s="1" t="s">
        <v>41</v>
      </c>
      <c r="H1763" s="8">
        <v>316089.38</v>
      </c>
      <c r="I1763" s="8">
        <v>236869.81</v>
      </c>
      <c r="J1763" s="1">
        <f>IF(COUNTIF($C$4:C1763,C1763)=1,1,0)</f>
        <v>1</v>
      </c>
      <c r="K1763" s="1">
        <f t="shared" si="27"/>
        <v>2019</v>
      </c>
    </row>
    <row r="1764" spans="2:11" x14ac:dyDescent="0.45">
      <c r="B1764" s="1" t="s">
        <v>11</v>
      </c>
      <c r="C1764" s="1" t="s">
        <v>1766</v>
      </c>
      <c r="D1764" s="7">
        <v>45666</v>
      </c>
      <c r="E1764" s="7">
        <v>45688</v>
      </c>
      <c r="F1764" s="7">
        <v>45726</v>
      </c>
      <c r="G1764" s="1" t="s">
        <v>41</v>
      </c>
      <c r="H1764" s="8">
        <v>302833.13</v>
      </c>
      <c r="I1764" s="8">
        <v>256045.58</v>
      </c>
      <c r="J1764" s="1">
        <f>IF(COUNTIF($C$4:C1764,C1764)=1,1,0)</f>
        <v>1</v>
      </c>
      <c r="K1764" s="1">
        <f t="shared" si="27"/>
        <v>2025</v>
      </c>
    </row>
    <row r="1765" spans="2:11" x14ac:dyDescent="0.45">
      <c r="B1765" s="1" t="s">
        <v>11</v>
      </c>
      <c r="C1765" s="1" t="s">
        <v>1767</v>
      </c>
      <c r="D1765" s="7">
        <v>45736</v>
      </c>
      <c r="E1765" s="7">
        <v>45760</v>
      </c>
      <c r="F1765" s="7">
        <v>45878</v>
      </c>
      <c r="G1765" s="1" t="s">
        <v>1348</v>
      </c>
      <c r="H1765" s="8">
        <v>219564957.94</v>
      </c>
      <c r="I1765" s="8">
        <v>93702777.450000003</v>
      </c>
      <c r="J1765" s="1">
        <f>IF(COUNTIF($C$4:C1765,C1765)=1,1,0)</f>
        <v>1</v>
      </c>
      <c r="K1765" s="1">
        <f t="shared" si="27"/>
        <v>2025</v>
      </c>
    </row>
    <row r="1766" spans="2:11" x14ac:dyDescent="0.45">
      <c r="B1766" s="1" t="s">
        <v>11</v>
      </c>
      <c r="C1766" s="1" t="s">
        <v>1768</v>
      </c>
      <c r="D1766" s="7">
        <v>44749</v>
      </c>
      <c r="E1766" s="7">
        <v>44770</v>
      </c>
      <c r="F1766" s="7">
        <v>44923</v>
      </c>
      <c r="G1766" s="1" t="s">
        <v>13</v>
      </c>
      <c r="H1766" s="8">
        <v>310005.42</v>
      </c>
      <c r="I1766" s="8">
        <v>232205</v>
      </c>
      <c r="J1766" s="1">
        <f>IF(COUNTIF($C$4:C1766,C1766)=1,1,0)</f>
        <v>1</v>
      </c>
      <c r="K1766" s="1">
        <f t="shared" si="27"/>
        <v>2022</v>
      </c>
    </row>
    <row r="1767" spans="2:11" x14ac:dyDescent="0.45">
      <c r="B1767" s="1" t="s">
        <v>11</v>
      </c>
      <c r="C1767" s="1" t="s">
        <v>1769</v>
      </c>
      <c r="D1767" s="7">
        <v>45461</v>
      </c>
      <c r="E1767" s="7">
        <v>45484</v>
      </c>
      <c r="F1767" s="7">
        <v>45649</v>
      </c>
      <c r="G1767" s="1" t="s">
        <v>22</v>
      </c>
      <c r="H1767" s="8">
        <v>49088647.07</v>
      </c>
      <c r="I1767" s="8">
        <v>31859061.120000001</v>
      </c>
      <c r="J1767" s="1">
        <f>IF(COUNTIF($C$4:C1767,C1767)=1,1,0)</f>
        <v>1</v>
      </c>
      <c r="K1767" s="1">
        <f t="shared" si="27"/>
        <v>2024</v>
      </c>
    </row>
    <row r="1768" spans="2:11" x14ac:dyDescent="0.45">
      <c r="B1768" s="1" t="s">
        <v>11</v>
      </c>
      <c r="C1768" s="1" t="s">
        <v>1770</v>
      </c>
      <c r="D1768" s="7">
        <v>43884</v>
      </c>
      <c r="E1768" s="7">
        <v>43889</v>
      </c>
      <c r="F1768" s="7">
        <v>44118</v>
      </c>
      <c r="G1768" s="1" t="s">
        <v>212</v>
      </c>
      <c r="H1768" s="8">
        <v>48607868.43</v>
      </c>
      <c r="I1768" s="8">
        <v>30996188.579999998</v>
      </c>
      <c r="J1768" s="1">
        <f>IF(COUNTIF($C$4:C1768,C1768)=1,1,0)</f>
        <v>1</v>
      </c>
      <c r="K1768" s="1">
        <f t="shared" si="27"/>
        <v>2020</v>
      </c>
    </row>
    <row r="1769" spans="2:11" x14ac:dyDescent="0.45">
      <c r="B1769" s="1" t="s">
        <v>11</v>
      </c>
      <c r="C1769" s="1" t="s">
        <v>1771</v>
      </c>
      <c r="D1769" s="7">
        <v>45873</v>
      </c>
      <c r="E1769" s="7">
        <v>45903</v>
      </c>
      <c r="F1769" s="7">
        <v>46040</v>
      </c>
      <c r="G1769" s="1" t="s">
        <v>41</v>
      </c>
      <c r="H1769" s="8">
        <v>189371.82</v>
      </c>
      <c r="I1769" s="8">
        <v>139417.85</v>
      </c>
      <c r="J1769" s="1">
        <f>IF(COUNTIF($C$4:C1769,C1769)=1,1,0)</f>
        <v>1</v>
      </c>
      <c r="K1769" s="1">
        <f t="shared" si="27"/>
        <v>2025</v>
      </c>
    </row>
    <row r="1770" spans="2:11" x14ac:dyDescent="0.45">
      <c r="B1770" s="1" t="s">
        <v>11</v>
      </c>
      <c r="C1770" s="1" t="s">
        <v>1772</v>
      </c>
      <c r="D1770" s="7">
        <v>43652</v>
      </c>
      <c r="E1770" s="7">
        <v>43673</v>
      </c>
      <c r="F1770" s="7">
        <v>43811</v>
      </c>
      <c r="G1770" s="1" t="s">
        <v>20</v>
      </c>
      <c r="H1770" s="8">
        <v>893757.53</v>
      </c>
      <c r="I1770" s="8">
        <v>613533.5</v>
      </c>
      <c r="J1770" s="1">
        <f>IF(COUNTIF($C$4:C1770,C1770)=1,1,0)</f>
        <v>1</v>
      </c>
      <c r="K1770" s="1">
        <f t="shared" si="27"/>
        <v>2019</v>
      </c>
    </row>
    <row r="1771" spans="2:11" x14ac:dyDescent="0.45">
      <c r="B1771" s="1" t="s">
        <v>11</v>
      </c>
      <c r="C1771" s="1" t="s">
        <v>1773</v>
      </c>
      <c r="D1771" s="7">
        <v>43647</v>
      </c>
      <c r="E1771" s="7">
        <v>43666</v>
      </c>
      <c r="F1771" s="7">
        <v>43678</v>
      </c>
      <c r="G1771" s="1" t="s">
        <v>22</v>
      </c>
      <c r="H1771" s="8">
        <v>14330448.199999999</v>
      </c>
      <c r="I1771" s="8">
        <v>5902485.2300000004</v>
      </c>
      <c r="J1771" s="1">
        <f>IF(COUNTIF($C$4:C1771,C1771)=1,1,0)</f>
        <v>1</v>
      </c>
      <c r="K1771" s="1">
        <f t="shared" si="27"/>
        <v>2019</v>
      </c>
    </row>
    <row r="1772" spans="2:11" x14ac:dyDescent="0.45">
      <c r="B1772" s="1" t="s">
        <v>11</v>
      </c>
      <c r="C1772" s="1" t="s">
        <v>1774</v>
      </c>
      <c r="D1772" s="7">
        <v>46081</v>
      </c>
      <c r="E1772" s="7">
        <v>46088</v>
      </c>
      <c r="F1772" s="7">
        <v>46258</v>
      </c>
      <c r="G1772" s="1" t="s">
        <v>22</v>
      </c>
      <c r="H1772" s="8">
        <v>40548256.020000003</v>
      </c>
      <c r="I1772" s="8">
        <v>23640917.120000001</v>
      </c>
      <c r="J1772" s="1">
        <f>IF(COUNTIF($C$4:C1772,C1772)=1,1,0)</f>
        <v>1</v>
      </c>
      <c r="K1772" s="1">
        <f t="shared" si="27"/>
        <v>2026</v>
      </c>
    </row>
    <row r="1773" spans="2:11" x14ac:dyDescent="0.45">
      <c r="B1773" s="1" t="s">
        <v>11</v>
      </c>
      <c r="C1773" s="1" t="s">
        <v>1775</v>
      </c>
      <c r="D1773" s="7">
        <v>43379</v>
      </c>
      <c r="E1773" s="7">
        <v>43408</v>
      </c>
      <c r="F1773" s="7">
        <v>43429</v>
      </c>
      <c r="G1773" s="1" t="s">
        <v>22</v>
      </c>
      <c r="H1773" s="8">
        <v>7889084.6200000001</v>
      </c>
      <c r="I1773" s="8">
        <v>3348407.98</v>
      </c>
      <c r="J1773" s="1">
        <f>IF(COUNTIF($C$4:C1773,C1773)=1,1,0)</f>
        <v>1</v>
      </c>
      <c r="K1773" s="1">
        <f t="shared" si="27"/>
        <v>2018</v>
      </c>
    </row>
    <row r="1774" spans="2:11" x14ac:dyDescent="0.45">
      <c r="B1774" s="1" t="s">
        <v>11</v>
      </c>
      <c r="C1774" s="1" t="s">
        <v>1776</v>
      </c>
      <c r="D1774" s="7">
        <v>44148</v>
      </c>
      <c r="E1774" s="7">
        <v>44171</v>
      </c>
      <c r="F1774" s="7">
        <v>44263</v>
      </c>
      <c r="G1774" s="1" t="s">
        <v>38</v>
      </c>
      <c r="H1774" s="8">
        <v>195983.01</v>
      </c>
      <c r="I1774" s="8">
        <v>140881.23000000001</v>
      </c>
      <c r="J1774" s="1">
        <f>IF(COUNTIF($C$4:C1774,C1774)=1,1,0)</f>
        <v>1</v>
      </c>
      <c r="K1774" s="1">
        <f t="shared" si="27"/>
        <v>2020</v>
      </c>
    </row>
    <row r="1775" spans="2:11" x14ac:dyDescent="0.45">
      <c r="B1775" s="1" t="s">
        <v>11</v>
      </c>
      <c r="C1775" s="1" t="s">
        <v>1777</v>
      </c>
      <c r="D1775" s="7">
        <v>44340</v>
      </c>
      <c r="E1775" s="7">
        <v>44368</v>
      </c>
      <c r="F1775" s="7">
        <v>44562</v>
      </c>
      <c r="G1775" s="1" t="s">
        <v>212</v>
      </c>
      <c r="H1775" s="8">
        <v>24267291.32</v>
      </c>
      <c r="I1775" s="8">
        <v>12448515.98</v>
      </c>
      <c r="J1775" s="1">
        <f>IF(COUNTIF($C$4:C1775,C1775)=1,1,0)</f>
        <v>1</v>
      </c>
      <c r="K1775" s="1">
        <f t="shared" si="27"/>
        <v>2021</v>
      </c>
    </row>
    <row r="1776" spans="2:11" x14ac:dyDescent="0.45">
      <c r="B1776" s="1" t="s">
        <v>11</v>
      </c>
      <c r="C1776" s="1" t="s">
        <v>1778</v>
      </c>
      <c r="D1776" s="7">
        <v>44409</v>
      </c>
      <c r="E1776" s="7">
        <v>44415</v>
      </c>
      <c r="F1776" s="7">
        <v>44600</v>
      </c>
      <c r="G1776" s="1" t="s">
        <v>38</v>
      </c>
      <c r="H1776" s="8">
        <v>965323.2</v>
      </c>
      <c r="I1776" s="8">
        <v>839851.91</v>
      </c>
      <c r="J1776" s="1">
        <f>IF(COUNTIF($C$4:C1776,C1776)=1,1,0)</f>
        <v>1</v>
      </c>
      <c r="K1776" s="1">
        <f t="shared" si="27"/>
        <v>2021</v>
      </c>
    </row>
    <row r="1777" spans="2:11" x14ac:dyDescent="0.45">
      <c r="B1777" s="1" t="s">
        <v>11</v>
      </c>
      <c r="C1777" s="1" t="s">
        <v>1779</v>
      </c>
      <c r="D1777" s="7">
        <v>45454</v>
      </c>
      <c r="E1777" s="7">
        <v>45460</v>
      </c>
      <c r="F1777" s="7">
        <v>45492</v>
      </c>
      <c r="G1777" s="1" t="s">
        <v>22</v>
      </c>
      <c r="H1777" s="8">
        <v>30576521.52</v>
      </c>
      <c r="I1777" s="8">
        <v>14636406.869999999</v>
      </c>
      <c r="J1777" s="1">
        <f>IF(COUNTIF($C$4:C1777,C1777)=1,1,0)</f>
        <v>1</v>
      </c>
      <c r="K1777" s="1">
        <f t="shared" si="27"/>
        <v>2024</v>
      </c>
    </row>
    <row r="1778" spans="2:11" x14ac:dyDescent="0.45">
      <c r="B1778" s="1" t="s">
        <v>11</v>
      </c>
      <c r="C1778" s="1" t="s">
        <v>1780</v>
      </c>
      <c r="D1778" s="7">
        <v>45607</v>
      </c>
      <c r="E1778" s="7">
        <v>45624</v>
      </c>
      <c r="F1778" s="7">
        <v>45784</v>
      </c>
      <c r="G1778" s="1" t="s">
        <v>38</v>
      </c>
      <c r="H1778" s="8">
        <v>1935013.44</v>
      </c>
      <c r="I1778" s="8">
        <v>1353146.41</v>
      </c>
      <c r="J1778" s="1">
        <f>IF(COUNTIF($C$4:C1778,C1778)=1,1,0)</f>
        <v>1</v>
      </c>
      <c r="K1778" s="1">
        <f t="shared" si="27"/>
        <v>2024</v>
      </c>
    </row>
    <row r="1779" spans="2:11" x14ac:dyDescent="0.45">
      <c r="B1779" s="1" t="s">
        <v>11</v>
      </c>
      <c r="C1779" s="1" t="s">
        <v>1781</v>
      </c>
      <c r="D1779" s="7">
        <v>44386</v>
      </c>
      <c r="E1779" s="7">
        <v>44403</v>
      </c>
      <c r="F1779" s="7">
        <v>44533</v>
      </c>
      <c r="G1779" s="1" t="s">
        <v>13</v>
      </c>
      <c r="H1779" s="8">
        <v>69294.960000000006</v>
      </c>
      <c r="I1779" s="8">
        <v>53339.22</v>
      </c>
      <c r="J1779" s="1">
        <f>IF(COUNTIF($C$4:C1779,C1779)=1,1,0)</f>
        <v>1</v>
      </c>
      <c r="K1779" s="1">
        <f t="shared" si="27"/>
        <v>2021</v>
      </c>
    </row>
    <row r="1780" spans="2:11" x14ac:dyDescent="0.45">
      <c r="B1780" s="1" t="s">
        <v>11</v>
      </c>
      <c r="C1780" s="1" t="s">
        <v>1782</v>
      </c>
      <c r="D1780" s="7">
        <v>46039</v>
      </c>
      <c r="E1780" s="7">
        <v>46039</v>
      </c>
      <c r="F1780" s="7">
        <v>46255</v>
      </c>
      <c r="G1780" s="1" t="s">
        <v>13</v>
      </c>
      <c r="H1780" s="8">
        <v>244319.16</v>
      </c>
      <c r="I1780" s="8">
        <v>181720.1</v>
      </c>
      <c r="J1780" s="1">
        <f>IF(COUNTIF($C$4:C1780,C1780)=1,1,0)</f>
        <v>1</v>
      </c>
      <c r="K1780" s="1">
        <f t="shared" si="27"/>
        <v>2026</v>
      </c>
    </row>
    <row r="1781" spans="2:11" x14ac:dyDescent="0.45">
      <c r="B1781" s="1" t="s">
        <v>11</v>
      </c>
      <c r="C1781" s="1" t="s">
        <v>1783</v>
      </c>
      <c r="D1781" s="7">
        <v>44156</v>
      </c>
      <c r="E1781" s="7">
        <v>44162</v>
      </c>
      <c r="F1781" s="7">
        <v>44346</v>
      </c>
      <c r="G1781" s="1" t="s">
        <v>212</v>
      </c>
      <c r="H1781" s="8">
        <v>54094578.829999998</v>
      </c>
      <c r="I1781" s="8">
        <v>40547473.950000003</v>
      </c>
      <c r="J1781" s="1">
        <f>IF(COUNTIF($C$4:C1781,C1781)=1,1,0)</f>
        <v>1</v>
      </c>
      <c r="K1781" s="1">
        <f t="shared" si="27"/>
        <v>2020</v>
      </c>
    </row>
    <row r="1782" spans="2:11" x14ac:dyDescent="0.45">
      <c r="B1782" s="1" t="s">
        <v>11</v>
      </c>
      <c r="C1782" s="1" t="s">
        <v>1784</v>
      </c>
      <c r="D1782" s="7">
        <v>43467</v>
      </c>
      <c r="E1782" s="7">
        <v>43482</v>
      </c>
      <c r="F1782" s="7">
        <v>43678</v>
      </c>
      <c r="G1782" s="1" t="s">
        <v>22</v>
      </c>
      <c r="H1782" s="8">
        <v>4980276.67</v>
      </c>
      <c r="I1782" s="8">
        <v>3754286.78</v>
      </c>
      <c r="J1782" s="1">
        <f>IF(COUNTIF($C$4:C1782,C1782)=1,1,0)</f>
        <v>1</v>
      </c>
      <c r="K1782" s="1">
        <f t="shared" si="27"/>
        <v>2019</v>
      </c>
    </row>
    <row r="1783" spans="2:11" x14ac:dyDescent="0.45">
      <c r="B1783" s="1" t="s">
        <v>11</v>
      </c>
      <c r="C1783" s="1" t="s">
        <v>1785</v>
      </c>
      <c r="D1783" s="7">
        <v>46232</v>
      </c>
      <c r="E1783" s="7">
        <v>46236</v>
      </c>
      <c r="F1783" s="7">
        <v>46313</v>
      </c>
      <c r="G1783" s="1" t="s">
        <v>22</v>
      </c>
      <c r="H1783" s="8">
        <v>17116226.219999999</v>
      </c>
      <c r="I1783" s="8">
        <v>6847000.04</v>
      </c>
      <c r="J1783" s="1">
        <f>IF(COUNTIF($C$4:C1783,C1783)=1,1,0)</f>
        <v>1</v>
      </c>
      <c r="K1783" s="1">
        <f t="shared" si="27"/>
        <v>2026</v>
      </c>
    </row>
    <row r="1784" spans="2:11" x14ac:dyDescent="0.45">
      <c r="B1784" s="1" t="s">
        <v>11</v>
      </c>
      <c r="C1784" s="1" t="s">
        <v>1786</v>
      </c>
      <c r="D1784" s="7">
        <v>45410</v>
      </c>
      <c r="E1784" s="7">
        <v>45417</v>
      </c>
      <c r="F1784" s="7">
        <v>45643</v>
      </c>
      <c r="G1784" s="1" t="s">
        <v>22</v>
      </c>
      <c r="H1784" s="8">
        <v>47599336.109999999</v>
      </c>
      <c r="I1784" s="8">
        <v>28023571.699999999</v>
      </c>
      <c r="J1784" s="1">
        <f>IF(COUNTIF($C$4:C1784,C1784)=1,1,0)</f>
        <v>1</v>
      </c>
      <c r="K1784" s="1">
        <f t="shared" si="27"/>
        <v>2024</v>
      </c>
    </row>
    <row r="1785" spans="2:11" x14ac:dyDescent="0.45">
      <c r="B1785" s="1" t="s">
        <v>11</v>
      </c>
      <c r="C1785" s="1" t="s">
        <v>1787</v>
      </c>
      <c r="D1785" s="7">
        <v>43689</v>
      </c>
      <c r="E1785" s="7">
        <v>43690</v>
      </c>
      <c r="F1785" s="7">
        <v>43864</v>
      </c>
      <c r="G1785" s="1" t="s">
        <v>212</v>
      </c>
      <c r="H1785" s="8">
        <v>24246216.48</v>
      </c>
      <c r="I1785" s="8">
        <v>12312070.4</v>
      </c>
      <c r="J1785" s="1">
        <f>IF(COUNTIF($C$4:C1785,C1785)=1,1,0)</f>
        <v>1</v>
      </c>
      <c r="K1785" s="1">
        <f t="shared" si="27"/>
        <v>2019</v>
      </c>
    </row>
    <row r="1786" spans="2:11" x14ac:dyDescent="0.45">
      <c r="B1786" s="1" t="s">
        <v>11</v>
      </c>
      <c r="C1786" s="1" t="s">
        <v>1788</v>
      </c>
      <c r="D1786" s="7">
        <v>44449</v>
      </c>
      <c r="E1786" s="7">
        <v>44468</v>
      </c>
      <c r="F1786" s="7">
        <v>44616</v>
      </c>
      <c r="G1786" s="1" t="s">
        <v>41</v>
      </c>
      <c r="H1786" s="8">
        <v>482300.19</v>
      </c>
      <c r="I1786" s="8">
        <v>313448.53999999998</v>
      </c>
      <c r="J1786" s="1">
        <f>IF(COUNTIF($C$4:C1786,C1786)=1,1,0)</f>
        <v>1</v>
      </c>
      <c r="K1786" s="1">
        <f t="shared" si="27"/>
        <v>2021</v>
      </c>
    </row>
    <row r="1787" spans="2:11" x14ac:dyDescent="0.45">
      <c r="B1787" s="1" t="s">
        <v>11</v>
      </c>
      <c r="C1787" s="1" t="s">
        <v>1789</v>
      </c>
      <c r="D1787" s="7">
        <v>45569</v>
      </c>
      <c r="E1787" s="7">
        <v>45580</v>
      </c>
      <c r="F1787" s="7">
        <v>45634</v>
      </c>
      <c r="G1787" s="1" t="s">
        <v>20</v>
      </c>
      <c r="H1787" s="8">
        <v>311797.21999999997</v>
      </c>
      <c r="I1787" s="8">
        <v>233192.43</v>
      </c>
      <c r="J1787" s="1">
        <f>IF(COUNTIF($C$4:C1787,C1787)=1,1,0)</f>
        <v>1</v>
      </c>
      <c r="K1787" s="1">
        <f t="shared" si="27"/>
        <v>2024</v>
      </c>
    </row>
    <row r="1788" spans="2:11" x14ac:dyDescent="0.45">
      <c r="B1788" s="1" t="s">
        <v>11</v>
      </c>
      <c r="C1788" s="1" t="s">
        <v>1790</v>
      </c>
      <c r="D1788" s="7">
        <v>43871</v>
      </c>
      <c r="E1788" s="7">
        <v>43898</v>
      </c>
      <c r="F1788" s="7">
        <v>44102</v>
      </c>
      <c r="G1788" s="1" t="s">
        <v>1348</v>
      </c>
      <c r="H1788" s="8">
        <v>6730966.79</v>
      </c>
      <c r="I1788" s="8">
        <v>3666548.49</v>
      </c>
      <c r="J1788" s="1">
        <f>IF(COUNTIF($C$4:C1788,C1788)=1,1,0)</f>
        <v>1</v>
      </c>
      <c r="K1788" s="1">
        <f t="shared" si="27"/>
        <v>2020</v>
      </c>
    </row>
    <row r="1789" spans="2:11" x14ac:dyDescent="0.45">
      <c r="B1789" s="1" t="s">
        <v>11</v>
      </c>
      <c r="C1789" s="1" t="s">
        <v>1791</v>
      </c>
      <c r="D1789" s="7">
        <v>43976</v>
      </c>
      <c r="E1789" s="7">
        <v>43999</v>
      </c>
      <c r="F1789" s="7">
        <v>44078</v>
      </c>
      <c r="G1789" s="1" t="s">
        <v>22</v>
      </c>
      <c r="H1789" s="8">
        <v>49964847.350000001</v>
      </c>
      <c r="I1789" s="8">
        <v>27521074.18</v>
      </c>
      <c r="J1789" s="1">
        <f>IF(COUNTIF($C$4:C1789,C1789)=1,1,0)</f>
        <v>1</v>
      </c>
      <c r="K1789" s="1">
        <f t="shared" si="27"/>
        <v>2020</v>
      </c>
    </row>
    <row r="1790" spans="2:11" x14ac:dyDescent="0.45">
      <c r="B1790" s="1" t="s">
        <v>11</v>
      </c>
      <c r="C1790" s="1" t="s">
        <v>1792</v>
      </c>
      <c r="D1790" s="7">
        <v>44307</v>
      </c>
      <c r="E1790" s="7">
        <v>44327</v>
      </c>
      <c r="F1790" s="7">
        <v>44375</v>
      </c>
      <c r="G1790" s="1" t="s">
        <v>20</v>
      </c>
      <c r="H1790" s="8">
        <v>1088965.8600000001</v>
      </c>
      <c r="I1790" s="8">
        <v>823081.3</v>
      </c>
      <c r="J1790" s="1">
        <f>IF(COUNTIF($C$4:C1790,C1790)=1,1,0)</f>
        <v>1</v>
      </c>
      <c r="K1790" s="1">
        <f t="shared" si="27"/>
        <v>2021</v>
      </c>
    </row>
    <row r="1791" spans="2:11" x14ac:dyDescent="0.45">
      <c r="B1791" s="1" t="s">
        <v>11</v>
      </c>
      <c r="C1791" s="1" t="s">
        <v>1793</v>
      </c>
      <c r="D1791" s="7">
        <v>43894</v>
      </c>
      <c r="E1791" s="7">
        <v>43924</v>
      </c>
      <c r="F1791" s="7">
        <v>43946</v>
      </c>
      <c r="G1791" s="1" t="s">
        <v>13</v>
      </c>
      <c r="H1791" s="8">
        <v>165238.81</v>
      </c>
      <c r="I1791" s="8">
        <v>115073.79</v>
      </c>
      <c r="J1791" s="1">
        <f>IF(COUNTIF($C$4:C1791,C1791)=1,1,0)</f>
        <v>1</v>
      </c>
      <c r="K1791" s="1">
        <f t="shared" si="27"/>
        <v>2020</v>
      </c>
    </row>
    <row r="1792" spans="2:11" x14ac:dyDescent="0.45">
      <c r="B1792" s="1" t="s">
        <v>11</v>
      </c>
      <c r="C1792" s="1" t="s">
        <v>1794</v>
      </c>
      <c r="D1792" s="7">
        <v>45378</v>
      </c>
      <c r="E1792" s="7">
        <v>45384</v>
      </c>
      <c r="F1792" s="7">
        <v>45419</v>
      </c>
      <c r="G1792" s="1" t="s">
        <v>41</v>
      </c>
      <c r="H1792" s="8">
        <v>1454683.09</v>
      </c>
      <c r="I1792" s="8">
        <v>1029119.07</v>
      </c>
      <c r="J1792" s="1">
        <f>IF(COUNTIF($C$4:C1792,C1792)=1,1,0)</f>
        <v>1</v>
      </c>
      <c r="K1792" s="1">
        <f t="shared" si="27"/>
        <v>2024</v>
      </c>
    </row>
    <row r="1793" spans="2:11" x14ac:dyDescent="0.45">
      <c r="B1793" s="1" t="s">
        <v>11</v>
      </c>
      <c r="C1793" s="1" t="s">
        <v>1795</v>
      </c>
      <c r="D1793" s="7">
        <v>44695</v>
      </c>
      <c r="E1793" s="7">
        <v>44700</v>
      </c>
      <c r="F1793" s="7">
        <v>44749</v>
      </c>
      <c r="G1793" s="1" t="s">
        <v>212</v>
      </c>
      <c r="H1793" s="8">
        <v>5671067.7300000004</v>
      </c>
      <c r="I1793" s="8">
        <v>3631455.81</v>
      </c>
      <c r="J1793" s="1">
        <f>IF(COUNTIF($C$4:C1793,C1793)=1,1,0)</f>
        <v>1</v>
      </c>
      <c r="K1793" s="1">
        <f t="shared" si="27"/>
        <v>2022</v>
      </c>
    </row>
    <row r="1794" spans="2:11" x14ac:dyDescent="0.45">
      <c r="B1794" s="1" t="s">
        <v>11</v>
      </c>
      <c r="C1794" s="1" t="s">
        <v>1796</v>
      </c>
      <c r="D1794" s="7">
        <v>44847</v>
      </c>
      <c r="E1794" s="7">
        <v>44868</v>
      </c>
      <c r="F1794" s="7">
        <v>45016</v>
      </c>
      <c r="G1794" s="1" t="s">
        <v>1348</v>
      </c>
      <c r="H1794" s="8">
        <v>170406147.09999999</v>
      </c>
      <c r="I1794" s="8">
        <v>103904880.13</v>
      </c>
      <c r="J1794" s="1">
        <f>IF(COUNTIF($C$4:C1794,C1794)=1,1,0)</f>
        <v>1</v>
      </c>
      <c r="K1794" s="1">
        <f t="shared" si="27"/>
        <v>2022</v>
      </c>
    </row>
    <row r="1795" spans="2:11" x14ac:dyDescent="0.45">
      <c r="B1795" s="1" t="s">
        <v>11</v>
      </c>
      <c r="C1795" s="1" t="s">
        <v>1797</v>
      </c>
      <c r="D1795" s="7">
        <v>45380</v>
      </c>
      <c r="E1795" s="7">
        <v>45383</v>
      </c>
      <c r="F1795" s="7">
        <v>45504</v>
      </c>
      <c r="G1795" s="1" t="s">
        <v>22</v>
      </c>
      <c r="H1795" s="8">
        <v>23350722.300000001</v>
      </c>
      <c r="I1795" s="8">
        <v>15634842.23</v>
      </c>
      <c r="J1795" s="1">
        <f>IF(COUNTIF($C$4:C1795,C1795)=1,1,0)</f>
        <v>1</v>
      </c>
      <c r="K1795" s="1">
        <f t="shared" si="27"/>
        <v>2024</v>
      </c>
    </row>
    <row r="1796" spans="2:11" x14ac:dyDescent="0.45">
      <c r="B1796" s="1" t="s">
        <v>11</v>
      </c>
      <c r="C1796" s="1" t="s">
        <v>1798</v>
      </c>
      <c r="D1796" s="7">
        <v>43795</v>
      </c>
      <c r="E1796" s="7">
        <v>43810</v>
      </c>
      <c r="F1796" s="7">
        <v>43850</v>
      </c>
      <c r="G1796" s="1" t="s">
        <v>22</v>
      </c>
      <c r="H1796" s="8">
        <v>20019615.239999998</v>
      </c>
      <c r="I1796" s="8">
        <v>14315593.449999999</v>
      </c>
      <c r="J1796" s="1">
        <f>IF(COUNTIF($C$4:C1796,C1796)=1,1,0)</f>
        <v>1</v>
      </c>
      <c r="K1796" s="1">
        <f t="shared" si="27"/>
        <v>2019</v>
      </c>
    </row>
    <row r="1797" spans="2:11" x14ac:dyDescent="0.45">
      <c r="B1797" s="1" t="s">
        <v>11</v>
      </c>
      <c r="C1797" s="1" t="s">
        <v>1799</v>
      </c>
      <c r="D1797" s="7">
        <v>45145</v>
      </c>
      <c r="E1797" s="7">
        <v>45167</v>
      </c>
      <c r="F1797" s="7">
        <v>45328</v>
      </c>
      <c r="G1797" s="1" t="s">
        <v>38</v>
      </c>
      <c r="H1797" s="8">
        <v>110949.94</v>
      </c>
      <c r="I1797" s="8">
        <v>92225.48</v>
      </c>
      <c r="J1797" s="1">
        <f>IF(COUNTIF($C$4:C1797,C1797)=1,1,0)</f>
        <v>1</v>
      </c>
      <c r="K1797" s="1">
        <f t="shared" ref="K1797:K1860" si="28">YEAR(D1797)</f>
        <v>2023</v>
      </c>
    </row>
    <row r="1798" spans="2:11" x14ac:dyDescent="0.45">
      <c r="B1798" s="1" t="s">
        <v>11</v>
      </c>
      <c r="C1798" s="1" t="s">
        <v>1800</v>
      </c>
      <c r="D1798" s="7">
        <v>45586</v>
      </c>
      <c r="E1798" s="7">
        <v>45611</v>
      </c>
      <c r="F1798" s="7">
        <v>45734</v>
      </c>
      <c r="G1798" s="1" t="s">
        <v>1348</v>
      </c>
      <c r="H1798" s="8">
        <v>32117960.489999998</v>
      </c>
      <c r="I1798" s="8">
        <v>16733630.140000001</v>
      </c>
      <c r="J1798" s="1">
        <f>IF(COUNTIF($C$4:C1798,C1798)=1,1,0)</f>
        <v>1</v>
      </c>
      <c r="K1798" s="1">
        <f t="shared" si="28"/>
        <v>2024</v>
      </c>
    </row>
    <row r="1799" spans="2:11" x14ac:dyDescent="0.45">
      <c r="B1799" s="1" t="s">
        <v>11</v>
      </c>
      <c r="C1799" s="1" t="s">
        <v>1801</v>
      </c>
      <c r="D1799" s="7">
        <v>45434</v>
      </c>
      <c r="E1799" s="7">
        <v>45438</v>
      </c>
      <c r="F1799" s="7">
        <v>45476</v>
      </c>
      <c r="G1799" s="1" t="s">
        <v>212</v>
      </c>
      <c r="H1799" s="8">
        <v>22410011.98</v>
      </c>
      <c r="I1799" s="8">
        <v>16160386.41</v>
      </c>
      <c r="J1799" s="1">
        <f>IF(COUNTIF($C$4:C1799,C1799)=1,1,0)</f>
        <v>1</v>
      </c>
      <c r="K1799" s="1">
        <f t="shared" si="28"/>
        <v>2024</v>
      </c>
    </row>
    <row r="1800" spans="2:11" x14ac:dyDescent="0.45">
      <c r="B1800" s="1" t="s">
        <v>11</v>
      </c>
      <c r="C1800" s="1" t="s">
        <v>1802</v>
      </c>
      <c r="D1800" s="7">
        <v>43461</v>
      </c>
      <c r="E1800" s="7">
        <v>43464</v>
      </c>
      <c r="F1800" s="7">
        <v>43474</v>
      </c>
      <c r="G1800" s="1" t="s">
        <v>22</v>
      </c>
      <c r="H1800" s="8">
        <v>73981515.450000003</v>
      </c>
      <c r="I1800" s="8">
        <v>26218868.850000001</v>
      </c>
      <c r="J1800" s="1">
        <f>IF(COUNTIF($C$4:C1800,C1800)=1,1,0)</f>
        <v>1</v>
      </c>
      <c r="K1800" s="1">
        <f t="shared" si="28"/>
        <v>2018</v>
      </c>
    </row>
    <row r="1801" spans="2:11" x14ac:dyDescent="0.45">
      <c r="B1801" s="1" t="s">
        <v>11</v>
      </c>
      <c r="C1801" s="1" t="s">
        <v>1803</v>
      </c>
      <c r="D1801" s="7">
        <v>43662</v>
      </c>
      <c r="E1801" s="7">
        <v>43676</v>
      </c>
      <c r="F1801" s="7">
        <v>43804</v>
      </c>
      <c r="G1801" s="1" t="s">
        <v>22</v>
      </c>
      <c r="H1801" s="8">
        <v>8664016.0299999993</v>
      </c>
      <c r="I1801" s="8">
        <v>5964542</v>
      </c>
      <c r="J1801" s="1">
        <f>IF(COUNTIF($C$4:C1801,C1801)=1,1,0)</f>
        <v>1</v>
      </c>
      <c r="K1801" s="1">
        <f t="shared" si="28"/>
        <v>2019</v>
      </c>
    </row>
    <row r="1802" spans="2:11" x14ac:dyDescent="0.45">
      <c r="B1802" s="1" t="s">
        <v>11</v>
      </c>
      <c r="C1802" s="1" t="s">
        <v>1804</v>
      </c>
      <c r="D1802" s="7">
        <v>43394</v>
      </c>
      <c r="E1802" s="7">
        <v>43419</v>
      </c>
      <c r="F1802" s="7">
        <v>43433</v>
      </c>
      <c r="G1802" s="1" t="s">
        <v>212</v>
      </c>
      <c r="H1802" s="8">
        <v>61183167.049999997</v>
      </c>
      <c r="I1802" s="8">
        <v>17498952.899999999</v>
      </c>
      <c r="J1802" s="1">
        <f>IF(COUNTIF($C$4:C1802,C1802)=1,1,0)</f>
        <v>1</v>
      </c>
      <c r="K1802" s="1">
        <f t="shared" si="28"/>
        <v>2018</v>
      </c>
    </row>
    <row r="1803" spans="2:11" x14ac:dyDescent="0.45">
      <c r="B1803" s="1" t="s">
        <v>11</v>
      </c>
      <c r="C1803" s="1" t="s">
        <v>1805</v>
      </c>
      <c r="D1803" s="7">
        <v>43910</v>
      </c>
      <c r="E1803" s="7">
        <v>43920</v>
      </c>
      <c r="F1803" s="7">
        <v>43988</v>
      </c>
      <c r="G1803" s="1" t="s">
        <v>1348</v>
      </c>
      <c r="H1803" s="8">
        <v>41952178.920000002</v>
      </c>
      <c r="I1803" s="8">
        <v>16248438.76</v>
      </c>
      <c r="J1803" s="1">
        <f>IF(COUNTIF($C$4:C1803,C1803)=1,1,0)</f>
        <v>1</v>
      </c>
      <c r="K1803" s="1">
        <f t="shared" si="28"/>
        <v>2020</v>
      </c>
    </row>
    <row r="1804" spans="2:11" x14ac:dyDescent="0.45">
      <c r="B1804" s="1" t="s">
        <v>11</v>
      </c>
      <c r="C1804" s="1" t="s">
        <v>1806</v>
      </c>
      <c r="D1804" s="7">
        <v>44790</v>
      </c>
      <c r="E1804" s="7">
        <v>44795</v>
      </c>
      <c r="F1804" s="7">
        <v>44805</v>
      </c>
      <c r="G1804" s="1" t="s">
        <v>20</v>
      </c>
      <c r="H1804" s="8">
        <v>908489.74</v>
      </c>
      <c r="I1804" s="8">
        <v>600910.79</v>
      </c>
      <c r="J1804" s="1">
        <f>IF(COUNTIF($C$4:C1804,C1804)=1,1,0)</f>
        <v>1</v>
      </c>
      <c r="K1804" s="1">
        <f t="shared" si="28"/>
        <v>2022</v>
      </c>
    </row>
    <row r="1805" spans="2:11" x14ac:dyDescent="0.45">
      <c r="B1805" s="1" t="s">
        <v>11</v>
      </c>
      <c r="C1805" s="1" t="s">
        <v>1807</v>
      </c>
      <c r="D1805" s="7">
        <v>45522</v>
      </c>
      <c r="E1805" s="7">
        <v>45541</v>
      </c>
      <c r="F1805" s="7">
        <v>45674</v>
      </c>
      <c r="G1805" s="1" t="s">
        <v>212</v>
      </c>
      <c r="H1805" s="8">
        <v>6421695</v>
      </c>
      <c r="I1805" s="8">
        <v>4869650.1399999997</v>
      </c>
      <c r="J1805" s="1">
        <f>IF(COUNTIF($C$4:C1805,C1805)=1,1,0)</f>
        <v>1</v>
      </c>
      <c r="K1805" s="1">
        <f t="shared" si="28"/>
        <v>2024</v>
      </c>
    </row>
    <row r="1806" spans="2:11" x14ac:dyDescent="0.45">
      <c r="B1806" s="1" t="s">
        <v>11</v>
      </c>
      <c r="C1806" s="1" t="s">
        <v>1808</v>
      </c>
      <c r="D1806" s="7">
        <v>44719</v>
      </c>
      <c r="E1806" s="7">
        <v>44740</v>
      </c>
      <c r="F1806" s="7">
        <v>44909</v>
      </c>
      <c r="G1806" s="1" t="s">
        <v>41</v>
      </c>
      <c r="H1806" s="8">
        <v>50864.639999999999</v>
      </c>
      <c r="I1806" s="8">
        <v>41476.43</v>
      </c>
      <c r="J1806" s="1">
        <f>IF(COUNTIF($C$4:C1806,C1806)=1,1,0)</f>
        <v>1</v>
      </c>
      <c r="K1806" s="1">
        <f t="shared" si="28"/>
        <v>2022</v>
      </c>
    </row>
    <row r="1807" spans="2:11" x14ac:dyDescent="0.45">
      <c r="B1807" s="1" t="s">
        <v>11</v>
      </c>
      <c r="C1807" s="1" t="s">
        <v>1809</v>
      </c>
      <c r="D1807" s="7">
        <v>44352</v>
      </c>
      <c r="E1807" s="7">
        <v>44371</v>
      </c>
      <c r="F1807" s="7">
        <v>44419</v>
      </c>
      <c r="G1807" s="1" t="s">
        <v>13</v>
      </c>
      <c r="H1807" s="8">
        <v>459124.5</v>
      </c>
      <c r="I1807" s="8">
        <v>329319.5</v>
      </c>
      <c r="J1807" s="1">
        <f>IF(COUNTIF($C$4:C1807,C1807)=1,1,0)</f>
        <v>1</v>
      </c>
      <c r="K1807" s="1">
        <f t="shared" si="28"/>
        <v>2021</v>
      </c>
    </row>
    <row r="1808" spans="2:11" x14ac:dyDescent="0.45">
      <c r="B1808" s="1" t="s">
        <v>11</v>
      </c>
      <c r="C1808" s="1" t="s">
        <v>1810</v>
      </c>
      <c r="D1808" s="7">
        <v>43789</v>
      </c>
      <c r="E1808" s="7">
        <v>43818</v>
      </c>
      <c r="F1808" s="7">
        <v>43911</v>
      </c>
      <c r="G1808" s="1" t="s">
        <v>20</v>
      </c>
      <c r="H1808" s="8">
        <v>683541.12</v>
      </c>
      <c r="I1808" s="8">
        <v>492036.49</v>
      </c>
      <c r="J1808" s="1">
        <f>IF(COUNTIF($C$4:C1808,C1808)=1,1,0)</f>
        <v>1</v>
      </c>
      <c r="K1808" s="1">
        <f t="shared" si="28"/>
        <v>2019</v>
      </c>
    </row>
    <row r="1809" spans="2:11" x14ac:dyDescent="0.45">
      <c r="B1809" s="1" t="s">
        <v>11</v>
      </c>
      <c r="C1809" s="1" t="s">
        <v>1811</v>
      </c>
      <c r="D1809" s="7">
        <v>45621</v>
      </c>
      <c r="E1809" s="7">
        <v>45641</v>
      </c>
      <c r="F1809" s="7">
        <v>45881</v>
      </c>
      <c r="G1809" s="1" t="s">
        <v>41</v>
      </c>
      <c r="H1809" s="8">
        <v>137170.76</v>
      </c>
      <c r="I1809" s="8">
        <v>105703.95</v>
      </c>
      <c r="J1809" s="1">
        <f>IF(COUNTIF($C$4:C1809,C1809)=1,1,0)</f>
        <v>1</v>
      </c>
      <c r="K1809" s="1">
        <f t="shared" si="28"/>
        <v>2024</v>
      </c>
    </row>
    <row r="1810" spans="2:11" x14ac:dyDescent="0.45">
      <c r="B1810" s="1" t="s">
        <v>11</v>
      </c>
      <c r="C1810" s="1" t="s">
        <v>1812</v>
      </c>
      <c r="D1810" s="7">
        <v>44328</v>
      </c>
      <c r="E1810" s="7">
        <v>44338</v>
      </c>
      <c r="F1810" s="7">
        <v>44576</v>
      </c>
      <c r="G1810" s="1" t="s">
        <v>212</v>
      </c>
      <c r="H1810" s="8">
        <v>34204765.310000002</v>
      </c>
      <c r="I1810" s="8">
        <v>16652433.859999999</v>
      </c>
      <c r="J1810" s="1">
        <f>IF(COUNTIF($C$4:C1810,C1810)=1,1,0)</f>
        <v>1</v>
      </c>
      <c r="K1810" s="1">
        <f t="shared" si="28"/>
        <v>2021</v>
      </c>
    </row>
    <row r="1811" spans="2:11" x14ac:dyDescent="0.45">
      <c r="B1811" s="1" t="s">
        <v>11</v>
      </c>
      <c r="C1811" s="1" t="s">
        <v>1813</v>
      </c>
      <c r="D1811" s="7">
        <v>43264</v>
      </c>
      <c r="E1811" s="7">
        <v>43294</v>
      </c>
      <c r="F1811" s="7">
        <v>43525</v>
      </c>
      <c r="G1811" s="1" t="s">
        <v>41</v>
      </c>
      <c r="H1811" s="8">
        <v>222520.76</v>
      </c>
      <c r="I1811" s="8">
        <v>180291.38</v>
      </c>
      <c r="J1811" s="1">
        <f>IF(COUNTIF($C$4:C1811,C1811)=1,1,0)</f>
        <v>1</v>
      </c>
      <c r="K1811" s="1">
        <f t="shared" si="28"/>
        <v>2018</v>
      </c>
    </row>
    <row r="1812" spans="2:11" x14ac:dyDescent="0.45">
      <c r="B1812" s="1" t="s">
        <v>11</v>
      </c>
      <c r="C1812" s="1" t="s">
        <v>1814</v>
      </c>
      <c r="D1812" s="7">
        <v>45904</v>
      </c>
      <c r="E1812" s="7">
        <v>45909</v>
      </c>
      <c r="F1812" s="7">
        <v>46041</v>
      </c>
      <c r="G1812" s="1" t="s">
        <v>22</v>
      </c>
      <c r="H1812" s="8">
        <v>56002330.5</v>
      </c>
      <c r="I1812" s="8">
        <v>42141282.859999999</v>
      </c>
      <c r="J1812" s="1">
        <f>IF(COUNTIF($C$4:C1812,C1812)=1,1,0)</f>
        <v>1</v>
      </c>
      <c r="K1812" s="1">
        <f t="shared" si="28"/>
        <v>2025</v>
      </c>
    </row>
    <row r="1813" spans="2:11" x14ac:dyDescent="0.45">
      <c r="B1813" s="1" t="s">
        <v>11</v>
      </c>
      <c r="C1813" s="1" t="s">
        <v>1815</v>
      </c>
      <c r="D1813" s="7">
        <v>43797</v>
      </c>
      <c r="E1813" s="7">
        <v>43811</v>
      </c>
      <c r="F1813" s="7">
        <v>43910</v>
      </c>
      <c r="G1813" s="1" t="s">
        <v>38</v>
      </c>
      <c r="H1813" s="8">
        <v>385009.66</v>
      </c>
      <c r="I1813" s="8">
        <v>294783.71000000002</v>
      </c>
      <c r="J1813" s="1">
        <f>IF(COUNTIF($C$4:C1813,C1813)=1,1,0)</f>
        <v>1</v>
      </c>
      <c r="K1813" s="1">
        <f t="shared" si="28"/>
        <v>2019</v>
      </c>
    </row>
    <row r="1814" spans="2:11" x14ac:dyDescent="0.45">
      <c r="B1814" s="1" t="s">
        <v>11</v>
      </c>
      <c r="C1814" s="1" t="s">
        <v>1816</v>
      </c>
      <c r="D1814" s="7">
        <v>45502</v>
      </c>
      <c r="E1814" s="7">
        <v>45504</v>
      </c>
      <c r="F1814" s="7">
        <v>45529</v>
      </c>
      <c r="G1814" s="1" t="s">
        <v>20</v>
      </c>
      <c r="H1814" s="8">
        <v>1862872.49</v>
      </c>
      <c r="I1814" s="8">
        <v>1122302.6200000001</v>
      </c>
      <c r="J1814" s="1">
        <f>IF(COUNTIF($C$4:C1814,C1814)=1,1,0)</f>
        <v>1</v>
      </c>
      <c r="K1814" s="1">
        <f t="shared" si="28"/>
        <v>2024</v>
      </c>
    </row>
    <row r="1815" spans="2:11" x14ac:dyDescent="0.45">
      <c r="B1815" s="1" t="s">
        <v>11</v>
      </c>
      <c r="C1815" s="1" t="s">
        <v>1817</v>
      </c>
      <c r="D1815" s="7">
        <v>43680</v>
      </c>
      <c r="E1815" s="7">
        <v>43681</v>
      </c>
      <c r="F1815" s="7">
        <v>43815</v>
      </c>
      <c r="G1815" s="1" t="s">
        <v>22</v>
      </c>
      <c r="H1815" s="8">
        <v>108307726.34999999</v>
      </c>
      <c r="I1815" s="8">
        <v>38232412.859999999</v>
      </c>
      <c r="J1815" s="1">
        <f>IF(COUNTIF($C$4:C1815,C1815)=1,1,0)</f>
        <v>1</v>
      </c>
      <c r="K1815" s="1">
        <f t="shared" si="28"/>
        <v>2019</v>
      </c>
    </row>
    <row r="1816" spans="2:11" x14ac:dyDescent="0.45">
      <c r="B1816" s="1" t="s">
        <v>11</v>
      </c>
      <c r="C1816" s="1" t="s">
        <v>1818</v>
      </c>
      <c r="D1816" s="7">
        <v>44963</v>
      </c>
      <c r="E1816" s="7">
        <v>44967</v>
      </c>
      <c r="F1816" s="7">
        <v>45147</v>
      </c>
      <c r="G1816" s="1" t="s">
        <v>22</v>
      </c>
      <c r="H1816" s="8">
        <v>2910571.23</v>
      </c>
      <c r="I1816" s="8">
        <v>1483956.17</v>
      </c>
      <c r="J1816" s="1">
        <f>IF(COUNTIF($C$4:C1816,C1816)=1,1,0)</f>
        <v>1</v>
      </c>
      <c r="K1816" s="1">
        <f t="shared" si="28"/>
        <v>2023</v>
      </c>
    </row>
    <row r="1817" spans="2:11" x14ac:dyDescent="0.45">
      <c r="B1817" s="1" t="s">
        <v>11</v>
      </c>
      <c r="C1817" s="1" t="s">
        <v>1819</v>
      </c>
      <c r="D1817" s="7">
        <v>43799</v>
      </c>
      <c r="E1817" s="7">
        <v>43799</v>
      </c>
      <c r="F1817" s="7">
        <v>43887</v>
      </c>
      <c r="G1817" s="1" t="s">
        <v>41</v>
      </c>
      <c r="H1817" s="8">
        <v>503791.93</v>
      </c>
      <c r="I1817" s="8">
        <v>422920.04</v>
      </c>
      <c r="J1817" s="1">
        <f>IF(COUNTIF($C$4:C1817,C1817)=1,1,0)</f>
        <v>1</v>
      </c>
      <c r="K1817" s="1">
        <f t="shared" si="28"/>
        <v>2019</v>
      </c>
    </row>
    <row r="1818" spans="2:11" x14ac:dyDescent="0.45">
      <c r="B1818" s="1" t="s">
        <v>11</v>
      </c>
      <c r="C1818" s="1" t="s">
        <v>1820</v>
      </c>
      <c r="D1818" s="7">
        <v>43379</v>
      </c>
      <c r="E1818" s="7">
        <v>43392</v>
      </c>
      <c r="F1818" s="7">
        <v>43479</v>
      </c>
      <c r="G1818" s="1" t="s">
        <v>22</v>
      </c>
      <c r="H1818" s="8">
        <v>4085250.82</v>
      </c>
      <c r="I1818" s="8">
        <v>2654001.54</v>
      </c>
      <c r="J1818" s="1">
        <f>IF(COUNTIF($C$4:C1818,C1818)=1,1,0)</f>
        <v>1</v>
      </c>
      <c r="K1818" s="1">
        <f t="shared" si="28"/>
        <v>2018</v>
      </c>
    </row>
    <row r="1819" spans="2:11" x14ac:dyDescent="0.45">
      <c r="B1819" s="1" t="s">
        <v>11</v>
      </c>
      <c r="C1819" s="1" t="s">
        <v>1821</v>
      </c>
      <c r="D1819" s="7">
        <v>44470</v>
      </c>
      <c r="E1819" s="7">
        <v>44476</v>
      </c>
      <c r="F1819" s="7">
        <v>44570</v>
      </c>
      <c r="G1819" s="1" t="s">
        <v>22</v>
      </c>
      <c r="H1819" s="8">
        <v>18756543.68</v>
      </c>
      <c r="I1819" s="8">
        <v>11854136.68</v>
      </c>
      <c r="J1819" s="1">
        <f>IF(COUNTIF($C$4:C1819,C1819)=1,1,0)</f>
        <v>1</v>
      </c>
      <c r="K1819" s="1">
        <f t="shared" si="28"/>
        <v>2021</v>
      </c>
    </row>
    <row r="1820" spans="2:11" x14ac:dyDescent="0.45">
      <c r="B1820" s="1" t="s">
        <v>11</v>
      </c>
      <c r="C1820" s="1" t="s">
        <v>1822</v>
      </c>
      <c r="D1820" s="7">
        <v>44164</v>
      </c>
      <c r="E1820" s="7">
        <v>44182</v>
      </c>
      <c r="F1820" s="7">
        <v>44272</v>
      </c>
      <c r="G1820" s="1" t="s">
        <v>13</v>
      </c>
      <c r="H1820" s="8">
        <v>683323.46</v>
      </c>
      <c r="I1820" s="8">
        <v>464152.81</v>
      </c>
      <c r="J1820" s="1">
        <f>IF(COUNTIF($C$4:C1820,C1820)=1,1,0)</f>
        <v>1</v>
      </c>
      <c r="K1820" s="1">
        <f t="shared" si="28"/>
        <v>2020</v>
      </c>
    </row>
    <row r="1821" spans="2:11" x14ac:dyDescent="0.45">
      <c r="B1821" s="1" t="s">
        <v>11</v>
      </c>
      <c r="C1821" s="1" t="s">
        <v>1823</v>
      </c>
      <c r="D1821" s="7">
        <v>45762</v>
      </c>
      <c r="E1821" s="7">
        <v>45782</v>
      </c>
      <c r="F1821" s="7">
        <v>45918</v>
      </c>
      <c r="G1821" s="1" t="s">
        <v>38</v>
      </c>
      <c r="H1821" s="8">
        <v>1704525.37</v>
      </c>
      <c r="I1821" s="8">
        <v>1343933.91</v>
      </c>
      <c r="J1821" s="1">
        <f>IF(COUNTIF($C$4:C1821,C1821)=1,1,0)</f>
        <v>1</v>
      </c>
      <c r="K1821" s="1">
        <f t="shared" si="28"/>
        <v>2025</v>
      </c>
    </row>
    <row r="1822" spans="2:11" x14ac:dyDescent="0.45">
      <c r="B1822" s="1" t="s">
        <v>11</v>
      </c>
      <c r="C1822" s="1" t="s">
        <v>1824</v>
      </c>
      <c r="D1822" s="7">
        <v>45193</v>
      </c>
      <c r="E1822" s="7">
        <v>45196</v>
      </c>
      <c r="F1822" s="7">
        <v>45367</v>
      </c>
      <c r="G1822" s="1" t="s">
        <v>212</v>
      </c>
      <c r="H1822" s="8">
        <v>5014827.91</v>
      </c>
      <c r="I1822" s="8">
        <v>2307451.35</v>
      </c>
      <c r="J1822" s="1">
        <f>IF(COUNTIF($C$4:C1822,C1822)=1,1,0)</f>
        <v>1</v>
      </c>
      <c r="K1822" s="1">
        <f t="shared" si="28"/>
        <v>2023</v>
      </c>
    </row>
    <row r="1823" spans="2:11" x14ac:dyDescent="0.45">
      <c r="B1823" s="1" t="s">
        <v>11</v>
      </c>
      <c r="C1823" s="1" t="s">
        <v>1825</v>
      </c>
      <c r="D1823" s="7">
        <v>43762</v>
      </c>
      <c r="E1823" s="7">
        <v>43782</v>
      </c>
      <c r="F1823" s="7">
        <v>44012</v>
      </c>
      <c r="G1823" s="1" t="s">
        <v>22</v>
      </c>
      <c r="H1823" s="8">
        <v>32210951.489999998</v>
      </c>
      <c r="I1823" s="8">
        <v>12812813.91</v>
      </c>
      <c r="J1823" s="1">
        <f>IF(COUNTIF($C$4:C1823,C1823)=1,1,0)</f>
        <v>1</v>
      </c>
      <c r="K1823" s="1">
        <f t="shared" si="28"/>
        <v>2019</v>
      </c>
    </row>
    <row r="1824" spans="2:11" x14ac:dyDescent="0.45">
      <c r="B1824" s="1" t="s">
        <v>11</v>
      </c>
      <c r="C1824" s="1" t="s">
        <v>1826</v>
      </c>
      <c r="D1824" s="7">
        <v>45722</v>
      </c>
      <c r="E1824" s="7">
        <v>45750</v>
      </c>
      <c r="F1824" s="7">
        <v>45817</v>
      </c>
      <c r="G1824" s="1" t="s">
        <v>212</v>
      </c>
      <c r="H1824" s="8">
        <v>10650920.48</v>
      </c>
      <c r="I1824" s="8">
        <v>3733102.79</v>
      </c>
      <c r="J1824" s="1">
        <f>IF(COUNTIF($C$4:C1824,C1824)=1,1,0)</f>
        <v>1</v>
      </c>
      <c r="K1824" s="1">
        <f t="shared" si="28"/>
        <v>2025</v>
      </c>
    </row>
    <row r="1825" spans="2:11" x14ac:dyDescent="0.45">
      <c r="B1825" s="1" t="s">
        <v>11</v>
      </c>
      <c r="C1825" s="1" t="s">
        <v>1827</v>
      </c>
      <c r="D1825" s="7">
        <v>45740</v>
      </c>
      <c r="E1825" s="7">
        <v>45766</v>
      </c>
      <c r="F1825" s="7">
        <v>45992</v>
      </c>
      <c r="G1825" s="1" t="s">
        <v>212</v>
      </c>
      <c r="H1825" s="8">
        <v>39439667.57</v>
      </c>
      <c r="I1825" s="8">
        <v>23844842.600000001</v>
      </c>
      <c r="J1825" s="1">
        <f>IF(COUNTIF($C$4:C1825,C1825)=1,1,0)</f>
        <v>1</v>
      </c>
      <c r="K1825" s="1">
        <f t="shared" si="28"/>
        <v>2025</v>
      </c>
    </row>
    <row r="1826" spans="2:11" x14ac:dyDescent="0.45">
      <c r="B1826" s="1" t="s">
        <v>11</v>
      </c>
      <c r="C1826" s="1" t="s">
        <v>1828</v>
      </c>
      <c r="D1826" s="7">
        <v>45619</v>
      </c>
      <c r="E1826" s="7">
        <v>45626</v>
      </c>
      <c r="F1826" s="7">
        <v>45766</v>
      </c>
      <c r="G1826" s="1" t="s">
        <v>1348</v>
      </c>
      <c r="H1826" s="8">
        <v>11288282.26</v>
      </c>
      <c r="I1826" s="8">
        <v>5212311.55</v>
      </c>
      <c r="J1826" s="1">
        <f>IF(COUNTIF($C$4:C1826,C1826)=1,1,0)</f>
        <v>1</v>
      </c>
      <c r="K1826" s="1">
        <f t="shared" si="28"/>
        <v>2024</v>
      </c>
    </row>
    <row r="1827" spans="2:11" x14ac:dyDescent="0.45">
      <c r="B1827" s="1" t="s">
        <v>11</v>
      </c>
      <c r="C1827" s="1" t="s">
        <v>1829</v>
      </c>
      <c r="D1827" s="7">
        <v>43482</v>
      </c>
      <c r="E1827" s="7">
        <v>43510</v>
      </c>
      <c r="F1827" s="7">
        <v>43625</v>
      </c>
      <c r="G1827" s="1" t="s">
        <v>20</v>
      </c>
      <c r="H1827" s="8">
        <v>664646.81000000006</v>
      </c>
      <c r="I1827" s="8">
        <v>473150.32</v>
      </c>
      <c r="J1827" s="1">
        <f>IF(COUNTIF($C$4:C1827,C1827)=1,1,0)</f>
        <v>1</v>
      </c>
      <c r="K1827" s="1">
        <f t="shared" si="28"/>
        <v>2019</v>
      </c>
    </row>
    <row r="1828" spans="2:11" x14ac:dyDescent="0.45">
      <c r="B1828" s="1" t="s">
        <v>11</v>
      </c>
      <c r="C1828" s="1" t="s">
        <v>1830</v>
      </c>
      <c r="D1828" s="7">
        <v>43819</v>
      </c>
      <c r="E1828" s="7">
        <v>43830</v>
      </c>
      <c r="F1828" s="7">
        <v>43939</v>
      </c>
      <c r="G1828" s="1" t="s">
        <v>212</v>
      </c>
      <c r="H1828" s="8">
        <v>17800071.18</v>
      </c>
      <c r="I1828" s="8">
        <v>12778163.91</v>
      </c>
      <c r="J1828" s="1">
        <f>IF(COUNTIF($C$4:C1828,C1828)=1,1,0)</f>
        <v>1</v>
      </c>
      <c r="K1828" s="1">
        <f t="shared" si="28"/>
        <v>2019</v>
      </c>
    </row>
    <row r="1829" spans="2:11" x14ac:dyDescent="0.45">
      <c r="B1829" s="1" t="s">
        <v>11</v>
      </c>
      <c r="C1829" s="1" t="s">
        <v>1831</v>
      </c>
      <c r="D1829" s="7">
        <v>43978</v>
      </c>
      <c r="E1829" s="7">
        <v>44005</v>
      </c>
      <c r="F1829" s="7">
        <v>44038</v>
      </c>
      <c r="G1829" s="1" t="s">
        <v>1348</v>
      </c>
      <c r="H1829" s="8">
        <v>42831721.009999998</v>
      </c>
      <c r="I1829" s="8">
        <v>13604626.08</v>
      </c>
      <c r="J1829" s="1">
        <f>IF(COUNTIF($C$4:C1829,C1829)=1,1,0)</f>
        <v>1</v>
      </c>
      <c r="K1829" s="1">
        <f t="shared" si="28"/>
        <v>2020</v>
      </c>
    </row>
    <row r="1830" spans="2:11" x14ac:dyDescent="0.45">
      <c r="B1830" s="1" t="s">
        <v>11</v>
      </c>
      <c r="C1830" s="1" t="s">
        <v>1832</v>
      </c>
      <c r="D1830" s="7">
        <v>43426</v>
      </c>
      <c r="E1830" s="7">
        <v>43454</v>
      </c>
      <c r="F1830" s="7">
        <v>43623</v>
      </c>
      <c r="G1830" s="1" t="s">
        <v>38</v>
      </c>
      <c r="H1830" s="8">
        <v>341100.89</v>
      </c>
      <c r="I1830" s="8">
        <v>260107.57</v>
      </c>
      <c r="J1830" s="1">
        <f>IF(COUNTIF($C$4:C1830,C1830)=1,1,0)</f>
        <v>1</v>
      </c>
      <c r="K1830" s="1">
        <f t="shared" si="28"/>
        <v>2018</v>
      </c>
    </row>
    <row r="1831" spans="2:11" x14ac:dyDescent="0.45">
      <c r="B1831" s="1" t="s">
        <v>11</v>
      </c>
      <c r="C1831" s="1" t="s">
        <v>1833</v>
      </c>
      <c r="D1831" s="7">
        <v>44993</v>
      </c>
      <c r="E1831" s="7">
        <v>45009</v>
      </c>
      <c r="F1831" s="7">
        <v>45084</v>
      </c>
      <c r="G1831" s="1" t="s">
        <v>212</v>
      </c>
      <c r="H1831" s="8">
        <v>25644144.32</v>
      </c>
      <c r="I1831" s="8">
        <v>17232063.350000001</v>
      </c>
      <c r="J1831" s="1">
        <f>IF(COUNTIF($C$4:C1831,C1831)=1,1,0)</f>
        <v>1</v>
      </c>
      <c r="K1831" s="1">
        <f t="shared" si="28"/>
        <v>2023</v>
      </c>
    </row>
    <row r="1832" spans="2:11" x14ac:dyDescent="0.45">
      <c r="B1832" s="1" t="s">
        <v>11</v>
      </c>
      <c r="C1832" s="1" t="s">
        <v>1834</v>
      </c>
      <c r="D1832" s="7">
        <v>43682</v>
      </c>
      <c r="E1832" s="7">
        <v>43710</v>
      </c>
      <c r="F1832" s="7">
        <v>43870</v>
      </c>
      <c r="G1832" s="1" t="s">
        <v>41</v>
      </c>
      <c r="H1832" s="8">
        <v>245933.25</v>
      </c>
      <c r="I1832" s="8">
        <v>193987.58</v>
      </c>
      <c r="J1832" s="1">
        <f>IF(COUNTIF($C$4:C1832,C1832)=1,1,0)</f>
        <v>1</v>
      </c>
      <c r="K1832" s="1">
        <f t="shared" si="28"/>
        <v>2019</v>
      </c>
    </row>
    <row r="1833" spans="2:11" x14ac:dyDescent="0.45">
      <c r="B1833" s="1" t="s">
        <v>11</v>
      </c>
      <c r="C1833" s="1" t="s">
        <v>1835</v>
      </c>
      <c r="D1833" s="7">
        <v>44005</v>
      </c>
      <c r="E1833" s="7">
        <v>44007</v>
      </c>
      <c r="F1833" s="7">
        <v>44127</v>
      </c>
      <c r="G1833" s="1" t="s">
        <v>22</v>
      </c>
      <c r="H1833" s="8">
        <v>34460677.579999998</v>
      </c>
      <c r="I1833" s="8">
        <v>20387117.66</v>
      </c>
      <c r="J1833" s="1">
        <f>IF(COUNTIF($C$4:C1833,C1833)=1,1,0)</f>
        <v>1</v>
      </c>
      <c r="K1833" s="1">
        <f t="shared" si="28"/>
        <v>2020</v>
      </c>
    </row>
    <row r="1834" spans="2:11" x14ac:dyDescent="0.45">
      <c r="B1834" s="1" t="s">
        <v>11</v>
      </c>
      <c r="C1834" s="1" t="s">
        <v>1836</v>
      </c>
      <c r="D1834" s="7">
        <v>44170</v>
      </c>
      <c r="E1834" s="7">
        <v>44186</v>
      </c>
      <c r="F1834" s="7">
        <v>44317</v>
      </c>
      <c r="G1834" s="1" t="s">
        <v>1348</v>
      </c>
      <c r="H1834" s="8">
        <v>81521072.359999999</v>
      </c>
      <c r="I1834" s="8">
        <v>46930926.009999998</v>
      </c>
      <c r="J1834" s="1">
        <f>IF(COUNTIF($C$4:C1834,C1834)=1,1,0)</f>
        <v>1</v>
      </c>
      <c r="K1834" s="1">
        <f t="shared" si="28"/>
        <v>2020</v>
      </c>
    </row>
    <row r="1835" spans="2:11" x14ac:dyDescent="0.45">
      <c r="B1835" s="1" t="s">
        <v>11</v>
      </c>
      <c r="C1835" s="1" t="s">
        <v>1837</v>
      </c>
      <c r="D1835" s="7">
        <v>45908</v>
      </c>
      <c r="E1835" s="7">
        <v>45938</v>
      </c>
      <c r="F1835" s="7">
        <v>46056</v>
      </c>
      <c r="G1835" s="1" t="s">
        <v>13</v>
      </c>
      <c r="H1835" s="8">
        <v>214584.75</v>
      </c>
      <c r="I1835" s="8">
        <v>136634.82</v>
      </c>
      <c r="J1835" s="1">
        <f>IF(COUNTIF($C$4:C1835,C1835)=1,1,0)</f>
        <v>1</v>
      </c>
      <c r="K1835" s="1">
        <f t="shared" si="28"/>
        <v>2025</v>
      </c>
    </row>
    <row r="1836" spans="2:11" x14ac:dyDescent="0.45">
      <c r="B1836" s="1" t="s">
        <v>11</v>
      </c>
      <c r="C1836" s="1" t="s">
        <v>1838</v>
      </c>
      <c r="D1836" s="7">
        <v>43910</v>
      </c>
      <c r="E1836" s="7">
        <v>43936</v>
      </c>
      <c r="F1836" s="7">
        <v>44063</v>
      </c>
      <c r="G1836" s="1" t="s">
        <v>1348</v>
      </c>
      <c r="H1836" s="8">
        <v>14293745.949999999</v>
      </c>
      <c r="I1836" s="8">
        <v>8459415.4800000004</v>
      </c>
      <c r="J1836" s="1">
        <f>IF(COUNTIF($C$4:C1836,C1836)=1,1,0)</f>
        <v>1</v>
      </c>
      <c r="K1836" s="1">
        <f t="shared" si="28"/>
        <v>2020</v>
      </c>
    </row>
    <row r="1837" spans="2:11" x14ac:dyDescent="0.45">
      <c r="B1837" s="1" t="s">
        <v>11</v>
      </c>
      <c r="C1837" s="1" t="s">
        <v>1839</v>
      </c>
      <c r="D1837" s="7">
        <v>44819</v>
      </c>
      <c r="E1837" s="7">
        <v>44830</v>
      </c>
      <c r="F1837" s="7">
        <v>44959</v>
      </c>
      <c r="G1837" s="1" t="s">
        <v>41</v>
      </c>
      <c r="H1837" s="8">
        <v>753913.78</v>
      </c>
      <c r="I1837" s="8">
        <v>565661.47</v>
      </c>
      <c r="J1837" s="1">
        <f>IF(COUNTIF($C$4:C1837,C1837)=1,1,0)</f>
        <v>1</v>
      </c>
      <c r="K1837" s="1">
        <f t="shared" si="28"/>
        <v>2022</v>
      </c>
    </row>
    <row r="1838" spans="2:11" x14ac:dyDescent="0.45">
      <c r="B1838" s="1" t="s">
        <v>11</v>
      </c>
      <c r="C1838" s="1" t="s">
        <v>1840</v>
      </c>
      <c r="D1838" s="7">
        <v>45227</v>
      </c>
      <c r="E1838" s="7">
        <v>45252</v>
      </c>
      <c r="F1838" s="7">
        <v>45302</v>
      </c>
      <c r="G1838" s="1" t="s">
        <v>18</v>
      </c>
      <c r="H1838" s="8">
        <v>14813776.869999999</v>
      </c>
      <c r="I1838" s="8">
        <v>10677879.58</v>
      </c>
      <c r="J1838" s="1">
        <f>IF(COUNTIF($C$4:C1838,C1838)=1,1,0)</f>
        <v>1</v>
      </c>
      <c r="K1838" s="1">
        <f t="shared" si="28"/>
        <v>2023</v>
      </c>
    </row>
    <row r="1839" spans="2:11" x14ac:dyDescent="0.45">
      <c r="B1839" s="1" t="s">
        <v>11</v>
      </c>
      <c r="C1839" s="1" t="s">
        <v>1841</v>
      </c>
      <c r="D1839" s="7">
        <v>45838</v>
      </c>
      <c r="E1839" s="7">
        <v>45851</v>
      </c>
      <c r="F1839" s="7">
        <v>45863</v>
      </c>
      <c r="G1839" s="1" t="s">
        <v>13</v>
      </c>
      <c r="H1839" s="8">
        <v>429214.86</v>
      </c>
      <c r="I1839" s="8">
        <v>321372.56</v>
      </c>
      <c r="J1839" s="1">
        <f>IF(COUNTIF($C$4:C1839,C1839)=1,1,0)</f>
        <v>1</v>
      </c>
      <c r="K1839" s="1">
        <f t="shared" si="28"/>
        <v>2025</v>
      </c>
    </row>
    <row r="1840" spans="2:11" x14ac:dyDescent="0.45">
      <c r="B1840" s="1" t="s">
        <v>11</v>
      </c>
      <c r="C1840" s="1" t="s">
        <v>1842</v>
      </c>
      <c r="D1840" s="7">
        <v>44649</v>
      </c>
      <c r="E1840" s="7">
        <v>44677</v>
      </c>
      <c r="F1840" s="7">
        <v>44777</v>
      </c>
      <c r="G1840" s="1" t="s">
        <v>20</v>
      </c>
      <c r="H1840" s="8">
        <v>1927911.44</v>
      </c>
      <c r="I1840" s="8">
        <v>1439507.54</v>
      </c>
      <c r="J1840" s="1">
        <f>IF(COUNTIF($C$4:C1840,C1840)=1,1,0)</f>
        <v>1</v>
      </c>
      <c r="K1840" s="1">
        <f t="shared" si="28"/>
        <v>2022</v>
      </c>
    </row>
    <row r="1841" spans="2:11" x14ac:dyDescent="0.45">
      <c r="B1841" s="1" t="s">
        <v>11</v>
      </c>
      <c r="C1841" s="1" t="s">
        <v>1843</v>
      </c>
      <c r="D1841" s="7">
        <v>44730</v>
      </c>
      <c r="E1841" s="7">
        <v>44739</v>
      </c>
      <c r="F1841" s="7">
        <v>44846</v>
      </c>
      <c r="G1841" s="1" t="s">
        <v>41</v>
      </c>
      <c r="H1841" s="8">
        <v>662208.1</v>
      </c>
      <c r="I1841" s="8">
        <v>503955.23</v>
      </c>
      <c r="J1841" s="1">
        <f>IF(COUNTIF($C$4:C1841,C1841)=1,1,0)</f>
        <v>1</v>
      </c>
      <c r="K1841" s="1">
        <f t="shared" si="28"/>
        <v>2022</v>
      </c>
    </row>
    <row r="1842" spans="2:11" x14ac:dyDescent="0.45">
      <c r="B1842" s="1" t="s">
        <v>11</v>
      </c>
      <c r="C1842" s="1" t="s">
        <v>1844</v>
      </c>
      <c r="D1842" s="7">
        <v>43245</v>
      </c>
      <c r="E1842" s="7">
        <v>43269</v>
      </c>
      <c r="F1842" s="7">
        <v>43425</v>
      </c>
      <c r="G1842" s="1" t="s">
        <v>18</v>
      </c>
      <c r="H1842" s="8">
        <v>8519626.6799999997</v>
      </c>
      <c r="I1842" s="8">
        <v>7188513.8799999999</v>
      </c>
      <c r="J1842" s="1">
        <f>IF(COUNTIF($C$4:C1842,C1842)=1,1,0)</f>
        <v>1</v>
      </c>
      <c r="K1842" s="1">
        <f t="shared" si="28"/>
        <v>2018</v>
      </c>
    </row>
    <row r="1843" spans="2:11" x14ac:dyDescent="0.45">
      <c r="B1843" s="1" t="s">
        <v>11</v>
      </c>
      <c r="C1843" s="1" t="s">
        <v>1845</v>
      </c>
      <c r="D1843" s="7">
        <v>45324</v>
      </c>
      <c r="E1843" s="7">
        <v>45341</v>
      </c>
      <c r="F1843" s="7">
        <v>45511</v>
      </c>
      <c r="G1843" s="1" t="s">
        <v>212</v>
      </c>
      <c r="H1843" s="8">
        <v>5376504.1699999999</v>
      </c>
      <c r="I1843" s="8">
        <v>2262653.7999999998</v>
      </c>
      <c r="J1843" s="1">
        <f>IF(COUNTIF($C$4:C1843,C1843)=1,1,0)</f>
        <v>1</v>
      </c>
      <c r="K1843" s="1">
        <f t="shared" si="28"/>
        <v>2024</v>
      </c>
    </row>
    <row r="1844" spans="2:11" x14ac:dyDescent="0.45">
      <c r="B1844" s="1" t="s">
        <v>11</v>
      </c>
      <c r="C1844" s="1" t="s">
        <v>1846</v>
      </c>
      <c r="D1844" s="7">
        <v>46129</v>
      </c>
      <c r="E1844" s="7">
        <v>46143</v>
      </c>
      <c r="F1844" s="7">
        <v>46193</v>
      </c>
      <c r="G1844" s="1" t="s">
        <v>20</v>
      </c>
      <c r="H1844" s="8">
        <v>51777.06</v>
      </c>
      <c r="I1844" s="8">
        <v>29445.83</v>
      </c>
      <c r="J1844" s="1">
        <f>IF(COUNTIF($C$4:C1844,C1844)=1,1,0)</f>
        <v>1</v>
      </c>
      <c r="K1844" s="1">
        <f t="shared" si="28"/>
        <v>2026</v>
      </c>
    </row>
    <row r="1845" spans="2:11" x14ac:dyDescent="0.45">
      <c r="B1845" s="1" t="s">
        <v>11</v>
      </c>
      <c r="C1845" s="1" t="s">
        <v>1847</v>
      </c>
      <c r="D1845" s="7">
        <v>46001</v>
      </c>
      <c r="E1845" s="7">
        <v>46007</v>
      </c>
      <c r="F1845" s="7">
        <v>46031</v>
      </c>
      <c r="G1845" s="1" t="s">
        <v>13</v>
      </c>
      <c r="H1845" s="8">
        <v>883864.52</v>
      </c>
      <c r="I1845" s="8">
        <v>754254.65</v>
      </c>
      <c r="J1845" s="1">
        <f>IF(COUNTIF($C$4:C1845,C1845)=1,1,0)</f>
        <v>1</v>
      </c>
      <c r="K1845" s="1">
        <f t="shared" si="28"/>
        <v>2025</v>
      </c>
    </row>
    <row r="1846" spans="2:11" x14ac:dyDescent="0.45">
      <c r="B1846" s="1" t="s">
        <v>11</v>
      </c>
      <c r="C1846" s="1" t="s">
        <v>1848</v>
      </c>
      <c r="D1846" s="7">
        <v>46020</v>
      </c>
      <c r="E1846" s="7">
        <v>46036</v>
      </c>
      <c r="F1846" s="7">
        <v>46079</v>
      </c>
      <c r="G1846" s="1" t="s">
        <v>41</v>
      </c>
      <c r="H1846" s="8">
        <v>923580.44</v>
      </c>
      <c r="I1846" s="8">
        <v>628416.06999999995</v>
      </c>
      <c r="J1846" s="1">
        <f>IF(COUNTIF($C$4:C1846,C1846)=1,1,0)</f>
        <v>1</v>
      </c>
      <c r="K1846" s="1">
        <f t="shared" si="28"/>
        <v>2025</v>
      </c>
    </row>
    <row r="1847" spans="2:11" x14ac:dyDescent="0.45">
      <c r="B1847" s="1" t="s">
        <v>11</v>
      </c>
      <c r="C1847" s="1" t="s">
        <v>1849</v>
      </c>
      <c r="D1847" s="7">
        <v>45019</v>
      </c>
      <c r="E1847" s="7">
        <v>45037</v>
      </c>
      <c r="F1847" s="7">
        <v>45265</v>
      </c>
      <c r="G1847" s="1" t="s">
        <v>1348</v>
      </c>
      <c r="H1847" s="8">
        <v>33532311.68</v>
      </c>
      <c r="I1847" s="8">
        <v>15867482.09</v>
      </c>
      <c r="J1847" s="1">
        <f>IF(COUNTIF($C$4:C1847,C1847)=1,1,0)</f>
        <v>1</v>
      </c>
      <c r="K1847" s="1">
        <f t="shared" si="28"/>
        <v>2023</v>
      </c>
    </row>
    <row r="1848" spans="2:11" x14ac:dyDescent="0.45">
      <c r="B1848" s="1" t="s">
        <v>11</v>
      </c>
      <c r="C1848" s="1" t="s">
        <v>1850</v>
      </c>
      <c r="D1848" s="7">
        <v>45472</v>
      </c>
      <c r="E1848" s="7">
        <v>45474</v>
      </c>
      <c r="F1848" s="7">
        <v>45499</v>
      </c>
      <c r="G1848" s="1" t="s">
        <v>20</v>
      </c>
      <c r="H1848" s="8">
        <v>1153150.57</v>
      </c>
      <c r="I1848" s="8">
        <v>806791.29</v>
      </c>
      <c r="J1848" s="1">
        <f>IF(COUNTIF($C$4:C1848,C1848)=1,1,0)</f>
        <v>1</v>
      </c>
      <c r="K1848" s="1">
        <f t="shared" si="28"/>
        <v>2024</v>
      </c>
    </row>
    <row r="1849" spans="2:11" x14ac:dyDescent="0.45">
      <c r="B1849" s="1" t="s">
        <v>11</v>
      </c>
      <c r="C1849" s="1" t="s">
        <v>1851</v>
      </c>
      <c r="D1849" s="7">
        <v>46035</v>
      </c>
      <c r="E1849" s="7">
        <v>46055</v>
      </c>
      <c r="F1849" s="7">
        <v>46289</v>
      </c>
      <c r="G1849" s="1" t="s">
        <v>38</v>
      </c>
      <c r="H1849" s="8">
        <v>499902.11</v>
      </c>
      <c r="I1849" s="8">
        <v>393701.6</v>
      </c>
      <c r="J1849" s="1">
        <f>IF(COUNTIF($C$4:C1849,C1849)=1,1,0)</f>
        <v>1</v>
      </c>
      <c r="K1849" s="1">
        <f t="shared" si="28"/>
        <v>2026</v>
      </c>
    </row>
    <row r="1850" spans="2:11" x14ac:dyDescent="0.45">
      <c r="B1850" s="1" t="s">
        <v>11</v>
      </c>
      <c r="C1850" s="1" t="s">
        <v>1852</v>
      </c>
      <c r="D1850" s="7">
        <v>45205</v>
      </c>
      <c r="E1850" s="7">
        <v>45230</v>
      </c>
      <c r="F1850" s="7">
        <v>45415</v>
      </c>
      <c r="G1850" s="1" t="s">
        <v>41</v>
      </c>
      <c r="H1850" s="8">
        <v>27112.94</v>
      </c>
      <c r="I1850" s="8">
        <v>21444.34</v>
      </c>
      <c r="J1850" s="1">
        <f>IF(COUNTIF($C$4:C1850,C1850)=1,1,0)</f>
        <v>1</v>
      </c>
      <c r="K1850" s="1">
        <f t="shared" si="28"/>
        <v>2023</v>
      </c>
    </row>
    <row r="1851" spans="2:11" x14ac:dyDescent="0.45">
      <c r="B1851" s="1" t="s">
        <v>11</v>
      </c>
      <c r="C1851" s="1" t="s">
        <v>1853</v>
      </c>
      <c r="D1851" s="7">
        <v>44432</v>
      </c>
      <c r="E1851" s="7">
        <v>44442</v>
      </c>
      <c r="F1851" s="7">
        <v>44620</v>
      </c>
      <c r="G1851" s="1" t="s">
        <v>20</v>
      </c>
      <c r="H1851" s="8">
        <v>753057.31</v>
      </c>
      <c r="I1851" s="8">
        <v>476085.01</v>
      </c>
      <c r="J1851" s="1">
        <f>IF(COUNTIF($C$4:C1851,C1851)=1,1,0)</f>
        <v>1</v>
      </c>
      <c r="K1851" s="1">
        <f t="shared" si="28"/>
        <v>2021</v>
      </c>
    </row>
    <row r="1852" spans="2:11" x14ac:dyDescent="0.45">
      <c r="B1852" s="1" t="s">
        <v>11</v>
      </c>
      <c r="C1852" s="1" t="s">
        <v>1854</v>
      </c>
      <c r="D1852" s="7">
        <v>46161</v>
      </c>
      <c r="E1852" s="7">
        <v>46191</v>
      </c>
      <c r="F1852" s="7">
        <v>46396</v>
      </c>
      <c r="G1852" s="1" t="s">
        <v>18</v>
      </c>
      <c r="H1852" s="8">
        <v>7340658.7699999996</v>
      </c>
      <c r="I1852" s="8">
        <v>5797549.7999999998</v>
      </c>
      <c r="J1852" s="1">
        <f>IF(COUNTIF($C$4:C1852,C1852)=1,1,0)</f>
        <v>1</v>
      </c>
      <c r="K1852" s="1">
        <f t="shared" si="28"/>
        <v>2026</v>
      </c>
    </row>
    <row r="1853" spans="2:11" x14ac:dyDescent="0.45">
      <c r="B1853" s="1" t="s">
        <v>11</v>
      </c>
      <c r="C1853" s="1" t="s">
        <v>1855</v>
      </c>
      <c r="D1853" s="7">
        <v>45677</v>
      </c>
      <c r="E1853" s="7">
        <v>45704</v>
      </c>
      <c r="F1853" s="7">
        <v>45852</v>
      </c>
      <c r="G1853" s="1" t="s">
        <v>38</v>
      </c>
      <c r="H1853" s="8">
        <v>95118.85</v>
      </c>
      <c r="I1853" s="8">
        <v>72093.37</v>
      </c>
      <c r="J1853" s="1">
        <f>IF(COUNTIF($C$4:C1853,C1853)=1,1,0)</f>
        <v>1</v>
      </c>
      <c r="K1853" s="1">
        <f t="shared" si="28"/>
        <v>2025</v>
      </c>
    </row>
    <row r="1854" spans="2:11" x14ac:dyDescent="0.45">
      <c r="B1854" s="1" t="s">
        <v>11</v>
      </c>
      <c r="C1854" s="1" t="s">
        <v>1856</v>
      </c>
      <c r="D1854" s="7">
        <v>45221</v>
      </c>
      <c r="E1854" s="7">
        <v>45230</v>
      </c>
      <c r="F1854" s="7">
        <v>45463</v>
      </c>
      <c r="G1854" s="1" t="s">
        <v>13</v>
      </c>
      <c r="H1854" s="8">
        <v>223493.12</v>
      </c>
      <c r="I1854" s="8">
        <v>169120.34</v>
      </c>
      <c r="J1854" s="1">
        <f>IF(COUNTIF($C$4:C1854,C1854)=1,1,0)</f>
        <v>1</v>
      </c>
      <c r="K1854" s="1">
        <f t="shared" si="28"/>
        <v>2023</v>
      </c>
    </row>
    <row r="1855" spans="2:11" x14ac:dyDescent="0.45">
      <c r="B1855" s="1" t="s">
        <v>11</v>
      </c>
      <c r="C1855" s="1" t="s">
        <v>1857</v>
      </c>
      <c r="D1855" s="7">
        <v>45895</v>
      </c>
      <c r="E1855" s="7">
        <v>45898</v>
      </c>
      <c r="F1855" s="7">
        <v>45985</v>
      </c>
      <c r="G1855" s="1" t="s">
        <v>38</v>
      </c>
      <c r="H1855" s="8">
        <v>462719.48</v>
      </c>
      <c r="I1855" s="8">
        <v>374606.86</v>
      </c>
      <c r="J1855" s="1">
        <f>IF(COUNTIF($C$4:C1855,C1855)=1,1,0)</f>
        <v>1</v>
      </c>
      <c r="K1855" s="1">
        <f t="shared" si="28"/>
        <v>2025</v>
      </c>
    </row>
    <row r="1856" spans="2:11" x14ac:dyDescent="0.45">
      <c r="B1856" s="1" t="s">
        <v>11</v>
      </c>
      <c r="C1856" s="1" t="s">
        <v>1858</v>
      </c>
      <c r="D1856" s="7">
        <v>43200</v>
      </c>
      <c r="E1856" s="7">
        <v>43217</v>
      </c>
      <c r="F1856" s="7">
        <v>43234</v>
      </c>
      <c r="G1856" s="1" t="s">
        <v>1348</v>
      </c>
      <c r="H1856" s="8">
        <v>274153835.26999998</v>
      </c>
      <c r="I1856" s="8">
        <v>150356134.33000001</v>
      </c>
      <c r="J1856" s="1">
        <f>IF(COUNTIF($C$4:C1856,C1856)=1,1,0)</f>
        <v>1</v>
      </c>
      <c r="K1856" s="1">
        <f t="shared" si="28"/>
        <v>2018</v>
      </c>
    </row>
    <row r="1857" spans="2:11" x14ac:dyDescent="0.45">
      <c r="B1857" s="1" t="s">
        <v>11</v>
      </c>
      <c r="C1857" s="1" t="s">
        <v>1859</v>
      </c>
      <c r="D1857" s="7">
        <v>44417</v>
      </c>
      <c r="E1857" s="7">
        <v>44446</v>
      </c>
      <c r="F1857" s="7">
        <v>44546</v>
      </c>
      <c r="G1857" s="1" t="s">
        <v>13</v>
      </c>
      <c r="H1857" s="8">
        <v>165943.89000000001</v>
      </c>
      <c r="I1857" s="8">
        <v>129037.63</v>
      </c>
      <c r="J1857" s="1">
        <f>IF(COUNTIF($C$4:C1857,C1857)=1,1,0)</f>
        <v>1</v>
      </c>
      <c r="K1857" s="1">
        <f t="shared" si="28"/>
        <v>2021</v>
      </c>
    </row>
    <row r="1858" spans="2:11" x14ac:dyDescent="0.45">
      <c r="B1858" s="1" t="s">
        <v>11</v>
      </c>
      <c r="C1858" s="1" t="s">
        <v>1860</v>
      </c>
      <c r="D1858" s="7">
        <v>45083</v>
      </c>
      <c r="E1858" s="7">
        <v>45089</v>
      </c>
      <c r="F1858" s="7">
        <v>45265</v>
      </c>
      <c r="G1858" s="1" t="s">
        <v>38</v>
      </c>
      <c r="H1858" s="8">
        <v>2071615.22</v>
      </c>
      <c r="I1858" s="8">
        <v>1565136.99</v>
      </c>
      <c r="J1858" s="1">
        <f>IF(COUNTIF($C$4:C1858,C1858)=1,1,0)</f>
        <v>1</v>
      </c>
      <c r="K1858" s="1">
        <f t="shared" si="28"/>
        <v>2023</v>
      </c>
    </row>
    <row r="1859" spans="2:11" x14ac:dyDescent="0.45">
      <c r="B1859" s="1" t="s">
        <v>11</v>
      </c>
      <c r="C1859" s="1" t="s">
        <v>1861</v>
      </c>
      <c r="D1859" s="7">
        <v>44336</v>
      </c>
      <c r="E1859" s="7">
        <v>44353</v>
      </c>
      <c r="F1859" s="7">
        <v>44522</v>
      </c>
      <c r="G1859" s="1" t="s">
        <v>38</v>
      </c>
      <c r="H1859" s="8">
        <v>1130679.3700000001</v>
      </c>
      <c r="I1859" s="8">
        <v>723285.53</v>
      </c>
      <c r="J1859" s="1">
        <f>IF(COUNTIF($C$4:C1859,C1859)=1,1,0)</f>
        <v>1</v>
      </c>
      <c r="K1859" s="1">
        <f t="shared" si="28"/>
        <v>2021</v>
      </c>
    </row>
    <row r="1860" spans="2:11" x14ac:dyDescent="0.45">
      <c r="B1860" s="1" t="s">
        <v>11</v>
      </c>
      <c r="C1860" s="1" t="s">
        <v>1862</v>
      </c>
      <c r="D1860" s="7">
        <v>44110</v>
      </c>
      <c r="E1860" s="7">
        <v>44125</v>
      </c>
      <c r="F1860" s="7">
        <v>44214</v>
      </c>
      <c r="G1860" s="1" t="s">
        <v>1348</v>
      </c>
      <c r="H1860" s="8">
        <v>39618610.359999999</v>
      </c>
      <c r="I1860" s="8">
        <v>25462795.84</v>
      </c>
      <c r="J1860" s="1">
        <f>IF(COUNTIF($C$4:C1860,C1860)=1,1,0)</f>
        <v>1</v>
      </c>
      <c r="K1860" s="1">
        <f t="shared" si="28"/>
        <v>2020</v>
      </c>
    </row>
    <row r="1861" spans="2:11" x14ac:dyDescent="0.45">
      <c r="B1861" s="1" t="s">
        <v>11</v>
      </c>
      <c r="C1861" s="1" t="s">
        <v>1863</v>
      </c>
      <c r="D1861" s="7">
        <v>45666</v>
      </c>
      <c r="E1861" s="7">
        <v>45694</v>
      </c>
      <c r="F1861" s="7">
        <v>45781</v>
      </c>
      <c r="G1861" s="1" t="s">
        <v>22</v>
      </c>
      <c r="H1861" s="8">
        <v>31885118.460000001</v>
      </c>
      <c r="I1861" s="8">
        <v>16161126.91</v>
      </c>
      <c r="J1861" s="1">
        <f>IF(COUNTIF($C$4:C1861,C1861)=1,1,0)</f>
        <v>1</v>
      </c>
      <c r="K1861" s="1">
        <f t="shared" ref="K1861:K1924" si="29">YEAR(D1861)</f>
        <v>2025</v>
      </c>
    </row>
    <row r="1862" spans="2:11" x14ac:dyDescent="0.45">
      <c r="B1862" s="1" t="s">
        <v>11</v>
      </c>
      <c r="C1862" s="1" t="s">
        <v>1864</v>
      </c>
      <c r="D1862" s="7">
        <v>44368</v>
      </c>
      <c r="E1862" s="7">
        <v>44396</v>
      </c>
      <c r="F1862" s="7">
        <v>44414</v>
      </c>
      <c r="G1862" s="1" t="s">
        <v>13</v>
      </c>
      <c r="H1862" s="8">
        <v>677109.94</v>
      </c>
      <c r="I1862" s="8">
        <v>495180.16</v>
      </c>
      <c r="J1862" s="1">
        <f>IF(COUNTIF($C$4:C1862,C1862)=1,1,0)</f>
        <v>1</v>
      </c>
      <c r="K1862" s="1">
        <f t="shared" si="29"/>
        <v>2021</v>
      </c>
    </row>
    <row r="1863" spans="2:11" x14ac:dyDescent="0.45">
      <c r="B1863" s="1" t="s">
        <v>11</v>
      </c>
      <c r="C1863" s="1" t="s">
        <v>1865</v>
      </c>
      <c r="D1863" s="7">
        <v>45768</v>
      </c>
      <c r="E1863" s="7">
        <v>45792</v>
      </c>
      <c r="F1863" s="7">
        <v>46024</v>
      </c>
      <c r="G1863" s="1" t="s">
        <v>20</v>
      </c>
      <c r="H1863" s="8">
        <v>1247419.78</v>
      </c>
      <c r="I1863" s="8">
        <v>842644</v>
      </c>
      <c r="J1863" s="1">
        <f>IF(COUNTIF($C$4:C1863,C1863)=1,1,0)</f>
        <v>1</v>
      </c>
      <c r="K1863" s="1">
        <f t="shared" si="29"/>
        <v>2025</v>
      </c>
    </row>
    <row r="1864" spans="2:11" x14ac:dyDescent="0.45">
      <c r="B1864" s="1" t="s">
        <v>11</v>
      </c>
      <c r="C1864" s="1" t="s">
        <v>1866</v>
      </c>
      <c r="D1864" s="7">
        <v>44628</v>
      </c>
      <c r="E1864" s="7">
        <v>44630</v>
      </c>
      <c r="F1864" s="7">
        <v>44795</v>
      </c>
      <c r="G1864" s="1" t="s">
        <v>13</v>
      </c>
      <c r="H1864" s="8">
        <v>1108353.69</v>
      </c>
      <c r="I1864" s="8">
        <v>822461.83</v>
      </c>
      <c r="J1864" s="1">
        <f>IF(COUNTIF($C$4:C1864,C1864)=1,1,0)</f>
        <v>1</v>
      </c>
      <c r="K1864" s="1">
        <f t="shared" si="29"/>
        <v>2022</v>
      </c>
    </row>
    <row r="1865" spans="2:11" x14ac:dyDescent="0.45">
      <c r="B1865" s="1" t="s">
        <v>11</v>
      </c>
      <c r="C1865" s="1" t="s">
        <v>1867</v>
      </c>
      <c r="D1865" s="7">
        <v>45537</v>
      </c>
      <c r="E1865" s="7">
        <v>45546</v>
      </c>
      <c r="F1865" s="7">
        <v>45744</v>
      </c>
      <c r="G1865" s="1" t="s">
        <v>20</v>
      </c>
      <c r="H1865" s="8">
        <v>3057429.9</v>
      </c>
      <c r="I1865" s="8">
        <v>1859537.87</v>
      </c>
      <c r="J1865" s="1">
        <f>IF(COUNTIF($C$4:C1865,C1865)=1,1,0)</f>
        <v>1</v>
      </c>
      <c r="K1865" s="1">
        <f t="shared" si="29"/>
        <v>2024</v>
      </c>
    </row>
    <row r="1866" spans="2:11" x14ac:dyDescent="0.45">
      <c r="B1866" s="1" t="s">
        <v>11</v>
      </c>
      <c r="C1866" s="1" t="s">
        <v>1868</v>
      </c>
      <c r="D1866" s="7">
        <v>44881</v>
      </c>
      <c r="E1866" s="7">
        <v>44906</v>
      </c>
      <c r="F1866" s="7">
        <v>45092</v>
      </c>
      <c r="G1866" s="1" t="s">
        <v>1348</v>
      </c>
      <c r="H1866" s="8">
        <v>36430594.93</v>
      </c>
      <c r="I1866" s="8">
        <v>19530186.219999999</v>
      </c>
      <c r="J1866" s="1">
        <f>IF(COUNTIF($C$4:C1866,C1866)=1,1,0)</f>
        <v>1</v>
      </c>
      <c r="K1866" s="1">
        <f t="shared" si="29"/>
        <v>2022</v>
      </c>
    </row>
    <row r="1867" spans="2:11" x14ac:dyDescent="0.45">
      <c r="B1867" s="1" t="s">
        <v>11</v>
      </c>
      <c r="C1867" s="1" t="s">
        <v>1869</v>
      </c>
      <c r="D1867" s="7">
        <v>45521</v>
      </c>
      <c r="E1867" s="7">
        <v>45542</v>
      </c>
      <c r="F1867" s="7">
        <v>45657</v>
      </c>
      <c r="G1867" s="1" t="s">
        <v>38</v>
      </c>
      <c r="H1867" s="8">
        <v>554470.84</v>
      </c>
      <c r="I1867" s="8">
        <v>390546.01</v>
      </c>
      <c r="J1867" s="1">
        <f>IF(COUNTIF($C$4:C1867,C1867)=1,1,0)</f>
        <v>1</v>
      </c>
      <c r="K1867" s="1">
        <f t="shared" si="29"/>
        <v>2024</v>
      </c>
    </row>
    <row r="1868" spans="2:11" x14ac:dyDescent="0.45">
      <c r="B1868" s="1" t="s">
        <v>11</v>
      </c>
      <c r="C1868" s="1" t="s">
        <v>1870</v>
      </c>
      <c r="D1868" s="7">
        <v>44516</v>
      </c>
      <c r="E1868" s="7">
        <v>44522</v>
      </c>
      <c r="F1868" s="7">
        <v>44757</v>
      </c>
      <c r="G1868" s="1" t="s">
        <v>38</v>
      </c>
      <c r="H1868" s="8">
        <v>845864.52</v>
      </c>
      <c r="I1868" s="8">
        <v>691630.21</v>
      </c>
      <c r="J1868" s="1">
        <f>IF(COUNTIF($C$4:C1868,C1868)=1,1,0)</f>
        <v>1</v>
      </c>
      <c r="K1868" s="1">
        <f t="shared" si="29"/>
        <v>2021</v>
      </c>
    </row>
    <row r="1869" spans="2:11" x14ac:dyDescent="0.45">
      <c r="B1869" s="1" t="s">
        <v>11</v>
      </c>
      <c r="C1869" s="1" t="s">
        <v>1196</v>
      </c>
      <c r="D1869" s="7">
        <v>43994</v>
      </c>
      <c r="E1869" s="7">
        <v>44009</v>
      </c>
      <c r="F1869" s="7">
        <v>44122</v>
      </c>
      <c r="G1869" s="1" t="s">
        <v>1348</v>
      </c>
      <c r="H1869" s="8">
        <v>20488900.219999999</v>
      </c>
      <c r="I1869" s="8">
        <v>11656360.810000001</v>
      </c>
      <c r="J1869" s="1">
        <f>IF(COUNTIF($C$4:C1869,C1869)=1,1,0)</f>
        <v>0</v>
      </c>
      <c r="K1869" s="1">
        <f t="shared" si="29"/>
        <v>2020</v>
      </c>
    </row>
    <row r="1870" spans="2:11" x14ac:dyDescent="0.45">
      <c r="B1870" s="1" t="s">
        <v>11</v>
      </c>
      <c r="C1870" s="1" t="s">
        <v>1871</v>
      </c>
      <c r="D1870" s="7">
        <v>45104</v>
      </c>
      <c r="E1870" s="7">
        <v>45129</v>
      </c>
      <c r="F1870" s="7">
        <v>45151</v>
      </c>
      <c r="G1870" s="1" t="s">
        <v>1348</v>
      </c>
      <c r="H1870" s="8">
        <v>253178255.72</v>
      </c>
      <c r="I1870" s="8">
        <v>189859579.63999999</v>
      </c>
      <c r="J1870" s="1">
        <f>IF(COUNTIF($C$4:C1870,C1870)=1,1,0)</f>
        <v>1</v>
      </c>
      <c r="K1870" s="1">
        <f t="shared" si="29"/>
        <v>2023</v>
      </c>
    </row>
    <row r="1871" spans="2:11" x14ac:dyDescent="0.45">
      <c r="B1871" s="1" t="s">
        <v>11</v>
      </c>
      <c r="C1871" s="1" t="s">
        <v>1872</v>
      </c>
      <c r="D1871" s="7">
        <v>44132</v>
      </c>
      <c r="E1871" s="7">
        <v>44139</v>
      </c>
      <c r="F1871" s="7">
        <v>44297</v>
      </c>
      <c r="G1871" s="1" t="s">
        <v>1348</v>
      </c>
      <c r="H1871" s="8">
        <v>7753575.5899999999</v>
      </c>
      <c r="I1871" s="8">
        <v>3654115.25</v>
      </c>
      <c r="J1871" s="1">
        <f>IF(COUNTIF($C$4:C1871,C1871)=1,1,0)</f>
        <v>1</v>
      </c>
      <c r="K1871" s="1">
        <f t="shared" si="29"/>
        <v>2020</v>
      </c>
    </row>
    <row r="1872" spans="2:11" x14ac:dyDescent="0.45">
      <c r="B1872" s="1" t="s">
        <v>11</v>
      </c>
      <c r="C1872" s="1" t="s">
        <v>1873</v>
      </c>
      <c r="D1872" s="7">
        <v>45955</v>
      </c>
      <c r="E1872" s="7">
        <v>45962</v>
      </c>
      <c r="F1872" s="7">
        <v>46078</v>
      </c>
      <c r="G1872" s="1" t="s">
        <v>13</v>
      </c>
      <c r="H1872" s="8">
        <v>1457680.22</v>
      </c>
      <c r="I1872" s="8">
        <v>1193850.79</v>
      </c>
      <c r="J1872" s="1">
        <f>IF(COUNTIF($C$4:C1872,C1872)=1,1,0)</f>
        <v>1</v>
      </c>
      <c r="K1872" s="1">
        <f t="shared" si="29"/>
        <v>2025</v>
      </c>
    </row>
    <row r="1873" spans="2:11" x14ac:dyDescent="0.45">
      <c r="B1873" s="1" t="s">
        <v>11</v>
      </c>
      <c r="C1873" s="1" t="s">
        <v>1874</v>
      </c>
      <c r="D1873" s="7">
        <v>44842</v>
      </c>
      <c r="E1873" s="7">
        <v>44843</v>
      </c>
      <c r="F1873" s="7">
        <v>44917</v>
      </c>
      <c r="G1873" s="1" t="s">
        <v>16</v>
      </c>
      <c r="H1873" s="8">
        <v>8097090.1500000004</v>
      </c>
      <c r="I1873" s="8">
        <v>4925771.3600000003</v>
      </c>
      <c r="J1873" s="1">
        <f>IF(COUNTIF($C$4:C1873,C1873)=1,1,0)</f>
        <v>1</v>
      </c>
      <c r="K1873" s="1">
        <f t="shared" si="29"/>
        <v>2022</v>
      </c>
    </row>
    <row r="1874" spans="2:11" x14ac:dyDescent="0.45">
      <c r="B1874" s="1" t="s">
        <v>11</v>
      </c>
      <c r="C1874" s="1" t="s">
        <v>1875</v>
      </c>
      <c r="D1874" s="7">
        <v>46025</v>
      </c>
      <c r="E1874" s="7">
        <v>46042</v>
      </c>
      <c r="F1874" s="7">
        <v>46209</v>
      </c>
      <c r="G1874" s="1" t="s">
        <v>41</v>
      </c>
      <c r="H1874" s="8">
        <v>38390.400000000001</v>
      </c>
      <c r="I1874" s="8">
        <v>33673.629999999997</v>
      </c>
      <c r="J1874" s="1">
        <f>IF(COUNTIF($C$4:C1874,C1874)=1,1,0)</f>
        <v>1</v>
      </c>
      <c r="K1874" s="1">
        <f t="shared" si="29"/>
        <v>2026</v>
      </c>
    </row>
    <row r="1875" spans="2:11" x14ac:dyDescent="0.45">
      <c r="B1875" s="1" t="s">
        <v>11</v>
      </c>
      <c r="C1875" s="1" t="s">
        <v>1876</v>
      </c>
      <c r="D1875" s="7">
        <v>44849</v>
      </c>
      <c r="E1875" s="7">
        <v>44865</v>
      </c>
      <c r="F1875" s="7">
        <v>44962</v>
      </c>
      <c r="G1875" s="1" t="s">
        <v>13</v>
      </c>
      <c r="H1875" s="8">
        <v>1890339.74</v>
      </c>
      <c r="I1875" s="8">
        <v>1514559.35</v>
      </c>
      <c r="J1875" s="1">
        <f>IF(COUNTIF($C$4:C1875,C1875)=1,1,0)</f>
        <v>1</v>
      </c>
      <c r="K1875" s="1">
        <f t="shared" si="29"/>
        <v>2022</v>
      </c>
    </row>
    <row r="1876" spans="2:11" x14ac:dyDescent="0.45">
      <c r="B1876" s="1" t="s">
        <v>11</v>
      </c>
      <c r="C1876" s="1" t="s">
        <v>1877</v>
      </c>
      <c r="D1876" s="7">
        <v>46326</v>
      </c>
      <c r="E1876" s="7">
        <v>46340</v>
      </c>
      <c r="F1876" s="7">
        <v>46479</v>
      </c>
      <c r="G1876" s="1" t="s">
        <v>22</v>
      </c>
      <c r="H1876" s="8">
        <v>68203940.900000006</v>
      </c>
      <c r="I1876" s="8">
        <v>39727291.880000003</v>
      </c>
      <c r="J1876" s="1">
        <f>IF(COUNTIF($C$4:C1876,C1876)=1,1,0)</f>
        <v>1</v>
      </c>
      <c r="K1876" s="1">
        <f t="shared" si="29"/>
        <v>2026</v>
      </c>
    </row>
    <row r="1877" spans="2:11" x14ac:dyDescent="0.45">
      <c r="B1877" s="1" t="s">
        <v>11</v>
      </c>
      <c r="C1877" s="1" t="s">
        <v>1878</v>
      </c>
      <c r="D1877" s="7">
        <v>45110</v>
      </c>
      <c r="E1877" s="7">
        <v>45133</v>
      </c>
      <c r="F1877" s="7">
        <v>45167</v>
      </c>
      <c r="G1877" s="1" t="s">
        <v>13</v>
      </c>
      <c r="H1877" s="8">
        <v>479282.84</v>
      </c>
      <c r="I1877" s="8">
        <v>427212.51</v>
      </c>
      <c r="J1877" s="1">
        <f>IF(COUNTIF($C$4:C1877,C1877)=1,1,0)</f>
        <v>1</v>
      </c>
      <c r="K1877" s="1">
        <f t="shared" si="29"/>
        <v>2023</v>
      </c>
    </row>
    <row r="1878" spans="2:11" x14ac:dyDescent="0.45">
      <c r="B1878" s="1" t="s">
        <v>11</v>
      </c>
      <c r="C1878" s="1" t="s">
        <v>1879</v>
      </c>
      <c r="D1878" s="7">
        <v>46192</v>
      </c>
      <c r="E1878" s="7">
        <v>46206</v>
      </c>
      <c r="F1878" s="7">
        <v>46281</v>
      </c>
      <c r="G1878" s="1" t="s">
        <v>20</v>
      </c>
      <c r="H1878" s="8">
        <v>693757.52</v>
      </c>
      <c r="I1878" s="8">
        <v>513483.18</v>
      </c>
      <c r="J1878" s="1">
        <f>IF(COUNTIF($C$4:C1878,C1878)=1,1,0)</f>
        <v>1</v>
      </c>
      <c r="K1878" s="1">
        <f t="shared" si="29"/>
        <v>2026</v>
      </c>
    </row>
    <row r="1879" spans="2:11" x14ac:dyDescent="0.45">
      <c r="B1879" s="1" t="s">
        <v>11</v>
      </c>
      <c r="C1879" s="1" t="s">
        <v>1880</v>
      </c>
      <c r="D1879" s="7">
        <v>43433</v>
      </c>
      <c r="E1879" s="7">
        <v>43461</v>
      </c>
      <c r="F1879" s="7">
        <v>43472</v>
      </c>
      <c r="G1879" s="1" t="s">
        <v>16</v>
      </c>
      <c r="H1879" s="8">
        <v>920077.52</v>
      </c>
      <c r="I1879" s="8">
        <v>656956.91</v>
      </c>
      <c r="J1879" s="1">
        <f>IF(COUNTIF($C$4:C1879,C1879)=1,1,0)</f>
        <v>1</v>
      </c>
      <c r="K1879" s="1">
        <f t="shared" si="29"/>
        <v>2018</v>
      </c>
    </row>
    <row r="1880" spans="2:11" x14ac:dyDescent="0.45">
      <c r="B1880" s="1" t="s">
        <v>11</v>
      </c>
      <c r="C1880" s="1" t="s">
        <v>1881</v>
      </c>
      <c r="D1880" s="7">
        <v>45593</v>
      </c>
      <c r="E1880" s="7">
        <v>45605</v>
      </c>
      <c r="F1880" s="7">
        <v>45746</v>
      </c>
      <c r="G1880" s="1" t="s">
        <v>212</v>
      </c>
      <c r="H1880" s="8">
        <v>4332831.13</v>
      </c>
      <c r="I1880" s="8">
        <v>2765581.51</v>
      </c>
      <c r="J1880" s="1">
        <f>IF(COUNTIF($C$4:C1880,C1880)=1,1,0)</f>
        <v>1</v>
      </c>
      <c r="K1880" s="1">
        <f t="shared" si="29"/>
        <v>2024</v>
      </c>
    </row>
    <row r="1881" spans="2:11" x14ac:dyDescent="0.45">
      <c r="B1881" s="1" t="s">
        <v>11</v>
      </c>
      <c r="C1881" s="1" t="s">
        <v>1882</v>
      </c>
      <c r="D1881" s="7">
        <v>45808</v>
      </c>
      <c r="E1881" s="7">
        <v>45822</v>
      </c>
      <c r="F1881" s="7">
        <v>46005</v>
      </c>
      <c r="G1881" s="1" t="s">
        <v>13</v>
      </c>
      <c r="H1881" s="8">
        <v>1066327.1200000001</v>
      </c>
      <c r="I1881" s="8">
        <v>854558.1</v>
      </c>
      <c r="J1881" s="1">
        <f>IF(COUNTIF($C$4:C1881,C1881)=1,1,0)</f>
        <v>1</v>
      </c>
      <c r="K1881" s="1">
        <f t="shared" si="29"/>
        <v>2025</v>
      </c>
    </row>
    <row r="1882" spans="2:11" x14ac:dyDescent="0.45">
      <c r="B1882" s="1" t="s">
        <v>11</v>
      </c>
      <c r="C1882" s="1" t="s">
        <v>1883</v>
      </c>
      <c r="D1882" s="7">
        <v>45531</v>
      </c>
      <c r="E1882" s="7">
        <v>45541</v>
      </c>
      <c r="F1882" s="7">
        <v>45582</v>
      </c>
      <c r="G1882" s="1" t="s">
        <v>38</v>
      </c>
      <c r="H1882" s="8">
        <v>82810.48</v>
      </c>
      <c r="I1882" s="8">
        <v>67754.98</v>
      </c>
      <c r="J1882" s="1">
        <f>IF(COUNTIF($C$4:C1882,C1882)=1,1,0)</f>
        <v>1</v>
      </c>
      <c r="K1882" s="1">
        <f t="shared" si="29"/>
        <v>2024</v>
      </c>
    </row>
    <row r="1883" spans="2:11" x14ac:dyDescent="0.45">
      <c r="B1883" s="1" t="s">
        <v>11</v>
      </c>
      <c r="C1883" s="1" t="s">
        <v>1884</v>
      </c>
      <c r="D1883" s="7">
        <v>45951</v>
      </c>
      <c r="E1883" s="7">
        <v>45960</v>
      </c>
      <c r="F1883" s="7">
        <v>46123</v>
      </c>
      <c r="G1883" s="1" t="s">
        <v>1348</v>
      </c>
      <c r="H1883" s="8">
        <v>43937309.960000001</v>
      </c>
      <c r="I1883" s="8">
        <v>21398983.539999999</v>
      </c>
      <c r="J1883" s="1">
        <f>IF(COUNTIF($C$4:C1883,C1883)=1,1,0)</f>
        <v>1</v>
      </c>
      <c r="K1883" s="1">
        <f t="shared" si="29"/>
        <v>2025</v>
      </c>
    </row>
    <row r="1884" spans="2:11" x14ac:dyDescent="0.45">
      <c r="B1884" s="1" t="s">
        <v>11</v>
      </c>
      <c r="C1884" s="1" t="s">
        <v>1885</v>
      </c>
      <c r="D1884" s="7">
        <v>44890</v>
      </c>
      <c r="E1884" s="7">
        <v>44919</v>
      </c>
      <c r="F1884" s="7">
        <v>44966</v>
      </c>
      <c r="G1884" s="1" t="s">
        <v>22</v>
      </c>
      <c r="H1884" s="8">
        <v>6574579.8399999999</v>
      </c>
      <c r="I1884" s="8">
        <v>3094133.7</v>
      </c>
      <c r="J1884" s="1">
        <f>IF(COUNTIF($C$4:C1884,C1884)=1,1,0)</f>
        <v>1</v>
      </c>
      <c r="K1884" s="1">
        <f t="shared" si="29"/>
        <v>2022</v>
      </c>
    </row>
    <row r="1885" spans="2:11" x14ac:dyDescent="0.45">
      <c r="B1885" s="1" t="s">
        <v>11</v>
      </c>
      <c r="C1885" s="1" t="s">
        <v>1886</v>
      </c>
      <c r="D1885" s="7">
        <v>43655</v>
      </c>
      <c r="E1885" s="7">
        <v>43681</v>
      </c>
      <c r="F1885" s="7">
        <v>43743</v>
      </c>
      <c r="G1885" s="1" t="s">
        <v>38</v>
      </c>
      <c r="H1885" s="8">
        <v>344496.2</v>
      </c>
      <c r="I1885" s="8">
        <v>266838.46999999997</v>
      </c>
      <c r="J1885" s="1">
        <f>IF(COUNTIF($C$4:C1885,C1885)=1,1,0)</f>
        <v>1</v>
      </c>
      <c r="K1885" s="1">
        <f t="shared" si="29"/>
        <v>2019</v>
      </c>
    </row>
    <row r="1886" spans="2:11" x14ac:dyDescent="0.45">
      <c r="B1886" s="1" t="s">
        <v>11</v>
      </c>
      <c r="C1886" s="1" t="s">
        <v>1887</v>
      </c>
      <c r="D1886" s="7">
        <v>44450</v>
      </c>
      <c r="E1886" s="7">
        <v>44470</v>
      </c>
      <c r="F1886" s="7">
        <v>44570</v>
      </c>
      <c r="G1886" s="1" t="s">
        <v>38</v>
      </c>
      <c r="H1886" s="8">
        <v>590873.06000000006</v>
      </c>
      <c r="I1886" s="8">
        <v>464042.71</v>
      </c>
      <c r="J1886" s="1">
        <f>IF(COUNTIF($C$4:C1886,C1886)=1,1,0)</f>
        <v>1</v>
      </c>
      <c r="K1886" s="1">
        <f t="shared" si="29"/>
        <v>2021</v>
      </c>
    </row>
    <row r="1887" spans="2:11" x14ac:dyDescent="0.45">
      <c r="B1887" s="1" t="s">
        <v>11</v>
      </c>
      <c r="C1887" s="1" t="s">
        <v>1888</v>
      </c>
      <c r="D1887" s="7">
        <v>44509</v>
      </c>
      <c r="E1887" s="7">
        <v>44532</v>
      </c>
      <c r="F1887" s="7">
        <v>44666</v>
      </c>
      <c r="G1887" s="1" t="s">
        <v>16</v>
      </c>
      <c r="H1887" s="8">
        <v>3002035.4</v>
      </c>
      <c r="I1887" s="8">
        <v>2299214.96</v>
      </c>
      <c r="J1887" s="1">
        <f>IF(COUNTIF($C$4:C1887,C1887)=1,1,0)</f>
        <v>1</v>
      </c>
      <c r="K1887" s="1">
        <f t="shared" si="29"/>
        <v>2021</v>
      </c>
    </row>
    <row r="1888" spans="2:11" x14ac:dyDescent="0.45">
      <c r="B1888" s="1" t="s">
        <v>11</v>
      </c>
      <c r="C1888" s="1" t="s">
        <v>1889</v>
      </c>
      <c r="D1888" s="7">
        <v>45027</v>
      </c>
      <c r="E1888" s="7">
        <v>45056</v>
      </c>
      <c r="F1888" s="7">
        <v>45187</v>
      </c>
      <c r="G1888" s="1" t="s">
        <v>1348</v>
      </c>
      <c r="H1888" s="8">
        <v>180150956.06999999</v>
      </c>
      <c r="I1888" s="8">
        <v>73504920.379999995</v>
      </c>
      <c r="J1888" s="1">
        <f>IF(COUNTIF($C$4:C1888,C1888)=1,1,0)</f>
        <v>1</v>
      </c>
      <c r="K1888" s="1">
        <f t="shared" si="29"/>
        <v>2023</v>
      </c>
    </row>
    <row r="1889" spans="2:11" x14ac:dyDescent="0.45">
      <c r="B1889" s="1" t="s">
        <v>11</v>
      </c>
      <c r="C1889" s="1" t="s">
        <v>1890</v>
      </c>
      <c r="D1889" s="7">
        <v>44909</v>
      </c>
      <c r="E1889" s="7">
        <v>44923</v>
      </c>
      <c r="F1889" s="7">
        <v>45014</v>
      </c>
      <c r="G1889" s="1" t="s">
        <v>212</v>
      </c>
      <c r="H1889" s="8">
        <v>7991701.7699999996</v>
      </c>
      <c r="I1889" s="8">
        <v>4200791.7300000004</v>
      </c>
      <c r="J1889" s="1">
        <f>IF(COUNTIF($C$4:C1889,C1889)=1,1,0)</f>
        <v>1</v>
      </c>
      <c r="K1889" s="1">
        <f t="shared" si="29"/>
        <v>2022</v>
      </c>
    </row>
    <row r="1890" spans="2:11" x14ac:dyDescent="0.45">
      <c r="B1890" s="1" t="s">
        <v>11</v>
      </c>
      <c r="C1890" s="1" t="s">
        <v>1891</v>
      </c>
      <c r="D1890" s="7">
        <v>45096</v>
      </c>
      <c r="E1890" s="7">
        <v>45126</v>
      </c>
      <c r="F1890" s="7">
        <v>45237</v>
      </c>
      <c r="G1890" s="1" t="s">
        <v>22</v>
      </c>
      <c r="H1890" s="8">
        <v>20236628.140000001</v>
      </c>
      <c r="I1890" s="8">
        <v>9548680.5299999993</v>
      </c>
      <c r="J1890" s="1">
        <f>IF(COUNTIF($C$4:C1890,C1890)=1,1,0)</f>
        <v>1</v>
      </c>
      <c r="K1890" s="1">
        <f t="shared" si="29"/>
        <v>2023</v>
      </c>
    </row>
    <row r="1891" spans="2:11" x14ac:dyDescent="0.45">
      <c r="B1891" s="1" t="s">
        <v>11</v>
      </c>
      <c r="C1891" s="1" t="s">
        <v>1892</v>
      </c>
      <c r="D1891" s="7">
        <v>44683</v>
      </c>
      <c r="E1891" s="7">
        <v>44700</v>
      </c>
      <c r="F1891" s="7">
        <v>44871</v>
      </c>
      <c r="G1891" s="1" t="s">
        <v>212</v>
      </c>
      <c r="H1891" s="8">
        <v>26137354.039999999</v>
      </c>
      <c r="I1891" s="8">
        <v>16041171.33</v>
      </c>
      <c r="J1891" s="1">
        <f>IF(COUNTIF($C$4:C1891,C1891)=1,1,0)</f>
        <v>1</v>
      </c>
      <c r="K1891" s="1">
        <f t="shared" si="29"/>
        <v>2022</v>
      </c>
    </row>
    <row r="1892" spans="2:11" x14ac:dyDescent="0.45">
      <c r="B1892" s="1" t="s">
        <v>11</v>
      </c>
      <c r="C1892" s="1" t="s">
        <v>1893</v>
      </c>
      <c r="D1892" s="7">
        <v>44552</v>
      </c>
      <c r="E1892" s="7">
        <v>44574</v>
      </c>
      <c r="F1892" s="7">
        <v>44808</v>
      </c>
      <c r="G1892" s="1" t="s">
        <v>41</v>
      </c>
      <c r="H1892" s="8">
        <v>145598.72</v>
      </c>
      <c r="I1892" s="8">
        <v>107080.98</v>
      </c>
      <c r="J1892" s="1">
        <f>IF(COUNTIF($C$4:C1892,C1892)=1,1,0)</f>
        <v>1</v>
      </c>
      <c r="K1892" s="1">
        <f t="shared" si="29"/>
        <v>2021</v>
      </c>
    </row>
    <row r="1893" spans="2:11" x14ac:dyDescent="0.45">
      <c r="B1893" s="1" t="s">
        <v>11</v>
      </c>
      <c r="C1893" s="1" t="s">
        <v>1894</v>
      </c>
      <c r="D1893" s="7">
        <v>43404</v>
      </c>
      <c r="E1893" s="7">
        <v>43434</v>
      </c>
      <c r="F1893" s="7">
        <v>43653</v>
      </c>
      <c r="G1893" s="1" t="s">
        <v>13</v>
      </c>
      <c r="H1893" s="8">
        <v>1190444.2</v>
      </c>
      <c r="I1893" s="8">
        <v>996232.55</v>
      </c>
      <c r="J1893" s="1">
        <f>IF(COUNTIF($C$4:C1893,C1893)=1,1,0)</f>
        <v>1</v>
      </c>
      <c r="K1893" s="1">
        <f t="shared" si="29"/>
        <v>2018</v>
      </c>
    </row>
    <row r="1894" spans="2:11" x14ac:dyDescent="0.45">
      <c r="B1894" s="1" t="s">
        <v>11</v>
      </c>
      <c r="C1894" s="1" t="s">
        <v>1895</v>
      </c>
      <c r="D1894" s="7">
        <v>43444</v>
      </c>
      <c r="E1894" s="7">
        <v>43444</v>
      </c>
      <c r="F1894" s="7">
        <v>43592</v>
      </c>
      <c r="G1894" s="1" t="s">
        <v>22</v>
      </c>
      <c r="H1894" s="8">
        <v>14234206.960000001</v>
      </c>
      <c r="I1894" s="8">
        <v>4423389.01</v>
      </c>
      <c r="J1894" s="1">
        <f>IF(COUNTIF($C$4:C1894,C1894)=1,1,0)</f>
        <v>1</v>
      </c>
      <c r="K1894" s="1">
        <f t="shared" si="29"/>
        <v>2018</v>
      </c>
    </row>
    <row r="1895" spans="2:11" x14ac:dyDescent="0.45">
      <c r="B1895" s="1" t="s">
        <v>11</v>
      </c>
      <c r="C1895" s="1" t="s">
        <v>1896</v>
      </c>
      <c r="D1895" s="7">
        <v>46071</v>
      </c>
      <c r="E1895" s="7">
        <v>46074</v>
      </c>
      <c r="F1895" s="7">
        <v>46098</v>
      </c>
      <c r="G1895" s="1" t="s">
        <v>16</v>
      </c>
      <c r="H1895" s="8">
        <v>1603209.07</v>
      </c>
      <c r="I1895" s="8">
        <v>830300.69</v>
      </c>
      <c r="J1895" s="1">
        <f>IF(COUNTIF($C$4:C1895,C1895)=1,1,0)</f>
        <v>1</v>
      </c>
      <c r="K1895" s="1">
        <f t="shared" si="29"/>
        <v>2026</v>
      </c>
    </row>
    <row r="1896" spans="2:11" x14ac:dyDescent="0.45">
      <c r="B1896" s="1" t="s">
        <v>11</v>
      </c>
      <c r="C1896" s="1" t="s">
        <v>1897</v>
      </c>
      <c r="D1896" s="7">
        <v>43763</v>
      </c>
      <c r="E1896" s="7">
        <v>43765</v>
      </c>
      <c r="F1896" s="7">
        <v>43893</v>
      </c>
      <c r="G1896" s="1" t="s">
        <v>22</v>
      </c>
      <c r="H1896" s="8">
        <v>25445073.460000001</v>
      </c>
      <c r="I1896" s="8">
        <v>8923805.8300000001</v>
      </c>
      <c r="J1896" s="1">
        <f>IF(COUNTIF($C$4:C1896,C1896)=1,1,0)</f>
        <v>1</v>
      </c>
      <c r="K1896" s="1">
        <f t="shared" si="29"/>
        <v>2019</v>
      </c>
    </row>
    <row r="1897" spans="2:11" x14ac:dyDescent="0.45">
      <c r="B1897" s="1" t="s">
        <v>11</v>
      </c>
      <c r="C1897" s="1" t="s">
        <v>1898</v>
      </c>
      <c r="D1897" s="7">
        <v>45625</v>
      </c>
      <c r="E1897" s="7">
        <v>45643</v>
      </c>
      <c r="F1897" s="7">
        <v>45846</v>
      </c>
      <c r="G1897" s="1" t="s">
        <v>38</v>
      </c>
      <c r="H1897" s="8">
        <v>98457.78</v>
      </c>
      <c r="I1897" s="8">
        <v>87567.41</v>
      </c>
      <c r="J1897" s="1">
        <f>IF(COUNTIF($C$4:C1897,C1897)=1,1,0)</f>
        <v>1</v>
      </c>
      <c r="K1897" s="1">
        <f t="shared" si="29"/>
        <v>2024</v>
      </c>
    </row>
    <row r="1898" spans="2:11" x14ac:dyDescent="0.45">
      <c r="B1898" s="1" t="s">
        <v>11</v>
      </c>
      <c r="C1898" s="1" t="s">
        <v>1899</v>
      </c>
      <c r="D1898" s="7">
        <v>45501</v>
      </c>
      <c r="E1898" s="7">
        <v>45514</v>
      </c>
      <c r="F1898" s="7">
        <v>45730</v>
      </c>
      <c r="G1898" s="1" t="s">
        <v>16</v>
      </c>
      <c r="H1898" s="8">
        <v>6560286.1799999997</v>
      </c>
      <c r="I1898" s="8">
        <v>4382969.49</v>
      </c>
      <c r="J1898" s="1">
        <f>IF(COUNTIF($C$4:C1898,C1898)=1,1,0)</f>
        <v>1</v>
      </c>
      <c r="K1898" s="1">
        <f t="shared" si="29"/>
        <v>2024</v>
      </c>
    </row>
    <row r="1899" spans="2:11" x14ac:dyDescent="0.45">
      <c r="B1899" s="1" t="s">
        <v>11</v>
      </c>
      <c r="C1899" s="1" t="s">
        <v>1900</v>
      </c>
      <c r="D1899" s="7">
        <v>45987</v>
      </c>
      <c r="E1899" s="7">
        <v>45988</v>
      </c>
      <c r="F1899" s="7">
        <v>46017</v>
      </c>
      <c r="G1899" s="1" t="s">
        <v>38</v>
      </c>
      <c r="H1899" s="8">
        <v>175331.12</v>
      </c>
      <c r="I1899" s="8">
        <v>144613.29</v>
      </c>
      <c r="J1899" s="1">
        <f>IF(COUNTIF($C$4:C1899,C1899)=1,1,0)</f>
        <v>1</v>
      </c>
      <c r="K1899" s="1">
        <f t="shared" si="29"/>
        <v>2025</v>
      </c>
    </row>
    <row r="1900" spans="2:11" x14ac:dyDescent="0.45">
      <c r="B1900" s="1" t="s">
        <v>11</v>
      </c>
      <c r="C1900" s="1" t="s">
        <v>1901</v>
      </c>
      <c r="D1900" s="7">
        <v>44473</v>
      </c>
      <c r="E1900" s="7">
        <v>44479</v>
      </c>
      <c r="F1900" s="7">
        <v>44502</v>
      </c>
      <c r="G1900" s="1" t="s">
        <v>16</v>
      </c>
      <c r="H1900" s="8">
        <v>2557288.9300000002</v>
      </c>
      <c r="I1900" s="8">
        <v>1696984.74</v>
      </c>
      <c r="J1900" s="1">
        <f>IF(COUNTIF($C$4:C1900,C1900)=1,1,0)</f>
        <v>1</v>
      </c>
      <c r="K1900" s="1">
        <f t="shared" si="29"/>
        <v>2021</v>
      </c>
    </row>
    <row r="1901" spans="2:11" x14ac:dyDescent="0.45">
      <c r="B1901" s="1" t="s">
        <v>11</v>
      </c>
      <c r="C1901" s="1" t="s">
        <v>1902</v>
      </c>
      <c r="D1901" s="7">
        <v>46096</v>
      </c>
      <c r="E1901" s="7">
        <v>46098</v>
      </c>
      <c r="F1901" s="7">
        <v>46157</v>
      </c>
      <c r="G1901" s="1" t="s">
        <v>16</v>
      </c>
      <c r="H1901" s="8">
        <v>1403423.21</v>
      </c>
      <c r="I1901" s="8">
        <v>1034505.06</v>
      </c>
      <c r="J1901" s="1">
        <f>IF(COUNTIF($C$4:C1901,C1901)=1,1,0)</f>
        <v>1</v>
      </c>
      <c r="K1901" s="1">
        <f t="shared" si="29"/>
        <v>2026</v>
      </c>
    </row>
    <row r="1902" spans="2:11" x14ac:dyDescent="0.45">
      <c r="B1902" s="1" t="s">
        <v>11</v>
      </c>
      <c r="C1902" s="1" t="s">
        <v>1903</v>
      </c>
      <c r="D1902" s="7">
        <v>44690</v>
      </c>
      <c r="E1902" s="7">
        <v>44695</v>
      </c>
      <c r="F1902" s="7">
        <v>44749</v>
      </c>
      <c r="G1902" s="1" t="s">
        <v>13</v>
      </c>
      <c r="H1902" s="8">
        <v>1165096.29</v>
      </c>
      <c r="I1902" s="8">
        <v>935853.25</v>
      </c>
      <c r="J1902" s="1">
        <f>IF(COUNTIF($C$4:C1902,C1902)=1,1,0)</f>
        <v>1</v>
      </c>
      <c r="K1902" s="1">
        <f t="shared" si="29"/>
        <v>2022</v>
      </c>
    </row>
    <row r="1903" spans="2:11" x14ac:dyDescent="0.45">
      <c r="B1903" s="1" t="s">
        <v>11</v>
      </c>
      <c r="C1903" s="1" t="s">
        <v>1904</v>
      </c>
      <c r="D1903" s="7">
        <v>43180</v>
      </c>
      <c r="E1903" s="7">
        <v>43192</v>
      </c>
      <c r="F1903" s="7">
        <v>43285</v>
      </c>
      <c r="G1903" s="1" t="s">
        <v>20</v>
      </c>
      <c r="H1903" s="8">
        <v>2407490.84</v>
      </c>
      <c r="I1903" s="8">
        <v>1740868.83</v>
      </c>
      <c r="J1903" s="1">
        <f>IF(COUNTIF($C$4:C1903,C1903)=1,1,0)</f>
        <v>1</v>
      </c>
      <c r="K1903" s="1">
        <f t="shared" si="29"/>
        <v>2018</v>
      </c>
    </row>
    <row r="1904" spans="2:11" x14ac:dyDescent="0.45">
      <c r="B1904" s="1" t="s">
        <v>11</v>
      </c>
      <c r="C1904" s="1" t="s">
        <v>1905</v>
      </c>
      <c r="D1904" s="7">
        <v>45077</v>
      </c>
      <c r="E1904" s="7">
        <v>45083</v>
      </c>
      <c r="F1904" s="7">
        <v>45273</v>
      </c>
      <c r="G1904" s="1" t="s">
        <v>16</v>
      </c>
      <c r="H1904" s="8">
        <v>1213036.79</v>
      </c>
      <c r="I1904" s="8">
        <v>743245.02</v>
      </c>
      <c r="J1904" s="1">
        <f>IF(COUNTIF($C$4:C1904,C1904)=1,1,0)</f>
        <v>1</v>
      </c>
      <c r="K1904" s="1">
        <f t="shared" si="29"/>
        <v>2023</v>
      </c>
    </row>
    <row r="1905" spans="2:11" x14ac:dyDescent="0.45">
      <c r="B1905" s="1" t="s">
        <v>11</v>
      </c>
      <c r="C1905" s="1" t="s">
        <v>1906</v>
      </c>
      <c r="D1905" s="7">
        <v>45700</v>
      </c>
      <c r="E1905" s="7">
        <v>45701</v>
      </c>
      <c r="F1905" s="7">
        <v>45781</v>
      </c>
      <c r="G1905" s="1" t="s">
        <v>16</v>
      </c>
      <c r="H1905" s="8">
        <v>231553.62</v>
      </c>
      <c r="I1905" s="8">
        <v>185398.08</v>
      </c>
      <c r="J1905" s="1">
        <f>IF(COUNTIF($C$4:C1905,C1905)=1,1,0)</f>
        <v>1</v>
      </c>
      <c r="K1905" s="1">
        <f t="shared" si="29"/>
        <v>2025</v>
      </c>
    </row>
    <row r="1906" spans="2:11" x14ac:dyDescent="0.45">
      <c r="B1906" s="1" t="s">
        <v>11</v>
      </c>
      <c r="C1906" s="1" t="s">
        <v>1907</v>
      </c>
      <c r="D1906" s="7">
        <v>45924</v>
      </c>
      <c r="E1906" s="7">
        <v>45954</v>
      </c>
      <c r="F1906" s="7">
        <v>45971</v>
      </c>
      <c r="G1906" s="1" t="s">
        <v>20</v>
      </c>
      <c r="H1906" s="8">
        <v>713738.05</v>
      </c>
      <c r="I1906" s="8">
        <v>447272.35</v>
      </c>
      <c r="J1906" s="1">
        <f>IF(COUNTIF($C$4:C1906,C1906)=1,1,0)</f>
        <v>1</v>
      </c>
      <c r="K1906" s="1">
        <f t="shared" si="29"/>
        <v>2025</v>
      </c>
    </row>
    <row r="1907" spans="2:11" x14ac:dyDescent="0.45">
      <c r="B1907" s="1" t="s">
        <v>11</v>
      </c>
      <c r="C1907" s="1" t="s">
        <v>1196</v>
      </c>
      <c r="D1907" s="7">
        <v>44211</v>
      </c>
      <c r="E1907" s="7">
        <v>44226</v>
      </c>
      <c r="F1907" s="7">
        <v>44309</v>
      </c>
      <c r="G1907" s="1" t="s">
        <v>1348</v>
      </c>
      <c r="H1907" s="8">
        <v>51609504.009999998</v>
      </c>
      <c r="I1907" s="8">
        <v>24526626.91</v>
      </c>
      <c r="J1907" s="1">
        <f>IF(COUNTIF($C$4:C1907,C1907)=1,1,0)</f>
        <v>0</v>
      </c>
      <c r="K1907" s="1">
        <f t="shared" si="29"/>
        <v>2021</v>
      </c>
    </row>
    <row r="1908" spans="2:11" x14ac:dyDescent="0.45">
      <c r="B1908" s="1" t="s">
        <v>11</v>
      </c>
      <c r="C1908" s="1" t="s">
        <v>1908</v>
      </c>
      <c r="D1908" s="7">
        <v>45454</v>
      </c>
      <c r="E1908" s="7">
        <v>45465</v>
      </c>
      <c r="F1908" s="7">
        <v>45667</v>
      </c>
      <c r="G1908" s="1" t="s">
        <v>13</v>
      </c>
      <c r="H1908" s="8">
        <v>805295.28</v>
      </c>
      <c r="I1908" s="8">
        <v>570721.97</v>
      </c>
      <c r="J1908" s="1">
        <f>IF(COUNTIF($C$4:C1908,C1908)=1,1,0)</f>
        <v>1</v>
      </c>
      <c r="K1908" s="1">
        <f t="shared" si="29"/>
        <v>2024</v>
      </c>
    </row>
    <row r="1909" spans="2:11" x14ac:dyDescent="0.45">
      <c r="B1909" s="1" t="s">
        <v>11</v>
      </c>
      <c r="C1909" s="1" t="s">
        <v>1909</v>
      </c>
      <c r="D1909" s="7">
        <v>45259</v>
      </c>
      <c r="E1909" s="7">
        <v>45276</v>
      </c>
      <c r="F1909" s="7">
        <v>45423</v>
      </c>
      <c r="G1909" s="1" t="s">
        <v>16</v>
      </c>
      <c r="H1909" s="8">
        <v>7356728.6100000003</v>
      </c>
      <c r="I1909" s="8">
        <v>5530689.96</v>
      </c>
      <c r="J1909" s="1">
        <f>IF(COUNTIF($C$4:C1909,C1909)=1,1,0)</f>
        <v>1</v>
      </c>
      <c r="K1909" s="1">
        <f t="shared" si="29"/>
        <v>2023</v>
      </c>
    </row>
    <row r="1910" spans="2:11" x14ac:dyDescent="0.45">
      <c r="B1910" s="1" t="s">
        <v>11</v>
      </c>
      <c r="C1910" s="1" t="s">
        <v>1910</v>
      </c>
      <c r="D1910" s="7">
        <v>45331</v>
      </c>
      <c r="E1910" s="7">
        <v>45340</v>
      </c>
      <c r="F1910" s="7">
        <v>45553</v>
      </c>
      <c r="G1910" s="1" t="s">
        <v>41</v>
      </c>
      <c r="H1910" s="8">
        <v>519784.44</v>
      </c>
      <c r="I1910" s="8">
        <v>337494.14</v>
      </c>
      <c r="J1910" s="1">
        <f>IF(COUNTIF($C$4:C1910,C1910)=1,1,0)</f>
        <v>1</v>
      </c>
      <c r="K1910" s="1">
        <f t="shared" si="29"/>
        <v>2024</v>
      </c>
    </row>
    <row r="1911" spans="2:11" x14ac:dyDescent="0.45">
      <c r="B1911" s="1" t="s">
        <v>11</v>
      </c>
      <c r="C1911" s="1" t="s">
        <v>1911</v>
      </c>
      <c r="D1911" s="7">
        <v>46028</v>
      </c>
      <c r="E1911" s="7">
        <v>46045</v>
      </c>
      <c r="F1911" s="7">
        <v>46162</v>
      </c>
      <c r="G1911" s="1" t="s">
        <v>13</v>
      </c>
      <c r="H1911" s="8">
        <v>1245161.08</v>
      </c>
      <c r="I1911" s="8">
        <v>956514.05</v>
      </c>
      <c r="J1911" s="1">
        <f>IF(COUNTIF($C$4:C1911,C1911)=1,1,0)</f>
        <v>1</v>
      </c>
      <c r="K1911" s="1">
        <f t="shared" si="29"/>
        <v>2026</v>
      </c>
    </row>
    <row r="1912" spans="2:11" x14ac:dyDescent="0.45">
      <c r="B1912" s="1" t="s">
        <v>11</v>
      </c>
      <c r="C1912" s="1" t="s">
        <v>1912</v>
      </c>
      <c r="D1912" s="7">
        <v>44124</v>
      </c>
      <c r="E1912" s="7">
        <v>44152</v>
      </c>
      <c r="F1912" s="7">
        <v>44231</v>
      </c>
      <c r="G1912" s="1" t="s">
        <v>13</v>
      </c>
      <c r="H1912" s="8">
        <v>344890.09</v>
      </c>
      <c r="I1912" s="8">
        <v>295564.53999999998</v>
      </c>
      <c r="J1912" s="1">
        <f>IF(COUNTIF($C$4:C1912,C1912)=1,1,0)</f>
        <v>1</v>
      </c>
      <c r="K1912" s="1">
        <f t="shared" si="29"/>
        <v>2020</v>
      </c>
    </row>
    <row r="1913" spans="2:11" x14ac:dyDescent="0.45">
      <c r="B1913" s="1" t="s">
        <v>11</v>
      </c>
      <c r="C1913" s="1" t="s">
        <v>1913</v>
      </c>
      <c r="D1913" s="7">
        <v>44865</v>
      </c>
      <c r="E1913" s="7">
        <v>44884</v>
      </c>
      <c r="F1913" s="7">
        <v>45056</v>
      </c>
      <c r="G1913" s="1" t="s">
        <v>38</v>
      </c>
      <c r="H1913" s="8">
        <v>858227.72</v>
      </c>
      <c r="I1913" s="8">
        <v>711807.24</v>
      </c>
      <c r="J1913" s="1">
        <f>IF(COUNTIF($C$4:C1913,C1913)=1,1,0)</f>
        <v>1</v>
      </c>
      <c r="K1913" s="1">
        <f t="shared" si="29"/>
        <v>2022</v>
      </c>
    </row>
    <row r="1914" spans="2:11" x14ac:dyDescent="0.45">
      <c r="B1914" s="1" t="s">
        <v>11</v>
      </c>
      <c r="C1914" s="1" t="s">
        <v>1914</v>
      </c>
      <c r="D1914" s="7">
        <v>44928</v>
      </c>
      <c r="E1914" s="7">
        <v>44951</v>
      </c>
      <c r="F1914" s="7">
        <v>44993</v>
      </c>
      <c r="G1914" s="1" t="s">
        <v>41</v>
      </c>
      <c r="H1914" s="8">
        <v>345412</v>
      </c>
      <c r="I1914" s="8">
        <v>297269.65000000002</v>
      </c>
      <c r="J1914" s="1">
        <f>IF(COUNTIF($C$4:C1914,C1914)=1,1,0)</f>
        <v>1</v>
      </c>
      <c r="K1914" s="1">
        <f t="shared" si="29"/>
        <v>2023</v>
      </c>
    </row>
    <row r="1915" spans="2:11" x14ac:dyDescent="0.45">
      <c r="B1915" s="1" t="s">
        <v>11</v>
      </c>
      <c r="C1915" s="1" t="s">
        <v>1915</v>
      </c>
      <c r="D1915" s="7">
        <v>44277</v>
      </c>
      <c r="E1915" s="7">
        <v>44283</v>
      </c>
      <c r="F1915" s="7">
        <v>44348</v>
      </c>
      <c r="G1915" s="1" t="s">
        <v>22</v>
      </c>
      <c r="H1915" s="8">
        <v>78029127.670000002</v>
      </c>
      <c r="I1915" s="8">
        <v>30883561.039999999</v>
      </c>
      <c r="J1915" s="1">
        <f>IF(COUNTIF($C$4:C1915,C1915)=1,1,0)</f>
        <v>1</v>
      </c>
      <c r="K1915" s="1">
        <f t="shared" si="29"/>
        <v>2021</v>
      </c>
    </row>
    <row r="1916" spans="2:11" x14ac:dyDescent="0.45">
      <c r="B1916" s="1" t="s">
        <v>11</v>
      </c>
      <c r="C1916" s="1" t="s">
        <v>1916</v>
      </c>
      <c r="D1916" s="7">
        <v>44698</v>
      </c>
      <c r="E1916" s="7">
        <v>44712</v>
      </c>
      <c r="F1916" s="7">
        <v>44749</v>
      </c>
      <c r="G1916" s="1" t="s">
        <v>13</v>
      </c>
      <c r="H1916" s="8">
        <v>812706.06</v>
      </c>
      <c r="I1916" s="8">
        <v>704992.35</v>
      </c>
      <c r="J1916" s="1">
        <f>IF(COUNTIF($C$4:C1916,C1916)=1,1,0)</f>
        <v>1</v>
      </c>
      <c r="K1916" s="1">
        <f t="shared" si="29"/>
        <v>2022</v>
      </c>
    </row>
    <row r="1917" spans="2:11" x14ac:dyDescent="0.45">
      <c r="B1917" s="1" t="s">
        <v>11</v>
      </c>
      <c r="C1917" s="1" t="s">
        <v>1917</v>
      </c>
      <c r="D1917" s="7">
        <v>45653</v>
      </c>
      <c r="E1917" s="7">
        <v>45662</v>
      </c>
      <c r="F1917" s="7">
        <v>45746</v>
      </c>
      <c r="G1917" s="1" t="s">
        <v>16</v>
      </c>
      <c r="H1917" s="8">
        <v>4559039.9800000004</v>
      </c>
      <c r="I1917" s="8">
        <v>3146217.13</v>
      </c>
      <c r="J1917" s="1">
        <f>IF(COUNTIF($C$4:C1917,C1917)=1,1,0)</f>
        <v>1</v>
      </c>
      <c r="K1917" s="1">
        <f t="shared" si="29"/>
        <v>2024</v>
      </c>
    </row>
    <row r="1918" spans="2:11" x14ac:dyDescent="0.45">
      <c r="B1918" s="1" t="s">
        <v>11</v>
      </c>
      <c r="C1918" s="1" t="s">
        <v>1918</v>
      </c>
      <c r="D1918" s="7">
        <v>45426</v>
      </c>
      <c r="E1918" s="7">
        <v>45453</v>
      </c>
      <c r="F1918" s="7">
        <v>45691</v>
      </c>
      <c r="G1918" s="1" t="s">
        <v>41</v>
      </c>
      <c r="H1918" s="8">
        <v>325191.14</v>
      </c>
      <c r="I1918" s="8">
        <v>230008.97</v>
      </c>
      <c r="J1918" s="1">
        <f>IF(COUNTIF($C$4:C1918,C1918)=1,1,0)</f>
        <v>1</v>
      </c>
      <c r="K1918" s="1">
        <f t="shared" si="29"/>
        <v>2024</v>
      </c>
    </row>
    <row r="1919" spans="2:11" x14ac:dyDescent="0.45">
      <c r="B1919" s="1" t="s">
        <v>11</v>
      </c>
      <c r="C1919" s="1" t="s">
        <v>1919</v>
      </c>
      <c r="D1919" s="7">
        <v>45521</v>
      </c>
      <c r="E1919" s="7">
        <v>45521</v>
      </c>
      <c r="F1919" s="7">
        <v>45590</v>
      </c>
      <c r="G1919" s="1" t="s">
        <v>1348</v>
      </c>
      <c r="H1919" s="8">
        <v>8679851.1699999999</v>
      </c>
      <c r="I1919" s="8">
        <v>6051207.0599999996</v>
      </c>
      <c r="J1919" s="1">
        <f>IF(COUNTIF($C$4:C1919,C1919)=1,1,0)</f>
        <v>1</v>
      </c>
      <c r="K1919" s="1">
        <f t="shared" si="29"/>
        <v>2024</v>
      </c>
    </row>
    <row r="1920" spans="2:11" x14ac:dyDescent="0.45">
      <c r="B1920" s="1" t="s">
        <v>11</v>
      </c>
      <c r="C1920" s="1" t="s">
        <v>1920</v>
      </c>
      <c r="D1920" s="7">
        <v>44338</v>
      </c>
      <c r="E1920" s="7">
        <v>44350</v>
      </c>
      <c r="F1920" s="7">
        <v>44530</v>
      </c>
      <c r="G1920" s="1" t="s">
        <v>22</v>
      </c>
      <c r="H1920" s="8">
        <v>103522862.51000001</v>
      </c>
      <c r="I1920" s="8">
        <v>66255235.469999999</v>
      </c>
      <c r="J1920" s="1">
        <f>IF(COUNTIF($C$4:C1920,C1920)=1,1,0)</f>
        <v>1</v>
      </c>
      <c r="K1920" s="1">
        <f t="shared" si="29"/>
        <v>2021</v>
      </c>
    </row>
    <row r="1921" spans="2:11" x14ac:dyDescent="0.45">
      <c r="B1921" s="1" t="s">
        <v>11</v>
      </c>
      <c r="C1921" s="1" t="s">
        <v>1921</v>
      </c>
      <c r="D1921" s="7">
        <v>44354</v>
      </c>
      <c r="E1921" s="7">
        <v>44362</v>
      </c>
      <c r="F1921" s="7">
        <v>44532</v>
      </c>
      <c r="G1921" s="1" t="s">
        <v>41</v>
      </c>
      <c r="H1921" s="8">
        <v>82890.41</v>
      </c>
      <c r="I1921" s="8">
        <v>69852.11</v>
      </c>
      <c r="J1921" s="1">
        <f>IF(COUNTIF($C$4:C1921,C1921)=1,1,0)</f>
        <v>1</v>
      </c>
      <c r="K1921" s="1">
        <f t="shared" si="29"/>
        <v>2021</v>
      </c>
    </row>
    <row r="1922" spans="2:11" x14ac:dyDescent="0.45">
      <c r="B1922" s="1" t="s">
        <v>11</v>
      </c>
      <c r="C1922" s="1" t="s">
        <v>1922</v>
      </c>
      <c r="D1922" s="7">
        <v>45182</v>
      </c>
      <c r="E1922" s="7">
        <v>45189</v>
      </c>
      <c r="F1922" s="7">
        <v>45345</v>
      </c>
      <c r="G1922" s="1" t="s">
        <v>41</v>
      </c>
      <c r="H1922" s="8">
        <v>425663.09</v>
      </c>
      <c r="I1922" s="8">
        <v>313851.40999999997</v>
      </c>
      <c r="J1922" s="1">
        <f>IF(COUNTIF($C$4:C1922,C1922)=1,1,0)</f>
        <v>1</v>
      </c>
      <c r="K1922" s="1">
        <f t="shared" si="29"/>
        <v>2023</v>
      </c>
    </row>
    <row r="1923" spans="2:11" x14ac:dyDescent="0.45">
      <c r="B1923" s="1" t="s">
        <v>11</v>
      </c>
      <c r="C1923" s="1" t="s">
        <v>1923</v>
      </c>
      <c r="D1923" s="7">
        <v>44403</v>
      </c>
      <c r="E1923" s="7">
        <v>44425</v>
      </c>
      <c r="F1923" s="7">
        <v>44473</v>
      </c>
      <c r="G1923" s="1" t="s">
        <v>16</v>
      </c>
      <c r="H1923" s="8">
        <v>3654309.64</v>
      </c>
      <c r="I1923" s="8">
        <v>3047254.61</v>
      </c>
      <c r="J1923" s="1">
        <f>IF(COUNTIF($C$4:C1923,C1923)=1,1,0)</f>
        <v>1</v>
      </c>
      <c r="K1923" s="1">
        <f t="shared" si="29"/>
        <v>2021</v>
      </c>
    </row>
    <row r="1924" spans="2:11" x14ac:dyDescent="0.45">
      <c r="B1924" s="1" t="s">
        <v>11</v>
      </c>
      <c r="C1924" s="1" t="s">
        <v>1924</v>
      </c>
      <c r="D1924" s="7">
        <v>43581</v>
      </c>
      <c r="E1924" s="7">
        <v>43586</v>
      </c>
      <c r="F1924" s="7">
        <v>43727</v>
      </c>
      <c r="G1924" s="1" t="s">
        <v>41</v>
      </c>
      <c r="H1924" s="8">
        <v>7651.54</v>
      </c>
      <c r="I1924" s="8">
        <v>5388.67</v>
      </c>
      <c r="J1924" s="1">
        <f>IF(COUNTIF($C$4:C1924,C1924)=1,1,0)</f>
        <v>1</v>
      </c>
      <c r="K1924" s="1">
        <f t="shared" si="29"/>
        <v>2019</v>
      </c>
    </row>
    <row r="1925" spans="2:11" x14ac:dyDescent="0.45">
      <c r="B1925" s="1" t="s">
        <v>11</v>
      </c>
      <c r="C1925" s="1" t="s">
        <v>1925</v>
      </c>
      <c r="D1925" s="7">
        <v>44879</v>
      </c>
      <c r="E1925" s="7">
        <v>44881</v>
      </c>
      <c r="F1925" s="7">
        <v>44972</v>
      </c>
      <c r="G1925" s="1" t="s">
        <v>1348</v>
      </c>
      <c r="H1925" s="8">
        <v>71555004.810000002</v>
      </c>
      <c r="I1925" s="8">
        <v>44888536.469999999</v>
      </c>
      <c r="J1925" s="1">
        <f>IF(COUNTIF($C$4:C1925,C1925)=1,1,0)</f>
        <v>1</v>
      </c>
      <c r="K1925" s="1">
        <f t="shared" ref="K1925:K1988" si="30">YEAR(D1925)</f>
        <v>2022</v>
      </c>
    </row>
    <row r="1926" spans="2:11" x14ac:dyDescent="0.45">
      <c r="B1926" s="1" t="s">
        <v>11</v>
      </c>
      <c r="C1926" s="1" t="s">
        <v>1926</v>
      </c>
      <c r="D1926" s="7">
        <v>44641</v>
      </c>
      <c r="E1926" s="7">
        <v>44662</v>
      </c>
      <c r="F1926" s="7">
        <v>44721</v>
      </c>
      <c r="G1926" s="1" t="s">
        <v>22</v>
      </c>
      <c r="H1926" s="8">
        <v>25557112.59</v>
      </c>
      <c r="I1926" s="8">
        <v>10988648.210000001</v>
      </c>
      <c r="J1926" s="1">
        <f>IF(COUNTIF($C$4:C1926,C1926)=1,1,0)</f>
        <v>1</v>
      </c>
      <c r="K1926" s="1">
        <f t="shared" si="30"/>
        <v>2022</v>
      </c>
    </row>
    <row r="1927" spans="2:11" x14ac:dyDescent="0.45">
      <c r="B1927" s="1" t="s">
        <v>11</v>
      </c>
      <c r="C1927" s="1" t="s">
        <v>1927</v>
      </c>
      <c r="D1927" s="7">
        <v>45696</v>
      </c>
      <c r="E1927" s="7">
        <v>45696</v>
      </c>
      <c r="F1927" s="7">
        <v>45915</v>
      </c>
      <c r="G1927" s="1" t="s">
        <v>20</v>
      </c>
      <c r="H1927" s="8">
        <v>863253.92</v>
      </c>
      <c r="I1927" s="8">
        <v>609050.93000000005</v>
      </c>
      <c r="J1927" s="1">
        <f>IF(COUNTIF($C$4:C1927,C1927)=1,1,0)</f>
        <v>1</v>
      </c>
      <c r="K1927" s="1">
        <f t="shared" si="30"/>
        <v>2025</v>
      </c>
    </row>
    <row r="1928" spans="2:11" x14ac:dyDescent="0.45">
      <c r="B1928" s="1" t="s">
        <v>11</v>
      </c>
      <c r="C1928" s="1" t="s">
        <v>1928</v>
      </c>
      <c r="D1928" s="7">
        <v>45039</v>
      </c>
      <c r="E1928" s="7">
        <v>45046</v>
      </c>
      <c r="F1928" s="7">
        <v>45173</v>
      </c>
      <c r="G1928" s="1" t="s">
        <v>20</v>
      </c>
      <c r="H1928" s="8">
        <v>488996.78</v>
      </c>
      <c r="I1928" s="8">
        <v>291424</v>
      </c>
      <c r="J1928" s="1">
        <f>IF(COUNTIF($C$4:C1928,C1928)=1,1,0)</f>
        <v>1</v>
      </c>
      <c r="K1928" s="1">
        <f t="shared" si="30"/>
        <v>2023</v>
      </c>
    </row>
    <row r="1929" spans="2:11" x14ac:dyDescent="0.45">
      <c r="B1929" s="1" t="s">
        <v>11</v>
      </c>
      <c r="C1929" s="1" t="s">
        <v>1929</v>
      </c>
      <c r="D1929" s="7">
        <v>44572</v>
      </c>
      <c r="E1929" s="7">
        <v>44574</v>
      </c>
      <c r="F1929" s="7">
        <v>44662</v>
      </c>
      <c r="G1929" s="1" t="s">
        <v>13</v>
      </c>
      <c r="H1929" s="8">
        <v>514319.99</v>
      </c>
      <c r="I1929" s="8">
        <v>413175.6</v>
      </c>
      <c r="J1929" s="1">
        <f>IF(COUNTIF($C$4:C1929,C1929)=1,1,0)</f>
        <v>1</v>
      </c>
      <c r="K1929" s="1">
        <f t="shared" si="30"/>
        <v>2022</v>
      </c>
    </row>
    <row r="1930" spans="2:11" x14ac:dyDescent="0.45">
      <c r="B1930" s="1" t="s">
        <v>11</v>
      </c>
      <c r="C1930" s="1" t="s">
        <v>1930</v>
      </c>
      <c r="D1930" s="7">
        <v>45626</v>
      </c>
      <c r="E1930" s="7">
        <v>45627</v>
      </c>
      <c r="F1930" s="7">
        <v>45689</v>
      </c>
      <c r="G1930" s="1" t="s">
        <v>13</v>
      </c>
      <c r="H1930" s="8">
        <v>1509170.08</v>
      </c>
      <c r="I1930" s="8">
        <v>1025789.04</v>
      </c>
      <c r="J1930" s="1">
        <f>IF(COUNTIF($C$4:C1930,C1930)=1,1,0)</f>
        <v>1</v>
      </c>
      <c r="K1930" s="1">
        <f t="shared" si="30"/>
        <v>2024</v>
      </c>
    </row>
    <row r="1931" spans="2:11" x14ac:dyDescent="0.45">
      <c r="B1931" s="1" t="s">
        <v>11</v>
      </c>
      <c r="C1931" s="1" t="s">
        <v>1931</v>
      </c>
      <c r="D1931" s="7">
        <v>46034</v>
      </c>
      <c r="E1931" s="7">
        <v>46036</v>
      </c>
      <c r="F1931" s="7">
        <v>46221</v>
      </c>
      <c r="G1931" s="1" t="s">
        <v>212</v>
      </c>
      <c r="H1931" s="8">
        <v>22161211.100000001</v>
      </c>
      <c r="I1931" s="8">
        <v>13115448.060000001</v>
      </c>
      <c r="J1931" s="1">
        <f>IF(COUNTIF($C$4:C1931,C1931)=1,1,0)</f>
        <v>1</v>
      </c>
      <c r="K1931" s="1">
        <f t="shared" si="30"/>
        <v>2026</v>
      </c>
    </row>
    <row r="1932" spans="2:11" x14ac:dyDescent="0.45">
      <c r="B1932" s="1" t="s">
        <v>11</v>
      </c>
      <c r="C1932" s="1" t="s">
        <v>1932</v>
      </c>
      <c r="D1932" s="7">
        <v>45540</v>
      </c>
      <c r="E1932" s="7">
        <v>45554</v>
      </c>
      <c r="F1932" s="7">
        <v>45663</v>
      </c>
      <c r="G1932" s="1" t="s">
        <v>13</v>
      </c>
      <c r="H1932" s="8">
        <v>108171.49</v>
      </c>
      <c r="I1932" s="8">
        <v>75853.039999999994</v>
      </c>
      <c r="J1932" s="1">
        <f>IF(COUNTIF($C$4:C1932,C1932)=1,1,0)</f>
        <v>1</v>
      </c>
      <c r="K1932" s="1">
        <f t="shared" si="30"/>
        <v>2024</v>
      </c>
    </row>
    <row r="1933" spans="2:11" x14ac:dyDescent="0.45">
      <c r="B1933" s="1" t="s">
        <v>11</v>
      </c>
      <c r="C1933" s="1" t="s">
        <v>1933</v>
      </c>
      <c r="D1933" s="7">
        <v>46255</v>
      </c>
      <c r="E1933" s="7">
        <v>46274</v>
      </c>
      <c r="F1933" s="7">
        <v>46447</v>
      </c>
      <c r="G1933" s="1" t="s">
        <v>1348</v>
      </c>
      <c r="H1933" s="8">
        <v>129684194.01000001</v>
      </c>
      <c r="I1933" s="8">
        <v>93637693.700000003</v>
      </c>
      <c r="J1933" s="1">
        <f>IF(COUNTIF($C$4:C1933,C1933)=1,1,0)</f>
        <v>1</v>
      </c>
      <c r="K1933" s="1">
        <f t="shared" si="30"/>
        <v>2026</v>
      </c>
    </row>
    <row r="1934" spans="2:11" x14ac:dyDescent="0.45">
      <c r="B1934" s="1" t="s">
        <v>11</v>
      </c>
      <c r="C1934" s="1" t="s">
        <v>1934</v>
      </c>
      <c r="D1934" s="7">
        <v>45842</v>
      </c>
      <c r="E1934" s="7">
        <v>45861</v>
      </c>
      <c r="F1934" s="7">
        <v>46019</v>
      </c>
      <c r="G1934" s="1" t="s">
        <v>18</v>
      </c>
      <c r="H1934" s="8">
        <v>2083489.45</v>
      </c>
      <c r="I1934" s="8">
        <v>1660711.3</v>
      </c>
      <c r="J1934" s="1">
        <f>IF(COUNTIF($C$4:C1934,C1934)=1,1,0)</f>
        <v>1</v>
      </c>
      <c r="K1934" s="1">
        <f t="shared" si="30"/>
        <v>2025</v>
      </c>
    </row>
    <row r="1935" spans="2:11" x14ac:dyDescent="0.45">
      <c r="B1935" s="1" t="s">
        <v>11</v>
      </c>
      <c r="C1935" s="1" t="s">
        <v>1935</v>
      </c>
      <c r="D1935" s="7">
        <v>46044</v>
      </c>
      <c r="E1935" s="7">
        <v>46058</v>
      </c>
      <c r="F1935" s="7">
        <v>46096</v>
      </c>
      <c r="G1935" s="1" t="s">
        <v>212</v>
      </c>
      <c r="H1935" s="8">
        <v>3714004.15</v>
      </c>
      <c r="I1935" s="8">
        <v>1655027.03</v>
      </c>
      <c r="J1935" s="1">
        <f>IF(COUNTIF($C$4:C1935,C1935)=1,1,0)</f>
        <v>1</v>
      </c>
      <c r="K1935" s="1">
        <f t="shared" si="30"/>
        <v>2026</v>
      </c>
    </row>
    <row r="1936" spans="2:11" x14ac:dyDescent="0.45">
      <c r="B1936" s="1" t="s">
        <v>11</v>
      </c>
      <c r="C1936" s="1" t="s">
        <v>1936</v>
      </c>
      <c r="D1936" s="7">
        <v>45150</v>
      </c>
      <c r="E1936" s="7">
        <v>45160</v>
      </c>
      <c r="F1936" s="7">
        <v>45383</v>
      </c>
      <c r="G1936" s="1" t="s">
        <v>1348</v>
      </c>
      <c r="H1936" s="8">
        <v>66030225.189999998</v>
      </c>
      <c r="I1936" s="8">
        <v>40937499.509999998</v>
      </c>
      <c r="J1936" s="1">
        <f>IF(COUNTIF($C$4:C1936,C1936)=1,1,0)</f>
        <v>1</v>
      </c>
      <c r="K1936" s="1">
        <f t="shared" si="30"/>
        <v>2023</v>
      </c>
    </row>
    <row r="1937" spans="2:11" x14ac:dyDescent="0.45">
      <c r="B1937" s="1" t="s">
        <v>11</v>
      </c>
      <c r="C1937" s="1" t="s">
        <v>1937</v>
      </c>
      <c r="D1937" s="7">
        <v>45100</v>
      </c>
      <c r="E1937" s="7">
        <v>45101</v>
      </c>
      <c r="F1937" s="7">
        <v>45246</v>
      </c>
      <c r="G1937" s="1" t="s">
        <v>41</v>
      </c>
      <c r="H1937" s="8">
        <v>267672.08</v>
      </c>
      <c r="I1937" s="8">
        <v>193345.25</v>
      </c>
      <c r="J1937" s="1">
        <f>IF(COUNTIF($C$4:C1937,C1937)=1,1,0)</f>
        <v>1</v>
      </c>
      <c r="K1937" s="1">
        <f t="shared" si="30"/>
        <v>2023</v>
      </c>
    </row>
    <row r="1938" spans="2:11" x14ac:dyDescent="0.45">
      <c r="B1938" s="1" t="s">
        <v>11</v>
      </c>
      <c r="C1938" s="1" t="s">
        <v>1938</v>
      </c>
      <c r="D1938" s="7">
        <v>45254</v>
      </c>
      <c r="E1938" s="7">
        <v>45262</v>
      </c>
      <c r="F1938" s="7">
        <v>45388</v>
      </c>
      <c r="G1938" s="1" t="s">
        <v>13</v>
      </c>
      <c r="H1938" s="8">
        <v>142805.66</v>
      </c>
      <c r="I1938" s="8">
        <v>104460.57</v>
      </c>
      <c r="J1938" s="1">
        <f>IF(COUNTIF($C$4:C1938,C1938)=1,1,0)</f>
        <v>1</v>
      </c>
      <c r="K1938" s="1">
        <f t="shared" si="30"/>
        <v>2023</v>
      </c>
    </row>
    <row r="1939" spans="2:11" x14ac:dyDescent="0.45">
      <c r="B1939" s="1" t="s">
        <v>11</v>
      </c>
      <c r="C1939" s="1" t="s">
        <v>1939</v>
      </c>
      <c r="D1939" s="7">
        <v>45786</v>
      </c>
      <c r="E1939" s="7">
        <v>45792</v>
      </c>
      <c r="F1939" s="7">
        <v>45916</v>
      </c>
      <c r="G1939" s="1" t="s">
        <v>22</v>
      </c>
      <c r="H1939" s="8">
        <v>55076007.789999999</v>
      </c>
      <c r="I1939" s="8">
        <v>23942427.789999999</v>
      </c>
      <c r="J1939" s="1">
        <f>IF(COUNTIF($C$4:C1939,C1939)=1,1,0)</f>
        <v>1</v>
      </c>
      <c r="K1939" s="1">
        <f t="shared" si="30"/>
        <v>2025</v>
      </c>
    </row>
    <row r="1940" spans="2:11" x14ac:dyDescent="0.45">
      <c r="B1940" s="1" t="s">
        <v>11</v>
      </c>
      <c r="C1940" s="1" t="s">
        <v>1940</v>
      </c>
      <c r="D1940" s="7">
        <v>46019</v>
      </c>
      <c r="E1940" s="7">
        <v>46035</v>
      </c>
      <c r="F1940" s="7">
        <v>46199</v>
      </c>
      <c r="G1940" s="1" t="s">
        <v>1348</v>
      </c>
      <c r="H1940" s="8">
        <v>8014178.6500000004</v>
      </c>
      <c r="I1940" s="8">
        <v>4697035.0199999996</v>
      </c>
      <c r="J1940" s="1">
        <f>IF(COUNTIF($C$4:C1940,C1940)=1,1,0)</f>
        <v>1</v>
      </c>
      <c r="K1940" s="1">
        <f t="shared" si="30"/>
        <v>2025</v>
      </c>
    </row>
    <row r="1941" spans="2:11" x14ac:dyDescent="0.45">
      <c r="B1941" s="1" t="s">
        <v>11</v>
      </c>
      <c r="C1941" s="1" t="s">
        <v>1941</v>
      </c>
      <c r="D1941" s="7">
        <v>45195</v>
      </c>
      <c r="E1941" s="7">
        <v>45214</v>
      </c>
      <c r="F1941" s="7">
        <v>45354</v>
      </c>
      <c r="G1941" s="1" t="s">
        <v>18</v>
      </c>
      <c r="H1941" s="8">
        <v>11446488.449999999</v>
      </c>
      <c r="I1941" s="8">
        <v>9335688.7599999998</v>
      </c>
      <c r="J1941" s="1">
        <f>IF(COUNTIF($C$4:C1941,C1941)=1,1,0)</f>
        <v>1</v>
      </c>
      <c r="K1941" s="1">
        <f t="shared" si="30"/>
        <v>2023</v>
      </c>
    </row>
    <row r="1942" spans="2:11" x14ac:dyDescent="0.45">
      <c r="B1942" s="1" t="s">
        <v>11</v>
      </c>
      <c r="C1942" s="1" t="s">
        <v>1942</v>
      </c>
      <c r="D1942" s="7">
        <v>45845</v>
      </c>
      <c r="E1942" s="7">
        <v>45871</v>
      </c>
      <c r="F1942" s="7">
        <v>46085</v>
      </c>
      <c r="G1942" s="1" t="s">
        <v>13</v>
      </c>
      <c r="H1942" s="8">
        <v>461483.38</v>
      </c>
      <c r="I1942" s="8">
        <v>373114.24</v>
      </c>
      <c r="J1942" s="1">
        <f>IF(COUNTIF($C$4:C1942,C1942)=1,1,0)</f>
        <v>1</v>
      </c>
      <c r="K1942" s="1">
        <f t="shared" si="30"/>
        <v>2025</v>
      </c>
    </row>
    <row r="1943" spans="2:11" x14ac:dyDescent="0.45">
      <c r="B1943" s="1" t="s">
        <v>11</v>
      </c>
      <c r="C1943" s="1" t="s">
        <v>1943</v>
      </c>
      <c r="D1943" s="7">
        <v>45653</v>
      </c>
      <c r="E1943" s="7">
        <v>45679</v>
      </c>
      <c r="F1943" s="7">
        <v>45886</v>
      </c>
      <c r="G1943" s="1" t="s">
        <v>22</v>
      </c>
      <c r="H1943" s="8">
        <v>6597162.2999999998</v>
      </c>
      <c r="I1943" s="8">
        <v>3715584.31</v>
      </c>
      <c r="J1943" s="1">
        <f>IF(COUNTIF($C$4:C1943,C1943)=1,1,0)</f>
        <v>1</v>
      </c>
      <c r="K1943" s="1">
        <f t="shared" si="30"/>
        <v>2024</v>
      </c>
    </row>
    <row r="1944" spans="2:11" x14ac:dyDescent="0.45">
      <c r="B1944" s="1" t="s">
        <v>11</v>
      </c>
      <c r="C1944" s="1" t="s">
        <v>1944</v>
      </c>
      <c r="D1944" s="7">
        <v>44643</v>
      </c>
      <c r="E1944" s="7">
        <v>44645</v>
      </c>
      <c r="F1944" s="7">
        <v>44800</v>
      </c>
      <c r="G1944" s="1" t="s">
        <v>18</v>
      </c>
      <c r="H1944" s="8">
        <v>6295382.04</v>
      </c>
      <c r="I1944" s="8">
        <v>4651555.03</v>
      </c>
      <c r="J1944" s="1">
        <f>IF(COUNTIF($C$4:C1944,C1944)=1,1,0)</f>
        <v>1</v>
      </c>
      <c r="K1944" s="1">
        <f t="shared" si="30"/>
        <v>2022</v>
      </c>
    </row>
    <row r="1945" spans="2:11" x14ac:dyDescent="0.45">
      <c r="B1945" s="1" t="s">
        <v>11</v>
      </c>
      <c r="C1945" s="1" t="s">
        <v>1945</v>
      </c>
      <c r="D1945" s="7">
        <v>44172</v>
      </c>
      <c r="E1945" s="7">
        <v>44197</v>
      </c>
      <c r="F1945" s="7">
        <v>44230</v>
      </c>
      <c r="G1945" s="1" t="s">
        <v>16</v>
      </c>
      <c r="H1945" s="8">
        <v>8008984.4699999997</v>
      </c>
      <c r="I1945" s="8">
        <v>4895130.8499999996</v>
      </c>
      <c r="J1945" s="1">
        <f>IF(COUNTIF($C$4:C1945,C1945)=1,1,0)</f>
        <v>1</v>
      </c>
      <c r="K1945" s="1">
        <f t="shared" si="30"/>
        <v>2020</v>
      </c>
    </row>
    <row r="1946" spans="2:11" x14ac:dyDescent="0.45">
      <c r="B1946" s="1" t="s">
        <v>11</v>
      </c>
      <c r="C1946" s="1" t="s">
        <v>1946</v>
      </c>
      <c r="D1946" s="7">
        <v>45128</v>
      </c>
      <c r="E1946" s="7">
        <v>45149</v>
      </c>
      <c r="F1946" s="7">
        <v>45306</v>
      </c>
      <c r="G1946" s="1" t="s">
        <v>18</v>
      </c>
      <c r="H1946" s="8">
        <v>2834329.59</v>
      </c>
      <c r="I1946" s="8">
        <v>2014821.22</v>
      </c>
      <c r="J1946" s="1">
        <f>IF(COUNTIF($C$4:C1946,C1946)=1,1,0)</f>
        <v>1</v>
      </c>
      <c r="K1946" s="1">
        <f t="shared" si="30"/>
        <v>2023</v>
      </c>
    </row>
    <row r="1947" spans="2:11" x14ac:dyDescent="0.45">
      <c r="B1947" s="1" t="s">
        <v>11</v>
      </c>
      <c r="C1947" s="1" t="s">
        <v>1947</v>
      </c>
      <c r="D1947" s="7">
        <v>43951</v>
      </c>
      <c r="E1947" s="7">
        <v>43965</v>
      </c>
      <c r="F1947" s="7">
        <v>44047</v>
      </c>
      <c r="G1947" s="1" t="s">
        <v>13</v>
      </c>
      <c r="H1947" s="8">
        <v>542826.96</v>
      </c>
      <c r="I1947" s="8">
        <v>465787.47</v>
      </c>
      <c r="J1947" s="1">
        <f>IF(COUNTIF($C$4:C1947,C1947)=1,1,0)</f>
        <v>1</v>
      </c>
      <c r="K1947" s="1">
        <f t="shared" si="30"/>
        <v>2020</v>
      </c>
    </row>
    <row r="1948" spans="2:11" x14ac:dyDescent="0.45">
      <c r="B1948" s="1" t="s">
        <v>11</v>
      </c>
      <c r="C1948" s="1" t="s">
        <v>1948</v>
      </c>
      <c r="D1948" s="7">
        <v>43583</v>
      </c>
      <c r="E1948" s="7">
        <v>43603</v>
      </c>
      <c r="F1948" s="7">
        <v>43745</v>
      </c>
      <c r="G1948" s="1" t="s">
        <v>20</v>
      </c>
      <c r="H1948" s="8">
        <v>589581.48</v>
      </c>
      <c r="I1948" s="8">
        <v>417564.52</v>
      </c>
      <c r="J1948" s="1">
        <f>IF(COUNTIF($C$4:C1948,C1948)=1,1,0)</f>
        <v>1</v>
      </c>
      <c r="K1948" s="1">
        <f t="shared" si="30"/>
        <v>2019</v>
      </c>
    </row>
    <row r="1949" spans="2:11" x14ac:dyDescent="0.45">
      <c r="B1949" s="1" t="s">
        <v>11</v>
      </c>
      <c r="C1949" s="1" t="s">
        <v>1949</v>
      </c>
      <c r="D1949" s="7">
        <v>45197</v>
      </c>
      <c r="E1949" s="7">
        <v>45226</v>
      </c>
      <c r="F1949" s="7">
        <v>45325</v>
      </c>
      <c r="G1949" s="1" t="s">
        <v>212</v>
      </c>
      <c r="H1949" s="8">
        <v>23654791.420000002</v>
      </c>
      <c r="I1949" s="8">
        <v>12794724.92</v>
      </c>
      <c r="J1949" s="1">
        <f>IF(COUNTIF($C$4:C1949,C1949)=1,1,0)</f>
        <v>1</v>
      </c>
      <c r="K1949" s="1">
        <f t="shared" si="30"/>
        <v>2023</v>
      </c>
    </row>
    <row r="1950" spans="2:11" x14ac:dyDescent="0.45">
      <c r="B1950" s="1" t="s">
        <v>11</v>
      </c>
      <c r="C1950" s="1" t="s">
        <v>1950</v>
      </c>
      <c r="D1950" s="7">
        <v>43834</v>
      </c>
      <c r="E1950" s="7">
        <v>43838</v>
      </c>
      <c r="F1950" s="7">
        <v>43856</v>
      </c>
      <c r="G1950" s="1" t="s">
        <v>212</v>
      </c>
      <c r="H1950" s="8">
        <v>4299776.96</v>
      </c>
      <c r="I1950" s="8">
        <v>2632332.77</v>
      </c>
      <c r="J1950" s="1">
        <f>IF(COUNTIF($C$4:C1950,C1950)=1,1,0)</f>
        <v>1</v>
      </c>
      <c r="K1950" s="1">
        <f t="shared" si="30"/>
        <v>2020</v>
      </c>
    </row>
    <row r="1951" spans="2:11" x14ac:dyDescent="0.45">
      <c r="B1951" s="1" t="s">
        <v>11</v>
      </c>
      <c r="C1951" s="1" t="s">
        <v>1951</v>
      </c>
      <c r="D1951" s="7">
        <v>43718</v>
      </c>
      <c r="E1951" s="7">
        <v>43725</v>
      </c>
      <c r="F1951" s="7">
        <v>43817</v>
      </c>
      <c r="G1951" s="1" t="s">
        <v>38</v>
      </c>
      <c r="H1951" s="8">
        <v>1350666.15</v>
      </c>
      <c r="I1951" s="8">
        <v>1149782.2</v>
      </c>
      <c r="J1951" s="1">
        <f>IF(COUNTIF($C$4:C1951,C1951)=1,1,0)</f>
        <v>1</v>
      </c>
      <c r="K1951" s="1">
        <f t="shared" si="30"/>
        <v>2019</v>
      </c>
    </row>
    <row r="1952" spans="2:11" x14ac:dyDescent="0.45">
      <c r="B1952" s="1" t="s">
        <v>11</v>
      </c>
      <c r="C1952" s="1" t="s">
        <v>1952</v>
      </c>
      <c r="D1952" s="7">
        <v>46062</v>
      </c>
      <c r="E1952" s="7">
        <v>46072</v>
      </c>
      <c r="F1952" s="7">
        <v>46158</v>
      </c>
      <c r="G1952" s="1" t="s">
        <v>1348</v>
      </c>
      <c r="H1952" s="8">
        <v>127290619.98999999</v>
      </c>
      <c r="I1952" s="8">
        <v>85944141.510000005</v>
      </c>
      <c r="J1952" s="1">
        <f>IF(COUNTIF($C$4:C1952,C1952)=1,1,0)</f>
        <v>1</v>
      </c>
      <c r="K1952" s="1">
        <f t="shared" si="30"/>
        <v>2026</v>
      </c>
    </row>
    <row r="1953" spans="2:11" x14ac:dyDescent="0.45">
      <c r="B1953" s="1" t="s">
        <v>11</v>
      </c>
      <c r="C1953" s="1" t="s">
        <v>1953</v>
      </c>
      <c r="D1953" s="7">
        <v>46080</v>
      </c>
      <c r="E1953" s="7">
        <v>46100</v>
      </c>
      <c r="F1953" s="7">
        <v>46297</v>
      </c>
      <c r="G1953" s="1" t="s">
        <v>13</v>
      </c>
      <c r="H1953" s="8">
        <v>93162.68</v>
      </c>
      <c r="I1953" s="8">
        <v>65208.08</v>
      </c>
      <c r="J1953" s="1">
        <f>IF(COUNTIF($C$4:C1953,C1953)=1,1,0)</f>
        <v>1</v>
      </c>
      <c r="K1953" s="1">
        <f t="shared" si="30"/>
        <v>2026</v>
      </c>
    </row>
    <row r="1954" spans="2:11" x14ac:dyDescent="0.45">
      <c r="B1954" s="1" t="s">
        <v>11</v>
      </c>
      <c r="C1954" s="1" t="s">
        <v>1954</v>
      </c>
      <c r="D1954" s="7">
        <v>45542</v>
      </c>
      <c r="E1954" s="7">
        <v>45562</v>
      </c>
      <c r="F1954" s="7">
        <v>45571</v>
      </c>
      <c r="G1954" s="1" t="s">
        <v>20</v>
      </c>
      <c r="H1954" s="8">
        <v>321992.2</v>
      </c>
      <c r="I1954" s="8">
        <v>253040.23</v>
      </c>
      <c r="J1954" s="1">
        <f>IF(COUNTIF($C$4:C1954,C1954)=1,1,0)</f>
        <v>1</v>
      </c>
      <c r="K1954" s="1">
        <f t="shared" si="30"/>
        <v>2024</v>
      </c>
    </row>
    <row r="1955" spans="2:11" x14ac:dyDescent="0.45">
      <c r="B1955" s="1" t="s">
        <v>11</v>
      </c>
      <c r="C1955" s="1" t="s">
        <v>1955</v>
      </c>
      <c r="D1955" s="7">
        <v>45510</v>
      </c>
      <c r="E1955" s="7">
        <v>45533</v>
      </c>
      <c r="F1955" s="7">
        <v>45689</v>
      </c>
      <c r="G1955" s="1" t="s">
        <v>16</v>
      </c>
      <c r="H1955" s="8">
        <v>8993293.0299999993</v>
      </c>
      <c r="I1955" s="8">
        <v>6149963.4000000004</v>
      </c>
      <c r="J1955" s="1">
        <f>IF(COUNTIF($C$4:C1955,C1955)=1,1,0)</f>
        <v>1</v>
      </c>
      <c r="K1955" s="1">
        <f t="shared" si="30"/>
        <v>2024</v>
      </c>
    </row>
    <row r="1956" spans="2:11" x14ac:dyDescent="0.45">
      <c r="B1956" s="1" t="s">
        <v>11</v>
      </c>
      <c r="C1956" s="1" t="s">
        <v>1956</v>
      </c>
      <c r="D1956" s="7">
        <v>45344</v>
      </c>
      <c r="E1956" s="7">
        <v>45356</v>
      </c>
      <c r="F1956" s="7">
        <v>45520</v>
      </c>
      <c r="G1956" s="1" t="s">
        <v>38</v>
      </c>
      <c r="H1956" s="8">
        <v>400882.27</v>
      </c>
      <c r="I1956" s="8">
        <v>237049.68</v>
      </c>
      <c r="J1956" s="1">
        <f>IF(COUNTIF($C$4:C1956,C1956)=1,1,0)</f>
        <v>1</v>
      </c>
      <c r="K1956" s="1">
        <f t="shared" si="30"/>
        <v>2024</v>
      </c>
    </row>
    <row r="1957" spans="2:11" x14ac:dyDescent="0.45">
      <c r="B1957" s="1" t="s">
        <v>11</v>
      </c>
      <c r="C1957" s="1" t="s">
        <v>1957</v>
      </c>
      <c r="D1957" s="7">
        <v>44618</v>
      </c>
      <c r="E1957" s="7">
        <v>44646</v>
      </c>
      <c r="F1957" s="7">
        <v>44880</v>
      </c>
      <c r="G1957" s="1" t="s">
        <v>38</v>
      </c>
      <c r="H1957" s="8">
        <v>1116460.78</v>
      </c>
      <c r="I1957" s="8">
        <v>825293.34</v>
      </c>
      <c r="J1957" s="1">
        <f>IF(COUNTIF($C$4:C1957,C1957)=1,1,0)</f>
        <v>1</v>
      </c>
      <c r="K1957" s="1">
        <f t="shared" si="30"/>
        <v>2022</v>
      </c>
    </row>
    <row r="1958" spans="2:11" x14ac:dyDescent="0.45">
      <c r="B1958" s="1" t="s">
        <v>11</v>
      </c>
      <c r="C1958" s="1" t="s">
        <v>1958</v>
      </c>
      <c r="D1958" s="7">
        <v>44219</v>
      </c>
      <c r="E1958" s="7">
        <v>44231</v>
      </c>
      <c r="F1958" s="7">
        <v>44414</v>
      </c>
      <c r="G1958" s="1" t="s">
        <v>41</v>
      </c>
      <c r="H1958" s="8">
        <v>21241.94</v>
      </c>
      <c r="I1958" s="8">
        <v>14075.23</v>
      </c>
      <c r="J1958" s="1">
        <f>IF(COUNTIF($C$4:C1958,C1958)=1,1,0)</f>
        <v>1</v>
      </c>
      <c r="K1958" s="1">
        <f t="shared" si="30"/>
        <v>2021</v>
      </c>
    </row>
    <row r="1959" spans="2:11" x14ac:dyDescent="0.45">
      <c r="B1959" s="1" t="s">
        <v>11</v>
      </c>
      <c r="C1959" s="1" t="s">
        <v>1959</v>
      </c>
      <c r="D1959" s="7">
        <v>46092</v>
      </c>
      <c r="E1959" s="7">
        <v>46096</v>
      </c>
      <c r="F1959" s="7">
        <v>46288</v>
      </c>
      <c r="G1959" s="1" t="s">
        <v>16</v>
      </c>
      <c r="H1959" s="8">
        <v>2064802.24</v>
      </c>
      <c r="I1959" s="8">
        <v>1152281.6299999999</v>
      </c>
      <c r="J1959" s="1">
        <f>IF(COUNTIF($C$4:C1959,C1959)=1,1,0)</f>
        <v>1</v>
      </c>
      <c r="K1959" s="1">
        <f t="shared" si="30"/>
        <v>2026</v>
      </c>
    </row>
    <row r="1960" spans="2:11" x14ac:dyDescent="0.45">
      <c r="B1960" s="1" t="s">
        <v>11</v>
      </c>
      <c r="C1960" s="1" t="s">
        <v>1960</v>
      </c>
      <c r="D1960" s="7">
        <v>43927</v>
      </c>
      <c r="E1960" s="7">
        <v>43954</v>
      </c>
      <c r="F1960" s="7">
        <v>44164</v>
      </c>
      <c r="G1960" s="1" t="s">
        <v>38</v>
      </c>
      <c r="H1960" s="8">
        <v>174661.7</v>
      </c>
      <c r="I1960" s="8">
        <v>116254.15</v>
      </c>
      <c r="J1960" s="1">
        <f>IF(COUNTIF($C$4:C1960,C1960)=1,1,0)</f>
        <v>1</v>
      </c>
      <c r="K1960" s="1">
        <f t="shared" si="30"/>
        <v>2020</v>
      </c>
    </row>
    <row r="1961" spans="2:11" x14ac:dyDescent="0.45">
      <c r="B1961" s="1" t="s">
        <v>11</v>
      </c>
      <c r="C1961" s="1" t="s">
        <v>1961</v>
      </c>
      <c r="D1961" s="7">
        <v>44349</v>
      </c>
      <c r="E1961" s="7">
        <v>44376</v>
      </c>
      <c r="F1961" s="7">
        <v>44549</v>
      </c>
      <c r="G1961" s="1" t="s">
        <v>20</v>
      </c>
      <c r="H1961" s="8">
        <v>4252095.17</v>
      </c>
      <c r="I1961" s="8">
        <v>3088455.06</v>
      </c>
      <c r="J1961" s="1">
        <f>IF(COUNTIF($C$4:C1961,C1961)=1,1,0)</f>
        <v>1</v>
      </c>
      <c r="K1961" s="1">
        <f t="shared" si="30"/>
        <v>2021</v>
      </c>
    </row>
    <row r="1962" spans="2:11" x14ac:dyDescent="0.45">
      <c r="B1962" s="1" t="s">
        <v>11</v>
      </c>
      <c r="C1962" s="1" t="s">
        <v>1962</v>
      </c>
      <c r="D1962" s="7">
        <v>45478</v>
      </c>
      <c r="E1962" s="7">
        <v>45492</v>
      </c>
      <c r="F1962" s="7">
        <v>45550</v>
      </c>
      <c r="G1962" s="1" t="s">
        <v>13</v>
      </c>
      <c r="H1962" s="8">
        <v>2196298.59</v>
      </c>
      <c r="I1962" s="8">
        <v>1834731.14</v>
      </c>
      <c r="J1962" s="1">
        <f>IF(COUNTIF($C$4:C1962,C1962)=1,1,0)</f>
        <v>1</v>
      </c>
      <c r="K1962" s="1">
        <f t="shared" si="30"/>
        <v>2024</v>
      </c>
    </row>
    <row r="1963" spans="2:11" x14ac:dyDescent="0.45">
      <c r="B1963" s="1" t="s">
        <v>11</v>
      </c>
      <c r="C1963" s="1" t="s">
        <v>1963</v>
      </c>
      <c r="D1963" s="7">
        <v>45346</v>
      </c>
      <c r="E1963" s="7">
        <v>45376</v>
      </c>
      <c r="F1963" s="7">
        <v>45494</v>
      </c>
      <c r="G1963" s="1" t="s">
        <v>20</v>
      </c>
      <c r="H1963" s="8">
        <v>1290301.42</v>
      </c>
      <c r="I1963" s="8">
        <v>877940.09</v>
      </c>
      <c r="J1963" s="1">
        <f>IF(COUNTIF($C$4:C1963,C1963)=1,1,0)</f>
        <v>1</v>
      </c>
      <c r="K1963" s="1">
        <f t="shared" si="30"/>
        <v>2024</v>
      </c>
    </row>
    <row r="1964" spans="2:11" x14ac:dyDescent="0.45">
      <c r="B1964" s="1" t="s">
        <v>11</v>
      </c>
      <c r="C1964" s="1" t="s">
        <v>1964</v>
      </c>
      <c r="D1964" s="7">
        <v>44690</v>
      </c>
      <c r="E1964" s="7">
        <v>44693</v>
      </c>
      <c r="F1964" s="7">
        <v>44734</v>
      </c>
      <c r="G1964" s="1" t="s">
        <v>41</v>
      </c>
      <c r="H1964" s="8">
        <v>285594.5</v>
      </c>
      <c r="I1964" s="8">
        <v>188429.57</v>
      </c>
      <c r="J1964" s="1">
        <f>IF(COUNTIF($C$4:C1964,C1964)=1,1,0)</f>
        <v>1</v>
      </c>
      <c r="K1964" s="1">
        <f t="shared" si="30"/>
        <v>2022</v>
      </c>
    </row>
    <row r="1965" spans="2:11" x14ac:dyDescent="0.45">
      <c r="B1965" s="1" t="s">
        <v>11</v>
      </c>
      <c r="C1965" s="1" t="s">
        <v>1965</v>
      </c>
      <c r="D1965" s="7">
        <v>43815</v>
      </c>
      <c r="E1965" s="7">
        <v>43838</v>
      </c>
      <c r="F1965" s="7">
        <v>44001</v>
      </c>
      <c r="G1965" s="1" t="s">
        <v>212</v>
      </c>
      <c r="H1965" s="8">
        <v>14436900.859999999</v>
      </c>
      <c r="I1965" s="8">
        <v>11323096.41</v>
      </c>
      <c r="J1965" s="1">
        <f>IF(COUNTIF($C$4:C1965,C1965)=1,1,0)</f>
        <v>1</v>
      </c>
      <c r="K1965" s="1">
        <f t="shared" si="30"/>
        <v>2019</v>
      </c>
    </row>
    <row r="1966" spans="2:11" x14ac:dyDescent="0.45">
      <c r="B1966" s="1" t="s">
        <v>11</v>
      </c>
      <c r="C1966" s="1" t="s">
        <v>1966</v>
      </c>
      <c r="D1966" s="7">
        <v>45590</v>
      </c>
      <c r="E1966" s="7">
        <v>45614</v>
      </c>
      <c r="F1966" s="7">
        <v>45672</v>
      </c>
      <c r="G1966" s="1" t="s">
        <v>13</v>
      </c>
      <c r="H1966" s="8">
        <v>1927426.8</v>
      </c>
      <c r="I1966" s="8">
        <v>1567174.37</v>
      </c>
      <c r="J1966" s="1">
        <f>IF(COUNTIF($C$4:C1966,C1966)=1,1,0)</f>
        <v>1</v>
      </c>
      <c r="K1966" s="1">
        <f t="shared" si="30"/>
        <v>2024</v>
      </c>
    </row>
    <row r="1967" spans="2:11" x14ac:dyDescent="0.45">
      <c r="B1967" s="1" t="s">
        <v>11</v>
      </c>
      <c r="C1967" s="1" t="s">
        <v>1967</v>
      </c>
      <c r="D1967" s="7">
        <v>43244</v>
      </c>
      <c r="E1967" s="7">
        <v>43259</v>
      </c>
      <c r="F1967" s="7">
        <v>43414</v>
      </c>
      <c r="G1967" s="1" t="s">
        <v>20</v>
      </c>
      <c r="H1967" s="8">
        <v>1105710.01</v>
      </c>
      <c r="I1967" s="8">
        <v>665913.93000000005</v>
      </c>
      <c r="J1967" s="1">
        <f>IF(COUNTIF($C$4:C1967,C1967)=1,1,0)</f>
        <v>1</v>
      </c>
      <c r="K1967" s="1">
        <f t="shared" si="30"/>
        <v>2018</v>
      </c>
    </row>
    <row r="1968" spans="2:11" x14ac:dyDescent="0.45">
      <c r="B1968" s="1" t="s">
        <v>11</v>
      </c>
      <c r="C1968" s="1" t="s">
        <v>1968</v>
      </c>
      <c r="D1968" s="7">
        <v>44942</v>
      </c>
      <c r="E1968" s="7">
        <v>44958</v>
      </c>
      <c r="F1968" s="7">
        <v>45007</v>
      </c>
      <c r="G1968" s="1" t="s">
        <v>41</v>
      </c>
      <c r="H1968" s="8">
        <v>179452.66</v>
      </c>
      <c r="I1968" s="8">
        <v>139806.99</v>
      </c>
      <c r="J1968" s="1">
        <f>IF(COUNTIF($C$4:C1968,C1968)=1,1,0)</f>
        <v>1</v>
      </c>
      <c r="K1968" s="1">
        <f t="shared" si="30"/>
        <v>2023</v>
      </c>
    </row>
    <row r="1969" spans="2:11" x14ac:dyDescent="0.45">
      <c r="B1969" s="1" t="s">
        <v>11</v>
      </c>
      <c r="C1969" s="1" t="s">
        <v>1969</v>
      </c>
      <c r="D1969" s="7">
        <v>44542</v>
      </c>
      <c r="E1969" s="7">
        <v>44551</v>
      </c>
      <c r="F1969" s="7">
        <v>44683</v>
      </c>
      <c r="G1969" s="1" t="s">
        <v>22</v>
      </c>
      <c r="H1969" s="8">
        <v>20693067.859999999</v>
      </c>
      <c r="I1969" s="8">
        <v>7233059.7000000002</v>
      </c>
      <c r="J1969" s="1">
        <f>IF(COUNTIF($C$4:C1969,C1969)=1,1,0)</f>
        <v>1</v>
      </c>
      <c r="K1969" s="1">
        <f t="shared" si="30"/>
        <v>2021</v>
      </c>
    </row>
    <row r="1970" spans="2:11" x14ac:dyDescent="0.45">
      <c r="B1970" s="1" t="s">
        <v>11</v>
      </c>
      <c r="C1970" s="1" t="s">
        <v>1970</v>
      </c>
      <c r="D1970" s="7">
        <v>43843</v>
      </c>
      <c r="E1970" s="7">
        <v>43846</v>
      </c>
      <c r="F1970" s="7">
        <v>43923</v>
      </c>
      <c r="G1970" s="1" t="s">
        <v>41</v>
      </c>
      <c r="H1970" s="8">
        <v>240033.79</v>
      </c>
      <c r="I1970" s="8">
        <v>155850.15</v>
      </c>
      <c r="J1970" s="1">
        <f>IF(COUNTIF($C$4:C1970,C1970)=1,1,0)</f>
        <v>1</v>
      </c>
      <c r="K1970" s="1">
        <f t="shared" si="30"/>
        <v>2020</v>
      </c>
    </row>
    <row r="1971" spans="2:11" x14ac:dyDescent="0.45">
      <c r="B1971" s="1" t="s">
        <v>11</v>
      </c>
      <c r="C1971" s="1" t="s">
        <v>1971</v>
      </c>
      <c r="D1971" s="7">
        <v>45375</v>
      </c>
      <c r="E1971" s="7">
        <v>45377</v>
      </c>
      <c r="F1971" s="7">
        <v>45464</v>
      </c>
      <c r="G1971" s="1" t="s">
        <v>1348</v>
      </c>
      <c r="H1971" s="8">
        <v>19882959.219999999</v>
      </c>
      <c r="I1971" s="8">
        <v>13346857.880000001</v>
      </c>
      <c r="J1971" s="1">
        <f>IF(COUNTIF($C$4:C1971,C1971)=1,1,0)</f>
        <v>1</v>
      </c>
      <c r="K1971" s="1">
        <f t="shared" si="30"/>
        <v>2024</v>
      </c>
    </row>
    <row r="1972" spans="2:11" x14ac:dyDescent="0.45">
      <c r="B1972" s="1" t="s">
        <v>11</v>
      </c>
      <c r="C1972" s="1" t="s">
        <v>1972</v>
      </c>
      <c r="D1972" s="7">
        <v>45496</v>
      </c>
      <c r="E1972" s="7">
        <v>45518</v>
      </c>
      <c r="F1972" s="7">
        <v>45554</v>
      </c>
      <c r="G1972" s="1" t="s">
        <v>212</v>
      </c>
      <c r="H1972" s="8">
        <v>11660259.109999999</v>
      </c>
      <c r="I1972" s="8">
        <v>8346909.2599999998</v>
      </c>
      <c r="J1972" s="1">
        <f>IF(COUNTIF($C$4:C1972,C1972)=1,1,0)</f>
        <v>1</v>
      </c>
      <c r="K1972" s="1">
        <f t="shared" si="30"/>
        <v>2024</v>
      </c>
    </row>
    <row r="1973" spans="2:11" x14ac:dyDescent="0.45">
      <c r="B1973" s="1" t="s">
        <v>11</v>
      </c>
      <c r="C1973" s="1" t="s">
        <v>1973</v>
      </c>
      <c r="D1973" s="7">
        <v>45591</v>
      </c>
      <c r="E1973" s="7">
        <v>45597</v>
      </c>
      <c r="F1973" s="7">
        <v>45663</v>
      </c>
      <c r="G1973" s="1" t="s">
        <v>13</v>
      </c>
      <c r="H1973" s="8">
        <v>723974.96</v>
      </c>
      <c r="I1973" s="8">
        <v>491989.07</v>
      </c>
      <c r="J1973" s="1">
        <f>IF(COUNTIF($C$4:C1973,C1973)=1,1,0)</f>
        <v>1</v>
      </c>
      <c r="K1973" s="1">
        <f t="shared" si="30"/>
        <v>2024</v>
      </c>
    </row>
    <row r="1974" spans="2:11" x14ac:dyDescent="0.45">
      <c r="B1974" s="1" t="s">
        <v>11</v>
      </c>
      <c r="C1974" s="1" t="s">
        <v>1974</v>
      </c>
      <c r="D1974" s="7">
        <v>44564</v>
      </c>
      <c r="E1974" s="7">
        <v>44576</v>
      </c>
      <c r="F1974" s="7">
        <v>44715</v>
      </c>
      <c r="G1974" s="1" t="s">
        <v>41</v>
      </c>
      <c r="H1974" s="8">
        <v>53535.360000000001</v>
      </c>
      <c r="I1974" s="8">
        <v>47295.839999999997</v>
      </c>
      <c r="J1974" s="1">
        <f>IF(COUNTIF($C$4:C1974,C1974)=1,1,0)</f>
        <v>1</v>
      </c>
      <c r="K1974" s="1">
        <f t="shared" si="30"/>
        <v>2022</v>
      </c>
    </row>
    <row r="1975" spans="2:11" x14ac:dyDescent="0.45">
      <c r="B1975" s="1" t="s">
        <v>11</v>
      </c>
      <c r="C1975" s="1" t="s">
        <v>1975</v>
      </c>
      <c r="D1975" s="7">
        <v>43888</v>
      </c>
      <c r="E1975" s="7">
        <v>43894</v>
      </c>
      <c r="F1975" s="7">
        <v>44117</v>
      </c>
      <c r="G1975" s="1" t="s">
        <v>1348</v>
      </c>
      <c r="H1975" s="8">
        <v>25328002.809999999</v>
      </c>
      <c r="I1975" s="8">
        <v>14889898.550000001</v>
      </c>
      <c r="J1975" s="1">
        <f>IF(COUNTIF($C$4:C1975,C1975)=1,1,0)</f>
        <v>1</v>
      </c>
      <c r="K1975" s="1">
        <f t="shared" si="30"/>
        <v>2020</v>
      </c>
    </row>
    <row r="1976" spans="2:11" x14ac:dyDescent="0.45">
      <c r="B1976" s="1" t="s">
        <v>11</v>
      </c>
      <c r="C1976" s="1" t="s">
        <v>1976</v>
      </c>
      <c r="D1976" s="7">
        <v>44859</v>
      </c>
      <c r="E1976" s="7">
        <v>44864</v>
      </c>
      <c r="F1976" s="7">
        <v>45098</v>
      </c>
      <c r="G1976" s="1" t="s">
        <v>38</v>
      </c>
      <c r="H1976" s="8">
        <v>1163392.49</v>
      </c>
      <c r="I1976" s="8">
        <v>802736.31</v>
      </c>
      <c r="J1976" s="1">
        <f>IF(COUNTIF($C$4:C1976,C1976)=1,1,0)</f>
        <v>1</v>
      </c>
      <c r="K1976" s="1">
        <f t="shared" si="30"/>
        <v>2022</v>
      </c>
    </row>
    <row r="1977" spans="2:11" x14ac:dyDescent="0.45">
      <c r="B1977" s="1" t="s">
        <v>11</v>
      </c>
      <c r="C1977" s="1" t="s">
        <v>1977</v>
      </c>
      <c r="D1977" s="7">
        <v>45880</v>
      </c>
      <c r="E1977" s="7">
        <v>45903</v>
      </c>
      <c r="F1977" s="7">
        <v>46106</v>
      </c>
      <c r="G1977" s="1" t="s">
        <v>22</v>
      </c>
      <c r="H1977" s="8">
        <v>18640437.18</v>
      </c>
      <c r="I1977" s="8">
        <v>7996234.3499999996</v>
      </c>
      <c r="J1977" s="1">
        <f>IF(COUNTIF($C$4:C1977,C1977)=1,1,0)</f>
        <v>1</v>
      </c>
      <c r="K1977" s="1">
        <f t="shared" si="30"/>
        <v>2025</v>
      </c>
    </row>
    <row r="1978" spans="2:11" x14ac:dyDescent="0.45">
      <c r="B1978" s="1" t="s">
        <v>11</v>
      </c>
      <c r="C1978" s="1" t="s">
        <v>1978</v>
      </c>
      <c r="D1978" s="7">
        <v>44660</v>
      </c>
      <c r="E1978" s="7">
        <v>44685</v>
      </c>
      <c r="F1978" s="7">
        <v>44842</v>
      </c>
      <c r="G1978" s="1" t="s">
        <v>13</v>
      </c>
      <c r="H1978" s="8">
        <v>320993.93</v>
      </c>
      <c r="I1978" s="8">
        <v>224488.15</v>
      </c>
      <c r="J1978" s="1">
        <f>IF(COUNTIF($C$4:C1978,C1978)=1,1,0)</f>
        <v>1</v>
      </c>
      <c r="K1978" s="1">
        <f t="shared" si="30"/>
        <v>2022</v>
      </c>
    </row>
    <row r="1979" spans="2:11" x14ac:dyDescent="0.45">
      <c r="B1979" s="1" t="s">
        <v>11</v>
      </c>
      <c r="C1979" s="1" t="s">
        <v>1979</v>
      </c>
      <c r="D1979" s="7">
        <v>44130</v>
      </c>
      <c r="E1979" s="7">
        <v>44148</v>
      </c>
      <c r="F1979" s="7">
        <v>44240</v>
      </c>
      <c r="G1979" s="1" t="s">
        <v>13</v>
      </c>
      <c r="H1979" s="8">
        <v>462931.29</v>
      </c>
      <c r="I1979" s="8">
        <v>417330.59</v>
      </c>
      <c r="J1979" s="1">
        <f>IF(COUNTIF($C$4:C1979,C1979)=1,1,0)</f>
        <v>1</v>
      </c>
      <c r="K1979" s="1">
        <f t="shared" si="30"/>
        <v>2020</v>
      </c>
    </row>
    <row r="1980" spans="2:11" x14ac:dyDescent="0.45">
      <c r="B1980" s="1" t="s">
        <v>11</v>
      </c>
      <c r="C1980" s="1" t="s">
        <v>1980</v>
      </c>
      <c r="D1980" s="7">
        <v>43785</v>
      </c>
      <c r="E1980" s="7">
        <v>43807</v>
      </c>
      <c r="F1980" s="7">
        <v>43895</v>
      </c>
      <c r="G1980" s="1" t="s">
        <v>41</v>
      </c>
      <c r="H1980" s="8">
        <v>133303.54999999999</v>
      </c>
      <c r="I1980" s="8">
        <v>91392.99</v>
      </c>
      <c r="J1980" s="1">
        <f>IF(COUNTIF($C$4:C1980,C1980)=1,1,0)</f>
        <v>1</v>
      </c>
      <c r="K1980" s="1">
        <f t="shared" si="30"/>
        <v>2019</v>
      </c>
    </row>
    <row r="1981" spans="2:11" x14ac:dyDescent="0.45">
      <c r="B1981" s="1" t="s">
        <v>11</v>
      </c>
      <c r="C1981" s="1" t="s">
        <v>1981</v>
      </c>
      <c r="D1981" s="7">
        <v>45380</v>
      </c>
      <c r="E1981" s="7">
        <v>45405</v>
      </c>
      <c r="F1981" s="7">
        <v>45446</v>
      </c>
      <c r="G1981" s="1" t="s">
        <v>41</v>
      </c>
      <c r="H1981" s="8">
        <v>161974.18</v>
      </c>
      <c r="I1981" s="8">
        <v>120425.71</v>
      </c>
      <c r="J1981" s="1">
        <f>IF(COUNTIF($C$4:C1981,C1981)=1,1,0)</f>
        <v>1</v>
      </c>
      <c r="K1981" s="1">
        <f t="shared" si="30"/>
        <v>2024</v>
      </c>
    </row>
    <row r="1982" spans="2:11" x14ac:dyDescent="0.45">
      <c r="B1982" s="1" t="s">
        <v>11</v>
      </c>
      <c r="C1982" s="1" t="s">
        <v>1982</v>
      </c>
      <c r="D1982" s="7">
        <v>45475</v>
      </c>
      <c r="E1982" s="7">
        <v>45488</v>
      </c>
      <c r="F1982" s="7">
        <v>45686</v>
      </c>
      <c r="G1982" s="1" t="s">
        <v>1348</v>
      </c>
      <c r="H1982" s="8">
        <v>151978857.63</v>
      </c>
      <c r="I1982" s="8">
        <v>74115125.159999996</v>
      </c>
      <c r="J1982" s="1">
        <f>IF(COUNTIF($C$4:C1982,C1982)=1,1,0)</f>
        <v>1</v>
      </c>
      <c r="K1982" s="1">
        <f t="shared" si="30"/>
        <v>2024</v>
      </c>
    </row>
    <row r="1983" spans="2:11" x14ac:dyDescent="0.45">
      <c r="B1983" s="1" t="s">
        <v>11</v>
      </c>
      <c r="C1983" s="1" t="s">
        <v>1983</v>
      </c>
      <c r="D1983" s="7">
        <v>45610</v>
      </c>
      <c r="E1983" s="7">
        <v>45631</v>
      </c>
      <c r="F1983" s="7">
        <v>45854</v>
      </c>
      <c r="G1983" s="1" t="s">
        <v>16</v>
      </c>
      <c r="H1983" s="8">
        <v>2796461.81</v>
      </c>
      <c r="I1983" s="8">
        <v>1923352.39</v>
      </c>
      <c r="J1983" s="1">
        <f>IF(COUNTIF($C$4:C1983,C1983)=1,1,0)</f>
        <v>1</v>
      </c>
      <c r="K1983" s="1">
        <f t="shared" si="30"/>
        <v>2024</v>
      </c>
    </row>
    <row r="1984" spans="2:11" x14ac:dyDescent="0.45">
      <c r="B1984" s="1" t="s">
        <v>11</v>
      </c>
      <c r="C1984" s="1" t="s">
        <v>1984</v>
      </c>
      <c r="D1984" s="7">
        <v>43928</v>
      </c>
      <c r="E1984" s="7">
        <v>43940</v>
      </c>
      <c r="F1984" s="7">
        <v>44167</v>
      </c>
      <c r="G1984" s="1" t="s">
        <v>41</v>
      </c>
      <c r="H1984" s="8">
        <v>1082351.33</v>
      </c>
      <c r="I1984" s="8">
        <v>925554.16</v>
      </c>
      <c r="J1984" s="1">
        <f>IF(COUNTIF($C$4:C1984,C1984)=1,1,0)</f>
        <v>1</v>
      </c>
      <c r="K1984" s="1">
        <f t="shared" si="30"/>
        <v>2020</v>
      </c>
    </row>
    <row r="1985" spans="2:11" x14ac:dyDescent="0.45">
      <c r="B1985" s="1" t="s">
        <v>11</v>
      </c>
      <c r="C1985" s="1" t="s">
        <v>1985</v>
      </c>
      <c r="D1985" s="7">
        <v>45635</v>
      </c>
      <c r="E1985" s="7">
        <v>45650</v>
      </c>
      <c r="F1985" s="7">
        <v>45825</v>
      </c>
      <c r="G1985" s="1" t="s">
        <v>13</v>
      </c>
      <c r="H1985" s="8">
        <v>880042.56</v>
      </c>
      <c r="I1985" s="8">
        <v>633719.69999999995</v>
      </c>
      <c r="J1985" s="1">
        <f>IF(COUNTIF($C$4:C1985,C1985)=1,1,0)</f>
        <v>1</v>
      </c>
      <c r="K1985" s="1">
        <f t="shared" si="30"/>
        <v>2024</v>
      </c>
    </row>
    <row r="1986" spans="2:11" x14ac:dyDescent="0.45">
      <c r="B1986" s="1" t="s">
        <v>11</v>
      </c>
      <c r="C1986" s="1" t="s">
        <v>1986</v>
      </c>
      <c r="D1986" s="7">
        <v>45503</v>
      </c>
      <c r="E1986" s="7">
        <v>45528</v>
      </c>
      <c r="F1986" s="7">
        <v>45705</v>
      </c>
      <c r="G1986" s="1" t="s">
        <v>212</v>
      </c>
      <c r="H1986" s="8">
        <v>7266922.8099999996</v>
      </c>
      <c r="I1986" s="8">
        <v>4242154.9400000004</v>
      </c>
      <c r="J1986" s="1">
        <f>IF(COUNTIF($C$4:C1986,C1986)=1,1,0)</f>
        <v>1</v>
      </c>
      <c r="K1986" s="1">
        <f t="shared" si="30"/>
        <v>2024</v>
      </c>
    </row>
    <row r="1987" spans="2:11" x14ac:dyDescent="0.45">
      <c r="B1987" s="1" t="s">
        <v>11</v>
      </c>
      <c r="C1987" s="1" t="s">
        <v>1987</v>
      </c>
      <c r="D1987" s="7">
        <v>43174</v>
      </c>
      <c r="E1987" s="7">
        <v>43175</v>
      </c>
      <c r="F1987" s="7">
        <v>43415</v>
      </c>
      <c r="G1987" s="1" t="s">
        <v>38</v>
      </c>
      <c r="H1987" s="8">
        <v>1089167.27</v>
      </c>
      <c r="I1987" s="8">
        <v>748229.44</v>
      </c>
      <c r="J1987" s="1">
        <f>IF(COUNTIF($C$4:C1987,C1987)=1,1,0)</f>
        <v>1</v>
      </c>
      <c r="K1987" s="1">
        <f t="shared" si="30"/>
        <v>2018</v>
      </c>
    </row>
    <row r="1988" spans="2:11" x14ac:dyDescent="0.45">
      <c r="B1988" s="1" t="s">
        <v>11</v>
      </c>
      <c r="C1988" s="1" t="s">
        <v>1988</v>
      </c>
      <c r="D1988" s="7">
        <v>45309</v>
      </c>
      <c r="E1988" s="7">
        <v>45336</v>
      </c>
      <c r="F1988" s="7">
        <v>45409</v>
      </c>
      <c r="G1988" s="1" t="s">
        <v>16</v>
      </c>
      <c r="H1988" s="8">
        <v>3956212.39</v>
      </c>
      <c r="I1988" s="8">
        <v>3060391.11</v>
      </c>
      <c r="J1988" s="1">
        <f>IF(COUNTIF($C$4:C1988,C1988)=1,1,0)</f>
        <v>1</v>
      </c>
      <c r="K1988" s="1">
        <f t="shared" si="30"/>
        <v>2024</v>
      </c>
    </row>
    <row r="1989" spans="2:11" x14ac:dyDescent="0.45">
      <c r="B1989" s="1" t="s">
        <v>11</v>
      </c>
      <c r="C1989" s="1" t="s">
        <v>1989</v>
      </c>
      <c r="D1989" s="7">
        <v>43738</v>
      </c>
      <c r="E1989" s="7">
        <v>43744</v>
      </c>
      <c r="F1989" s="7">
        <v>43803</v>
      </c>
      <c r="G1989" s="1" t="s">
        <v>212</v>
      </c>
      <c r="H1989" s="8">
        <v>2879403.24</v>
      </c>
      <c r="I1989" s="8">
        <v>1642928.79</v>
      </c>
      <c r="J1989" s="1">
        <f>IF(COUNTIF($C$4:C1989,C1989)=1,1,0)</f>
        <v>1</v>
      </c>
      <c r="K1989" s="1">
        <f t="shared" ref="K1989:K2052" si="31">YEAR(D1989)</f>
        <v>2019</v>
      </c>
    </row>
    <row r="1990" spans="2:11" x14ac:dyDescent="0.45">
      <c r="B1990" s="1" t="s">
        <v>11</v>
      </c>
      <c r="C1990" s="1" t="s">
        <v>1990</v>
      </c>
      <c r="D1990" s="7">
        <v>45420</v>
      </c>
      <c r="E1990" s="7">
        <v>45422</v>
      </c>
      <c r="F1990" s="7">
        <v>45491</v>
      </c>
      <c r="G1990" s="1" t="s">
        <v>20</v>
      </c>
      <c r="H1990" s="8">
        <v>10053396.09</v>
      </c>
      <c r="I1990" s="8">
        <v>5771667.9800000004</v>
      </c>
      <c r="J1990" s="1">
        <f>IF(COUNTIF($C$4:C1990,C1990)=1,1,0)</f>
        <v>1</v>
      </c>
      <c r="K1990" s="1">
        <f t="shared" si="31"/>
        <v>2024</v>
      </c>
    </row>
    <row r="1991" spans="2:11" x14ac:dyDescent="0.45">
      <c r="B1991" s="1" t="s">
        <v>11</v>
      </c>
      <c r="C1991" s="1" t="s">
        <v>1991</v>
      </c>
      <c r="D1991" s="7">
        <v>45016</v>
      </c>
      <c r="E1991" s="7">
        <v>45033</v>
      </c>
      <c r="F1991" s="7">
        <v>45055</v>
      </c>
      <c r="G1991" s="1" t="s">
        <v>16</v>
      </c>
      <c r="H1991" s="8">
        <v>5225183.12</v>
      </c>
      <c r="I1991" s="8">
        <v>3830881.29</v>
      </c>
      <c r="J1991" s="1">
        <f>IF(COUNTIF($C$4:C1991,C1991)=1,1,0)</f>
        <v>1</v>
      </c>
      <c r="K1991" s="1">
        <f t="shared" si="31"/>
        <v>2023</v>
      </c>
    </row>
    <row r="1992" spans="2:11" x14ac:dyDescent="0.45">
      <c r="B1992" s="1" t="s">
        <v>11</v>
      </c>
      <c r="C1992" s="1" t="s">
        <v>1992</v>
      </c>
      <c r="D1992" s="7">
        <v>46095</v>
      </c>
      <c r="E1992" s="7">
        <v>46125</v>
      </c>
      <c r="F1992" s="7">
        <v>46328</v>
      </c>
      <c r="G1992" s="1" t="s">
        <v>41</v>
      </c>
      <c r="H1992" s="8">
        <v>289212.78999999998</v>
      </c>
      <c r="I1992" s="8">
        <v>207834.57</v>
      </c>
      <c r="J1992" s="1">
        <f>IF(COUNTIF($C$4:C1992,C1992)=1,1,0)</f>
        <v>1</v>
      </c>
      <c r="K1992" s="1">
        <f t="shared" si="31"/>
        <v>2026</v>
      </c>
    </row>
    <row r="1993" spans="2:11" x14ac:dyDescent="0.45">
      <c r="B1993" s="1" t="s">
        <v>11</v>
      </c>
      <c r="C1993" s="1" t="s">
        <v>1993</v>
      </c>
      <c r="D1993" s="7">
        <v>44587</v>
      </c>
      <c r="E1993" s="7">
        <v>44611</v>
      </c>
      <c r="F1993" s="7">
        <v>44665</v>
      </c>
      <c r="G1993" s="1" t="s">
        <v>18</v>
      </c>
      <c r="H1993" s="8">
        <v>1534233.42</v>
      </c>
      <c r="I1993" s="8">
        <v>1257254.92</v>
      </c>
      <c r="J1993" s="1">
        <f>IF(COUNTIF($C$4:C1993,C1993)=1,1,0)</f>
        <v>1</v>
      </c>
      <c r="K1993" s="1">
        <f t="shared" si="31"/>
        <v>2022</v>
      </c>
    </row>
    <row r="1994" spans="2:11" x14ac:dyDescent="0.45">
      <c r="B1994" s="1" t="s">
        <v>11</v>
      </c>
      <c r="C1994" s="1" t="s">
        <v>1994</v>
      </c>
      <c r="D1994" s="7">
        <v>46112</v>
      </c>
      <c r="E1994" s="7">
        <v>46141</v>
      </c>
      <c r="F1994" s="7">
        <v>46371</v>
      </c>
      <c r="G1994" s="1" t="s">
        <v>41</v>
      </c>
      <c r="H1994" s="8">
        <v>30799.91</v>
      </c>
      <c r="I1994" s="8">
        <v>26282.23</v>
      </c>
      <c r="J1994" s="1">
        <f>IF(COUNTIF($C$4:C1994,C1994)=1,1,0)</f>
        <v>1</v>
      </c>
      <c r="K1994" s="1">
        <f t="shared" si="31"/>
        <v>2026</v>
      </c>
    </row>
    <row r="1995" spans="2:11" x14ac:dyDescent="0.45">
      <c r="B1995" s="1" t="s">
        <v>11</v>
      </c>
      <c r="C1995" s="1" t="s">
        <v>1995</v>
      </c>
      <c r="D1995" s="7">
        <v>44852</v>
      </c>
      <c r="E1995" s="7">
        <v>44881</v>
      </c>
      <c r="F1995" s="7">
        <v>45118</v>
      </c>
      <c r="G1995" s="1" t="s">
        <v>38</v>
      </c>
      <c r="H1995" s="8">
        <v>1020907.8</v>
      </c>
      <c r="I1995" s="8">
        <v>848787.93</v>
      </c>
      <c r="J1995" s="1">
        <f>IF(COUNTIF($C$4:C1995,C1995)=1,1,0)</f>
        <v>1</v>
      </c>
      <c r="K1995" s="1">
        <f t="shared" si="31"/>
        <v>2022</v>
      </c>
    </row>
    <row r="1996" spans="2:11" x14ac:dyDescent="0.45">
      <c r="B1996" s="1" t="s">
        <v>11</v>
      </c>
      <c r="C1996" s="1" t="s">
        <v>1996</v>
      </c>
      <c r="D1996" s="7">
        <v>43564</v>
      </c>
      <c r="E1996" s="7">
        <v>43565</v>
      </c>
      <c r="F1996" s="7">
        <v>43586</v>
      </c>
      <c r="G1996" s="1" t="s">
        <v>16</v>
      </c>
      <c r="H1996" s="8">
        <v>64902.18</v>
      </c>
      <c r="I1996" s="8">
        <v>47206.5</v>
      </c>
      <c r="J1996" s="1">
        <f>IF(COUNTIF($C$4:C1996,C1996)=1,1,0)</f>
        <v>1</v>
      </c>
      <c r="K1996" s="1">
        <f t="shared" si="31"/>
        <v>2019</v>
      </c>
    </row>
    <row r="1997" spans="2:11" x14ac:dyDescent="0.45">
      <c r="B1997" s="1" t="s">
        <v>11</v>
      </c>
      <c r="C1997" s="1" t="s">
        <v>1997</v>
      </c>
      <c r="D1997" s="7">
        <v>44763</v>
      </c>
      <c r="E1997" s="7">
        <v>44786</v>
      </c>
      <c r="F1997" s="7">
        <v>44932</v>
      </c>
      <c r="G1997" s="1" t="s">
        <v>13</v>
      </c>
      <c r="H1997" s="8">
        <v>243344.1</v>
      </c>
      <c r="I1997" s="8">
        <v>187959.7</v>
      </c>
      <c r="J1997" s="1">
        <f>IF(COUNTIF($C$4:C1997,C1997)=1,1,0)</f>
        <v>1</v>
      </c>
      <c r="K1997" s="1">
        <f t="shared" si="31"/>
        <v>2022</v>
      </c>
    </row>
    <row r="1998" spans="2:11" x14ac:dyDescent="0.45">
      <c r="B1998" s="1" t="s">
        <v>11</v>
      </c>
      <c r="C1998" s="1" t="s">
        <v>1998</v>
      </c>
      <c r="D1998" s="7">
        <v>44493</v>
      </c>
      <c r="E1998" s="7">
        <v>44515</v>
      </c>
      <c r="F1998" s="7">
        <v>44570</v>
      </c>
      <c r="G1998" s="1" t="s">
        <v>212</v>
      </c>
      <c r="H1998" s="8">
        <v>24017786.140000001</v>
      </c>
      <c r="I1998" s="8">
        <v>10033417.390000001</v>
      </c>
      <c r="J1998" s="1">
        <f>IF(COUNTIF($C$4:C1998,C1998)=1,1,0)</f>
        <v>1</v>
      </c>
      <c r="K1998" s="1">
        <f t="shared" si="31"/>
        <v>2021</v>
      </c>
    </row>
    <row r="1999" spans="2:11" x14ac:dyDescent="0.45">
      <c r="B1999" s="1" t="s">
        <v>11</v>
      </c>
      <c r="C1999" s="1" t="s">
        <v>1999</v>
      </c>
      <c r="D1999" s="7">
        <v>44391</v>
      </c>
      <c r="E1999" s="7">
        <v>44417</v>
      </c>
      <c r="F1999" s="7">
        <v>44505</v>
      </c>
      <c r="G1999" s="1" t="s">
        <v>212</v>
      </c>
      <c r="H1999" s="8">
        <v>55752902.009999998</v>
      </c>
      <c r="I1999" s="8">
        <v>19647894.120000001</v>
      </c>
      <c r="J1999" s="1">
        <f>IF(COUNTIF($C$4:C1999,C1999)=1,1,0)</f>
        <v>1</v>
      </c>
      <c r="K1999" s="1">
        <f t="shared" si="31"/>
        <v>2021</v>
      </c>
    </row>
    <row r="2000" spans="2:11" x14ac:dyDescent="0.45">
      <c r="B2000" s="1" t="s">
        <v>11</v>
      </c>
      <c r="C2000" s="1" t="s">
        <v>2000</v>
      </c>
      <c r="D2000" s="7">
        <v>44710</v>
      </c>
      <c r="E2000" s="7">
        <v>44732</v>
      </c>
      <c r="F2000" s="7">
        <v>44838</v>
      </c>
      <c r="G2000" s="1" t="s">
        <v>212</v>
      </c>
      <c r="H2000" s="8">
        <v>9098119.0299999993</v>
      </c>
      <c r="I2000" s="8">
        <v>4632521.75</v>
      </c>
      <c r="J2000" s="1">
        <f>IF(COUNTIF($C$4:C2000,C2000)=1,1,0)</f>
        <v>1</v>
      </c>
      <c r="K2000" s="1">
        <f t="shared" si="31"/>
        <v>2022</v>
      </c>
    </row>
    <row r="2001" spans="2:11" x14ac:dyDescent="0.45">
      <c r="B2001" s="1" t="s">
        <v>11</v>
      </c>
      <c r="C2001" s="1" t="s">
        <v>2001</v>
      </c>
      <c r="D2001" s="7">
        <v>44145</v>
      </c>
      <c r="E2001" s="7">
        <v>44165</v>
      </c>
      <c r="F2001" s="7">
        <v>44216</v>
      </c>
      <c r="G2001" s="1" t="s">
        <v>20</v>
      </c>
      <c r="H2001" s="8">
        <v>1071046.3899999999</v>
      </c>
      <c r="I2001" s="8">
        <v>574549.16</v>
      </c>
      <c r="J2001" s="1">
        <f>IF(COUNTIF($C$4:C2001,C2001)=1,1,0)</f>
        <v>1</v>
      </c>
      <c r="K2001" s="1">
        <f t="shared" si="31"/>
        <v>2020</v>
      </c>
    </row>
    <row r="2002" spans="2:11" x14ac:dyDescent="0.45">
      <c r="B2002" s="1" t="s">
        <v>11</v>
      </c>
      <c r="C2002" s="1" t="s">
        <v>2002</v>
      </c>
      <c r="D2002" s="7">
        <v>45481</v>
      </c>
      <c r="E2002" s="7">
        <v>45503</v>
      </c>
      <c r="F2002" s="7">
        <v>45653</v>
      </c>
      <c r="G2002" s="1" t="s">
        <v>16</v>
      </c>
      <c r="H2002" s="8">
        <v>251626.61</v>
      </c>
      <c r="I2002" s="8">
        <v>166217.26999999999</v>
      </c>
      <c r="J2002" s="1">
        <f>IF(COUNTIF($C$4:C2002,C2002)=1,1,0)</f>
        <v>1</v>
      </c>
      <c r="K2002" s="1">
        <f t="shared" si="31"/>
        <v>2024</v>
      </c>
    </row>
    <row r="2003" spans="2:11" x14ac:dyDescent="0.45">
      <c r="B2003" s="1" t="s">
        <v>11</v>
      </c>
      <c r="C2003" s="1" t="s">
        <v>2003</v>
      </c>
      <c r="D2003" s="7">
        <v>43790</v>
      </c>
      <c r="E2003" s="7">
        <v>43815</v>
      </c>
      <c r="F2003" s="7">
        <v>43898</v>
      </c>
      <c r="G2003" s="1" t="s">
        <v>22</v>
      </c>
      <c r="H2003" s="8">
        <v>30796961.010000002</v>
      </c>
      <c r="I2003" s="8">
        <v>19382479.600000001</v>
      </c>
      <c r="J2003" s="1">
        <f>IF(COUNTIF($C$4:C2003,C2003)=1,1,0)</f>
        <v>1</v>
      </c>
      <c r="K2003" s="1">
        <f t="shared" si="31"/>
        <v>2019</v>
      </c>
    </row>
    <row r="2004" spans="2:11" x14ac:dyDescent="0.45">
      <c r="B2004" s="1" t="s">
        <v>11</v>
      </c>
      <c r="C2004" s="1" t="s">
        <v>2004</v>
      </c>
      <c r="D2004" s="7">
        <v>44483</v>
      </c>
      <c r="E2004" s="7">
        <v>44490</v>
      </c>
      <c r="F2004" s="7">
        <v>44580</v>
      </c>
      <c r="G2004" s="1" t="s">
        <v>22</v>
      </c>
      <c r="H2004" s="8">
        <v>7996046.79</v>
      </c>
      <c r="I2004" s="8">
        <v>4068811.16</v>
      </c>
      <c r="J2004" s="1">
        <f>IF(COUNTIF($C$4:C2004,C2004)=1,1,0)</f>
        <v>1</v>
      </c>
      <c r="K2004" s="1">
        <f t="shared" si="31"/>
        <v>2021</v>
      </c>
    </row>
    <row r="2005" spans="2:11" x14ac:dyDescent="0.45">
      <c r="B2005" s="1" t="s">
        <v>11</v>
      </c>
      <c r="C2005" s="1" t="s">
        <v>2005</v>
      </c>
      <c r="D2005" s="7">
        <v>43887</v>
      </c>
      <c r="E2005" s="7">
        <v>43895</v>
      </c>
      <c r="F2005" s="7">
        <v>44065</v>
      </c>
      <c r="G2005" s="1" t="s">
        <v>22</v>
      </c>
      <c r="H2005" s="8">
        <v>48920358.079999998</v>
      </c>
      <c r="I2005" s="8">
        <v>27640607.399999999</v>
      </c>
      <c r="J2005" s="1">
        <f>IF(COUNTIF($C$4:C2005,C2005)=1,1,0)</f>
        <v>1</v>
      </c>
      <c r="K2005" s="1">
        <f t="shared" si="31"/>
        <v>2020</v>
      </c>
    </row>
    <row r="2006" spans="2:11" x14ac:dyDescent="0.45">
      <c r="B2006" s="1" t="s">
        <v>11</v>
      </c>
      <c r="C2006" s="1" t="s">
        <v>2006</v>
      </c>
      <c r="D2006" s="7">
        <v>44240</v>
      </c>
      <c r="E2006" s="7">
        <v>44262</v>
      </c>
      <c r="F2006" s="7">
        <v>44286</v>
      </c>
      <c r="G2006" s="1" t="s">
        <v>38</v>
      </c>
      <c r="H2006" s="8">
        <v>2729742.49</v>
      </c>
      <c r="I2006" s="8">
        <v>2179624.7200000002</v>
      </c>
      <c r="J2006" s="1">
        <f>IF(COUNTIF($C$4:C2006,C2006)=1,1,0)</f>
        <v>1</v>
      </c>
      <c r="K2006" s="1">
        <f t="shared" si="31"/>
        <v>2021</v>
      </c>
    </row>
    <row r="2007" spans="2:11" x14ac:dyDescent="0.45">
      <c r="B2007" s="1" t="s">
        <v>11</v>
      </c>
      <c r="C2007" s="1" t="s">
        <v>2007</v>
      </c>
      <c r="D2007" s="7">
        <v>45468</v>
      </c>
      <c r="E2007" s="7">
        <v>45473</v>
      </c>
      <c r="F2007" s="7">
        <v>45564</v>
      </c>
      <c r="G2007" s="1" t="s">
        <v>41</v>
      </c>
      <c r="H2007" s="8">
        <v>202622.5</v>
      </c>
      <c r="I2007" s="8">
        <v>148608.79999999999</v>
      </c>
      <c r="J2007" s="1">
        <f>IF(COUNTIF($C$4:C2007,C2007)=1,1,0)</f>
        <v>1</v>
      </c>
      <c r="K2007" s="1">
        <f t="shared" si="31"/>
        <v>2024</v>
      </c>
    </row>
    <row r="2008" spans="2:11" x14ac:dyDescent="0.45">
      <c r="B2008" s="1" t="s">
        <v>11</v>
      </c>
      <c r="C2008" s="1" t="s">
        <v>2008</v>
      </c>
      <c r="D2008" s="7">
        <v>45076</v>
      </c>
      <c r="E2008" s="7">
        <v>45089</v>
      </c>
      <c r="F2008" s="7">
        <v>45166</v>
      </c>
      <c r="G2008" s="1" t="s">
        <v>13</v>
      </c>
      <c r="H2008" s="8">
        <v>353826.77</v>
      </c>
      <c r="I2008" s="8">
        <v>299267.86</v>
      </c>
      <c r="J2008" s="1">
        <f>IF(COUNTIF($C$4:C2008,C2008)=1,1,0)</f>
        <v>1</v>
      </c>
      <c r="K2008" s="1">
        <f t="shared" si="31"/>
        <v>2023</v>
      </c>
    </row>
    <row r="2009" spans="2:11" x14ac:dyDescent="0.45">
      <c r="B2009" s="1" t="s">
        <v>11</v>
      </c>
      <c r="C2009" s="1" t="s">
        <v>2009</v>
      </c>
      <c r="D2009" s="7">
        <v>45454</v>
      </c>
      <c r="E2009" s="7">
        <v>45466</v>
      </c>
      <c r="F2009" s="7">
        <v>45700</v>
      </c>
      <c r="G2009" s="1" t="s">
        <v>20</v>
      </c>
      <c r="H2009" s="8">
        <v>1245319.74</v>
      </c>
      <c r="I2009" s="8">
        <v>965590.06</v>
      </c>
      <c r="J2009" s="1">
        <f>IF(COUNTIF($C$4:C2009,C2009)=1,1,0)</f>
        <v>1</v>
      </c>
      <c r="K2009" s="1">
        <f t="shared" si="31"/>
        <v>2024</v>
      </c>
    </row>
    <row r="2010" spans="2:11" x14ac:dyDescent="0.45">
      <c r="B2010" s="1" t="s">
        <v>11</v>
      </c>
      <c r="C2010" s="1" t="s">
        <v>2010</v>
      </c>
      <c r="D2010" s="7">
        <v>45293</v>
      </c>
      <c r="E2010" s="7">
        <v>45310</v>
      </c>
      <c r="F2010" s="7">
        <v>45496</v>
      </c>
      <c r="G2010" s="1" t="s">
        <v>38</v>
      </c>
      <c r="H2010" s="8">
        <v>457357.98</v>
      </c>
      <c r="I2010" s="8">
        <v>358847.98</v>
      </c>
      <c r="J2010" s="1">
        <f>IF(COUNTIF($C$4:C2010,C2010)=1,1,0)</f>
        <v>1</v>
      </c>
      <c r="K2010" s="1">
        <f t="shared" si="31"/>
        <v>2024</v>
      </c>
    </row>
    <row r="2011" spans="2:11" x14ac:dyDescent="0.45">
      <c r="B2011" s="1" t="s">
        <v>11</v>
      </c>
      <c r="C2011" s="1" t="s">
        <v>2011</v>
      </c>
      <c r="D2011" s="7">
        <v>45481</v>
      </c>
      <c r="E2011" s="7">
        <v>45499</v>
      </c>
      <c r="F2011" s="7">
        <v>45688</v>
      </c>
      <c r="G2011" s="1" t="s">
        <v>20</v>
      </c>
      <c r="H2011" s="8">
        <v>222725.78</v>
      </c>
      <c r="I2011" s="8">
        <v>138556.60999999999</v>
      </c>
      <c r="J2011" s="1">
        <f>IF(COUNTIF($C$4:C2011,C2011)=1,1,0)</f>
        <v>1</v>
      </c>
      <c r="K2011" s="1">
        <f t="shared" si="31"/>
        <v>2024</v>
      </c>
    </row>
    <row r="2012" spans="2:11" x14ac:dyDescent="0.45">
      <c r="B2012" s="1" t="s">
        <v>11</v>
      </c>
      <c r="C2012" s="1" t="s">
        <v>2012</v>
      </c>
      <c r="D2012" s="7">
        <v>44078</v>
      </c>
      <c r="E2012" s="7">
        <v>44081</v>
      </c>
      <c r="F2012" s="7">
        <v>44140</v>
      </c>
      <c r="G2012" s="1" t="s">
        <v>212</v>
      </c>
      <c r="H2012" s="8">
        <v>14432078.09</v>
      </c>
      <c r="I2012" s="8">
        <v>5020274.8899999997</v>
      </c>
      <c r="J2012" s="1">
        <f>IF(COUNTIF($C$4:C2012,C2012)=1,1,0)</f>
        <v>1</v>
      </c>
      <c r="K2012" s="1">
        <f t="shared" si="31"/>
        <v>2020</v>
      </c>
    </row>
    <row r="2013" spans="2:11" x14ac:dyDescent="0.45">
      <c r="B2013" s="1" t="s">
        <v>11</v>
      </c>
      <c r="C2013" s="1" t="s">
        <v>2013</v>
      </c>
      <c r="D2013" s="7">
        <v>44101</v>
      </c>
      <c r="E2013" s="7">
        <v>44112</v>
      </c>
      <c r="F2013" s="7">
        <v>44310</v>
      </c>
      <c r="G2013" s="1" t="s">
        <v>1348</v>
      </c>
      <c r="H2013" s="8">
        <v>69498498.480000004</v>
      </c>
      <c r="I2013" s="8">
        <v>30291017.73</v>
      </c>
      <c r="J2013" s="1">
        <f>IF(COUNTIF($C$4:C2013,C2013)=1,1,0)</f>
        <v>1</v>
      </c>
      <c r="K2013" s="1">
        <f t="shared" si="31"/>
        <v>2020</v>
      </c>
    </row>
    <row r="2014" spans="2:11" x14ac:dyDescent="0.45">
      <c r="B2014" s="1" t="s">
        <v>11</v>
      </c>
      <c r="C2014" s="1" t="s">
        <v>2014</v>
      </c>
      <c r="D2014" s="7">
        <v>43695</v>
      </c>
      <c r="E2014" s="7">
        <v>43710</v>
      </c>
      <c r="F2014" s="7">
        <v>43911</v>
      </c>
      <c r="G2014" s="1" t="s">
        <v>16</v>
      </c>
      <c r="H2014" s="8">
        <v>2249193.38</v>
      </c>
      <c r="I2014" s="8">
        <v>1559370.39</v>
      </c>
      <c r="J2014" s="1">
        <f>IF(COUNTIF($C$4:C2014,C2014)=1,1,0)</f>
        <v>1</v>
      </c>
      <c r="K2014" s="1">
        <f t="shared" si="31"/>
        <v>2019</v>
      </c>
    </row>
    <row r="2015" spans="2:11" x14ac:dyDescent="0.45">
      <c r="B2015" s="1" t="s">
        <v>11</v>
      </c>
      <c r="C2015" s="1" t="s">
        <v>2015</v>
      </c>
      <c r="D2015" s="7">
        <v>46013</v>
      </c>
      <c r="E2015" s="7">
        <v>46019</v>
      </c>
      <c r="F2015" s="7">
        <v>46036</v>
      </c>
      <c r="G2015" s="1" t="s">
        <v>212</v>
      </c>
      <c r="H2015" s="8">
        <v>17650259.23</v>
      </c>
      <c r="I2015" s="8">
        <v>12894975.710000001</v>
      </c>
      <c r="J2015" s="1">
        <f>IF(COUNTIF($C$4:C2015,C2015)=1,1,0)</f>
        <v>1</v>
      </c>
      <c r="K2015" s="1">
        <f t="shared" si="31"/>
        <v>2025</v>
      </c>
    </row>
    <row r="2016" spans="2:11" x14ac:dyDescent="0.45">
      <c r="B2016" s="1" t="s">
        <v>11</v>
      </c>
      <c r="C2016" s="1" t="s">
        <v>2016</v>
      </c>
      <c r="D2016" s="7">
        <v>43734</v>
      </c>
      <c r="E2016" s="7">
        <v>43764</v>
      </c>
      <c r="F2016" s="7">
        <v>43788</v>
      </c>
      <c r="G2016" s="1" t="s">
        <v>1348</v>
      </c>
      <c r="H2016" s="8">
        <v>58629843.659999996</v>
      </c>
      <c r="I2016" s="8">
        <v>45074082.850000001</v>
      </c>
      <c r="J2016" s="1">
        <f>IF(COUNTIF($C$4:C2016,C2016)=1,1,0)</f>
        <v>1</v>
      </c>
      <c r="K2016" s="1">
        <f t="shared" si="31"/>
        <v>2019</v>
      </c>
    </row>
    <row r="2017" spans="2:11" x14ac:dyDescent="0.45">
      <c r="B2017" s="1" t="s">
        <v>11</v>
      </c>
      <c r="C2017" s="1" t="s">
        <v>2017</v>
      </c>
      <c r="D2017" s="7">
        <v>46051</v>
      </c>
      <c r="E2017" s="7">
        <v>46076</v>
      </c>
      <c r="F2017" s="7">
        <v>46290</v>
      </c>
      <c r="G2017" s="1" t="s">
        <v>13</v>
      </c>
      <c r="H2017" s="8">
        <v>262658.2</v>
      </c>
      <c r="I2017" s="8">
        <v>220969.87</v>
      </c>
      <c r="J2017" s="1">
        <f>IF(COUNTIF($C$4:C2017,C2017)=1,1,0)</f>
        <v>1</v>
      </c>
      <c r="K2017" s="1">
        <f t="shared" si="31"/>
        <v>2026</v>
      </c>
    </row>
    <row r="2018" spans="2:11" x14ac:dyDescent="0.45">
      <c r="B2018" s="1" t="s">
        <v>11</v>
      </c>
      <c r="C2018" s="1" t="s">
        <v>2018</v>
      </c>
      <c r="D2018" s="7">
        <v>45840</v>
      </c>
      <c r="E2018" s="7">
        <v>45861</v>
      </c>
      <c r="F2018" s="7">
        <v>46083</v>
      </c>
      <c r="G2018" s="1" t="s">
        <v>18</v>
      </c>
      <c r="H2018" s="8">
        <v>243955.79</v>
      </c>
      <c r="I2018" s="8">
        <v>168375.47</v>
      </c>
      <c r="J2018" s="1">
        <f>IF(COUNTIF($C$4:C2018,C2018)=1,1,0)</f>
        <v>1</v>
      </c>
      <c r="K2018" s="1">
        <f t="shared" si="31"/>
        <v>2025</v>
      </c>
    </row>
    <row r="2019" spans="2:11" x14ac:dyDescent="0.45">
      <c r="B2019" s="1" t="s">
        <v>11</v>
      </c>
      <c r="C2019" s="1" t="s">
        <v>2019</v>
      </c>
      <c r="D2019" s="7">
        <v>44069</v>
      </c>
      <c r="E2019" s="7">
        <v>44081</v>
      </c>
      <c r="F2019" s="7">
        <v>44171</v>
      </c>
      <c r="G2019" s="1" t="s">
        <v>13</v>
      </c>
      <c r="H2019" s="8">
        <v>262803.34999999998</v>
      </c>
      <c r="I2019" s="8">
        <v>203167.05</v>
      </c>
      <c r="J2019" s="1">
        <f>IF(COUNTIF($C$4:C2019,C2019)=1,1,0)</f>
        <v>1</v>
      </c>
      <c r="K2019" s="1">
        <f t="shared" si="31"/>
        <v>2020</v>
      </c>
    </row>
    <row r="2020" spans="2:11" x14ac:dyDescent="0.45">
      <c r="B2020" s="1" t="s">
        <v>11</v>
      </c>
      <c r="C2020" s="1" t="s">
        <v>2020</v>
      </c>
      <c r="D2020" s="7">
        <v>44711</v>
      </c>
      <c r="E2020" s="7">
        <v>44733</v>
      </c>
      <c r="F2020" s="7">
        <v>44859</v>
      </c>
      <c r="G2020" s="1" t="s">
        <v>212</v>
      </c>
      <c r="H2020" s="8">
        <v>30019680.02</v>
      </c>
      <c r="I2020" s="8">
        <v>18215237.77</v>
      </c>
      <c r="J2020" s="1">
        <f>IF(COUNTIF($C$4:C2020,C2020)=1,1,0)</f>
        <v>1</v>
      </c>
      <c r="K2020" s="1">
        <f t="shared" si="31"/>
        <v>2022</v>
      </c>
    </row>
    <row r="2021" spans="2:11" x14ac:dyDescent="0.45">
      <c r="B2021" s="1" t="s">
        <v>11</v>
      </c>
      <c r="C2021" s="1" t="s">
        <v>2021</v>
      </c>
      <c r="D2021" s="7">
        <v>44668</v>
      </c>
      <c r="E2021" s="7">
        <v>44673</v>
      </c>
      <c r="F2021" s="7">
        <v>44898</v>
      </c>
      <c r="G2021" s="1" t="s">
        <v>1348</v>
      </c>
      <c r="H2021" s="8">
        <v>92236116.010000005</v>
      </c>
      <c r="I2021" s="8">
        <v>35706206.149999999</v>
      </c>
      <c r="J2021" s="1">
        <f>IF(COUNTIF($C$4:C2021,C2021)=1,1,0)</f>
        <v>1</v>
      </c>
      <c r="K2021" s="1">
        <f t="shared" si="31"/>
        <v>2022</v>
      </c>
    </row>
    <row r="2022" spans="2:11" x14ac:dyDescent="0.45">
      <c r="B2022" s="1" t="s">
        <v>11</v>
      </c>
      <c r="C2022" s="1" t="s">
        <v>2022</v>
      </c>
      <c r="D2022" s="7">
        <v>45710</v>
      </c>
      <c r="E2022" s="7">
        <v>45717</v>
      </c>
      <c r="F2022" s="7">
        <v>45808</v>
      </c>
      <c r="G2022" s="1" t="s">
        <v>38</v>
      </c>
      <c r="H2022" s="8">
        <v>307430.65000000002</v>
      </c>
      <c r="I2022" s="8">
        <v>231258.95</v>
      </c>
      <c r="J2022" s="1">
        <f>IF(COUNTIF($C$4:C2022,C2022)=1,1,0)</f>
        <v>1</v>
      </c>
      <c r="K2022" s="1">
        <f t="shared" si="31"/>
        <v>2025</v>
      </c>
    </row>
    <row r="2023" spans="2:11" x14ac:dyDescent="0.45">
      <c r="B2023" s="1" t="s">
        <v>11</v>
      </c>
      <c r="C2023" s="1" t="s">
        <v>2023</v>
      </c>
      <c r="D2023" s="7">
        <v>45905</v>
      </c>
      <c r="E2023" s="7">
        <v>45913</v>
      </c>
      <c r="F2023" s="7">
        <v>45925</v>
      </c>
      <c r="G2023" s="1" t="s">
        <v>1348</v>
      </c>
      <c r="H2023" s="8">
        <v>60279028.909999996</v>
      </c>
      <c r="I2023" s="8">
        <v>21214101.780000001</v>
      </c>
      <c r="J2023" s="1">
        <f>IF(COUNTIF($C$4:C2023,C2023)=1,1,0)</f>
        <v>1</v>
      </c>
      <c r="K2023" s="1">
        <f t="shared" si="31"/>
        <v>2025</v>
      </c>
    </row>
    <row r="2024" spans="2:11" x14ac:dyDescent="0.45">
      <c r="B2024" s="1" t="s">
        <v>11</v>
      </c>
      <c r="C2024" s="1" t="s">
        <v>2024</v>
      </c>
      <c r="D2024" s="7">
        <v>44167</v>
      </c>
      <c r="E2024" s="7">
        <v>44172</v>
      </c>
      <c r="F2024" s="7">
        <v>44221</v>
      </c>
      <c r="G2024" s="1" t="s">
        <v>16</v>
      </c>
      <c r="H2024" s="8">
        <v>134835.41</v>
      </c>
      <c r="I2024" s="8">
        <v>75472.259999999995</v>
      </c>
      <c r="J2024" s="1">
        <f>IF(COUNTIF($C$4:C2024,C2024)=1,1,0)</f>
        <v>1</v>
      </c>
      <c r="K2024" s="1">
        <f t="shared" si="31"/>
        <v>2020</v>
      </c>
    </row>
    <row r="2025" spans="2:11" x14ac:dyDescent="0.45">
      <c r="B2025" s="1" t="s">
        <v>11</v>
      </c>
      <c r="C2025" s="1" t="s">
        <v>2025</v>
      </c>
      <c r="D2025" s="7">
        <v>44845</v>
      </c>
      <c r="E2025" s="7">
        <v>44845</v>
      </c>
      <c r="F2025" s="7">
        <v>45034</v>
      </c>
      <c r="G2025" s="1" t="s">
        <v>41</v>
      </c>
      <c r="H2025" s="8">
        <v>250275.07</v>
      </c>
      <c r="I2025" s="8">
        <v>200724.08</v>
      </c>
      <c r="J2025" s="1">
        <f>IF(COUNTIF($C$4:C2025,C2025)=1,1,0)</f>
        <v>1</v>
      </c>
      <c r="K2025" s="1">
        <f t="shared" si="31"/>
        <v>2022</v>
      </c>
    </row>
    <row r="2026" spans="2:11" x14ac:dyDescent="0.45">
      <c r="B2026" s="1" t="s">
        <v>11</v>
      </c>
      <c r="C2026" s="1" t="s">
        <v>2026</v>
      </c>
      <c r="D2026" s="7">
        <v>44828</v>
      </c>
      <c r="E2026" s="7">
        <v>44829</v>
      </c>
      <c r="F2026" s="7">
        <v>45029</v>
      </c>
      <c r="G2026" s="1" t="s">
        <v>20</v>
      </c>
      <c r="H2026" s="8">
        <v>571575.65</v>
      </c>
      <c r="I2026" s="8">
        <v>309049.33</v>
      </c>
      <c r="J2026" s="1">
        <f>IF(COUNTIF($C$4:C2026,C2026)=1,1,0)</f>
        <v>1</v>
      </c>
      <c r="K2026" s="1">
        <f t="shared" si="31"/>
        <v>2022</v>
      </c>
    </row>
    <row r="2027" spans="2:11" x14ac:dyDescent="0.45">
      <c r="B2027" s="1" t="s">
        <v>11</v>
      </c>
      <c r="C2027" s="1" t="s">
        <v>2027</v>
      </c>
      <c r="D2027" s="7">
        <v>44635</v>
      </c>
      <c r="E2027" s="7">
        <v>44646</v>
      </c>
      <c r="F2027" s="7">
        <v>44856</v>
      </c>
      <c r="G2027" s="1" t="s">
        <v>41</v>
      </c>
      <c r="H2027" s="8">
        <v>463787.71</v>
      </c>
      <c r="I2027" s="8">
        <v>293428.43</v>
      </c>
      <c r="J2027" s="1">
        <f>IF(COUNTIF($C$4:C2027,C2027)=1,1,0)</f>
        <v>1</v>
      </c>
      <c r="K2027" s="1">
        <f t="shared" si="31"/>
        <v>2022</v>
      </c>
    </row>
    <row r="2028" spans="2:11" x14ac:dyDescent="0.45">
      <c r="B2028" s="1" t="s">
        <v>11</v>
      </c>
      <c r="C2028" s="1" t="s">
        <v>2028</v>
      </c>
      <c r="D2028" s="7">
        <v>45743</v>
      </c>
      <c r="E2028" s="7">
        <v>45765</v>
      </c>
      <c r="F2028" s="7">
        <v>45968</v>
      </c>
      <c r="G2028" s="1" t="s">
        <v>22</v>
      </c>
      <c r="H2028" s="8">
        <v>27089048.239999998</v>
      </c>
      <c r="I2028" s="8">
        <v>16133908.07</v>
      </c>
      <c r="J2028" s="1">
        <f>IF(COUNTIF($C$4:C2028,C2028)=1,1,0)</f>
        <v>1</v>
      </c>
      <c r="K2028" s="1">
        <f t="shared" si="31"/>
        <v>2025</v>
      </c>
    </row>
    <row r="2029" spans="2:11" x14ac:dyDescent="0.45">
      <c r="B2029" s="1" t="s">
        <v>11</v>
      </c>
      <c r="C2029" s="1" t="s">
        <v>2029</v>
      </c>
      <c r="D2029" s="7">
        <v>43343</v>
      </c>
      <c r="E2029" s="7">
        <v>43358</v>
      </c>
      <c r="F2029" s="7">
        <v>43480</v>
      </c>
      <c r="G2029" s="1" t="s">
        <v>38</v>
      </c>
      <c r="H2029" s="8">
        <v>1730169.32</v>
      </c>
      <c r="I2029" s="8">
        <v>1153311.0900000001</v>
      </c>
      <c r="J2029" s="1">
        <f>IF(COUNTIF($C$4:C2029,C2029)=1,1,0)</f>
        <v>1</v>
      </c>
      <c r="K2029" s="1">
        <f t="shared" si="31"/>
        <v>2018</v>
      </c>
    </row>
    <row r="2030" spans="2:11" x14ac:dyDescent="0.45">
      <c r="B2030" s="1" t="s">
        <v>11</v>
      </c>
      <c r="C2030" s="1" t="s">
        <v>2030</v>
      </c>
      <c r="D2030" s="7">
        <v>45742</v>
      </c>
      <c r="E2030" s="7">
        <v>45752</v>
      </c>
      <c r="F2030" s="7">
        <v>45968</v>
      </c>
      <c r="G2030" s="1" t="s">
        <v>212</v>
      </c>
      <c r="H2030" s="8">
        <v>1165897.24</v>
      </c>
      <c r="I2030" s="8">
        <v>737166.91</v>
      </c>
      <c r="J2030" s="1">
        <f>IF(COUNTIF($C$4:C2030,C2030)=1,1,0)</f>
        <v>1</v>
      </c>
      <c r="K2030" s="1">
        <f t="shared" si="31"/>
        <v>2025</v>
      </c>
    </row>
    <row r="2031" spans="2:11" x14ac:dyDescent="0.45">
      <c r="B2031" s="1" t="s">
        <v>11</v>
      </c>
      <c r="C2031" s="1" t="s">
        <v>2031</v>
      </c>
      <c r="D2031" s="7">
        <v>44361</v>
      </c>
      <c r="E2031" s="7">
        <v>44372</v>
      </c>
      <c r="F2031" s="7">
        <v>44449</v>
      </c>
      <c r="G2031" s="1" t="s">
        <v>1348</v>
      </c>
      <c r="H2031" s="8">
        <v>42674981.380000003</v>
      </c>
      <c r="I2031" s="8">
        <v>20531023.469999999</v>
      </c>
      <c r="J2031" s="1">
        <f>IF(COUNTIF($C$4:C2031,C2031)=1,1,0)</f>
        <v>1</v>
      </c>
      <c r="K2031" s="1">
        <f t="shared" si="31"/>
        <v>2021</v>
      </c>
    </row>
    <row r="2032" spans="2:11" x14ac:dyDescent="0.45">
      <c r="B2032" s="1" t="s">
        <v>11</v>
      </c>
      <c r="C2032" s="1" t="s">
        <v>2032</v>
      </c>
      <c r="D2032" s="7">
        <v>43718</v>
      </c>
      <c r="E2032" s="7">
        <v>43725</v>
      </c>
      <c r="F2032" s="7">
        <v>43819</v>
      </c>
      <c r="G2032" s="1" t="s">
        <v>41</v>
      </c>
      <c r="H2032" s="8">
        <v>34949.339999999997</v>
      </c>
      <c r="I2032" s="8">
        <v>30602.87</v>
      </c>
      <c r="J2032" s="1">
        <f>IF(COUNTIF($C$4:C2032,C2032)=1,1,0)</f>
        <v>1</v>
      </c>
      <c r="K2032" s="1">
        <f t="shared" si="31"/>
        <v>2019</v>
      </c>
    </row>
    <row r="2033" spans="2:11" x14ac:dyDescent="0.45">
      <c r="B2033" s="1" t="s">
        <v>11</v>
      </c>
      <c r="C2033" s="1" t="s">
        <v>2033</v>
      </c>
      <c r="D2033" s="7">
        <v>43805</v>
      </c>
      <c r="E2033" s="7">
        <v>43826</v>
      </c>
      <c r="F2033" s="7">
        <v>43910</v>
      </c>
      <c r="G2033" s="1" t="s">
        <v>13</v>
      </c>
      <c r="H2033" s="8">
        <v>726639.33</v>
      </c>
      <c r="I2033" s="8">
        <v>620764.69999999995</v>
      </c>
      <c r="J2033" s="1">
        <f>IF(COUNTIF($C$4:C2033,C2033)=1,1,0)</f>
        <v>1</v>
      </c>
      <c r="K2033" s="1">
        <f t="shared" si="31"/>
        <v>2019</v>
      </c>
    </row>
    <row r="2034" spans="2:11" x14ac:dyDescent="0.45">
      <c r="B2034" s="1" t="s">
        <v>11</v>
      </c>
      <c r="C2034" s="1" t="s">
        <v>2034</v>
      </c>
      <c r="D2034" s="7">
        <v>45155</v>
      </c>
      <c r="E2034" s="7">
        <v>45156</v>
      </c>
      <c r="F2034" s="7">
        <v>45201</v>
      </c>
      <c r="G2034" s="1" t="s">
        <v>20</v>
      </c>
      <c r="H2034" s="8">
        <v>960614.52</v>
      </c>
      <c r="I2034" s="8">
        <v>592700.6</v>
      </c>
      <c r="J2034" s="1">
        <f>IF(COUNTIF($C$4:C2034,C2034)=1,1,0)</f>
        <v>1</v>
      </c>
      <c r="K2034" s="1">
        <f t="shared" si="31"/>
        <v>2023</v>
      </c>
    </row>
    <row r="2035" spans="2:11" x14ac:dyDescent="0.45">
      <c r="B2035" s="1" t="s">
        <v>11</v>
      </c>
      <c r="C2035" s="1" t="s">
        <v>2035</v>
      </c>
      <c r="D2035" s="7">
        <v>45576</v>
      </c>
      <c r="E2035" s="7">
        <v>45595</v>
      </c>
      <c r="F2035" s="7">
        <v>45632</v>
      </c>
      <c r="G2035" s="1" t="s">
        <v>13</v>
      </c>
      <c r="H2035" s="8">
        <v>214641.92000000001</v>
      </c>
      <c r="I2035" s="8">
        <v>169178.17</v>
      </c>
      <c r="J2035" s="1">
        <f>IF(COUNTIF($C$4:C2035,C2035)=1,1,0)</f>
        <v>1</v>
      </c>
      <c r="K2035" s="1">
        <f t="shared" si="31"/>
        <v>2024</v>
      </c>
    </row>
    <row r="2036" spans="2:11" x14ac:dyDescent="0.45">
      <c r="B2036" s="1" t="s">
        <v>11</v>
      </c>
      <c r="C2036" s="1" t="s">
        <v>2036</v>
      </c>
      <c r="D2036" s="7">
        <v>45462</v>
      </c>
      <c r="E2036" s="7">
        <v>45474</v>
      </c>
      <c r="F2036" s="7">
        <v>45713</v>
      </c>
      <c r="G2036" s="1" t="s">
        <v>16</v>
      </c>
      <c r="H2036" s="8">
        <v>11198417.390000001</v>
      </c>
      <c r="I2036" s="8">
        <v>6390868.7199999997</v>
      </c>
      <c r="J2036" s="1">
        <f>IF(COUNTIF($C$4:C2036,C2036)=1,1,0)</f>
        <v>1</v>
      </c>
      <c r="K2036" s="1">
        <f t="shared" si="31"/>
        <v>2024</v>
      </c>
    </row>
    <row r="2037" spans="2:11" x14ac:dyDescent="0.45">
      <c r="B2037" s="1" t="s">
        <v>11</v>
      </c>
      <c r="C2037" s="1" t="s">
        <v>2037</v>
      </c>
      <c r="D2037" s="7">
        <v>43848</v>
      </c>
      <c r="E2037" s="7">
        <v>43873</v>
      </c>
      <c r="F2037" s="7">
        <v>44001</v>
      </c>
      <c r="G2037" s="1" t="s">
        <v>13</v>
      </c>
      <c r="H2037" s="8">
        <v>486581.67</v>
      </c>
      <c r="I2037" s="8">
        <v>332982.87</v>
      </c>
      <c r="J2037" s="1">
        <f>IF(COUNTIF($C$4:C2037,C2037)=1,1,0)</f>
        <v>1</v>
      </c>
      <c r="K2037" s="1">
        <f t="shared" si="31"/>
        <v>2020</v>
      </c>
    </row>
    <row r="2038" spans="2:11" x14ac:dyDescent="0.45">
      <c r="B2038" s="1" t="s">
        <v>11</v>
      </c>
      <c r="C2038" s="1" t="s">
        <v>2038</v>
      </c>
      <c r="D2038" s="7">
        <v>45286</v>
      </c>
      <c r="E2038" s="7">
        <v>45290</v>
      </c>
      <c r="F2038" s="7">
        <v>45485</v>
      </c>
      <c r="G2038" s="1" t="s">
        <v>41</v>
      </c>
      <c r="H2038" s="8">
        <v>349474.3</v>
      </c>
      <c r="I2038" s="8">
        <v>280639.02</v>
      </c>
      <c r="J2038" s="1">
        <f>IF(COUNTIF($C$4:C2038,C2038)=1,1,0)</f>
        <v>1</v>
      </c>
      <c r="K2038" s="1">
        <f t="shared" si="31"/>
        <v>2023</v>
      </c>
    </row>
    <row r="2039" spans="2:11" x14ac:dyDescent="0.45">
      <c r="B2039" s="1" t="s">
        <v>11</v>
      </c>
      <c r="C2039" s="1" t="s">
        <v>2039</v>
      </c>
      <c r="D2039" s="7">
        <v>43530</v>
      </c>
      <c r="E2039" s="7">
        <v>43534</v>
      </c>
      <c r="F2039" s="7">
        <v>43697</v>
      </c>
      <c r="G2039" s="1" t="s">
        <v>38</v>
      </c>
      <c r="H2039" s="8">
        <v>318623.78999999998</v>
      </c>
      <c r="I2039" s="8">
        <v>204177.5</v>
      </c>
      <c r="J2039" s="1">
        <f>IF(COUNTIF($C$4:C2039,C2039)=1,1,0)</f>
        <v>1</v>
      </c>
      <c r="K2039" s="1">
        <f t="shared" si="31"/>
        <v>2019</v>
      </c>
    </row>
    <row r="2040" spans="2:11" x14ac:dyDescent="0.45">
      <c r="B2040" s="1" t="s">
        <v>11</v>
      </c>
      <c r="C2040" s="1" t="s">
        <v>2040</v>
      </c>
      <c r="D2040" s="7">
        <v>44339</v>
      </c>
      <c r="E2040" s="7">
        <v>44359</v>
      </c>
      <c r="F2040" s="7">
        <v>44571</v>
      </c>
      <c r="G2040" s="1" t="s">
        <v>38</v>
      </c>
      <c r="H2040" s="8">
        <v>376237.69</v>
      </c>
      <c r="I2040" s="8">
        <v>287395.28999999998</v>
      </c>
      <c r="J2040" s="1">
        <f>IF(COUNTIF($C$4:C2040,C2040)=1,1,0)</f>
        <v>1</v>
      </c>
      <c r="K2040" s="1">
        <f t="shared" si="31"/>
        <v>2021</v>
      </c>
    </row>
    <row r="2041" spans="2:11" x14ac:dyDescent="0.45">
      <c r="B2041" s="1" t="s">
        <v>11</v>
      </c>
      <c r="C2041" s="1" t="s">
        <v>2041</v>
      </c>
      <c r="D2041" s="7">
        <v>46261</v>
      </c>
      <c r="E2041" s="7">
        <v>46266</v>
      </c>
      <c r="F2041" s="7">
        <v>46413</v>
      </c>
      <c r="G2041" s="1" t="s">
        <v>22</v>
      </c>
      <c r="H2041" s="8">
        <v>5841051.6799999997</v>
      </c>
      <c r="I2041" s="8">
        <v>4137410.66</v>
      </c>
      <c r="J2041" s="1">
        <f>IF(COUNTIF($C$4:C2041,C2041)=1,1,0)</f>
        <v>1</v>
      </c>
      <c r="K2041" s="1">
        <f t="shared" si="31"/>
        <v>2026</v>
      </c>
    </row>
    <row r="2042" spans="2:11" x14ac:dyDescent="0.45">
      <c r="B2042" s="1" t="s">
        <v>11</v>
      </c>
      <c r="C2042" s="1" t="s">
        <v>2042</v>
      </c>
      <c r="D2042" s="7">
        <v>45643</v>
      </c>
      <c r="E2042" s="7">
        <v>45673</v>
      </c>
      <c r="F2042" s="7">
        <v>45854</v>
      </c>
      <c r="G2042" s="1" t="s">
        <v>13</v>
      </c>
      <c r="H2042" s="8">
        <v>777786.62</v>
      </c>
      <c r="I2042" s="8">
        <v>628115.94999999995</v>
      </c>
      <c r="J2042" s="1">
        <f>IF(COUNTIF($C$4:C2042,C2042)=1,1,0)</f>
        <v>1</v>
      </c>
      <c r="K2042" s="1">
        <f t="shared" si="31"/>
        <v>2024</v>
      </c>
    </row>
    <row r="2043" spans="2:11" x14ac:dyDescent="0.45">
      <c r="B2043" s="1" t="s">
        <v>11</v>
      </c>
      <c r="C2043" s="1" t="s">
        <v>2043</v>
      </c>
      <c r="D2043" s="7">
        <v>44662</v>
      </c>
      <c r="E2043" s="7">
        <v>44675</v>
      </c>
      <c r="F2043" s="7">
        <v>44913</v>
      </c>
      <c r="G2043" s="1" t="s">
        <v>16</v>
      </c>
      <c r="H2043" s="8">
        <v>4109304.88</v>
      </c>
      <c r="I2043" s="8">
        <v>2522784.0699999998</v>
      </c>
      <c r="J2043" s="1">
        <f>IF(COUNTIF($C$4:C2043,C2043)=1,1,0)</f>
        <v>1</v>
      </c>
      <c r="K2043" s="1">
        <f t="shared" si="31"/>
        <v>2022</v>
      </c>
    </row>
    <row r="2044" spans="2:11" x14ac:dyDescent="0.45">
      <c r="B2044" s="1" t="s">
        <v>11</v>
      </c>
      <c r="C2044" s="1" t="s">
        <v>2044</v>
      </c>
      <c r="D2044" s="7">
        <v>44421</v>
      </c>
      <c r="E2044" s="7">
        <v>44434</v>
      </c>
      <c r="F2044" s="7">
        <v>44466</v>
      </c>
      <c r="G2044" s="1" t="s">
        <v>18</v>
      </c>
      <c r="H2044" s="8">
        <v>10070040.6</v>
      </c>
      <c r="I2044" s="8">
        <v>8215983.4100000001</v>
      </c>
      <c r="J2044" s="1">
        <f>IF(COUNTIF($C$4:C2044,C2044)=1,1,0)</f>
        <v>1</v>
      </c>
      <c r="K2044" s="1">
        <f t="shared" si="31"/>
        <v>2021</v>
      </c>
    </row>
    <row r="2045" spans="2:11" x14ac:dyDescent="0.45">
      <c r="B2045" s="1" t="s">
        <v>11</v>
      </c>
      <c r="C2045" s="1" t="s">
        <v>2045</v>
      </c>
      <c r="D2045" s="7">
        <v>45848</v>
      </c>
      <c r="E2045" s="7">
        <v>45856</v>
      </c>
      <c r="F2045" s="7">
        <v>45963</v>
      </c>
      <c r="G2045" s="1" t="s">
        <v>22</v>
      </c>
      <c r="H2045" s="8">
        <v>7094202.9500000002</v>
      </c>
      <c r="I2045" s="8">
        <v>5050758.43</v>
      </c>
      <c r="J2045" s="1">
        <f>IF(COUNTIF($C$4:C2045,C2045)=1,1,0)</f>
        <v>1</v>
      </c>
      <c r="K2045" s="1">
        <f t="shared" si="31"/>
        <v>2025</v>
      </c>
    </row>
    <row r="2046" spans="2:11" x14ac:dyDescent="0.45">
      <c r="B2046" s="1" t="s">
        <v>11</v>
      </c>
      <c r="C2046" s="1" t="s">
        <v>2046</v>
      </c>
      <c r="D2046" s="7">
        <v>45993</v>
      </c>
      <c r="E2046" s="7">
        <v>46001</v>
      </c>
      <c r="F2046" s="7">
        <v>46153</v>
      </c>
      <c r="G2046" s="1" t="s">
        <v>212</v>
      </c>
      <c r="H2046" s="8">
        <v>8241011.71</v>
      </c>
      <c r="I2046" s="8">
        <v>2931167.68</v>
      </c>
      <c r="J2046" s="1">
        <f>IF(COUNTIF($C$4:C2046,C2046)=1,1,0)</f>
        <v>1</v>
      </c>
      <c r="K2046" s="1">
        <f t="shared" si="31"/>
        <v>2025</v>
      </c>
    </row>
    <row r="2047" spans="2:11" x14ac:dyDescent="0.45">
      <c r="B2047" s="1" t="s">
        <v>11</v>
      </c>
      <c r="C2047" s="1" t="s">
        <v>2047</v>
      </c>
      <c r="D2047" s="7">
        <v>45184</v>
      </c>
      <c r="E2047" s="7">
        <v>45208</v>
      </c>
      <c r="F2047" s="7">
        <v>45257</v>
      </c>
      <c r="G2047" s="1" t="s">
        <v>41</v>
      </c>
      <c r="H2047" s="8">
        <v>83363.039999999994</v>
      </c>
      <c r="I2047" s="8">
        <v>68864.639999999999</v>
      </c>
      <c r="J2047" s="1">
        <f>IF(COUNTIF($C$4:C2047,C2047)=1,1,0)</f>
        <v>1</v>
      </c>
      <c r="K2047" s="1">
        <f t="shared" si="31"/>
        <v>2023</v>
      </c>
    </row>
    <row r="2048" spans="2:11" x14ac:dyDescent="0.45">
      <c r="B2048" s="1" t="s">
        <v>11</v>
      </c>
      <c r="C2048" s="1" t="s">
        <v>2048</v>
      </c>
      <c r="D2048" s="7">
        <v>44532</v>
      </c>
      <c r="E2048" s="7">
        <v>44535</v>
      </c>
      <c r="F2048" s="7">
        <v>44647</v>
      </c>
      <c r="G2048" s="1" t="s">
        <v>20</v>
      </c>
      <c r="H2048" s="8">
        <v>1204455.42</v>
      </c>
      <c r="I2048" s="8">
        <v>697621.78</v>
      </c>
      <c r="J2048" s="1">
        <f>IF(COUNTIF($C$4:C2048,C2048)=1,1,0)</f>
        <v>1</v>
      </c>
      <c r="K2048" s="1">
        <f t="shared" si="31"/>
        <v>2021</v>
      </c>
    </row>
    <row r="2049" spans="2:11" x14ac:dyDescent="0.45">
      <c r="B2049" s="1" t="s">
        <v>11</v>
      </c>
      <c r="C2049" s="1" t="s">
        <v>2049</v>
      </c>
      <c r="D2049" s="7">
        <v>45925</v>
      </c>
      <c r="E2049" s="7">
        <v>45949</v>
      </c>
      <c r="F2049" s="7">
        <v>46007</v>
      </c>
      <c r="G2049" s="1" t="s">
        <v>212</v>
      </c>
      <c r="H2049" s="8">
        <v>49494190.32</v>
      </c>
      <c r="I2049" s="8">
        <v>24178991.170000002</v>
      </c>
      <c r="J2049" s="1">
        <f>IF(COUNTIF($C$4:C2049,C2049)=1,1,0)</f>
        <v>1</v>
      </c>
      <c r="K2049" s="1">
        <f t="shared" si="31"/>
        <v>2025</v>
      </c>
    </row>
    <row r="2050" spans="2:11" x14ac:dyDescent="0.45">
      <c r="B2050" s="1" t="s">
        <v>11</v>
      </c>
      <c r="C2050" s="1" t="s">
        <v>2050</v>
      </c>
      <c r="D2050" s="7">
        <v>44713</v>
      </c>
      <c r="E2050" s="7">
        <v>44740</v>
      </c>
      <c r="F2050" s="7">
        <v>44959</v>
      </c>
      <c r="G2050" s="1" t="s">
        <v>13</v>
      </c>
      <c r="H2050" s="8">
        <v>117075.41</v>
      </c>
      <c r="I2050" s="8">
        <v>104370.19</v>
      </c>
      <c r="J2050" s="1">
        <f>IF(COUNTIF($C$4:C2050,C2050)=1,1,0)</f>
        <v>1</v>
      </c>
      <c r="K2050" s="1">
        <f t="shared" si="31"/>
        <v>2022</v>
      </c>
    </row>
    <row r="2051" spans="2:11" x14ac:dyDescent="0.45">
      <c r="B2051" s="1" t="s">
        <v>11</v>
      </c>
      <c r="C2051" s="1" t="s">
        <v>2051</v>
      </c>
      <c r="D2051" s="7">
        <v>43442</v>
      </c>
      <c r="E2051" s="7">
        <v>43453</v>
      </c>
      <c r="F2051" s="7">
        <v>43646</v>
      </c>
      <c r="G2051" s="1" t="s">
        <v>22</v>
      </c>
      <c r="H2051" s="8">
        <v>1146973</v>
      </c>
      <c r="I2051" s="8">
        <v>658744.17000000004</v>
      </c>
      <c r="J2051" s="1">
        <f>IF(COUNTIF($C$4:C2051,C2051)=1,1,0)</f>
        <v>1</v>
      </c>
      <c r="K2051" s="1">
        <f t="shared" si="31"/>
        <v>2018</v>
      </c>
    </row>
    <row r="2052" spans="2:11" x14ac:dyDescent="0.45">
      <c r="B2052" s="1" t="s">
        <v>11</v>
      </c>
      <c r="C2052" s="1" t="s">
        <v>2052</v>
      </c>
      <c r="D2052" s="7">
        <v>43826</v>
      </c>
      <c r="E2052" s="7">
        <v>43839</v>
      </c>
      <c r="F2052" s="7">
        <v>43919</v>
      </c>
      <c r="G2052" s="1" t="s">
        <v>18</v>
      </c>
      <c r="H2052" s="8">
        <v>10435779.710000001</v>
      </c>
      <c r="I2052" s="8">
        <v>6887112.7199999997</v>
      </c>
      <c r="J2052" s="1">
        <f>IF(COUNTIF($C$4:C2052,C2052)=1,1,0)</f>
        <v>1</v>
      </c>
      <c r="K2052" s="1">
        <f t="shared" si="31"/>
        <v>2019</v>
      </c>
    </row>
    <row r="2053" spans="2:11" x14ac:dyDescent="0.45">
      <c r="B2053" s="1" t="s">
        <v>11</v>
      </c>
      <c r="C2053" s="1" t="s">
        <v>2053</v>
      </c>
      <c r="D2053" s="7">
        <v>44907</v>
      </c>
      <c r="E2053" s="7">
        <v>44922</v>
      </c>
      <c r="F2053" s="7">
        <v>45079</v>
      </c>
      <c r="G2053" s="1" t="s">
        <v>38</v>
      </c>
      <c r="H2053" s="8">
        <v>85838.48</v>
      </c>
      <c r="I2053" s="8">
        <v>59239.6</v>
      </c>
      <c r="J2053" s="1">
        <f>IF(COUNTIF($C$4:C2053,C2053)=1,1,0)</f>
        <v>1</v>
      </c>
      <c r="K2053" s="1">
        <f t="shared" ref="K2053:K2116" si="32">YEAR(D2053)</f>
        <v>2022</v>
      </c>
    </row>
    <row r="2054" spans="2:11" x14ac:dyDescent="0.45">
      <c r="B2054" s="1" t="s">
        <v>11</v>
      </c>
      <c r="C2054" s="1" t="s">
        <v>2054</v>
      </c>
      <c r="D2054" s="7">
        <v>44963</v>
      </c>
      <c r="E2054" s="7">
        <v>44968</v>
      </c>
      <c r="F2054" s="7">
        <v>45061</v>
      </c>
      <c r="G2054" s="1" t="s">
        <v>20</v>
      </c>
      <c r="H2054" s="8">
        <v>801440.36</v>
      </c>
      <c r="I2054" s="8">
        <v>513640.47</v>
      </c>
      <c r="J2054" s="1">
        <f>IF(COUNTIF($C$4:C2054,C2054)=1,1,0)</f>
        <v>1</v>
      </c>
      <c r="K2054" s="1">
        <f t="shared" si="32"/>
        <v>2023</v>
      </c>
    </row>
    <row r="2055" spans="2:11" x14ac:dyDescent="0.45">
      <c r="B2055" s="1" t="s">
        <v>11</v>
      </c>
      <c r="C2055" s="1" t="s">
        <v>2055</v>
      </c>
      <c r="D2055" s="7">
        <v>45523</v>
      </c>
      <c r="E2055" s="7">
        <v>45552</v>
      </c>
      <c r="F2055" s="7">
        <v>45786</v>
      </c>
      <c r="G2055" s="1" t="s">
        <v>41</v>
      </c>
      <c r="H2055" s="8">
        <v>53355.93</v>
      </c>
      <c r="I2055" s="8">
        <v>38190.300000000003</v>
      </c>
      <c r="J2055" s="1">
        <f>IF(COUNTIF($C$4:C2055,C2055)=1,1,0)</f>
        <v>1</v>
      </c>
      <c r="K2055" s="1">
        <f t="shared" si="32"/>
        <v>2024</v>
      </c>
    </row>
    <row r="2056" spans="2:11" x14ac:dyDescent="0.45">
      <c r="B2056" s="1" t="s">
        <v>11</v>
      </c>
      <c r="C2056" s="1" t="s">
        <v>2056</v>
      </c>
      <c r="D2056" s="7">
        <v>46056</v>
      </c>
      <c r="E2056" s="7">
        <v>46058</v>
      </c>
      <c r="F2056" s="7">
        <v>46277</v>
      </c>
      <c r="G2056" s="1" t="s">
        <v>38</v>
      </c>
      <c r="H2056" s="8">
        <v>435087.29</v>
      </c>
      <c r="I2056" s="8">
        <v>364648.27</v>
      </c>
      <c r="J2056" s="1">
        <f>IF(COUNTIF($C$4:C2056,C2056)=1,1,0)</f>
        <v>1</v>
      </c>
      <c r="K2056" s="1">
        <f t="shared" si="32"/>
        <v>2026</v>
      </c>
    </row>
    <row r="2057" spans="2:11" x14ac:dyDescent="0.45">
      <c r="B2057" s="1" t="s">
        <v>11</v>
      </c>
      <c r="C2057" s="1" t="s">
        <v>2057</v>
      </c>
      <c r="D2057" s="7">
        <v>43451</v>
      </c>
      <c r="E2057" s="7">
        <v>43473</v>
      </c>
      <c r="F2057" s="7">
        <v>43596</v>
      </c>
      <c r="G2057" s="1" t="s">
        <v>38</v>
      </c>
      <c r="H2057" s="8">
        <v>140336.32000000001</v>
      </c>
      <c r="I2057" s="8">
        <v>103981.28</v>
      </c>
      <c r="J2057" s="1">
        <f>IF(COUNTIF($C$4:C2057,C2057)=1,1,0)</f>
        <v>1</v>
      </c>
      <c r="K2057" s="1">
        <f t="shared" si="32"/>
        <v>2018</v>
      </c>
    </row>
    <row r="2058" spans="2:11" x14ac:dyDescent="0.45">
      <c r="B2058" s="1" t="s">
        <v>11</v>
      </c>
      <c r="C2058" s="1" t="s">
        <v>2058</v>
      </c>
      <c r="D2058" s="7">
        <v>45987</v>
      </c>
      <c r="E2058" s="7">
        <v>46017</v>
      </c>
      <c r="F2058" s="7">
        <v>46131</v>
      </c>
      <c r="G2058" s="1" t="s">
        <v>1348</v>
      </c>
      <c r="H2058" s="8">
        <v>3447181.23</v>
      </c>
      <c r="I2058" s="8">
        <v>1787858.74</v>
      </c>
      <c r="J2058" s="1">
        <f>IF(COUNTIF($C$4:C2058,C2058)=1,1,0)</f>
        <v>1</v>
      </c>
      <c r="K2058" s="1">
        <f t="shared" si="32"/>
        <v>2025</v>
      </c>
    </row>
    <row r="2059" spans="2:11" x14ac:dyDescent="0.45">
      <c r="B2059" s="1" t="s">
        <v>11</v>
      </c>
      <c r="C2059" s="1" t="s">
        <v>2059</v>
      </c>
      <c r="D2059" s="7">
        <v>45676</v>
      </c>
      <c r="E2059" s="7">
        <v>45689</v>
      </c>
      <c r="F2059" s="7">
        <v>45793</v>
      </c>
      <c r="G2059" s="1" t="s">
        <v>41</v>
      </c>
      <c r="H2059" s="8">
        <v>323666.42</v>
      </c>
      <c r="I2059" s="8">
        <v>217001.12</v>
      </c>
      <c r="J2059" s="1">
        <f>IF(COUNTIF($C$4:C2059,C2059)=1,1,0)</f>
        <v>1</v>
      </c>
      <c r="K2059" s="1">
        <f t="shared" si="32"/>
        <v>2025</v>
      </c>
    </row>
    <row r="2060" spans="2:11" x14ac:dyDescent="0.45">
      <c r="B2060" s="1" t="s">
        <v>11</v>
      </c>
      <c r="C2060" s="1" t="s">
        <v>2060</v>
      </c>
      <c r="D2060" s="7">
        <v>43583</v>
      </c>
      <c r="E2060" s="7">
        <v>43602</v>
      </c>
      <c r="F2060" s="7">
        <v>43672</v>
      </c>
      <c r="G2060" s="1" t="s">
        <v>212</v>
      </c>
      <c r="H2060" s="8">
        <v>16928752.75</v>
      </c>
      <c r="I2060" s="8">
        <v>9694105.8499999996</v>
      </c>
      <c r="J2060" s="1">
        <f>IF(COUNTIF($C$4:C2060,C2060)=1,1,0)</f>
        <v>1</v>
      </c>
      <c r="K2060" s="1">
        <f t="shared" si="32"/>
        <v>2019</v>
      </c>
    </row>
    <row r="2061" spans="2:11" x14ac:dyDescent="0.45">
      <c r="B2061" s="1" t="s">
        <v>11</v>
      </c>
      <c r="C2061" s="1" t="s">
        <v>2061</v>
      </c>
      <c r="D2061" s="7">
        <v>45651</v>
      </c>
      <c r="E2061" s="7">
        <v>45662</v>
      </c>
      <c r="F2061" s="7">
        <v>45686</v>
      </c>
      <c r="G2061" s="1" t="s">
        <v>1348</v>
      </c>
      <c r="H2061" s="8">
        <v>8958835.4399999995</v>
      </c>
      <c r="I2061" s="8">
        <v>4939763.13</v>
      </c>
      <c r="J2061" s="1">
        <f>IF(COUNTIF($C$4:C2061,C2061)=1,1,0)</f>
        <v>1</v>
      </c>
      <c r="K2061" s="1">
        <f t="shared" si="32"/>
        <v>2024</v>
      </c>
    </row>
    <row r="2062" spans="2:11" x14ac:dyDescent="0.45">
      <c r="B2062" s="1" t="s">
        <v>11</v>
      </c>
      <c r="C2062" s="1" t="s">
        <v>2062</v>
      </c>
      <c r="D2062" s="7">
        <v>44884</v>
      </c>
      <c r="E2062" s="7">
        <v>44901</v>
      </c>
      <c r="F2062" s="7">
        <v>45080</v>
      </c>
      <c r="G2062" s="1" t="s">
        <v>16</v>
      </c>
      <c r="H2062" s="8">
        <v>2759623.5</v>
      </c>
      <c r="I2062" s="8">
        <v>1879562.49</v>
      </c>
      <c r="J2062" s="1">
        <f>IF(COUNTIF($C$4:C2062,C2062)=1,1,0)</f>
        <v>1</v>
      </c>
      <c r="K2062" s="1">
        <f t="shared" si="32"/>
        <v>2022</v>
      </c>
    </row>
    <row r="2063" spans="2:11" x14ac:dyDescent="0.45">
      <c r="B2063" s="1" t="s">
        <v>11</v>
      </c>
      <c r="C2063" s="1" t="s">
        <v>2063</v>
      </c>
      <c r="D2063" s="7">
        <v>45486</v>
      </c>
      <c r="E2063" s="7">
        <v>45512</v>
      </c>
      <c r="F2063" s="7">
        <v>45542</v>
      </c>
      <c r="G2063" s="1" t="s">
        <v>16</v>
      </c>
      <c r="H2063" s="8">
        <v>3147875.94</v>
      </c>
      <c r="I2063" s="8">
        <v>1722982.61</v>
      </c>
      <c r="J2063" s="1">
        <f>IF(COUNTIF($C$4:C2063,C2063)=1,1,0)</f>
        <v>1</v>
      </c>
      <c r="K2063" s="1">
        <f t="shared" si="32"/>
        <v>2024</v>
      </c>
    </row>
    <row r="2064" spans="2:11" x14ac:dyDescent="0.45">
      <c r="B2064" s="1" t="s">
        <v>11</v>
      </c>
      <c r="C2064" s="1" t="s">
        <v>2064</v>
      </c>
      <c r="D2064" s="7">
        <v>45633</v>
      </c>
      <c r="E2064" s="7">
        <v>45645</v>
      </c>
      <c r="F2064" s="7">
        <v>45853</v>
      </c>
      <c r="G2064" s="1" t="s">
        <v>20</v>
      </c>
      <c r="H2064" s="8">
        <v>785940.82</v>
      </c>
      <c r="I2064" s="8">
        <v>648559.25</v>
      </c>
      <c r="J2064" s="1">
        <f>IF(COUNTIF($C$4:C2064,C2064)=1,1,0)</f>
        <v>1</v>
      </c>
      <c r="K2064" s="1">
        <f t="shared" si="32"/>
        <v>2024</v>
      </c>
    </row>
    <row r="2065" spans="2:11" x14ac:dyDescent="0.45">
      <c r="B2065" s="1" t="s">
        <v>11</v>
      </c>
      <c r="C2065" s="1" t="s">
        <v>2065</v>
      </c>
      <c r="D2065" s="7">
        <v>44006</v>
      </c>
      <c r="E2065" s="7">
        <v>44024</v>
      </c>
      <c r="F2065" s="7">
        <v>44209</v>
      </c>
      <c r="G2065" s="1" t="s">
        <v>38</v>
      </c>
      <c r="H2065" s="8">
        <v>2700040.11</v>
      </c>
      <c r="I2065" s="8">
        <v>2312378.6800000002</v>
      </c>
      <c r="J2065" s="1">
        <f>IF(COUNTIF($C$4:C2065,C2065)=1,1,0)</f>
        <v>1</v>
      </c>
      <c r="K2065" s="1">
        <f t="shared" si="32"/>
        <v>2020</v>
      </c>
    </row>
    <row r="2066" spans="2:11" x14ac:dyDescent="0.45">
      <c r="B2066" s="1" t="s">
        <v>11</v>
      </c>
      <c r="C2066" s="1" t="s">
        <v>2066</v>
      </c>
      <c r="D2066" s="7">
        <v>44395</v>
      </c>
      <c r="E2066" s="7">
        <v>44402</v>
      </c>
      <c r="F2066" s="7">
        <v>44458</v>
      </c>
      <c r="G2066" s="1" t="s">
        <v>212</v>
      </c>
      <c r="H2066" s="8">
        <v>41568184.359999999</v>
      </c>
      <c r="I2066" s="8">
        <v>19736562.350000001</v>
      </c>
      <c r="J2066" s="1">
        <f>IF(COUNTIF($C$4:C2066,C2066)=1,1,0)</f>
        <v>1</v>
      </c>
      <c r="K2066" s="1">
        <f t="shared" si="32"/>
        <v>2021</v>
      </c>
    </row>
    <row r="2067" spans="2:11" x14ac:dyDescent="0.45">
      <c r="B2067" s="1" t="s">
        <v>11</v>
      </c>
      <c r="C2067" s="1" t="s">
        <v>2067</v>
      </c>
      <c r="D2067" s="7">
        <v>43460</v>
      </c>
      <c r="E2067" s="7">
        <v>43474</v>
      </c>
      <c r="F2067" s="7">
        <v>43501</v>
      </c>
      <c r="G2067" s="1" t="s">
        <v>212</v>
      </c>
      <c r="H2067" s="8">
        <v>5362723.34</v>
      </c>
      <c r="I2067" s="8">
        <v>3301862.85</v>
      </c>
      <c r="J2067" s="1">
        <f>IF(COUNTIF($C$4:C2067,C2067)=1,1,0)</f>
        <v>1</v>
      </c>
      <c r="K2067" s="1">
        <f t="shared" si="32"/>
        <v>2018</v>
      </c>
    </row>
    <row r="2068" spans="2:11" x14ac:dyDescent="0.45">
      <c r="B2068" s="1" t="s">
        <v>11</v>
      </c>
      <c r="C2068" s="1" t="s">
        <v>2068</v>
      </c>
      <c r="D2068" s="7">
        <v>45596</v>
      </c>
      <c r="E2068" s="7">
        <v>45598</v>
      </c>
      <c r="F2068" s="7">
        <v>45778</v>
      </c>
      <c r="G2068" s="1" t="s">
        <v>1348</v>
      </c>
      <c r="H2068" s="8">
        <v>144138198.41</v>
      </c>
      <c r="I2068" s="8">
        <v>75761320.799999997</v>
      </c>
      <c r="J2068" s="1">
        <f>IF(COUNTIF($C$4:C2068,C2068)=1,1,0)</f>
        <v>1</v>
      </c>
      <c r="K2068" s="1">
        <f t="shared" si="32"/>
        <v>2024</v>
      </c>
    </row>
    <row r="2069" spans="2:11" x14ac:dyDescent="0.45">
      <c r="B2069" s="1" t="s">
        <v>11</v>
      </c>
      <c r="C2069" s="1" t="s">
        <v>2069</v>
      </c>
      <c r="D2069" s="7">
        <v>44520</v>
      </c>
      <c r="E2069" s="7">
        <v>44536</v>
      </c>
      <c r="F2069" s="7">
        <v>44572</v>
      </c>
      <c r="G2069" s="1" t="s">
        <v>38</v>
      </c>
      <c r="H2069" s="8">
        <v>902187.39</v>
      </c>
      <c r="I2069" s="8">
        <v>657495.78</v>
      </c>
      <c r="J2069" s="1">
        <f>IF(COUNTIF($C$4:C2069,C2069)=1,1,0)</f>
        <v>1</v>
      </c>
      <c r="K2069" s="1">
        <f t="shared" si="32"/>
        <v>2021</v>
      </c>
    </row>
    <row r="2070" spans="2:11" x14ac:dyDescent="0.45">
      <c r="B2070" s="1" t="s">
        <v>11</v>
      </c>
      <c r="C2070" s="1" t="s">
        <v>2070</v>
      </c>
      <c r="D2070" s="7">
        <v>45946</v>
      </c>
      <c r="E2070" s="7">
        <v>45956</v>
      </c>
      <c r="F2070" s="7">
        <v>46090</v>
      </c>
      <c r="G2070" s="1" t="s">
        <v>16</v>
      </c>
      <c r="H2070" s="8">
        <v>2416752.9700000002</v>
      </c>
      <c r="I2070" s="8">
        <v>1763901.66</v>
      </c>
      <c r="J2070" s="1">
        <f>IF(COUNTIF($C$4:C2070,C2070)=1,1,0)</f>
        <v>1</v>
      </c>
      <c r="K2070" s="1">
        <f t="shared" si="32"/>
        <v>2025</v>
      </c>
    </row>
    <row r="2071" spans="2:11" x14ac:dyDescent="0.45">
      <c r="B2071" s="1" t="s">
        <v>11</v>
      </c>
      <c r="C2071" s="1" t="s">
        <v>2071</v>
      </c>
      <c r="D2071" s="7">
        <v>43320</v>
      </c>
      <c r="E2071" s="7">
        <v>43342</v>
      </c>
      <c r="F2071" s="7">
        <v>43464</v>
      </c>
      <c r="G2071" s="1" t="s">
        <v>13</v>
      </c>
      <c r="H2071" s="8">
        <v>1622661.96</v>
      </c>
      <c r="I2071" s="8">
        <v>1387995.11</v>
      </c>
      <c r="J2071" s="1">
        <f>IF(COUNTIF($C$4:C2071,C2071)=1,1,0)</f>
        <v>1</v>
      </c>
      <c r="K2071" s="1">
        <f t="shared" si="32"/>
        <v>2018</v>
      </c>
    </row>
    <row r="2072" spans="2:11" x14ac:dyDescent="0.45">
      <c r="B2072" s="1" t="s">
        <v>11</v>
      </c>
      <c r="C2072" s="1" t="s">
        <v>2072</v>
      </c>
      <c r="D2072" s="7">
        <v>45676</v>
      </c>
      <c r="E2072" s="7">
        <v>45691</v>
      </c>
      <c r="F2072" s="7">
        <v>45864</v>
      </c>
      <c r="G2072" s="1" t="s">
        <v>18</v>
      </c>
      <c r="H2072" s="8">
        <v>3957393.8</v>
      </c>
      <c r="I2072" s="8">
        <v>3323892.69</v>
      </c>
      <c r="J2072" s="1">
        <f>IF(COUNTIF($C$4:C2072,C2072)=1,1,0)</f>
        <v>1</v>
      </c>
      <c r="K2072" s="1">
        <f t="shared" si="32"/>
        <v>2025</v>
      </c>
    </row>
    <row r="2073" spans="2:11" x14ac:dyDescent="0.45">
      <c r="B2073" s="1" t="s">
        <v>11</v>
      </c>
      <c r="C2073" s="1" t="s">
        <v>2073</v>
      </c>
      <c r="D2073" s="7">
        <v>44901</v>
      </c>
      <c r="E2073" s="7">
        <v>44904</v>
      </c>
      <c r="F2073" s="7">
        <v>44926</v>
      </c>
      <c r="G2073" s="1" t="s">
        <v>212</v>
      </c>
      <c r="H2073" s="8">
        <v>10910951.76</v>
      </c>
      <c r="I2073" s="8">
        <v>5416273.3300000001</v>
      </c>
      <c r="J2073" s="1">
        <f>IF(COUNTIF($C$4:C2073,C2073)=1,1,0)</f>
        <v>1</v>
      </c>
      <c r="K2073" s="1">
        <f t="shared" si="32"/>
        <v>2022</v>
      </c>
    </row>
    <row r="2074" spans="2:11" x14ac:dyDescent="0.45">
      <c r="B2074" s="1" t="s">
        <v>11</v>
      </c>
      <c r="C2074" s="1" t="s">
        <v>2074</v>
      </c>
      <c r="D2074" s="7">
        <v>44609</v>
      </c>
      <c r="E2074" s="7">
        <v>44611</v>
      </c>
      <c r="F2074" s="7">
        <v>44809</v>
      </c>
      <c r="G2074" s="1" t="s">
        <v>20</v>
      </c>
      <c r="H2074" s="8">
        <v>707895.14</v>
      </c>
      <c r="I2074" s="8">
        <v>419970.65</v>
      </c>
      <c r="J2074" s="1">
        <f>IF(COUNTIF($C$4:C2074,C2074)=1,1,0)</f>
        <v>1</v>
      </c>
      <c r="K2074" s="1">
        <f t="shared" si="32"/>
        <v>2022</v>
      </c>
    </row>
    <row r="2075" spans="2:11" x14ac:dyDescent="0.45">
      <c r="B2075" s="1" t="s">
        <v>11</v>
      </c>
      <c r="C2075" s="1" t="s">
        <v>2075</v>
      </c>
      <c r="D2075" s="7">
        <v>45659</v>
      </c>
      <c r="E2075" s="7">
        <v>45663</v>
      </c>
      <c r="F2075" s="7">
        <v>45786</v>
      </c>
      <c r="G2075" s="1" t="s">
        <v>16</v>
      </c>
      <c r="H2075" s="8">
        <v>73591.44</v>
      </c>
      <c r="I2075" s="8">
        <v>54363.15</v>
      </c>
      <c r="J2075" s="1">
        <f>IF(COUNTIF($C$4:C2075,C2075)=1,1,0)</f>
        <v>1</v>
      </c>
      <c r="K2075" s="1">
        <f t="shared" si="32"/>
        <v>2025</v>
      </c>
    </row>
    <row r="2076" spans="2:11" x14ac:dyDescent="0.45">
      <c r="B2076" s="1" t="s">
        <v>11</v>
      </c>
      <c r="C2076" s="1" t="s">
        <v>2076</v>
      </c>
      <c r="D2076" s="7">
        <v>44537</v>
      </c>
      <c r="E2076" s="7">
        <v>44561</v>
      </c>
      <c r="F2076" s="7">
        <v>44790</v>
      </c>
      <c r="G2076" s="1" t="s">
        <v>1348</v>
      </c>
      <c r="H2076" s="8">
        <v>28542101.039999999</v>
      </c>
      <c r="I2076" s="8">
        <v>14947754.640000001</v>
      </c>
      <c r="J2076" s="1">
        <f>IF(COUNTIF($C$4:C2076,C2076)=1,1,0)</f>
        <v>1</v>
      </c>
      <c r="K2076" s="1">
        <f t="shared" si="32"/>
        <v>2021</v>
      </c>
    </row>
    <row r="2077" spans="2:11" x14ac:dyDescent="0.45">
      <c r="B2077" s="1" t="s">
        <v>11</v>
      </c>
      <c r="C2077" s="1" t="s">
        <v>2077</v>
      </c>
      <c r="D2077" s="7">
        <v>45453</v>
      </c>
      <c r="E2077" s="7">
        <v>45472</v>
      </c>
      <c r="F2077" s="7">
        <v>45496</v>
      </c>
      <c r="G2077" s="1" t="s">
        <v>16</v>
      </c>
      <c r="H2077" s="8">
        <v>7590335.9000000004</v>
      </c>
      <c r="I2077" s="8">
        <v>5997747.5300000003</v>
      </c>
      <c r="J2077" s="1">
        <f>IF(COUNTIF($C$4:C2077,C2077)=1,1,0)</f>
        <v>1</v>
      </c>
      <c r="K2077" s="1">
        <f t="shared" si="32"/>
        <v>2024</v>
      </c>
    </row>
    <row r="2078" spans="2:11" x14ac:dyDescent="0.45">
      <c r="B2078" s="1" t="s">
        <v>11</v>
      </c>
      <c r="C2078" s="1" t="s">
        <v>2078</v>
      </c>
      <c r="D2078" s="7">
        <v>45062</v>
      </c>
      <c r="E2078" s="7">
        <v>45089</v>
      </c>
      <c r="F2078" s="7">
        <v>45210</v>
      </c>
      <c r="G2078" s="1" t="s">
        <v>1348</v>
      </c>
      <c r="H2078" s="8">
        <v>10546202.699999999</v>
      </c>
      <c r="I2078" s="8">
        <v>7438964.4900000002</v>
      </c>
      <c r="J2078" s="1">
        <f>IF(COUNTIF($C$4:C2078,C2078)=1,1,0)</f>
        <v>1</v>
      </c>
      <c r="K2078" s="1">
        <f t="shared" si="32"/>
        <v>2023</v>
      </c>
    </row>
    <row r="2079" spans="2:11" x14ac:dyDescent="0.45">
      <c r="B2079" s="1" t="s">
        <v>11</v>
      </c>
      <c r="C2079" s="1" t="s">
        <v>2079</v>
      </c>
      <c r="D2079" s="7">
        <v>46096</v>
      </c>
      <c r="E2079" s="7">
        <v>46119</v>
      </c>
      <c r="F2079" s="7">
        <v>46349</v>
      </c>
      <c r="G2079" s="1" t="s">
        <v>1348</v>
      </c>
      <c r="H2079" s="8">
        <v>30728106.68</v>
      </c>
      <c r="I2079" s="8">
        <v>17888011.969999999</v>
      </c>
      <c r="J2079" s="1">
        <f>IF(COUNTIF($C$4:C2079,C2079)=1,1,0)</f>
        <v>1</v>
      </c>
      <c r="K2079" s="1">
        <f t="shared" si="32"/>
        <v>2026</v>
      </c>
    </row>
    <row r="2080" spans="2:11" x14ac:dyDescent="0.45">
      <c r="B2080" s="1" t="s">
        <v>11</v>
      </c>
      <c r="C2080" s="1" t="s">
        <v>2080</v>
      </c>
      <c r="D2080" s="7">
        <v>43800</v>
      </c>
      <c r="E2080" s="7">
        <v>43809</v>
      </c>
      <c r="F2080" s="7">
        <v>43970</v>
      </c>
      <c r="G2080" s="1" t="s">
        <v>38</v>
      </c>
      <c r="H2080" s="8">
        <v>314334.7</v>
      </c>
      <c r="I2080" s="8">
        <v>225618.42</v>
      </c>
      <c r="J2080" s="1">
        <f>IF(COUNTIF($C$4:C2080,C2080)=1,1,0)</f>
        <v>1</v>
      </c>
      <c r="K2080" s="1">
        <f t="shared" si="32"/>
        <v>2019</v>
      </c>
    </row>
    <row r="2081" spans="2:11" x14ac:dyDescent="0.45">
      <c r="B2081" s="1" t="s">
        <v>11</v>
      </c>
      <c r="C2081" s="1" t="s">
        <v>1196</v>
      </c>
      <c r="D2081" s="7">
        <v>45544</v>
      </c>
      <c r="E2081" s="7">
        <v>45554</v>
      </c>
      <c r="F2081" s="7">
        <v>45706</v>
      </c>
      <c r="G2081" s="1" t="s">
        <v>1348</v>
      </c>
      <c r="H2081" s="8">
        <v>8413697.5199999996</v>
      </c>
      <c r="I2081" s="8">
        <v>3356040.46</v>
      </c>
      <c r="J2081" s="1">
        <f>IF(COUNTIF($C$4:C2081,C2081)=1,1,0)</f>
        <v>0</v>
      </c>
      <c r="K2081" s="1">
        <f t="shared" si="32"/>
        <v>2024</v>
      </c>
    </row>
    <row r="2082" spans="2:11" x14ac:dyDescent="0.45">
      <c r="B2082" s="1" t="s">
        <v>11</v>
      </c>
      <c r="C2082" s="1" t="s">
        <v>2081</v>
      </c>
      <c r="D2082" s="7">
        <v>44969</v>
      </c>
      <c r="E2082" s="7">
        <v>44973</v>
      </c>
      <c r="F2082" s="7">
        <v>45166</v>
      </c>
      <c r="G2082" s="1" t="s">
        <v>212</v>
      </c>
      <c r="H2082" s="8">
        <v>17829582.850000001</v>
      </c>
      <c r="I2082" s="8">
        <v>7735699.5199999996</v>
      </c>
      <c r="J2082" s="1">
        <f>IF(COUNTIF($C$4:C2082,C2082)=1,1,0)</f>
        <v>1</v>
      </c>
      <c r="K2082" s="1">
        <f t="shared" si="32"/>
        <v>2023</v>
      </c>
    </row>
    <row r="2083" spans="2:11" x14ac:dyDescent="0.45">
      <c r="B2083" s="1" t="s">
        <v>11</v>
      </c>
      <c r="C2083" s="1" t="s">
        <v>2082</v>
      </c>
      <c r="D2083" s="7">
        <v>45204</v>
      </c>
      <c r="E2083" s="7">
        <v>45229</v>
      </c>
      <c r="F2083" s="7">
        <v>45301</v>
      </c>
      <c r="G2083" s="1" t="s">
        <v>18</v>
      </c>
      <c r="H2083" s="8">
        <v>2787356.41</v>
      </c>
      <c r="I2083" s="8">
        <v>2445701.17</v>
      </c>
      <c r="J2083" s="1">
        <f>IF(COUNTIF($C$4:C2083,C2083)=1,1,0)</f>
        <v>1</v>
      </c>
      <c r="K2083" s="1">
        <f t="shared" si="32"/>
        <v>2023</v>
      </c>
    </row>
    <row r="2084" spans="2:11" x14ac:dyDescent="0.45">
      <c r="B2084" s="1" t="s">
        <v>11</v>
      </c>
      <c r="C2084" s="1" t="s">
        <v>2083</v>
      </c>
      <c r="D2084" s="7">
        <v>44693</v>
      </c>
      <c r="E2084" s="7">
        <v>44713</v>
      </c>
      <c r="F2084" s="7">
        <v>44814</v>
      </c>
      <c r="G2084" s="1" t="s">
        <v>1348</v>
      </c>
      <c r="H2084" s="8">
        <v>39805940.090000004</v>
      </c>
      <c r="I2084" s="8">
        <v>30942634.23</v>
      </c>
      <c r="J2084" s="1">
        <f>IF(COUNTIF($C$4:C2084,C2084)=1,1,0)</f>
        <v>1</v>
      </c>
      <c r="K2084" s="1">
        <f t="shared" si="32"/>
        <v>2022</v>
      </c>
    </row>
    <row r="2085" spans="2:11" x14ac:dyDescent="0.45">
      <c r="B2085" s="1" t="s">
        <v>11</v>
      </c>
      <c r="C2085" s="1" t="s">
        <v>2084</v>
      </c>
      <c r="D2085" s="7">
        <v>45437</v>
      </c>
      <c r="E2085" s="7">
        <v>45444</v>
      </c>
      <c r="F2085" s="7">
        <v>45570</v>
      </c>
      <c r="G2085" s="1" t="s">
        <v>41</v>
      </c>
      <c r="H2085" s="8">
        <v>317245.76</v>
      </c>
      <c r="I2085" s="8">
        <v>244413.58</v>
      </c>
      <c r="J2085" s="1">
        <f>IF(COUNTIF($C$4:C2085,C2085)=1,1,0)</f>
        <v>1</v>
      </c>
      <c r="K2085" s="1">
        <f t="shared" si="32"/>
        <v>2024</v>
      </c>
    </row>
    <row r="2086" spans="2:11" x14ac:dyDescent="0.45">
      <c r="B2086" s="1" t="s">
        <v>11</v>
      </c>
      <c r="C2086" s="1" t="s">
        <v>2085</v>
      </c>
      <c r="D2086" s="7">
        <v>45822</v>
      </c>
      <c r="E2086" s="7">
        <v>45849</v>
      </c>
      <c r="F2086" s="7">
        <v>45938</v>
      </c>
      <c r="G2086" s="1" t="s">
        <v>20</v>
      </c>
      <c r="H2086" s="8">
        <v>907756.1</v>
      </c>
      <c r="I2086" s="8">
        <v>508733</v>
      </c>
      <c r="J2086" s="1">
        <f>IF(COUNTIF($C$4:C2086,C2086)=1,1,0)</f>
        <v>1</v>
      </c>
      <c r="K2086" s="1">
        <f t="shared" si="32"/>
        <v>2025</v>
      </c>
    </row>
    <row r="2087" spans="2:11" x14ac:dyDescent="0.45">
      <c r="B2087" s="1" t="s">
        <v>11</v>
      </c>
      <c r="C2087" s="1" t="s">
        <v>1633</v>
      </c>
      <c r="D2087" s="7">
        <v>43949</v>
      </c>
      <c r="E2087" s="7">
        <v>43974</v>
      </c>
      <c r="F2087" s="7">
        <v>44026</v>
      </c>
      <c r="G2087" s="1" t="s">
        <v>41</v>
      </c>
      <c r="H2087" s="8">
        <v>380829.23</v>
      </c>
      <c r="I2087" s="8">
        <v>308877.74</v>
      </c>
      <c r="J2087" s="1">
        <f>IF(COUNTIF($C$4:C2087,C2087)=1,1,0)</f>
        <v>0</v>
      </c>
      <c r="K2087" s="1">
        <f t="shared" si="32"/>
        <v>2020</v>
      </c>
    </row>
    <row r="2088" spans="2:11" x14ac:dyDescent="0.45">
      <c r="B2088" s="1" t="s">
        <v>11</v>
      </c>
      <c r="C2088" s="1" t="s">
        <v>2086</v>
      </c>
      <c r="D2088" s="7">
        <v>44752</v>
      </c>
      <c r="E2088" s="7">
        <v>44763</v>
      </c>
      <c r="F2088" s="7">
        <v>44985</v>
      </c>
      <c r="G2088" s="1" t="s">
        <v>38</v>
      </c>
      <c r="H2088" s="8">
        <v>1113259.54</v>
      </c>
      <c r="I2088" s="8">
        <v>877280.78</v>
      </c>
      <c r="J2088" s="1">
        <f>IF(COUNTIF($C$4:C2088,C2088)=1,1,0)</f>
        <v>1</v>
      </c>
      <c r="K2088" s="1">
        <f t="shared" si="32"/>
        <v>2022</v>
      </c>
    </row>
    <row r="2089" spans="2:11" x14ac:dyDescent="0.45">
      <c r="B2089" s="1" t="s">
        <v>11</v>
      </c>
      <c r="C2089" s="1" t="s">
        <v>2087</v>
      </c>
      <c r="D2089" s="7">
        <v>44843</v>
      </c>
      <c r="E2089" s="7">
        <v>44847</v>
      </c>
      <c r="F2089" s="7">
        <v>45060</v>
      </c>
      <c r="G2089" s="1" t="s">
        <v>13</v>
      </c>
      <c r="H2089" s="8">
        <v>614325.82999999996</v>
      </c>
      <c r="I2089" s="8">
        <v>404798.73</v>
      </c>
      <c r="J2089" s="1">
        <f>IF(COUNTIF($C$4:C2089,C2089)=1,1,0)</f>
        <v>1</v>
      </c>
      <c r="K2089" s="1">
        <f t="shared" si="32"/>
        <v>2022</v>
      </c>
    </row>
    <row r="2090" spans="2:11" x14ac:dyDescent="0.45">
      <c r="B2090" s="1" t="s">
        <v>11</v>
      </c>
      <c r="C2090" s="1" t="s">
        <v>2088</v>
      </c>
      <c r="D2090" s="7">
        <v>43613</v>
      </c>
      <c r="E2090" s="7">
        <v>43638</v>
      </c>
      <c r="F2090" s="7">
        <v>43732</v>
      </c>
      <c r="G2090" s="1" t="s">
        <v>38</v>
      </c>
      <c r="H2090" s="8">
        <v>3415943.07</v>
      </c>
      <c r="I2090" s="8">
        <v>2525363.81</v>
      </c>
      <c r="J2090" s="1">
        <f>IF(COUNTIF($C$4:C2090,C2090)=1,1,0)</f>
        <v>1</v>
      </c>
      <c r="K2090" s="1">
        <f t="shared" si="32"/>
        <v>2019</v>
      </c>
    </row>
    <row r="2091" spans="2:11" x14ac:dyDescent="0.45">
      <c r="B2091" s="1" t="s">
        <v>11</v>
      </c>
      <c r="C2091" s="1" t="s">
        <v>2089</v>
      </c>
      <c r="D2091" s="7">
        <v>43549</v>
      </c>
      <c r="E2091" s="7">
        <v>43551</v>
      </c>
      <c r="F2091" s="7">
        <v>43767</v>
      </c>
      <c r="G2091" s="1" t="s">
        <v>22</v>
      </c>
      <c r="H2091" s="8">
        <v>61864160.939999998</v>
      </c>
      <c r="I2091" s="8">
        <v>36986750.630000003</v>
      </c>
      <c r="J2091" s="1">
        <f>IF(COUNTIF($C$4:C2091,C2091)=1,1,0)</f>
        <v>1</v>
      </c>
      <c r="K2091" s="1">
        <f t="shared" si="32"/>
        <v>2019</v>
      </c>
    </row>
    <row r="2092" spans="2:11" x14ac:dyDescent="0.45">
      <c r="B2092" s="1" t="s">
        <v>11</v>
      </c>
      <c r="C2092" s="1" t="s">
        <v>2090</v>
      </c>
      <c r="D2092" s="7">
        <v>44712</v>
      </c>
      <c r="E2092" s="7">
        <v>44742</v>
      </c>
      <c r="F2092" s="7">
        <v>44870</v>
      </c>
      <c r="G2092" s="1" t="s">
        <v>20</v>
      </c>
      <c r="H2092" s="8">
        <v>2238694.7400000002</v>
      </c>
      <c r="I2092" s="8">
        <v>1777657.53</v>
      </c>
      <c r="J2092" s="1">
        <f>IF(COUNTIF($C$4:C2092,C2092)=1,1,0)</f>
        <v>1</v>
      </c>
      <c r="K2092" s="1">
        <f t="shared" si="32"/>
        <v>2022</v>
      </c>
    </row>
    <row r="2093" spans="2:11" x14ac:dyDescent="0.45">
      <c r="B2093" s="1" t="s">
        <v>11</v>
      </c>
      <c r="C2093" s="1" t="s">
        <v>2091</v>
      </c>
      <c r="D2093" s="7">
        <v>44679</v>
      </c>
      <c r="E2093" s="7">
        <v>44683</v>
      </c>
      <c r="F2093" s="7">
        <v>44728</v>
      </c>
      <c r="G2093" s="1" t="s">
        <v>41</v>
      </c>
      <c r="H2093" s="8">
        <v>265548.15999999997</v>
      </c>
      <c r="I2093" s="8">
        <v>202011.29</v>
      </c>
      <c r="J2093" s="1">
        <f>IF(COUNTIF($C$4:C2093,C2093)=1,1,0)</f>
        <v>1</v>
      </c>
      <c r="K2093" s="1">
        <f t="shared" si="32"/>
        <v>2022</v>
      </c>
    </row>
    <row r="2094" spans="2:11" x14ac:dyDescent="0.45">
      <c r="B2094" s="1" t="s">
        <v>11</v>
      </c>
      <c r="C2094" s="1" t="s">
        <v>2092</v>
      </c>
      <c r="D2094" s="7">
        <v>45144</v>
      </c>
      <c r="E2094" s="7">
        <v>45160</v>
      </c>
      <c r="F2094" s="7">
        <v>45223</v>
      </c>
      <c r="G2094" s="1" t="s">
        <v>41</v>
      </c>
      <c r="H2094" s="8">
        <v>202071.71</v>
      </c>
      <c r="I2094" s="8">
        <v>142849.70000000001</v>
      </c>
      <c r="J2094" s="1">
        <f>IF(COUNTIF($C$4:C2094,C2094)=1,1,0)</f>
        <v>1</v>
      </c>
      <c r="K2094" s="1">
        <f t="shared" si="32"/>
        <v>2023</v>
      </c>
    </row>
    <row r="2095" spans="2:11" x14ac:dyDescent="0.45">
      <c r="B2095" s="1" t="s">
        <v>11</v>
      </c>
      <c r="C2095" s="1" t="s">
        <v>2093</v>
      </c>
      <c r="D2095" s="7">
        <v>44080</v>
      </c>
      <c r="E2095" s="7">
        <v>44107</v>
      </c>
      <c r="F2095" s="7">
        <v>44133</v>
      </c>
      <c r="G2095" s="1" t="s">
        <v>1348</v>
      </c>
      <c r="H2095" s="8">
        <v>249855303.43000001</v>
      </c>
      <c r="I2095" s="8">
        <v>132542415.64</v>
      </c>
      <c r="J2095" s="1">
        <f>IF(COUNTIF($C$4:C2095,C2095)=1,1,0)</f>
        <v>1</v>
      </c>
      <c r="K2095" s="1">
        <f t="shared" si="32"/>
        <v>2020</v>
      </c>
    </row>
    <row r="2096" spans="2:11" x14ac:dyDescent="0.45">
      <c r="B2096" s="1" t="s">
        <v>11</v>
      </c>
      <c r="C2096" s="1" t="s">
        <v>2094</v>
      </c>
      <c r="D2096" s="7">
        <v>43345</v>
      </c>
      <c r="E2096" s="7">
        <v>43351</v>
      </c>
      <c r="F2096" s="7">
        <v>43438</v>
      </c>
      <c r="G2096" s="1" t="s">
        <v>20</v>
      </c>
      <c r="H2096" s="8">
        <v>876664.34</v>
      </c>
      <c r="I2096" s="8">
        <v>590486.51</v>
      </c>
      <c r="J2096" s="1">
        <f>IF(COUNTIF($C$4:C2096,C2096)=1,1,0)</f>
        <v>1</v>
      </c>
      <c r="K2096" s="1">
        <f t="shared" si="32"/>
        <v>2018</v>
      </c>
    </row>
    <row r="2097" spans="2:11" x14ac:dyDescent="0.45">
      <c r="B2097" s="1" t="s">
        <v>11</v>
      </c>
      <c r="C2097" s="1" t="s">
        <v>2095</v>
      </c>
      <c r="D2097" s="7">
        <v>43931</v>
      </c>
      <c r="E2097" s="7">
        <v>43944</v>
      </c>
      <c r="F2097" s="7">
        <v>44159</v>
      </c>
      <c r="G2097" s="1" t="s">
        <v>1348</v>
      </c>
      <c r="H2097" s="8">
        <v>120369636.87</v>
      </c>
      <c r="I2097" s="8">
        <v>56444282.469999999</v>
      </c>
      <c r="J2097" s="1">
        <f>IF(COUNTIF($C$4:C2097,C2097)=1,1,0)</f>
        <v>1</v>
      </c>
      <c r="K2097" s="1">
        <f t="shared" si="32"/>
        <v>2020</v>
      </c>
    </row>
    <row r="2098" spans="2:11" x14ac:dyDescent="0.45">
      <c r="B2098" s="1" t="s">
        <v>11</v>
      </c>
      <c r="C2098" s="1" t="s">
        <v>2096</v>
      </c>
      <c r="D2098" s="7">
        <v>45079</v>
      </c>
      <c r="E2098" s="7">
        <v>45088</v>
      </c>
      <c r="F2098" s="7">
        <v>45122</v>
      </c>
      <c r="G2098" s="1" t="s">
        <v>16</v>
      </c>
      <c r="H2098" s="8">
        <v>5409427.4199999999</v>
      </c>
      <c r="I2098" s="8">
        <v>3487306.74</v>
      </c>
      <c r="J2098" s="1">
        <f>IF(COUNTIF($C$4:C2098,C2098)=1,1,0)</f>
        <v>1</v>
      </c>
      <c r="K2098" s="1">
        <f t="shared" si="32"/>
        <v>2023</v>
      </c>
    </row>
    <row r="2099" spans="2:11" x14ac:dyDescent="0.45">
      <c r="B2099" s="1" t="s">
        <v>11</v>
      </c>
      <c r="C2099" s="1" t="s">
        <v>2097</v>
      </c>
      <c r="D2099" s="7">
        <v>44876</v>
      </c>
      <c r="E2099" s="7">
        <v>44899</v>
      </c>
      <c r="F2099" s="7">
        <v>45040</v>
      </c>
      <c r="G2099" s="1" t="s">
        <v>22</v>
      </c>
      <c r="H2099" s="8">
        <v>51277828.450000003</v>
      </c>
      <c r="I2099" s="8">
        <v>33723111.259999998</v>
      </c>
      <c r="J2099" s="1">
        <f>IF(COUNTIF($C$4:C2099,C2099)=1,1,0)</f>
        <v>1</v>
      </c>
      <c r="K2099" s="1">
        <f t="shared" si="32"/>
        <v>2022</v>
      </c>
    </row>
    <row r="2100" spans="2:11" x14ac:dyDescent="0.45">
      <c r="B2100" s="1" t="s">
        <v>11</v>
      </c>
      <c r="C2100" s="1" t="s">
        <v>2098</v>
      </c>
      <c r="D2100" s="7">
        <v>44085</v>
      </c>
      <c r="E2100" s="7">
        <v>44109</v>
      </c>
      <c r="F2100" s="7">
        <v>44144</v>
      </c>
      <c r="G2100" s="1" t="s">
        <v>41</v>
      </c>
      <c r="H2100" s="8">
        <v>13724.54</v>
      </c>
      <c r="I2100" s="8">
        <v>11038.45</v>
      </c>
      <c r="J2100" s="1">
        <f>IF(COUNTIF($C$4:C2100,C2100)=1,1,0)</f>
        <v>1</v>
      </c>
      <c r="K2100" s="1">
        <f t="shared" si="32"/>
        <v>2020</v>
      </c>
    </row>
    <row r="2101" spans="2:11" x14ac:dyDescent="0.45">
      <c r="B2101" s="1" t="s">
        <v>11</v>
      </c>
      <c r="C2101" s="1" t="s">
        <v>2099</v>
      </c>
      <c r="D2101" s="7">
        <v>46095</v>
      </c>
      <c r="E2101" s="7">
        <v>46096</v>
      </c>
      <c r="F2101" s="7">
        <v>46159</v>
      </c>
      <c r="G2101" s="1" t="s">
        <v>1348</v>
      </c>
      <c r="H2101" s="8">
        <v>16920140.379999999</v>
      </c>
      <c r="I2101" s="8">
        <v>8037060.1500000004</v>
      </c>
      <c r="J2101" s="1">
        <f>IF(COUNTIF($C$4:C2101,C2101)=1,1,0)</f>
        <v>1</v>
      </c>
      <c r="K2101" s="1">
        <f t="shared" si="32"/>
        <v>2026</v>
      </c>
    </row>
    <row r="2102" spans="2:11" x14ac:dyDescent="0.45">
      <c r="B2102" s="1" t="s">
        <v>11</v>
      </c>
      <c r="C2102" s="1" t="s">
        <v>2100</v>
      </c>
      <c r="D2102" s="7">
        <v>43488</v>
      </c>
      <c r="E2102" s="7">
        <v>43490</v>
      </c>
      <c r="F2102" s="7">
        <v>43695</v>
      </c>
      <c r="G2102" s="1" t="s">
        <v>41</v>
      </c>
      <c r="H2102" s="8">
        <v>108478.23</v>
      </c>
      <c r="I2102" s="8">
        <v>77271.39</v>
      </c>
      <c r="J2102" s="1">
        <f>IF(COUNTIF($C$4:C2102,C2102)=1,1,0)</f>
        <v>1</v>
      </c>
      <c r="K2102" s="1">
        <f t="shared" si="32"/>
        <v>2019</v>
      </c>
    </row>
    <row r="2103" spans="2:11" x14ac:dyDescent="0.45">
      <c r="B2103" s="1" t="s">
        <v>11</v>
      </c>
      <c r="C2103" s="1" t="s">
        <v>2101</v>
      </c>
      <c r="D2103" s="7">
        <v>43622</v>
      </c>
      <c r="E2103" s="7">
        <v>43625</v>
      </c>
      <c r="F2103" s="7">
        <v>43813</v>
      </c>
      <c r="G2103" s="1" t="s">
        <v>20</v>
      </c>
      <c r="H2103" s="8">
        <v>301113.57</v>
      </c>
      <c r="I2103" s="8">
        <v>168218.44</v>
      </c>
      <c r="J2103" s="1">
        <f>IF(COUNTIF($C$4:C2103,C2103)=1,1,0)</f>
        <v>1</v>
      </c>
      <c r="K2103" s="1">
        <f t="shared" si="32"/>
        <v>2019</v>
      </c>
    </row>
    <row r="2104" spans="2:11" x14ac:dyDescent="0.45">
      <c r="B2104" s="1" t="s">
        <v>11</v>
      </c>
      <c r="C2104" s="1" t="s">
        <v>2102</v>
      </c>
      <c r="D2104" s="7">
        <v>44164</v>
      </c>
      <c r="E2104" s="7">
        <v>44174</v>
      </c>
      <c r="F2104" s="7">
        <v>44304</v>
      </c>
      <c r="G2104" s="1" t="s">
        <v>38</v>
      </c>
      <c r="H2104" s="8">
        <v>199988.6</v>
      </c>
      <c r="I2104" s="8">
        <v>133419.82999999999</v>
      </c>
      <c r="J2104" s="1">
        <f>IF(COUNTIF($C$4:C2104,C2104)=1,1,0)</f>
        <v>1</v>
      </c>
      <c r="K2104" s="1">
        <f t="shared" si="32"/>
        <v>2020</v>
      </c>
    </row>
    <row r="2105" spans="2:11" x14ac:dyDescent="0.45">
      <c r="B2105" s="1" t="s">
        <v>11</v>
      </c>
      <c r="C2105" s="1" t="s">
        <v>2103</v>
      </c>
      <c r="D2105" s="7">
        <v>44857</v>
      </c>
      <c r="E2105" s="7">
        <v>44870</v>
      </c>
      <c r="F2105" s="7">
        <v>45045</v>
      </c>
      <c r="G2105" s="1" t="s">
        <v>41</v>
      </c>
      <c r="H2105" s="8">
        <v>1321773.23</v>
      </c>
      <c r="I2105" s="8">
        <v>1168175.82</v>
      </c>
      <c r="J2105" s="1">
        <f>IF(COUNTIF($C$4:C2105,C2105)=1,1,0)</f>
        <v>1</v>
      </c>
      <c r="K2105" s="1">
        <f t="shared" si="32"/>
        <v>2022</v>
      </c>
    </row>
    <row r="2106" spans="2:11" x14ac:dyDescent="0.45">
      <c r="B2106" s="1" t="s">
        <v>11</v>
      </c>
      <c r="C2106" s="1" t="s">
        <v>2104</v>
      </c>
      <c r="D2106" s="7">
        <v>44215</v>
      </c>
      <c r="E2106" s="7">
        <v>44229</v>
      </c>
      <c r="F2106" s="7">
        <v>44268</v>
      </c>
      <c r="G2106" s="1" t="s">
        <v>13</v>
      </c>
      <c r="H2106" s="8">
        <v>384445.08</v>
      </c>
      <c r="I2106" s="8">
        <v>285861.11</v>
      </c>
      <c r="J2106" s="1">
        <f>IF(COUNTIF($C$4:C2106,C2106)=1,1,0)</f>
        <v>1</v>
      </c>
      <c r="K2106" s="1">
        <f t="shared" si="32"/>
        <v>2021</v>
      </c>
    </row>
    <row r="2107" spans="2:11" x14ac:dyDescent="0.45">
      <c r="B2107" s="1" t="s">
        <v>11</v>
      </c>
      <c r="C2107" s="1" t="s">
        <v>2105</v>
      </c>
      <c r="D2107" s="7">
        <v>45271</v>
      </c>
      <c r="E2107" s="7">
        <v>45281</v>
      </c>
      <c r="F2107" s="7">
        <v>45443</v>
      </c>
      <c r="G2107" s="1" t="s">
        <v>16</v>
      </c>
      <c r="H2107" s="8">
        <v>770107.69</v>
      </c>
      <c r="I2107" s="8">
        <v>552429.18000000005</v>
      </c>
      <c r="J2107" s="1">
        <f>IF(COUNTIF($C$4:C2107,C2107)=1,1,0)</f>
        <v>1</v>
      </c>
      <c r="K2107" s="1">
        <f t="shared" si="32"/>
        <v>2023</v>
      </c>
    </row>
    <row r="2108" spans="2:11" x14ac:dyDescent="0.45">
      <c r="B2108" s="1" t="s">
        <v>11</v>
      </c>
      <c r="C2108" s="1" t="s">
        <v>2106</v>
      </c>
      <c r="D2108" s="7">
        <v>44854</v>
      </c>
      <c r="E2108" s="7">
        <v>44877</v>
      </c>
      <c r="F2108" s="7">
        <v>44894</v>
      </c>
      <c r="G2108" s="1" t="s">
        <v>13</v>
      </c>
      <c r="H2108" s="8">
        <v>85943.84</v>
      </c>
      <c r="I2108" s="8">
        <v>61560</v>
      </c>
      <c r="J2108" s="1">
        <f>IF(COUNTIF($C$4:C2108,C2108)=1,1,0)</f>
        <v>1</v>
      </c>
      <c r="K2108" s="1">
        <f t="shared" si="32"/>
        <v>2022</v>
      </c>
    </row>
    <row r="2109" spans="2:11" x14ac:dyDescent="0.45">
      <c r="B2109" s="1" t="s">
        <v>11</v>
      </c>
      <c r="C2109" s="1" t="s">
        <v>2107</v>
      </c>
      <c r="D2109" s="7">
        <v>44419</v>
      </c>
      <c r="E2109" s="7">
        <v>44441</v>
      </c>
      <c r="F2109" s="7">
        <v>44495</v>
      </c>
      <c r="G2109" s="1" t="s">
        <v>18</v>
      </c>
      <c r="H2109" s="8">
        <v>10834877.15</v>
      </c>
      <c r="I2109" s="8">
        <v>8374972.3200000003</v>
      </c>
      <c r="J2109" s="1">
        <f>IF(COUNTIF($C$4:C2109,C2109)=1,1,0)</f>
        <v>1</v>
      </c>
      <c r="K2109" s="1">
        <f t="shared" si="32"/>
        <v>2021</v>
      </c>
    </row>
    <row r="2110" spans="2:11" x14ac:dyDescent="0.45">
      <c r="B2110" s="1" t="s">
        <v>11</v>
      </c>
      <c r="C2110" s="1" t="s">
        <v>2108</v>
      </c>
      <c r="D2110" s="7">
        <v>45068</v>
      </c>
      <c r="E2110" s="7">
        <v>45095</v>
      </c>
      <c r="F2110" s="7">
        <v>45276</v>
      </c>
      <c r="G2110" s="1" t="s">
        <v>212</v>
      </c>
      <c r="H2110" s="8">
        <v>8200764.0499999998</v>
      </c>
      <c r="I2110" s="8">
        <v>6112566.8099999996</v>
      </c>
      <c r="J2110" s="1">
        <f>IF(COUNTIF($C$4:C2110,C2110)=1,1,0)</f>
        <v>1</v>
      </c>
      <c r="K2110" s="1">
        <f t="shared" si="32"/>
        <v>2023</v>
      </c>
    </row>
    <row r="2111" spans="2:11" x14ac:dyDescent="0.45">
      <c r="B2111" s="1" t="s">
        <v>11</v>
      </c>
      <c r="C2111" s="1" t="s">
        <v>2109</v>
      </c>
      <c r="D2111" s="7">
        <v>45384</v>
      </c>
      <c r="E2111" s="7">
        <v>45400</v>
      </c>
      <c r="F2111" s="7">
        <v>45524</v>
      </c>
      <c r="G2111" s="1" t="s">
        <v>16</v>
      </c>
      <c r="H2111" s="8">
        <v>16785427.449999999</v>
      </c>
      <c r="I2111" s="8">
        <v>9854381.6899999995</v>
      </c>
      <c r="J2111" s="1">
        <f>IF(COUNTIF($C$4:C2111,C2111)=1,1,0)</f>
        <v>1</v>
      </c>
      <c r="K2111" s="1">
        <f t="shared" si="32"/>
        <v>2024</v>
      </c>
    </row>
    <row r="2112" spans="2:11" x14ac:dyDescent="0.45">
      <c r="B2112" s="1" t="s">
        <v>11</v>
      </c>
      <c r="C2112" s="1" t="s">
        <v>2110</v>
      </c>
      <c r="D2112" s="7">
        <v>43474</v>
      </c>
      <c r="E2112" s="7">
        <v>43480</v>
      </c>
      <c r="F2112" s="7">
        <v>43551</v>
      </c>
      <c r="G2112" s="1" t="s">
        <v>22</v>
      </c>
      <c r="H2112" s="8">
        <v>14237569.279999999</v>
      </c>
      <c r="I2112" s="8">
        <v>10447539.6</v>
      </c>
      <c r="J2112" s="1">
        <f>IF(COUNTIF($C$4:C2112,C2112)=1,1,0)</f>
        <v>1</v>
      </c>
      <c r="K2112" s="1">
        <f t="shared" si="32"/>
        <v>2019</v>
      </c>
    </row>
    <row r="2113" spans="2:11" x14ac:dyDescent="0.45">
      <c r="B2113" s="1" t="s">
        <v>11</v>
      </c>
      <c r="C2113" s="1" t="s">
        <v>2111</v>
      </c>
      <c r="D2113" s="7">
        <v>43650</v>
      </c>
      <c r="E2113" s="7">
        <v>43663</v>
      </c>
      <c r="F2113" s="7">
        <v>43777</v>
      </c>
      <c r="G2113" s="1" t="s">
        <v>38</v>
      </c>
      <c r="H2113" s="8">
        <v>345510.51</v>
      </c>
      <c r="I2113" s="8">
        <v>277852.88</v>
      </c>
      <c r="J2113" s="1">
        <f>IF(COUNTIF($C$4:C2113,C2113)=1,1,0)</f>
        <v>1</v>
      </c>
      <c r="K2113" s="1">
        <f t="shared" si="32"/>
        <v>2019</v>
      </c>
    </row>
    <row r="2114" spans="2:11" x14ac:dyDescent="0.45">
      <c r="B2114" s="1" t="s">
        <v>11</v>
      </c>
      <c r="C2114" s="1" t="s">
        <v>2112</v>
      </c>
      <c r="D2114" s="7">
        <v>43814</v>
      </c>
      <c r="E2114" s="7">
        <v>43826</v>
      </c>
      <c r="F2114" s="7">
        <v>43976</v>
      </c>
      <c r="G2114" s="1" t="s">
        <v>212</v>
      </c>
      <c r="H2114" s="8">
        <v>4801652.3600000003</v>
      </c>
      <c r="I2114" s="8">
        <v>3487395.87</v>
      </c>
      <c r="J2114" s="1">
        <f>IF(COUNTIF($C$4:C2114,C2114)=1,1,0)</f>
        <v>1</v>
      </c>
      <c r="K2114" s="1">
        <f t="shared" si="32"/>
        <v>2019</v>
      </c>
    </row>
    <row r="2115" spans="2:11" x14ac:dyDescent="0.45">
      <c r="B2115" s="1" t="s">
        <v>11</v>
      </c>
      <c r="C2115" s="1" t="s">
        <v>2113</v>
      </c>
      <c r="D2115" s="7">
        <v>43539</v>
      </c>
      <c r="E2115" s="7">
        <v>43560</v>
      </c>
      <c r="F2115" s="7">
        <v>43611</v>
      </c>
      <c r="G2115" s="1" t="s">
        <v>20</v>
      </c>
      <c r="H2115" s="8">
        <v>588205.56999999995</v>
      </c>
      <c r="I2115" s="8">
        <v>403749.86</v>
      </c>
      <c r="J2115" s="1">
        <f>IF(COUNTIF($C$4:C2115,C2115)=1,1,0)</f>
        <v>1</v>
      </c>
      <c r="K2115" s="1">
        <f t="shared" si="32"/>
        <v>2019</v>
      </c>
    </row>
    <row r="2116" spans="2:11" x14ac:dyDescent="0.45">
      <c r="B2116" s="1" t="s">
        <v>11</v>
      </c>
      <c r="C2116" s="1" t="s">
        <v>2114</v>
      </c>
      <c r="D2116" s="7">
        <v>45396</v>
      </c>
      <c r="E2116" s="7">
        <v>45400</v>
      </c>
      <c r="F2116" s="7">
        <v>45622</v>
      </c>
      <c r="G2116" s="1" t="s">
        <v>1348</v>
      </c>
      <c r="H2116" s="8">
        <v>77641131.75</v>
      </c>
      <c r="I2116" s="8">
        <v>30140267.920000002</v>
      </c>
      <c r="J2116" s="1">
        <f>IF(COUNTIF($C$4:C2116,C2116)=1,1,0)</f>
        <v>1</v>
      </c>
      <c r="K2116" s="1">
        <f t="shared" si="32"/>
        <v>2024</v>
      </c>
    </row>
    <row r="2117" spans="2:11" x14ac:dyDescent="0.45">
      <c r="B2117" s="1" t="s">
        <v>11</v>
      </c>
      <c r="C2117" s="1" t="s">
        <v>2115</v>
      </c>
      <c r="D2117" s="7">
        <v>46118</v>
      </c>
      <c r="E2117" s="7">
        <v>46138</v>
      </c>
      <c r="F2117" s="7">
        <v>46312</v>
      </c>
      <c r="G2117" s="1" t="s">
        <v>38</v>
      </c>
      <c r="H2117" s="8">
        <v>1798631.28</v>
      </c>
      <c r="I2117" s="8">
        <v>1487957.54</v>
      </c>
      <c r="J2117" s="1">
        <f>IF(COUNTIF($C$4:C2117,C2117)=1,1,0)</f>
        <v>1</v>
      </c>
      <c r="K2117" s="1">
        <f t="shared" ref="K2117:K2180" si="33">YEAR(D2117)</f>
        <v>2026</v>
      </c>
    </row>
    <row r="2118" spans="2:11" x14ac:dyDescent="0.45">
      <c r="B2118" s="1" t="s">
        <v>11</v>
      </c>
      <c r="C2118" s="1" t="s">
        <v>2116</v>
      </c>
      <c r="D2118" s="7">
        <v>44418</v>
      </c>
      <c r="E2118" s="7">
        <v>44428</v>
      </c>
      <c r="F2118" s="7">
        <v>44460</v>
      </c>
      <c r="G2118" s="1" t="s">
        <v>16</v>
      </c>
      <c r="H2118" s="8">
        <v>6358767.2699999996</v>
      </c>
      <c r="I2118" s="8">
        <v>3259251.53</v>
      </c>
      <c r="J2118" s="1">
        <f>IF(COUNTIF($C$4:C2118,C2118)=1,1,0)</f>
        <v>1</v>
      </c>
      <c r="K2118" s="1">
        <f t="shared" si="33"/>
        <v>2021</v>
      </c>
    </row>
    <row r="2119" spans="2:11" x14ac:dyDescent="0.45">
      <c r="B2119" s="1" t="s">
        <v>11</v>
      </c>
      <c r="C2119" s="1" t="s">
        <v>2117</v>
      </c>
      <c r="D2119" s="7">
        <v>46087</v>
      </c>
      <c r="E2119" s="7">
        <v>46114</v>
      </c>
      <c r="F2119" s="7">
        <v>46225</v>
      </c>
      <c r="G2119" s="1" t="s">
        <v>20</v>
      </c>
      <c r="H2119" s="8">
        <v>480555.78</v>
      </c>
      <c r="I2119" s="8">
        <v>275104.02</v>
      </c>
      <c r="J2119" s="1">
        <f>IF(COUNTIF($C$4:C2119,C2119)=1,1,0)</f>
        <v>1</v>
      </c>
      <c r="K2119" s="1">
        <f t="shared" si="33"/>
        <v>2026</v>
      </c>
    </row>
    <row r="2120" spans="2:11" x14ac:dyDescent="0.45">
      <c r="B2120" s="1" t="s">
        <v>11</v>
      </c>
      <c r="C2120" s="1" t="s">
        <v>2118</v>
      </c>
      <c r="D2120" s="7">
        <v>44775</v>
      </c>
      <c r="E2120" s="7">
        <v>44791</v>
      </c>
      <c r="F2120" s="7">
        <v>44832</v>
      </c>
      <c r="G2120" s="1" t="s">
        <v>38</v>
      </c>
      <c r="H2120" s="8">
        <v>1252347.53</v>
      </c>
      <c r="I2120" s="8">
        <v>861714.61</v>
      </c>
      <c r="J2120" s="1">
        <f>IF(COUNTIF($C$4:C2120,C2120)=1,1,0)</f>
        <v>1</v>
      </c>
      <c r="K2120" s="1">
        <f t="shared" si="33"/>
        <v>2022</v>
      </c>
    </row>
    <row r="2121" spans="2:11" x14ac:dyDescent="0.45">
      <c r="B2121" s="1" t="s">
        <v>11</v>
      </c>
      <c r="C2121" s="1" t="s">
        <v>2119</v>
      </c>
      <c r="D2121" s="7">
        <v>43941</v>
      </c>
      <c r="E2121" s="7">
        <v>43959</v>
      </c>
      <c r="F2121" s="7">
        <v>44010</v>
      </c>
      <c r="G2121" s="1" t="s">
        <v>38</v>
      </c>
      <c r="H2121" s="8">
        <v>106585.23</v>
      </c>
      <c r="I2121" s="8">
        <v>82836.09</v>
      </c>
      <c r="J2121" s="1">
        <f>IF(COUNTIF($C$4:C2121,C2121)=1,1,0)</f>
        <v>1</v>
      </c>
      <c r="K2121" s="1">
        <f t="shared" si="33"/>
        <v>2020</v>
      </c>
    </row>
    <row r="2122" spans="2:11" x14ac:dyDescent="0.45">
      <c r="B2122" s="1" t="s">
        <v>11</v>
      </c>
      <c r="C2122" s="1" t="s">
        <v>2120</v>
      </c>
      <c r="D2122" s="7">
        <v>45665</v>
      </c>
      <c r="E2122" s="7">
        <v>45667</v>
      </c>
      <c r="F2122" s="7">
        <v>45698</v>
      </c>
      <c r="G2122" s="1" t="s">
        <v>38</v>
      </c>
      <c r="H2122" s="8">
        <v>1058719.1399999999</v>
      </c>
      <c r="I2122" s="8">
        <v>774555.84</v>
      </c>
      <c r="J2122" s="1">
        <f>IF(COUNTIF($C$4:C2122,C2122)=1,1,0)</f>
        <v>1</v>
      </c>
      <c r="K2122" s="1">
        <f t="shared" si="33"/>
        <v>2025</v>
      </c>
    </row>
    <row r="2123" spans="2:11" x14ac:dyDescent="0.45">
      <c r="B2123" s="1" t="s">
        <v>11</v>
      </c>
      <c r="C2123" s="1" t="s">
        <v>2121</v>
      </c>
      <c r="D2123" s="7">
        <v>44888</v>
      </c>
      <c r="E2123" s="7">
        <v>44909</v>
      </c>
      <c r="F2123" s="7">
        <v>45110</v>
      </c>
      <c r="G2123" s="1" t="s">
        <v>41</v>
      </c>
      <c r="H2123" s="8">
        <v>233006.17</v>
      </c>
      <c r="I2123" s="8">
        <v>186113.87</v>
      </c>
      <c r="J2123" s="1">
        <f>IF(COUNTIF($C$4:C2123,C2123)=1,1,0)</f>
        <v>1</v>
      </c>
      <c r="K2123" s="1">
        <f t="shared" si="33"/>
        <v>2022</v>
      </c>
    </row>
    <row r="2124" spans="2:11" x14ac:dyDescent="0.45">
      <c r="B2124" s="1" t="s">
        <v>11</v>
      </c>
      <c r="C2124" s="1" t="s">
        <v>2122</v>
      </c>
      <c r="D2124" s="7">
        <v>44587</v>
      </c>
      <c r="E2124" s="7">
        <v>44609</v>
      </c>
      <c r="F2124" s="7">
        <v>44764</v>
      </c>
      <c r="G2124" s="1" t="s">
        <v>13</v>
      </c>
      <c r="H2124" s="8">
        <v>390574.36</v>
      </c>
      <c r="I2124" s="8">
        <v>355790.26</v>
      </c>
      <c r="J2124" s="1">
        <f>IF(COUNTIF($C$4:C2124,C2124)=1,1,0)</f>
        <v>1</v>
      </c>
      <c r="K2124" s="1">
        <f t="shared" si="33"/>
        <v>2022</v>
      </c>
    </row>
    <row r="2125" spans="2:11" x14ac:dyDescent="0.45">
      <c r="B2125" s="1" t="s">
        <v>11</v>
      </c>
      <c r="C2125" s="1" t="s">
        <v>2123</v>
      </c>
      <c r="D2125" s="7">
        <v>45611</v>
      </c>
      <c r="E2125" s="7">
        <v>45620</v>
      </c>
      <c r="F2125" s="7">
        <v>45817</v>
      </c>
      <c r="G2125" s="1" t="s">
        <v>16</v>
      </c>
      <c r="H2125" s="8">
        <v>1373151.9</v>
      </c>
      <c r="I2125" s="8">
        <v>927444.91</v>
      </c>
      <c r="J2125" s="1">
        <f>IF(COUNTIF($C$4:C2125,C2125)=1,1,0)</f>
        <v>1</v>
      </c>
      <c r="K2125" s="1">
        <f t="shared" si="33"/>
        <v>2024</v>
      </c>
    </row>
    <row r="2126" spans="2:11" x14ac:dyDescent="0.45">
      <c r="B2126" s="1" t="s">
        <v>11</v>
      </c>
      <c r="C2126" s="1" t="s">
        <v>2124</v>
      </c>
      <c r="D2126" s="7">
        <v>45701</v>
      </c>
      <c r="E2126" s="7">
        <v>45726</v>
      </c>
      <c r="F2126" s="7">
        <v>45857</v>
      </c>
      <c r="G2126" s="1" t="s">
        <v>41</v>
      </c>
      <c r="H2126" s="8">
        <v>363081.3</v>
      </c>
      <c r="I2126" s="8">
        <v>276879.78000000003</v>
      </c>
      <c r="J2126" s="1">
        <f>IF(COUNTIF($C$4:C2126,C2126)=1,1,0)</f>
        <v>1</v>
      </c>
      <c r="K2126" s="1">
        <f t="shared" si="33"/>
        <v>2025</v>
      </c>
    </row>
    <row r="2127" spans="2:11" x14ac:dyDescent="0.45">
      <c r="B2127" s="1" t="s">
        <v>11</v>
      </c>
      <c r="C2127" s="1" t="s">
        <v>2125</v>
      </c>
      <c r="D2127" s="7">
        <v>45530</v>
      </c>
      <c r="E2127" s="7">
        <v>45558</v>
      </c>
      <c r="F2127" s="7">
        <v>45785</v>
      </c>
      <c r="G2127" s="1" t="s">
        <v>38</v>
      </c>
      <c r="H2127" s="8">
        <v>2579511.19</v>
      </c>
      <c r="I2127" s="8">
        <v>1688894.29</v>
      </c>
      <c r="J2127" s="1">
        <f>IF(COUNTIF($C$4:C2127,C2127)=1,1,0)</f>
        <v>1</v>
      </c>
      <c r="K2127" s="1">
        <f t="shared" si="33"/>
        <v>2024</v>
      </c>
    </row>
    <row r="2128" spans="2:11" x14ac:dyDescent="0.45">
      <c r="B2128" s="1" t="s">
        <v>11</v>
      </c>
      <c r="C2128" s="1" t="s">
        <v>2126</v>
      </c>
      <c r="D2128" s="7">
        <v>43590</v>
      </c>
      <c r="E2128" s="7">
        <v>43590</v>
      </c>
      <c r="F2128" s="7">
        <v>43747</v>
      </c>
      <c r="G2128" s="1" t="s">
        <v>212</v>
      </c>
      <c r="H2128" s="8">
        <v>4602362.22</v>
      </c>
      <c r="I2128" s="8">
        <v>2432307.4700000002</v>
      </c>
      <c r="J2128" s="1">
        <f>IF(COUNTIF($C$4:C2128,C2128)=1,1,0)</f>
        <v>1</v>
      </c>
      <c r="K2128" s="1">
        <f t="shared" si="33"/>
        <v>2019</v>
      </c>
    </row>
    <row r="2129" spans="2:11" x14ac:dyDescent="0.45">
      <c r="B2129" s="1" t="s">
        <v>11</v>
      </c>
      <c r="C2129" s="1" t="s">
        <v>2127</v>
      </c>
      <c r="D2129" s="7">
        <v>43371</v>
      </c>
      <c r="E2129" s="7">
        <v>43378</v>
      </c>
      <c r="F2129" s="7">
        <v>43401</v>
      </c>
      <c r="G2129" s="1" t="s">
        <v>212</v>
      </c>
      <c r="H2129" s="8">
        <v>9895401.2400000002</v>
      </c>
      <c r="I2129" s="8">
        <v>4723727.58</v>
      </c>
      <c r="J2129" s="1">
        <f>IF(COUNTIF($C$4:C2129,C2129)=1,1,0)</f>
        <v>1</v>
      </c>
      <c r="K2129" s="1">
        <f t="shared" si="33"/>
        <v>2018</v>
      </c>
    </row>
    <row r="2130" spans="2:11" x14ac:dyDescent="0.45">
      <c r="B2130" s="1" t="s">
        <v>11</v>
      </c>
      <c r="C2130" s="1" t="s">
        <v>2128</v>
      </c>
      <c r="D2130" s="7">
        <v>46108</v>
      </c>
      <c r="E2130" s="7">
        <v>46122</v>
      </c>
      <c r="F2130" s="7">
        <v>46300</v>
      </c>
      <c r="G2130" s="1" t="s">
        <v>38</v>
      </c>
      <c r="H2130" s="8">
        <v>661934.71</v>
      </c>
      <c r="I2130" s="8">
        <v>530057.75</v>
      </c>
      <c r="J2130" s="1">
        <f>IF(COUNTIF($C$4:C2130,C2130)=1,1,0)</f>
        <v>1</v>
      </c>
      <c r="K2130" s="1">
        <f t="shared" si="33"/>
        <v>2026</v>
      </c>
    </row>
    <row r="2131" spans="2:11" x14ac:dyDescent="0.45">
      <c r="B2131" s="1" t="s">
        <v>11</v>
      </c>
      <c r="C2131" s="1" t="s">
        <v>2129</v>
      </c>
      <c r="D2131" s="7">
        <v>43569</v>
      </c>
      <c r="E2131" s="7">
        <v>43574</v>
      </c>
      <c r="F2131" s="7">
        <v>43667</v>
      </c>
      <c r="G2131" s="1" t="s">
        <v>22</v>
      </c>
      <c r="H2131" s="8">
        <v>6362113.5199999996</v>
      </c>
      <c r="I2131" s="8">
        <v>4493170.99</v>
      </c>
      <c r="J2131" s="1">
        <f>IF(COUNTIF($C$4:C2131,C2131)=1,1,0)</f>
        <v>1</v>
      </c>
      <c r="K2131" s="1">
        <f t="shared" si="33"/>
        <v>2019</v>
      </c>
    </row>
    <row r="2132" spans="2:11" x14ac:dyDescent="0.45">
      <c r="B2132" s="1" t="s">
        <v>11</v>
      </c>
      <c r="C2132" s="1" t="s">
        <v>2130</v>
      </c>
      <c r="D2132" s="7">
        <v>45344</v>
      </c>
      <c r="E2132" s="7">
        <v>45350</v>
      </c>
      <c r="F2132" s="7">
        <v>45533</v>
      </c>
      <c r="G2132" s="1" t="s">
        <v>20</v>
      </c>
      <c r="H2132" s="8">
        <v>1239121.4099999999</v>
      </c>
      <c r="I2132" s="8">
        <v>883756.29</v>
      </c>
      <c r="J2132" s="1">
        <f>IF(COUNTIF($C$4:C2132,C2132)=1,1,0)</f>
        <v>1</v>
      </c>
      <c r="K2132" s="1">
        <f t="shared" si="33"/>
        <v>2024</v>
      </c>
    </row>
    <row r="2133" spans="2:11" x14ac:dyDescent="0.45">
      <c r="B2133" s="1" t="s">
        <v>11</v>
      </c>
      <c r="C2133" s="1" t="s">
        <v>2131</v>
      </c>
      <c r="D2133" s="7">
        <v>44833</v>
      </c>
      <c r="E2133" s="7">
        <v>44862</v>
      </c>
      <c r="F2133" s="7">
        <v>44932</v>
      </c>
      <c r="G2133" s="1" t="s">
        <v>13</v>
      </c>
      <c r="H2133" s="8">
        <v>222170.93</v>
      </c>
      <c r="I2133" s="8">
        <v>149882.87</v>
      </c>
      <c r="J2133" s="1">
        <f>IF(COUNTIF($C$4:C2133,C2133)=1,1,0)</f>
        <v>1</v>
      </c>
      <c r="K2133" s="1">
        <f t="shared" si="33"/>
        <v>2022</v>
      </c>
    </row>
    <row r="2134" spans="2:11" x14ac:dyDescent="0.45">
      <c r="B2134" s="1" t="s">
        <v>11</v>
      </c>
      <c r="C2134" s="1" t="s">
        <v>2132</v>
      </c>
      <c r="D2134" s="7">
        <v>45251</v>
      </c>
      <c r="E2134" s="7">
        <v>45263</v>
      </c>
      <c r="F2134" s="7">
        <v>45333</v>
      </c>
      <c r="G2134" s="1" t="s">
        <v>22</v>
      </c>
      <c r="H2134" s="8">
        <v>4030661.19</v>
      </c>
      <c r="I2134" s="8">
        <v>2761078.56</v>
      </c>
      <c r="J2134" s="1">
        <f>IF(COUNTIF($C$4:C2134,C2134)=1,1,0)</f>
        <v>1</v>
      </c>
      <c r="K2134" s="1">
        <f t="shared" si="33"/>
        <v>2023</v>
      </c>
    </row>
    <row r="2135" spans="2:11" x14ac:dyDescent="0.45">
      <c r="B2135" s="1" t="s">
        <v>11</v>
      </c>
      <c r="C2135" s="1" t="s">
        <v>2133</v>
      </c>
      <c r="D2135" s="7">
        <v>45445</v>
      </c>
      <c r="E2135" s="7">
        <v>45449</v>
      </c>
      <c r="F2135" s="7">
        <v>45620</v>
      </c>
      <c r="G2135" s="1" t="s">
        <v>212</v>
      </c>
      <c r="H2135" s="8">
        <v>10341411.5</v>
      </c>
      <c r="I2135" s="8">
        <v>5947503.4500000002</v>
      </c>
      <c r="J2135" s="1">
        <f>IF(COUNTIF($C$4:C2135,C2135)=1,1,0)</f>
        <v>1</v>
      </c>
      <c r="K2135" s="1">
        <f t="shared" si="33"/>
        <v>2024</v>
      </c>
    </row>
    <row r="2136" spans="2:11" x14ac:dyDescent="0.45">
      <c r="B2136" s="1" t="s">
        <v>11</v>
      </c>
      <c r="C2136" s="1" t="s">
        <v>2134</v>
      </c>
      <c r="D2136" s="7">
        <v>45037</v>
      </c>
      <c r="E2136" s="7">
        <v>45046</v>
      </c>
      <c r="F2136" s="7">
        <v>45106</v>
      </c>
      <c r="G2136" s="1" t="s">
        <v>16</v>
      </c>
      <c r="H2136" s="8">
        <v>8518352.5399999991</v>
      </c>
      <c r="I2136" s="8">
        <v>6669213.3099999996</v>
      </c>
      <c r="J2136" s="1">
        <f>IF(COUNTIF($C$4:C2136,C2136)=1,1,0)</f>
        <v>1</v>
      </c>
      <c r="K2136" s="1">
        <f t="shared" si="33"/>
        <v>2023</v>
      </c>
    </row>
    <row r="2137" spans="2:11" x14ac:dyDescent="0.45">
      <c r="B2137" s="1" t="s">
        <v>11</v>
      </c>
      <c r="C2137" s="1" t="s">
        <v>2135</v>
      </c>
      <c r="D2137" s="7">
        <v>43758</v>
      </c>
      <c r="E2137" s="7">
        <v>43773</v>
      </c>
      <c r="F2137" s="7">
        <v>43813</v>
      </c>
      <c r="G2137" s="1" t="s">
        <v>22</v>
      </c>
      <c r="H2137" s="8">
        <v>3747573.47</v>
      </c>
      <c r="I2137" s="8">
        <v>1483812.25</v>
      </c>
      <c r="J2137" s="1">
        <f>IF(COUNTIF($C$4:C2137,C2137)=1,1,0)</f>
        <v>1</v>
      </c>
      <c r="K2137" s="1">
        <f t="shared" si="33"/>
        <v>2019</v>
      </c>
    </row>
    <row r="2138" spans="2:11" x14ac:dyDescent="0.45">
      <c r="B2138" s="1" t="s">
        <v>11</v>
      </c>
      <c r="C2138" s="1" t="s">
        <v>2136</v>
      </c>
      <c r="D2138" s="7">
        <v>45832</v>
      </c>
      <c r="E2138" s="7">
        <v>45854</v>
      </c>
      <c r="F2138" s="7">
        <v>45924</v>
      </c>
      <c r="G2138" s="1" t="s">
        <v>20</v>
      </c>
      <c r="H2138" s="8">
        <v>787885.99</v>
      </c>
      <c r="I2138" s="8">
        <v>530625.32999999996</v>
      </c>
      <c r="J2138" s="1">
        <f>IF(COUNTIF($C$4:C2138,C2138)=1,1,0)</f>
        <v>1</v>
      </c>
      <c r="K2138" s="1">
        <f t="shared" si="33"/>
        <v>2025</v>
      </c>
    </row>
    <row r="2139" spans="2:11" x14ac:dyDescent="0.45">
      <c r="B2139" s="1" t="s">
        <v>11</v>
      </c>
      <c r="C2139" s="1" t="s">
        <v>2137</v>
      </c>
      <c r="D2139" s="7">
        <v>45313</v>
      </c>
      <c r="E2139" s="7">
        <v>45316</v>
      </c>
      <c r="F2139" s="7">
        <v>45437</v>
      </c>
      <c r="G2139" s="1" t="s">
        <v>22</v>
      </c>
      <c r="H2139" s="8">
        <v>61271726.950000003</v>
      </c>
      <c r="I2139" s="8">
        <v>41059551.57</v>
      </c>
      <c r="J2139" s="1">
        <f>IF(COUNTIF($C$4:C2139,C2139)=1,1,0)</f>
        <v>1</v>
      </c>
      <c r="K2139" s="1">
        <f t="shared" si="33"/>
        <v>2024</v>
      </c>
    </row>
    <row r="2140" spans="2:11" x14ac:dyDescent="0.45">
      <c r="B2140" s="1" t="s">
        <v>11</v>
      </c>
      <c r="C2140" s="1" t="s">
        <v>2138</v>
      </c>
      <c r="D2140" s="7">
        <v>43659</v>
      </c>
      <c r="E2140" s="7">
        <v>43689</v>
      </c>
      <c r="F2140" s="7">
        <v>43832</v>
      </c>
      <c r="G2140" s="1" t="s">
        <v>13</v>
      </c>
      <c r="H2140" s="8">
        <v>704067.17</v>
      </c>
      <c r="I2140" s="8">
        <v>587035.72</v>
      </c>
      <c r="J2140" s="1">
        <f>IF(COUNTIF($C$4:C2140,C2140)=1,1,0)</f>
        <v>1</v>
      </c>
      <c r="K2140" s="1">
        <f t="shared" si="33"/>
        <v>2019</v>
      </c>
    </row>
    <row r="2141" spans="2:11" x14ac:dyDescent="0.45">
      <c r="B2141" s="1" t="s">
        <v>11</v>
      </c>
      <c r="C2141" s="1" t="s">
        <v>2139</v>
      </c>
      <c r="D2141" s="7">
        <v>44945</v>
      </c>
      <c r="E2141" s="7">
        <v>44964</v>
      </c>
      <c r="F2141" s="7">
        <v>44978</v>
      </c>
      <c r="G2141" s="1" t="s">
        <v>212</v>
      </c>
      <c r="H2141" s="8">
        <v>43810388.189999998</v>
      </c>
      <c r="I2141" s="8">
        <v>20039888.43</v>
      </c>
      <c r="J2141" s="1">
        <f>IF(COUNTIF($C$4:C2141,C2141)=1,1,0)</f>
        <v>1</v>
      </c>
      <c r="K2141" s="1">
        <f t="shared" si="33"/>
        <v>2023</v>
      </c>
    </row>
    <row r="2142" spans="2:11" x14ac:dyDescent="0.45">
      <c r="B2142" s="1" t="s">
        <v>11</v>
      </c>
      <c r="C2142" s="1" t="s">
        <v>2140</v>
      </c>
      <c r="D2142" s="7">
        <v>45173</v>
      </c>
      <c r="E2142" s="7">
        <v>45186</v>
      </c>
      <c r="F2142" s="7">
        <v>45259</v>
      </c>
      <c r="G2142" s="1" t="s">
        <v>41</v>
      </c>
      <c r="H2142" s="8">
        <v>827960.01</v>
      </c>
      <c r="I2142" s="8">
        <v>686527.95</v>
      </c>
      <c r="J2142" s="1">
        <f>IF(COUNTIF($C$4:C2142,C2142)=1,1,0)</f>
        <v>1</v>
      </c>
      <c r="K2142" s="1">
        <f t="shared" si="33"/>
        <v>2023</v>
      </c>
    </row>
    <row r="2143" spans="2:11" x14ac:dyDescent="0.45">
      <c r="B2143" s="1" t="s">
        <v>11</v>
      </c>
      <c r="C2143" s="1" t="s">
        <v>2141</v>
      </c>
      <c r="D2143" s="7">
        <v>45500</v>
      </c>
      <c r="E2143" s="7">
        <v>45506</v>
      </c>
      <c r="F2143" s="7">
        <v>45657</v>
      </c>
      <c r="G2143" s="1" t="s">
        <v>38</v>
      </c>
      <c r="H2143" s="8">
        <v>300260.88</v>
      </c>
      <c r="I2143" s="8">
        <v>247117.8</v>
      </c>
      <c r="J2143" s="1">
        <f>IF(COUNTIF($C$4:C2143,C2143)=1,1,0)</f>
        <v>1</v>
      </c>
      <c r="K2143" s="1">
        <f t="shared" si="33"/>
        <v>2024</v>
      </c>
    </row>
    <row r="2144" spans="2:11" x14ac:dyDescent="0.45">
      <c r="B2144" s="1" t="s">
        <v>11</v>
      </c>
      <c r="C2144" s="1" t="s">
        <v>2142</v>
      </c>
      <c r="D2144" s="7">
        <v>43993</v>
      </c>
      <c r="E2144" s="7">
        <v>44001</v>
      </c>
      <c r="F2144" s="7">
        <v>44117</v>
      </c>
      <c r="G2144" s="1" t="s">
        <v>16</v>
      </c>
      <c r="H2144" s="8">
        <v>3241906.49</v>
      </c>
      <c r="I2144" s="8">
        <v>2438905.25</v>
      </c>
      <c r="J2144" s="1">
        <f>IF(COUNTIF($C$4:C2144,C2144)=1,1,0)</f>
        <v>1</v>
      </c>
      <c r="K2144" s="1">
        <f t="shared" si="33"/>
        <v>2020</v>
      </c>
    </row>
    <row r="2145" spans="2:11" x14ac:dyDescent="0.45">
      <c r="B2145" s="1" t="s">
        <v>11</v>
      </c>
      <c r="C2145" s="1" t="s">
        <v>2143</v>
      </c>
      <c r="D2145" s="7">
        <v>43880</v>
      </c>
      <c r="E2145" s="7">
        <v>43893</v>
      </c>
      <c r="F2145" s="7">
        <v>44122</v>
      </c>
      <c r="G2145" s="1" t="s">
        <v>20</v>
      </c>
      <c r="H2145" s="8">
        <v>247290.43</v>
      </c>
      <c r="I2145" s="8">
        <v>137791.9</v>
      </c>
      <c r="J2145" s="1">
        <f>IF(COUNTIF($C$4:C2145,C2145)=1,1,0)</f>
        <v>1</v>
      </c>
      <c r="K2145" s="1">
        <f t="shared" si="33"/>
        <v>2020</v>
      </c>
    </row>
    <row r="2146" spans="2:11" x14ac:dyDescent="0.45">
      <c r="B2146" s="1" t="s">
        <v>11</v>
      </c>
      <c r="C2146" s="1" t="s">
        <v>2144</v>
      </c>
      <c r="D2146" s="7">
        <v>44345</v>
      </c>
      <c r="E2146" s="7">
        <v>44349</v>
      </c>
      <c r="F2146" s="7">
        <v>44393</v>
      </c>
      <c r="G2146" s="1" t="s">
        <v>22</v>
      </c>
      <c r="H2146" s="8">
        <v>20791833.039999999</v>
      </c>
      <c r="I2146" s="8">
        <v>11358708.880000001</v>
      </c>
      <c r="J2146" s="1">
        <f>IF(COUNTIF($C$4:C2146,C2146)=1,1,0)</f>
        <v>1</v>
      </c>
      <c r="K2146" s="1">
        <f t="shared" si="33"/>
        <v>2021</v>
      </c>
    </row>
    <row r="2147" spans="2:11" x14ac:dyDescent="0.45">
      <c r="B2147" s="1" t="s">
        <v>11</v>
      </c>
      <c r="C2147" s="1" t="s">
        <v>2145</v>
      </c>
      <c r="D2147" s="7">
        <v>45454</v>
      </c>
      <c r="E2147" s="7">
        <v>45455</v>
      </c>
      <c r="F2147" s="7">
        <v>45583</v>
      </c>
      <c r="G2147" s="1" t="s">
        <v>38</v>
      </c>
      <c r="H2147" s="8">
        <v>1574716.6</v>
      </c>
      <c r="I2147" s="8">
        <v>1247741.05</v>
      </c>
      <c r="J2147" s="1">
        <f>IF(COUNTIF($C$4:C2147,C2147)=1,1,0)</f>
        <v>1</v>
      </c>
      <c r="K2147" s="1">
        <f t="shared" si="33"/>
        <v>2024</v>
      </c>
    </row>
    <row r="2148" spans="2:11" x14ac:dyDescent="0.45">
      <c r="B2148" s="1" t="s">
        <v>11</v>
      </c>
      <c r="C2148" s="1" t="s">
        <v>2146</v>
      </c>
      <c r="D2148" s="7">
        <v>44326</v>
      </c>
      <c r="E2148" s="7">
        <v>44329</v>
      </c>
      <c r="F2148" s="7">
        <v>44399</v>
      </c>
      <c r="G2148" s="1" t="s">
        <v>41</v>
      </c>
      <c r="H2148" s="8">
        <v>490882.6</v>
      </c>
      <c r="I2148" s="8">
        <v>400435.16</v>
      </c>
      <c r="J2148" s="1">
        <f>IF(COUNTIF($C$4:C2148,C2148)=1,1,0)</f>
        <v>1</v>
      </c>
      <c r="K2148" s="1">
        <f t="shared" si="33"/>
        <v>2021</v>
      </c>
    </row>
    <row r="2149" spans="2:11" x14ac:dyDescent="0.45">
      <c r="B2149" s="1" t="s">
        <v>11</v>
      </c>
      <c r="C2149" s="1" t="s">
        <v>2147</v>
      </c>
      <c r="D2149" s="7">
        <v>45798</v>
      </c>
      <c r="E2149" s="7">
        <v>45810</v>
      </c>
      <c r="F2149" s="7">
        <v>45929</v>
      </c>
      <c r="G2149" s="1" t="s">
        <v>38</v>
      </c>
      <c r="H2149" s="8">
        <v>424900.13</v>
      </c>
      <c r="I2149" s="8">
        <v>359024.56</v>
      </c>
      <c r="J2149" s="1">
        <f>IF(COUNTIF($C$4:C2149,C2149)=1,1,0)</f>
        <v>1</v>
      </c>
      <c r="K2149" s="1">
        <f t="shared" si="33"/>
        <v>2025</v>
      </c>
    </row>
    <row r="2150" spans="2:11" x14ac:dyDescent="0.45">
      <c r="B2150" s="1" t="s">
        <v>11</v>
      </c>
      <c r="C2150" s="1" t="s">
        <v>2148</v>
      </c>
      <c r="D2150" s="7">
        <v>45969</v>
      </c>
      <c r="E2150" s="7">
        <v>45992</v>
      </c>
      <c r="F2150" s="7">
        <v>46040</v>
      </c>
      <c r="G2150" s="1" t="s">
        <v>20</v>
      </c>
      <c r="H2150" s="8">
        <v>234308.59</v>
      </c>
      <c r="I2150" s="8">
        <v>136024.91</v>
      </c>
      <c r="J2150" s="1">
        <f>IF(COUNTIF($C$4:C2150,C2150)=1,1,0)</f>
        <v>1</v>
      </c>
      <c r="K2150" s="1">
        <f t="shared" si="33"/>
        <v>2025</v>
      </c>
    </row>
    <row r="2151" spans="2:11" x14ac:dyDescent="0.45">
      <c r="B2151" s="1" t="s">
        <v>11</v>
      </c>
      <c r="C2151" s="1" t="s">
        <v>2149</v>
      </c>
      <c r="D2151" s="7">
        <v>45303</v>
      </c>
      <c r="E2151" s="7">
        <v>45320</v>
      </c>
      <c r="F2151" s="7">
        <v>45371</v>
      </c>
      <c r="G2151" s="1" t="s">
        <v>41</v>
      </c>
      <c r="H2151" s="8">
        <v>61960.58</v>
      </c>
      <c r="I2151" s="8">
        <v>47400.26</v>
      </c>
      <c r="J2151" s="1">
        <f>IF(COUNTIF($C$4:C2151,C2151)=1,1,0)</f>
        <v>1</v>
      </c>
      <c r="K2151" s="1">
        <f t="shared" si="33"/>
        <v>2024</v>
      </c>
    </row>
    <row r="2152" spans="2:11" x14ac:dyDescent="0.45">
      <c r="B2152" s="1" t="s">
        <v>11</v>
      </c>
      <c r="C2152" s="1" t="s">
        <v>2150</v>
      </c>
      <c r="D2152" s="7">
        <v>45882</v>
      </c>
      <c r="E2152" s="7">
        <v>45893</v>
      </c>
      <c r="F2152" s="7">
        <v>46116</v>
      </c>
      <c r="G2152" s="1" t="s">
        <v>13</v>
      </c>
      <c r="H2152" s="8">
        <v>317785.88</v>
      </c>
      <c r="I2152" s="8">
        <v>232486.97</v>
      </c>
      <c r="J2152" s="1">
        <f>IF(COUNTIF($C$4:C2152,C2152)=1,1,0)</f>
        <v>1</v>
      </c>
      <c r="K2152" s="1">
        <f t="shared" si="33"/>
        <v>2025</v>
      </c>
    </row>
    <row r="2153" spans="2:11" x14ac:dyDescent="0.45">
      <c r="B2153" s="1" t="s">
        <v>11</v>
      </c>
      <c r="C2153" s="1" t="s">
        <v>2151</v>
      </c>
      <c r="D2153" s="7">
        <v>43978</v>
      </c>
      <c r="E2153" s="7">
        <v>43992</v>
      </c>
      <c r="F2153" s="7">
        <v>44046</v>
      </c>
      <c r="G2153" s="1" t="s">
        <v>212</v>
      </c>
      <c r="H2153" s="8">
        <v>11573820.83</v>
      </c>
      <c r="I2153" s="8">
        <v>7745027.5899999999</v>
      </c>
      <c r="J2153" s="1">
        <f>IF(COUNTIF($C$4:C2153,C2153)=1,1,0)</f>
        <v>1</v>
      </c>
      <c r="K2153" s="1">
        <f t="shared" si="33"/>
        <v>2020</v>
      </c>
    </row>
    <row r="2154" spans="2:11" x14ac:dyDescent="0.45">
      <c r="B2154" s="1" t="s">
        <v>11</v>
      </c>
      <c r="C2154" s="1" t="s">
        <v>2152</v>
      </c>
      <c r="D2154" s="7">
        <v>44391</v>
      </c>
      <c r="E2154" s="7">
        <v>44417</v>
      </c>
      <c r="F2154" s="7">
        <v>44640</v>
      </c>
      <c r="G2154" s="1" t="s">
        <v>18</v>
      </c>
      <c r="H2154" s="8">
        <v>355029.26</v>
      </c>
      <c r="I2154" s="8">
        <v>258916.29</v>
      </c>
      <c r="J2154" s="1">
        <f>IF(COUNTIF($C$4:C2154,C2154)=1,1,0)</f>
        <v>1</v>
      </c>
      <c r="K2154" s="1">
        <f t="shared" si="33"/>
        <v>2021</v>
      </c>
    </row>
    <row r="2155" spans="2:11" x14ac:dyDescent="0.45">
      <c r="B2155" s="1" t="s">
        <v>11</v>
      </c>
      <c r="C2155" s="1" t="s">
        <v>2153</v>
      </c>
      <c r="D2155" s="7">
        <v>46172</v>
      </c>
      <c r="E2155" s="7">
        <v>46195</v>
      </c>
      <c r="F2155" s="7">
        <v>46218</v>
      </c>
      <c r="G2155" s="1" t="s">
        <v>38</v>
      </c>
      <c r="H2155" s="8">
        <v>1294933.26</v>
      </c>
      <c r="I2155" s="8">
        <v>1056347.31</v>
      </c>
      <c r="J2155" s="1">
        <f>IF(COUNTIF($C$4:C2155,C2155)=1,1,0)</f>
        <v>1</v>
      </c>
      <c r="K2155" s="1">
        <f t="shared" si="33"/>
        <v>2026</v>
      </c>
    </row>
    <row r="2156" spans="2:11" x14ac:dyDescent="0.45">
      <c r="B2156" s="1" t="s">
        <v>11</v>
      </c>
      <c r="C2156" s="1" t="s">
        <v>2154</v>
      </c>
      <c r="D2156" s="7">
        <v>45731</v>
      </c>
      <c r="E2156" s="7">
        <v>45734</v>
      </c>
      <c r="F2156" s="7">
        <v>45814</v>
      </c>
      <c r="G2156" s="1" t="s">
        <v>212</v>
      </c>
      <c r="H2156" s="8">
        <v>31654966.43</v>
      </c>
      <c r="I2156" s="8">
        <v>21425996.440000001</v>
      </c>
      <c r="J2156" s="1">
        <f>IF(COUNTIF($C$4:C2156,C2156)=1,1,0)</f>
        <v>1</v>
      </c>
      <c r="K2156" s="1">
        <f t="shared" si="33"/>
        <v>2025</v>
      </c>
    </row>
    <row r="2157" spans="2:11" x14ac:dyDescent="0.45">
      <c r="B2157" s="1" t="s">
        <v>11</v>
      </c>
      <c r="C2157" s="1" t="s">
        <v>2155</v>
      </c>
      <c r="D2157" s="7">
        <v>45003</v>
      </c>
      <c r="E2157" s="7">
        <v>45006</v>
      </c>
      <c r="F2157" s="7">
        <v>45019</v>
      </c>
      <c r="G2157" s="1" t="s">
        <v>22</v>
      </c>
      <c r="H2157" s="8">
        <v>70974930.280000001</v>
      </c>
      <c r="I2157" s="8">
        <v>50658524.840000004</v>
      </c>
      <c r="J2157" s="1">
        <f>IF(COUNTIF($C$4:C2157,C2157)=1,1,0)</f>
        <v>1</v>
      </c>
      <c r="K2157" s="1">
        <f t="shared" si="33"/>
        <v>2023</v>
      </c>
    </row>
    <row r="2158" spans="2:11" x14ac:dyDescent="0.45">
      <c r="B2158" s="1" t="s">
        <v>11</v>
      </c>
      <c r="C2158" s="1" t="s">
        <v>2156</v>
      </c>
      <c r="D2158" s="7">
        <v>45376</v>
      </c>
      <c r="E2158" s="7">
        <v>45395</v>
      </c>
      <c r="F2158" s="7">
        <v>45557</v>
      </c>
      <c r="G2158" s="1" t="s">
        <v>16</v>
      </c>
      <c r="H2158" s="8">
        <v>2393811</v>
      </c>
      <c r="I2158" s="8">
        <v>1593377.74</v>
      </c>
      <c r="J2158" s="1">
        <f>IF(COUNTIF($C$4:C2158,C2158)=1,1,0)</f>
        <v>1</v>
      </c>
      <c r="K2158" s="1">
        <f t="shared" si="33"/>
        <v>2024</v>
      </c>
    </row>
    <row r="2159" spans="2:11" x14ac:dyDescent="0.45">
      <c r="B2159" s="1" t="s">
        <v>11</v>
      </c>
      <c r="C2159" s="1" t="s">
        <v>2157</v>
      </c>
      <c r="D2159" s="7">
        <v>44642</v>
      </c>
      <c r="E2159" s="7">
        <v>44671</v>
      </c>
      <c r="F2159" s="7">
        <v>44825</v>
      </c>
      <c r="G2159" s="1" t="s">
        <v>41</v>
      </c>
      <c r="H2159" s="8">
        <v>33502.160000000003</v>
      </c>
      <c r="I2159" s="8">
        <v>27625.119999999999</v>
      </c>
      <c r="J2159" s="1">
        <f>IF(COUNTIF($C$4:C2159,C2159)=1,1,0)</f>
        <v>1</v>
      </c>
      <c r="K2159" s="1">
        <f t="shared" si="33"/>
        <v>2022</v>
      </c>
    </row>
    <row r="2160" spans="2:11" x14ac:dyDescent="0.45">
      <c r="B2160" s="1" t="s">
        <v>11</v>
      </c>
      <c r="C2160" s="1" t="s">
        <v>2158</v>
      </c>
      <c r="D2160" s="7">
        <v>45700</v>
      </c>
      <c r="E2160" s="7">
        <v>45724</v>
      </c>
      <c r="F2160" s="7">
        <v>45879</v>
      </c>
      <c r="G2160" s="1" t="s">
        <v>38</v>
      </c>
      <c r="H2160" s="8">
        <v>198133.35</v>
      </c>
      <c r="I2160" s="8">
        <v>130318.48</v>
      </c>
      <c r="J2160" s="1">
        <f>IF(COUNTIF($C$4:C2160,C2160)=1,1,0)</f>
        <v>1</v>
      </c>
      <c r="K2160" s="1">
        <f t="shared" si="33"/>
        <v>2025</v>
      </c>
    </row>
    <row r="2161" spans="2:11" x14ac:dyDescent="0.45">
      <c r="B2161" s="1" t="s">
        <v>11</v>
      </c>
      <c r="C2161" s="1" t="s">
        <v>2159</v>
      </c>
      <c r="D2161" s="7">
        <v>43951</v>
      </c>
      <c r="E2161" s="7">
        <v>43966</v>
      </c>
      <c r="F2161" s="7">
        <v>44136</v>
      </c>
      <c r="G2161" s="1" t="s">
        <v>20</v>
      </c>
      <c r="H2161" s="8">
        <v>810842.94</v>
      </c>
      <c r="I2161" s="8">
        <v>492332.34</v>
      </c>
      <c r="J2161" s="1">
        <f>IF(COUNTIF($C$4:C2161,C2161)=1,1,0)</f>
        <v>1</v>
      </c>
      <c r="K2161" s="1">
        <f t="shared" si="33"/>
        <v>2020</v>
      </c>
    </row>
    <row r="2162" spans="2:11" x14ac:dyDescent="0.45">
      <c r="B2162" s="1" t="s">
        <v>11</v>
      </c>
      <c r="C2162" s="1" t="s">
        <v>2160</v>
      </c>
      <c r="D2162" s="7">
        <v>45931</v>
      </c>
      <c r="E2162" s="7">
        <v>45933</v>
      </c>
      <c r="F2162" s="7">
        <v>45975</v>
      </c>
      <c r="G2162" s="1" t="s">
        <v>41</v>
      </c>
      <c r="H2162" s="8">
        <v>505461.25</v>
      </c>
      <c r="I2162" s="8">
        <v>405772.94</v>
      </c>
      <c r="J2162" s="1">
        <f>IF(COUNTIF($C$4:C2162,C2162)=1,1,0)</f>
        <v>1</v>
      </c>
      <c r="K2162" s="1">
        <f t="shared" si="33"/>
        <v>2025</v>
      </c>
    </row>
    <row r="2163" spans="2:11" x14ac:dyDescent="0.45">
      <c r="B2163" s="1" t="s">
        <v>11</v>
      </c>
      <c r="C2163" s="1" t="s">
        <v>2161</v>
      </c>
      <c r="D2163" s="7">
        <v>45232</v>
      </c>
      <c r="E2163" s="7">
        <v>45251</v>
      </c>
      <c r="F2163" s="7">
        <v>45329</v>
      </c>
      <c r="G2163" s="1" t="s">
        <v>20</v>
      </c>
      <c r="H2163" s="8">
        <v>988494.9</v>
      </c>
      <c r="I2163" s="8">
        <v>587487.15</v>
      </c>
      <c r="J2163" s="1">
        <f>IF(COUNTIF($C$4:C2163,C2163)=1,1,0)</f>
        <v>1</v>
      </c>
      <c r="K2163" s="1">
        <f t="shared" si="33"/>
        <v>2023</v>
      </c>
    </row>
    <row r="2164" spans="2:11" x14ac:dyDescent="0.45">
      <c r="B2164" s="1" t="s">
        <v>11</v>
      </c>
      <c r="C2164" s="1" t="s">
        <v>2162</v>
      </c>
      <c r="D2164" s="7">
        <v>45426</v>
      </c>
      <c r="E2164" s="7">
        <v>45437</v>
      </c>
      <c r="F2164" s="7">
        <v>45572</v>
      </c>
      <c r="G2164" s="1" t="s">
        <v>20</v>
      </c>
      <c r="H2164" s="8">
        <v>101172478.81</v>
      </c>
      <c r="I2164" s="8">
        <v>44778208.810000002</v>
      </c>
      <c r="J2164" s="1">
        <f>IF(COUNTIF($C$4:C2164,C2164)=1,1,0)</f>
        <v>1</v>
      </c>
      <c r="K2164" s="1">
        <f t="shared" si="33"/>
        <v>2024</v>
      </c>
    </row>
    <row r="2165" spans="2:11" x14ac:dyDescent="0.45">
      <c r="B2165" s="1" t="s">
        <v>11</v>
      </c>
      <c r="C2165" s="1" t="s">
        <v>2163</v>
      </c>
      <c r="D2165" s="7">
        <v>44544</v>
      </c>
      <c r="E2165" s="7">
        <v>44557</v>
      </c>
      <c r="F2165" s="7">
        <v>44693</v>
      </c>
      <c r="G2165" s="1" t="s">
        <v>20</v>
      </c>
      <c r="H2165" s="8">
        <v>128797154.88</v>
      </c>
      <c r="I2165" s="8">
        <v>43619789.5</v>
      </c>
      <c r="J2165" s="1">
        <f>IF(COUNTIF($C$4:C2165,C2165)=1,1,0)</f>
        <v>1</v>
      </c>
      <c r="K2165" s="1">
        <f t="shared" si="33"/>
        <v>2021</v>
      </c>
    </row>
    <row r="2166" spans="2:11" x14ac:dyDescent="0.45">
      <c r="B2166" s="1" t="s">
        <v>11</v>
      </c>
      <c r="C2166" s="1" t="s">
        <v>2164</v>
      </c>
      <c r="D2166" s="7">
        <v>43931</v>
      </c>
      <c r="E2166" s="7">
        <v>43960</v>
      </c>
      <c r="F2166" s="7">
        <v>44088</v>
      </c>
      <c r="G2166" s="1" t="s">
        <v>20</v>
      </c>
      <c r="H2166" s="8">
        <v>106062855.31999999</v>
      </c>
      <c r="I2166" s="8">
        <v>59826774.979999997</v>
      </c>
      <c r="J2166" s="1">
        <f>IF(COUNTIF($C$4:C2166,C2166)=1,1,0)</f>
        <v>1</v>
      </c>
      <c r="K2166" s="1">
        <f t="shared" si="33"/>
        <v>2020</v>
      </c>
    </row>
    <row r="2167" spans="2:11" x14ac:dyDescent="0.45">
      <c r="B2167" s="1" t="s">
        <v>11</v>
      </c>
      <c r="C2167" s="1" t="s">
        <v>2165</v>
      </c>
      <c r="D2167" s="7">
        <v>45874</v>
      </c>
      <c r="E2167" s="7">
        <v>45901</v>
      </c>
      <c r="F2167" s="7">
        <v>46134</v>
      </c>
      <c r="G2167" s="1" t="s">
        <v>212</v>
      </c>
      <c r="H2167" s="8">
        <v>11356201.310000001</v>
      </c>
      <c r="I2167" s="8">
        <v>5433082.4699999997</v>
      </c>
      <c r="J2167" s="1">
        <f>IF(COUNTIF($C$4:C2167,C2167)=1,1,0)</f>
        <v>1</v>
      </c>
      <c r="K2167" s="1">
        <f t="shared" si="33"/>
        <v>2025</v>
      </c>
    </row>
    <row r="2168" spans="2:11" x14ac:dyDescent="0.45">
      <c r="B2168" s="1" t="s">
        <v>11</v>
      </c>
      <c r="C2168" s="1" t="s">
        <v>2166</v>
      </c>
      <c r="D2168" s="7">
        <v>45246</v>
      </c>
      <c r="E2168" s="7">
        <v>45258</v>
      </c>
      <c r="F2168" s="7">
        <v>45368</v>
      </c>
      <c r="G2168" s="1" t="s">
        <v>38</v>
      </c>
      <c r="H2168" s="8">
        <v>200121.08</v>
      </c>
      <c r="I2168" s="8">
        <v>133039.94</v>
      </c>
      <c r="J2168" s="1">
        <f>IF(COUNTIF($C$4:C2168,C2168)=1,1,0)</f>
        <v>1</v>
      </c>
      <c r="K2168" s="1">
        <f t="shared" si="33"/>
        <v>2023</v>
      </c>
    </row>
    <row r="2169" spans="2:11" x14ac:dyDescent="0.45">
      <c r="B2169" s="1" t="s">
        <v>11</v>
      </c>
      <c r="C2169" s="1" t="s">
        <v>2167</v>
      </c>
      <c r="D2169" s="7">
        <v>44057</v>
      </c>
      <c r="E2169" s="7">
        <v>44086</v>
      </c>
      <c r="F2169" s="7">
        <v>44228</v>
      </c>
      <c r="G2169" s="1" t="s">
        <v>16</v>
      </c>
      <c r="H2169" s="8">
        <v>2161141.14</v>
      </c>
      <c r="I2169" s="8">
        <v>1460207.57</v>
      </c>
      <c r="J2169" s="1">
        <f>IF(COUNTIF($C$4:C2169,C2169)=1,1,0)</f>
        <v>1</v>
      </c>
      <c r="K2169" s="1">
        <f t="shared" si="33"/>
        <v>2020</v>
      </c>
    </row>
    <row r="2170" spans="2:11" x14ac:dyDescent="0.45">
      <c r="B2170" s="1" t="s">
        <v>11</v>
      </c>
      <c r="C2170" s="1" t="s">
        <v>2168</v>
      </c>
      <c r="D2170" s="7">
        <v>46080</v>
      </c>
      <c r="E2170" s="7">
        <v>46106</v>
      </c>
      <c r="F2170" s="7">
        <v>46296</v>
      </c>
      <c r="G2170" s="1" t="s">
        <v>1348</v>
      </c>
      <c r="H2170" s="8">
        <v>6917339.7699999996</v>
      </c>
      <c r="I2170" s="8">
        <v>3461151.57</v>
      </c>
      <c r="J2170" s="1">
        <f>IF(COUNTIF($C$4:C2170,C2170)=1,1,0)</f>
        <v>1</v>
      </c>
      <c r="K2170" s="1">
        <f t="shared" si="33"/>
        <v>2026</v>
      </c>
    </row>
    <row r="2171" spans="2:11" x14ac:dyDescent="0.45">
      <c r="B2171" s="1" t="s">
        <v>11</v>
      </c>
      <c r="C2171" s="1" t="s">
        <v>2169</v>
      </c>
      <c r="D2171" s="7">
        <v>43609</v>
      </c>
      <c r="E2171" s="7">
        <v>43620</v>
      </c>
      <c r="F2171" s="7">
        <v>43807</v>
      </c>
      <c r="G2171" s="1" t="s">
        <v>212</v>
      </c>
      <c r="H2171" s="8">
        <v>2593538</v>
      </c>
      <c r="I2171" s="8">
        <v>1072525.3500000001</v>
      </c>
      <c r="J2171" s="1">
        <f>IF(COUNTIF($C$4:C2171,C2171)=1,1,0)</f>
        <v>1</v>
      </c>
      <c r="K2171" s="1">
        <f t="shared" si="33"/>
        <v>2019</v>
      </c>
    </row>
    <row r="2172" spans="2:11" x14ac:dyDescent="0.45">
      <c r="B2172" s="1" t="s">
        <v>11</v>
      </c>
      <c r="C2172" s="1" t="s">
        <v>2170</v>
      </c>
      <c r="D2172" s="7">
        <v>46113</v>
      </c>
      <c r="E2172" s="7">
        <v>46131</v>
      </c>
      <c r="F2172" s="7">
        <v>46319</v>
      </c>
      <c r="G2172" s="1" t="s">
        <v>22</v>
      </c>
      <c r="H2172" s="8">
        <v>13331885.43</v>
      </c>
      <c r="I2172" s="8">
        <v>6512090.5899999999</v>
      </c>
      <c r="J2172" s="1">
        <f>IF(COUNTIF($C$4:C2172,C2172)=1,1,0)</f>
        <v>1</v>
      </c>
      <c r="K2172" s="1">
        <f t="shared" si="33"/>
        <v>2026</v>
      </c>
    </row>
    <row r="2173" spans="2:11" x14ac:dyDescent="0.45">
      <c r="B2173" s="1" t="s">
        <v>11</v>
      </c>
      <c r="C2173" s="1" t="s">
        <v>2171</v>
      </c>
      <c r="D2173" s="7">
        <v>45389</v>
      </c>
      <c r="E2173" s="7">
        <v>45395</v>
      </c>
      <c r="F2173" s="7">
        <v>45412</v>
      </c>
      <c r="G2173" s="1" t="s">
        <v>212</v>
      </c>
      <c r="H2173" s="8">
        <v>23090248.609999999</v>
      </c>
      <c r="I2173" s="8">
        <v>9981756.2100000009</v>
      </c>
      <c r="J2173" s="1">
        <f>IF(COUNTIF($C$4:C2173,C2173)=1,1,0)</f>
        <v>1</v>
      </c>
      <c r="K2173" s="1">
        <f t="shared" si="33"/>
        <v>2024</v>
      </c>
    </row>
    <row r="2174" spans="2:11" x14ac:dyDescent="0.45">
      <c r="B2174" s="1" t="s">
        <v>11</v>
      </c>
      <c r="C2174" s="1" t="s">
        <v>2172</v>
      </c>
      <c r="D2174" s="7">
        <v>43942</v>
      </c>
      <c r="E2174" s="7">
        <v>43969</v>
      </c>
      <c r="F2174" s="7">
        <v>44042</v>
      </c>
      <c r="G2174" s="1" t="s">
        <v>20</v>
      </c>
      <c r="H2174" s="8">
        <v>2933116.83</v>
      </c>
      <c r="I2174" s="8">
        <v>2247461.5099999998</v>
      </c>
      <c r="J2174" s="1">
        <f>IF(COUNTIF($C$4:C2174,C2174)=1,1,0)</f>
        <v>1</v>
      </c>
      <c r="K2174" s="1">
        <f t="shared" si="33"/>
        <v>2020</v>
      </c>
    </row>
    <row r="2175" spans="2:11" x14ac:dyDescent="0.45">
      <c r="B2175" s="1" t="s">
        <v>11</v>
      </c>
      <c r="C2175" s="1" t="s">
        <v>2173</v>
      </c>
      <c r="D2175" s="7">
        <v>44752</v>
      </c>
      <c r="E2175" s="7">
        <v>44779</v>
      </c>
      <c r="F2175" s="7">
        <v>44923</v>
      </c>
      <c r="G2175" s="1" t="s">
        <v>18</v>
      </c>
      <c r="H2175" s="8">
        <v>698099.28</v>
      </c>
      <c r="I2175" s="8">
        <v>599081.54</v>
      </c>
      <c r="J2175" s="1">
        <f>IF(COUNTIF($C$4:C2175,C2175)=1,1,0)</f>
        <v>1</v>
      </c>
      <c r="K2175" s="1">
        <f t="shared" si="33"/>
        <v>2022</v>
      </c>
    </row>
    <row r="2176" spans="2:11" x14ac:dyDescent="0.45">
      <c r="B2176" s="1" t="s">
        <v>11</v>
      </c>
      <c r="C2176" s="1" t="s">
        <v>2174</v>
      </c>
      <c r="D2176" s="7">
        <v>44868</v>
      </c>
      <c r="E2176" s="7">
        <v>44887</v>
      </c>
      <c r="F2176" s="7">
        <v>44898</v>
      </c>
      <c r="G2176" s="1" t="s">
        <v>41</v>
      </c>
      <c r="H2176" s="8">
        <v>491536.08</v>
      </c>
      <c r="I2176" s="8">
        <v>377419.55</v>
      </c>
      <c r="J2176" s="1">
        <f>IF(COUNTIF($C$4:C2176,C2176)=1,1,0)</f>
        <v>1</v>
      </c>
      <c r="K2176" s="1">
        <f t="shared" si="33"/>
        <v>2022</v>
      </c>
    </row>
    <row r="2177" spans="2:11" x14ac:dyDescent="0.45">
      <c r="B2177" s="1" t="s">
        <v>11</v>
      </c>
      <c r="C2177" s="1" t="s">
        <v>2175</v>
      </c>
      <c r="D2177" s="7">
        <v>46069</v>
      </c>
      <c r="E2177" s="7">
        <v>46072</v>
      </c>
      <c r="F2177" s="7">
        <v>46092</v>
      </c>
      <c r="G2177" s="1" t="s">
        <v>38</v>
      </c>
      <c r="H2177" s="8">
        <v>661697.43000000005</v>
      </c>
      <c r="I2177" s="8">
        <v>400810.33</v>
      </c>
      <c r="J2177" s="1">
        <f>IF(COUNTIF($C$4:C2177,C2177)=1,1,0)</f>
        <v>1</v>
      </c>
      <c r="K2177" s="1">
        <f t="shared" si="33"/>
        <v>2026</v>
      </c>
    </row>
    <row r="2178" spans="2:11" x14ac:dyDescent="0.45">
      <c r="B2178" s="1" t="s">
        <v>11</v>
      </c>
      <c r="C2178" s="1" t="s">
        <v>2176</v>
      </c>
      <c r="D2178" s="7">
        <v>45524</v>
      </c>
      <c r="E2178" s="7">
        <v>45536</v>
      </c>
      <c r="F2178" s="7">
        <v>45775</v>
      </c>
      <c r="G2178" s="1" t="s">
        <v>20</v>
      </c>
      <c r="H2178" s="8">
        <v>1177289.18</v>
      </c>
      <c r="I2178" s="8">
        <v>745867.38</v>
      </c>
      <c r="J2178" s="1">
        <f>IF(COUNTIF($C$4:C2178,C2178)=1,1,0)</f>
        <v>1</v>
      </c>
      <c r="K2178" s="1">
        <f t="shared" si="33"/>
        <v>2024</v>
      </c>
    </row>
    <row r="2179" spans="2:11" x14ac:dyDescent="0.45">
      <c r="B2179" s="1" t="s">
        <v>11</v>
      </c>
      <c r="C2179" s="1" t="s">
        <v>2177</v>
      </c>
      <c r="D2179" s="7">
        <v>44155</v>
      </c>
      <c r="E2179" s="7">
        <v>44170</v>
      </c>
      <c r="F2179" s="7">
        <v>44314</v>
      </c>
      <c r="G2179" s="1" t="s">
        <v>212</v>
      </c>
      <c r="H2179" s="8">
        <v>61784836.520000003</v>
      </c>
      <c r="I2179" s="8">
        <v>22251485.510000002</v>
      </c>
      <c r="J2179" s="1">
        <f>IF(COUNTIF($C$4:C2179,C2179)=1,1,0)</f>
        <v>1</v>
      </c>
      <c r="K2179" s="1">
        <f t="shared" si="33"/>
        <v>2020</v>
      </c>
    </row>
    <row r="2180" spans="2:11" x14ac:dyDescent="0.45">
      <c r="B2180" s="1" t="s">
        <v>11</v>
      </c>
      <c r="C2180" s="1" t="s">
        <v>2178</v>
      </c>
      <c r="D2180" s="7">
        <v>43259</v>
      </c>
      <c r="E2180" s="7">
        <v>43266</v>
      </c>
      <c r="F2180" s="7">
        <v>43443</v>
      </c>
      <c r="G2180" s="1" t="s">
        <v>22</v>
      </c>
      <c r="H2180" s="8">
        <v>54373503.700000003</v>
      </c>
      <c r="I2180" s="8">
        <v>30838485.670000002</v>
      </c>
      <c r="J2180" s="1">
        <f>IF(COUNTIF($C$4:C2180,C2180)=1,1,0)</f>
        <v>1</v>
      </c>
      <c r="K2180" s="1">
        <f t="shared" si="33"/>
        <v>2018</v>
      </c>
    </row>
    <row r="2181" spans="2:11" x14ac:dyDescent="0.45">
      <c r="B2181" s="1" t="s">
        <v>11</v>
      </c>
      <c r="C2181" s="1" t="s">
        <v>2179</v>
      </c>
      <c r="D2181" s="7">
        <v>46055</v>
      </c>
      <c r="E2181" s="7">
        <v>46071</v>
      </c>
      <c r="F2181" s="7">
        <v>46160</v>
      </c>
      <c r="G2181" s="1" t="s">
        <v>16</v>
      </c>
      <c r="H2181" s="8">
        <v>1200614.9099999999</v>
      </c>
      <c r="I2181" s="8">
        <v>908106.44</v>
      </c>
      <c r="J2181" s="1">
        <f>IF(COUNTIF($C$4:C2181,C2181)=1,1,0)</f>
        <v>1</v>
      </c>
      <c r="K2181" s="1">
        <f t="shared" ref="K2181:K2244" si="34">YEAR(D2181)</f>
        <v>2026</v>
      </c>
    </row>
    <row r="2182" spans="2:11" x14ac:dyDescent="0.45">
      <c r="B2182" s="1" t="s">
        <v>11</v>
      </c>
      <c r="C2182" s="1" t="s">
        <v>2180</v>
      </c>
      <c r="D2182" s="7">
        <v>44265</v>
      </c>
      <c r="E2182" s="7">
        <v>44269</v>
      </c>
      <c r="F2182" s="7">
        <v>44307</v>
      </c>
      <c r="G2182" s="1" t="s">
        <v>18</v>
      </c>
      <c r="H2182" s="8">
        <v>1024186.45</v>
      </c>
      <c r="I2182" s="8">
        <v>708465.87</v>
      </c>
      <c r="J2182" s="1">
        <f>IF(COUNTIF($C$4:C2182,C2182)=1,1,0)</f>
        <v>1</v>
      </c>
      <c r="K2182" s="1">
        <f t="shared" si="34"/>
        <v>2021</v>
      </c>
    </row>
    <row r="2183" spans="2:11" x14ac:dyDescent="0.45">
      <c r="B2183" s="1" t="s">
        <v>11</v>
      </c>
      <c r="C2183" s="1" t="s">
        <v>2181</v>
      </c>
      <c r="D2183" s="7">
        <v>43284</v>
      </c>
      <c r="E2183" s="7">
        <v>43284</v>
      </c>
      <c r="F2183" s="7">
        <v>43447</v>
      </c>
      <c r="G2183" s="1" t="s">
        <v>1348</v>
      </c>
      <c r="H2183" s="8">
        <v>97857986.310000002</v>
      </c>
      <c r="I2183" s="8">
        <v>61350833.579999998</v>
      </c>
      <c r="J2183" s="1">
        <f>IF(COUNTIF($C$4:C2183,C2183)=1,1,0)</f>
        <v>1</v>
      </c>
      <c r="K2183" s="1">
        <f t="shared" si="34"/>
        <v>2018</v>
      </c>
    </row>
    <row r="2184" spans="2:11" x14ac:dyDescent="0.45">
      <c r="B2184" s="1" t="s">
        <v>11</v>
      </c>
      <c r="C2184" s="1" t="s">
        <v>2182</v>
      </c>
      <c r="D2184" s="7">
        <v>45857</v>
      </c>
      <c r="E2184" s="7">
        <v>45864</v>
      </c>
      <c r="F2184" s="7">
        <v>45982</v>
      </c>
      <c r="G2184" s="1" t="s">
        <v>16</v>
      </c>
      <c r="H2184" s="8">
        <v>1582496.22</v>
      </c>
      <c r="I2184" s="8">
        <v>853613.73</v>
      </c>
      <c r="J2184" s="1">
        <f>IF(COUNTIF($C$4:C2184,C2184)=1,1,0)</f>
        <v>1</v>
      </c>
      <c r="K2184" s="1">
        <f t="shared" si="34"/>
        <v>2025</v>
      </c>
    </row>
    <row r="2185" spans="2:11" x14ac:dyDescent="0.45">
      <c r="B2185" s="1" t="s">
        <v>11</v>
      </c>
      <c r="C2185" s="1" t="s">
        <v>2183</v>
      </c>
      <c r="D2185" s="7">
        <v>46069</v>
      </c>
      <c r="E2185" s="7">
        <v>46092</v>
      </c>
      <c r="F2185" s="7">
        <v>46265</v>
      </c>
      <c r="G2185" s="1" t="s">
        <v>22</v>
      </c>
      <c r="H2185" s="8">
        <v>16492265.449999999</v>
      </c>
      <c r="I2185" s="8">
        <v>8128878.8700000001</v>
      </c>
      <c r="J2185" s="1">
        <f>IF(COUNTIF($C$4:C2185,C2185)=1,1,0)</f>
        <v>1</v>
      </c>
      <c r="K2185" s="1">
        <f t="shared" si="34"/>
        <v>2026</v>
      </c>
    </row>
    <row r="2186" spans="2:11" x14ac:dyDescent="0.45">
      <c r="B2186" s="1" t="s">
        <v>11</v>
      </c>
      <c r="C2186" s="1" t="s">
        <v>2184</v>
      </c>
      <c r="D2186" s="7">
        <v>45890</v>
      </c>
      <c r="E2186" s="7">
        <v>45906</v>
      </c>
      <c r="F2186" s="7">
        <v>46064</v>
      </c>
      <c r="G2186" s="1" t="s">
        <v>41</v>
      </c>
      <c r="H2186" s="8">
        <v>40002.22</v>
      </c>
      <c r="I2186" s="8">
        <v>31748.12</v>
      </c>
      <c r="J2186" s="1">
        <f>IF(COUNTIF($C$4:C2186,C2186)=1,1,0)</f>
        <v>1</v>
      </c>
      <c r="K2186" s="1">
        <f t="shared" si="34"/>
        <v>2025</v>
      </c>
    </row>
    <row r="2187" spans="2:11" x14ac:dyDescent="0.45">
      <c r="B2187" s="1" t="s">
        <v>11</v>
      </c>
      <c r="C2187" s="1" t="s">
        <v>2185</v>
      </c>
      <c r="D2187" s="7">
        <v>43477</v>
      </c>
      <c r="E2187" s="7">
        <v>43480</v>
      </c>
      <c r="F2187" s="7">
        <v>43612</v>
      </c>
      <c r="G2187" s="1" t="s">
        <v>22</v>
      </c>
      <c r="H2187" s="8">
        <v>3400698.38</v>
      </c>
      <c r="I2187" s="8">
        <v>2113307.41</v>
      </c>
      <c r="J2187" s="1">
        <f>IF(COUNTIF($C$4:C2187,C2187)=1,1,0)</f>
        <v>1</v>
      </c>
      <c r="K2187" s="1">
        <f t="shared" si="34"/>
        <v>2019</v>
      </c>
    </row>
    <row r="2188" spans="2:11" x14ac:dyDescent="0.45">
      <c r="B2188" s="1" t="s">
        <v>11</v>
      </c>
      <c r="C2188" s="1" t="s">
        <v>2186</v>
      </c>
      <c r="D2188" s="7">
        <v>43668</v>
      </c>
      <c r="E2188" s="7">
        <v>43674</v>
      </c>
      <c r="F2188" s="7">
        <v>43786</v>
      </c>
      <c r="G2188" s="1" t="s">
        <v>18</v>
      </c>
      <c r="H2188" s="8">
        <v>968990.79</v>
      </c>
      <c r="I2188" s="8">
        <v>826225.73</v>
      </c>
      <c r="J2188" s="1">
        <f>IF(COUNTIF($C$4:C2188,C2188)=1,1,0)</f>
        <v>1</v>
      </c>
      <c r="K2188" s="1">
        <f t="shared" si="34"/>
        <v>2019</v>
      </c>
    </row>
    <row r="2189" spans="2:11" x14ac:dyDescent="0.45">
      <c r="B2189" s="1" t="s">
        <v>11</v>
      </c>
      <c r="C2189" s="1" t="s">
        <v>2187</v>
      </c>
      <c r="D2189" s="7">
        <v>43426</v>
      </c>
      <c r="E2189" s="7">
        <v>43444</v>
      </c>
      <c r="F2189" s="7">
        <v>43583</v>
      </c>
      <c r="G2189" s="1" t="s">
        <v>13</v>
      </c>
      <c r="H2189" s="8">
        <v>369765.19</v>
      </c>
      <c r="I2189" s="8">
        <v>267339.64</v>
      </c>
      <c r="J2189" s="1">
        <f>IF(COUNTIF($C$4:C2189,C2189)=1,1,0)</f>
        <v>1</v>
      </c>
      <c r="K2189" s="1">
        <f t="shared" si="34"/>
        <v>2018</v>
      </c>
    </row>
    <row r="2190" spans="2:11" x14ac:dyDescent="0.45">
      <c r="B2190" s="1" t="s">
        <v>11</v>
      </c>
      <c r="C2190" s="1" t="s">
        <v>2188</v>
      </c>
      <c r="D2190" s="7">
        <v>44366</v>
      </c>
      <c r="E2190" s="7">
        <v>44375</v>
      </c>
      <c r="F2190" s="7">
        <v>44472</v>
      </c>
      <c r="G2190" s="1" t="s">
        <v>13</v>
      </c>
      <c r="H2190" s="8">
        <v>347784.68</v>
      </c>
      <c r="I2190" s="8">
        <v>297118.07</v>
      </c>
      <c r="J2190" s="1">
        <f>IF(COUNTIF($C$4:C2190,C2190)=1,1,0)</f>
        <v>1</v>
      </c>
      <c r="K2190" s="1">
        <f t="shared" si="34"/>
        <v>2021</v>
      </c>
    </row>
    <row r="2191" spans="2:11" x14ac:dyDescent="0.45">
      <c r="B2191" s="1" t="s">
        <v>11</v>
      </c>
      <c r="C2191" s="1" t="s">
        <v>2189</v>
      </c>
      <c r="D2191" s="7">
        <v>43511</v>
      </c>
      <c r="E2191" s="7">
        <v>43541</v>
      </c>
      <c r="F2191" s="7">
        <v>43558</v>
      </c>
      <c r="G2191" s="1" t="s">
        <v>18</v>
      </c>
      <c r="H2191" s="8">
        <v>6370491.6100000003</v>
      </c>
      <c r="I2191" s="8">
        <v>5265109.01</v>
      </c>
      <c r="J2191" s="1">
        <f>IF(COUNTIF($C$4:C2191,C2191)=1,1,0)</f>
        <v>1</v>
      </c>
      <c r="K2191" s="1">
        <f t="shared" si="34"/>
        <v>2019</v>
      </c>
    </row>
    <row r="2192" spans="2:11" x14ac:dyDescent="0.45">
      <c r="B2192" s="1" t="s">
        <v>11</v>
      </c>
      <c r="C2192" s="1" t="s">
        <v>2190</v>
      </c>
      <c r="D2192" s="7">
        <v>45988</v>
      </c>
      <c r="E2192" s="7">
        <v>45991</v>
      </c>
      <c r="F2192" s="7">
        <v>46099</v>
      </c>
      <c r="G2192" s="1" t="s">
        <v>41</v>
      </c>
      <c r="H2192" s="8">
        <v>185906.05</v>
      </c>
      <c r="I2192" s="8">
        <v>140399.10999999999</v>
      </c>
      <c r="J2192" s="1">
        <f>IF(COUNTIF($C$4:C2192,C2192)=1,1,0)</f>
        <v>1</v>
      </c>
      <c r="K2192" s="1">
        <f t="shared" si="34"/>
        <v>2025</v>
      </c>
    </row>
    <row r="2193" spans="2:11" x14ac:dyDescent="0.45">
      <c r="B2193" s="1" t="s">
        <v>11</v>
      </c>
      <c r="C2193" s="1" t="s">
        <v>2191</v>
      </c>
      <c r="D2193" s="7">
        <v>45914</v>
      </c>
      <c r="E2193" s="7">
        <v>45925</v>
      </c>
      <c r="F2193" s="7">
        <v>45936</v>
      </c>
      <c r="G2193" s="1" t="s">
        <v>1348</v>
      </c>
      <c r="H2193" s="8">
        <v>146693644.41</v>
      </c>
      <c r="I2193" s="8">
        <v>117062281.59999999</v>
      </c>
      <c r="J2193" s="1">
        <f>IF(COUNTIF($C$4:C2193,C2193)=1,1,0)</f>
        <v>1</v>
      </c>
      <c r="K2193" s="1">
        <f t="shared" si="34"/>
        <v>2025</v>
      </c>
    </row>
    <row r="2194" spans="2:11" x14ac:dyDescent="0.45">
      <c r="B2194" s="1" t="s">
        <v>11</v>
      </c>
      <c r="C2194" s="1" t="s">
        <v>2192</v>
      </c>
      <c r="D2194" s="7">
        <v>45156</v>
      </c>
      <c r="E2194" s="7">
        <v>45157</v>
      </c>
      <c r="F2194" s="7">
        <v>45351</v>
      </c>
      <c r="G2194" s="1" t="s">
        <v>41</v>
      </c>
      <c r="H2194" s="8">
        <v>291637.78999999998</v>
      </c>
      <c r="I2194" s="8">
        <v>221604.3</v>
      </c>
      <c r="J2194" s="1">
        <f>IF(COUNTIF($C$4:C2194,C2194)=1,1,0)</f>
        <v>1</v>
      </c>
      <c r="K2194" s="1">
        <f t="shared" si="34"/>
        <v>2023</v>
      </c>
    </row>
    <row r="2195" spans="2:11" x14ac:dyDescent="0.45">
      <c r="B2195" s="1" t="s">
        <v>11</v>
      </c>
      <c r="C2195" s="1" t="s">
        <v>2193</v>
      </c>
      <c r="D2195" s="7">
        <v>43288</v>
      </c>
      <c r="E2195" s="7">
        <v>43296</v>
      </c>
      <c r="F2195" s="7">
        <v>43377</v>
      </c>
      <c r="G2195" s="1" t="s">
        <v>18</v>
      </c>
      <c r="H2195" s="8">
        <v>11792989.59</v>
      </c>
      <c r="I2195" s="8">
        <v>8605920.1600000001</v>
      </c>
      <c r="J2195" s="1">
        <f>IF(COUNTIF($C$4:C2195,C2195)=1,1,0)</f>
        <v>1</v>
      </c>
      <c r="K2195" s="1">
        <f t="shared" si="34"/>
        <v>2018</v>
      </c>
    </row>
    <row r="2196" spans="2:11" x14ac:dyDescent="0.45">
      <c r="B2196" s="1" t="s">
        <v>11</v>
      </c>
      <c r="C2196" s="1" t="s">
        <v>2194</v>
      </c>
      <c r="D2196" s="7">
        <v>45886</v>
      </c>
      <c r="E2196" s="7">
        <v>45914</v>
      </c>
      <c r="F2196" s="7">
        <v>46001</v>
      </c>
      <c r="G2196" s="1" t="s">
        <v>212</v>
      </c>
      <c r="H2196" s="8">
        <v>37814146.719999999</v>
      </c>
      <c r="I2196" s="8">
        <v>11662448.07</v>
      </c>
      <c r="J2196" s="1">
        <f>IF(COUNTIF($C$4:C2196,C2196)=1,1,0)</f>
        <v>1</v>
      </c>
      <c r="K2196" s="1">
        <f t="shared" si="34"/>
        <v>2025</v>
      </c>
    </row>
    <row r="2197" spans="2:11" x14ac:dyDescent="0.45">
      <c r="B2197" s="1" t="s">
        <v>11</v>
      </c>
      <c r="C2197" s="1" t="s">
        <v>2195</v>
      </c>
      <c r="D2197" s="7">
        <v>44868</v>
      </c>
      <c r="E2197" s="7">
        <v>44897</v>
      </c>
      <c r="F2197" s="7">
        <v>44954</v>
      </c>
      <c r="G2197" s="1" t="s">
        <v>20</v>
      </c>
      <c r="H2197" s="8">
        <v>623002.48</v>
      </c>
      <c r="I2197" s="8">
        <v>487114.4</v>
      </c>
      <c r="J2197" s="1">
        <f>IF(COUNTIF($C$4:C2197,C2197)=1,1,0)</f>
        <v>1</v>
      </c>
      <c r="K2197" s="1">
        <f t="shared" si="34"/>
        <v>2022</v>
      </c>
    </row>
    <row r="2198" spans="2:11" x14ac:dyDescent="0.45">
      <c r="B2198" s="1" t="s">
        <v>11</v>
      </c>
      <c r="C2198" s="1" t="s">
        <v>2196</v>
      </c>
      <c r="D2198" s="7">
        <v>44216</v>
      </c>
      <c r="E2198" s="7">
        <v>44228</v>
      </c>
      <c r="F2198" s="7">
        <v>44456</v>
      </c>
      <c r="G2198" s="1" t="s">
        <v>20</v>
      </c>
      <c r="H2198" s="8">
        <v>714068.36</v>
      </c>
      <c r="I2198" s="8">
        <v>488981.98</v>
      </c>
      <c r="J2198" s="1">
        <f>IF(COUNTIF($C$4:C2198,C2198)=1,1,0)</f>
        <v>1</v>
      </c>
      <c r="K2198" s="1">
        <f t="shared" si="34"/>
        <v>2021</v>
      </c>
    </row>
    <row r="2199" spans="2:11" x14ac:dyDescent="0.45">
      <c r="B2199" s="1" t="s">
        <v>11</v>
      </c>
      <c r="C2199" s="1" t="s">
        <v>2197</v>
      </c>
      <c r="D2199" s="7">
        <v>44110</v>
      </c>
      <c r="E2199" s="7">
        <v>44119</v>
      </c>
      <c r="F2199" s="7">
        <v>44352</v>
      </c>
      <c r="G2199" s="1" t="s">
        <v>38</v>
      </c>
      <c r="H2199" s="8">
        <v>331604.03000000003</v>
      </c>
      <c r="I2199" s="8">
        <v>214738.21</v>
      </c>
      <c r="J2199" s="1">
        <f>IF(COUNTIF($C$4:C2199,C2199)=1,1,0)</f>
        <v>1</v>
      </c>
      <c r="K2199" s="1">
        <f t="shared" si="34"/>
        <v>2020</v>
      </c>
    </row>
    <row r="2200" spans="2:11" x14ac:dyDescent="0.45">
      <c r="B2200" s="1" t="s">
        <v>11</v>
      </c>
      <c r="C2200" s="1" t="s">
        <v>2198</v>
      </c>
      <c r="D2200" s="7">
        <v>43709</v>
      </c>
      <c r="E2200" s="7">
        <v>43711</v>
      </c>
      <c r="F2200" s="7">
        <v>43737</v>
      </c>
      <c r="G2200" s="1" t="s">
        <v>16</v>
      </c>
      <c r="H2200" s="8">
        <v>2355682.27</v>
      </c>
      <c r="I2200" s="8">
        <v>1404635.56</v>
      </c>
      <c r="J2200" s="1">
        <f>IF(COUNTIF($C$4:C2200,C2200)=1,1,0)</f>
        <v>1</v>
      </c>
      <c r="K2200" s="1">
        <f t="shared" si="34"/>
        <v>2019</v>
      </c>
    </row>
    <row r="2201" spans="2:11" x14ac:dyDescent="0.45">
      <c r="B2201" s="1" t="s">
        <v>11</v>
      </c>
      <c r="C2201" s="1" t="s">
        <v>2199</v>
      </c>
      <c r="D2201" s="7">
        <v>43943</v>
      </c>
      <c r="E2201" s="7">
        <v>43958</v>
      </c>
      <c r="F2201" s="7">
        <v>44195</v>
      </c>
      <c r="G2201" s="1" t="s">
        <v>20</v>
      </c>
      <c r="H2201" s="8">
        <v>316281.21000000002</v>
      </c>
      <c r="I2201" s="8">
        <v>161011.29</v>
      </c>
      <c r="J2201" s="1">
        <f>IF(COUNTIF($C$4:C2201,C2201)=1,1,0)</f>
        <v>1</v>
      </c>
      <c r="K2201" s="1">
        <f t="shared" si="34"/>
        <v>2020</v>
      </c>
    </row>
    <row r="2202" spans="2:11" x14ac:dyDescent="0.45">
      <c r="B2202" s="1" t="s">
        <v>11</v>
      </c>
      <c r="C2202" s="1" t="s">
        <v>2200</v>
      </c>
      <c r="D2202" s="7">
        <v>45262</v>
      </c>
      <c r="E2202" s="7">
        <v>45291</v>
      </c>
      <c r="F2202" s="7">
        <v>45518</v>
      </c>
      <c r="G2202" s="1" t="s">
        <v>212</v>
      </c>
      <c r="H2202" s="8">
        <v>112061159.25</v>
      </c>
      <c r="I2202" s="8">
        <v>87215653.629999995</v>
      </c>
      <c r="J2202" s="1">
        <f>IF(COUNTIF($C$4:C2202,C2202)=1,1,0)</f>
        <v>1</v>
      </c>
      <c r="K2202" s="1">
        <f t="shared" si="34"/>
        <v>2023</v>
      </c>
    </row>
    <row r="2203" spans="2:11" x14ac:dyDescent="0.45">
      <c r="B2203" s="1" t="s">
        <v>11</v>
      </c>
      <c r="C2203" s="1" t="s">
        <v>2201</v>
      </c>
      <c r="D2203" s="7">
        <v>45045</v>
      </c>
      <c r="E2203" s="7">
        <v>45048</v>
      </c>
      <c r="F2203" s="7">
        <v>45231</v>
      </c>
      <c r="G2203" s="1" t="s">
        <v>18</v>
      </c>
      <c r="H2203" s="8">
        <v>5512150.8600000003</v>
      </c>
      <c r="I2203" s="8">
        <v>3487729.28</v>
      </c>
      <c r="J2203" s="1">
        <f>IF(COUNTIF($C$4:C2203,C2203)=1,1,0)</f>
        <v>1</v>
      </c>
      <c r="K2203" s="1">
        <f t="shared" si="34"/>
        <v>2023</v>
      </c>
    </row>
    <row r="2204" spans="2:11" x14ac:dyDescent="0.45">
      <c r="B2204" s="1" t="s">
        <v>11</v>
      </c>
      <c r="C2204" s="1" t="s">
        <v>2202</v>
      </c>
      <c r="D2204" s="7">
        <v>44474</v>
      </c>
      <c r="E2204" s="7">
        <v>44482</v>
      </c>
      <c r="F2204" s="7">
        <v>44541</v>
      </c>
      <c r="G2204" s="1" t="s">
        <v>16</v>
      </c>
      <c r="H2204" s="8">
        <v>3727376.95</v>
      </c>
      <c r="I2204" s="8">
        <v>2074701.5</v>
      </c>
      <c r="J2204" s="1">
        <f>IF(COUNTIF($C$4:C2204,C2204)=1,1,0)</f>
        <v>1</v>
      </c>
      <c r="K2204" s="1">
        <f t="shared" si="34"/>
        <v>2021</v>
      </c>
    </row>
    <row r="2205" spans="2:11" x14ac:dyDescent="0.45">
      <c r="B2205" s="1" t="s">
        <v>11</v>
      </c>
      <c r="C2205" s="1" t="s">
        <v>2203</v>
      </c>
      <c r="D2205" s="7">
        <v>43354</v>
      </c>
      <c r="E2205" s="7">
        <v>43373</v>
      </c>
      <c r="F2205" s="7">
        <v>43552</v>
      </c>
      <c r="G2205" s="1" t="s">
        <v>22</v>
      </c>
      <c r="H2205" s="8">
        <v>3718995.07</v>
      </c>
      <c r="I2205" s="8">
        <v>2109034.2799999998</v>
      </c>
      <c r="J2205" s="1">
        <f>IF(COUNTIF($C$4:C2205,C2205)=1,1,0)</f>
        <v>1</v>
      </c>
      <c r="K2205" s="1">
        <f t="shared" si="34"/>
        <v>2018</v>
      </c>
    </row>
    <row r="2206" spans="2:11" x14ac:dyDescent="0.45">
      <c r="B2206" s="1" t="s">
        <v>11</v>
      </c>
      <c r="C2206" s="1" t="s">
        <v>2204</v>
      </c>
      <c r="D2206" s="7">
        <v>43802</v>
      </c>
      <c r="E2206" s="7">
        <v>43805</v>
      </c>
      <c r="F2206" s="7">
        <v>43818</v>
      </c>
      <c r="G2206" s="1" t="s">
        <v>22</v>
      </c>
      <c r="H2206" s="8">
        <v>4269992.8899999997</v>
      </c>
      <c r="I2206" s="8">
        <v>2370163.02</v>
      </c>
      <c r="J2206" s="1">
        <f>IF(COUNTIF($C$4:C2206,C2206)=1,1,0)</f>
        <v>1</v>
      </c>
      <c r="K2206" s="1">
        <f t="shared" si="34"/>
        <v>2019</v>
      </c>
    </row>
    <row r="2207" spans="2:11" x14ac:dyDescent="0.45">
      <c r="B2207" s="1" t="s">
        <v>11</v>
      </c>
      <c r="C2207" s="1" t="s">
        <v>2205</v>
      </c>
      <c r="D2207" s="7">
        <v>44849</v>
      </c>
      <c r="E2207" s="7">
        <v>44865</v>
      </c>
      <c r="F2207" s="7">
        <v>44933</v>
      </c>
      <c r="G2207" s="1" t="s">
        <v>13</v>
      </c>
      <c r="H2207" s="8">
        <v>283427.98</v>
      </c>
      <c r="I2207" s="8">
        <v>218344.7</v>
      </c>
      <c r="J2207" s="1">
        <f>IF(COUNTIF($C$4:C2207,C2207)=1,1,0)</f>
        <v>1</v>
      </c>
      <c r="K2207" s="1">
        <f t="shared" si="34"/>
        <v>2022</v>
      </c>
    </row>
    <row r="2208" spans="2:11" x14ac:dyDescent="0.45">
      <c r="B2208" s="1" t="s">
        <v>11</v>
      </c>
      <c r="C2208" s="1" t="s">
        <v>2206</v>
      </c>
      <c r="D2208" s="7">
        <v>45553</v>
      </c>
      <c r="E2208" s="7">
        <v>45562</v>
      </c>
      <c r="F2208" s="7">
        <v>45726</v>
      </c>
      <c r="G2208" s="1" t="s">
        <v>41</v>
      </c>
      <c r="H2208" s="8">
        <v>1047893.62</v>
      </c>
      <c r="I2208" s="8">
        <v>822147.23</v>
      </c>
      <c r="J2208" s="1">
        <f>IF(COUNTIF($C$4:C2208,C2208)=1,1,0)</f>
        <v>1</v>
      </c>
      <c r="K2208" s="1">
        <f t="shared" si="34"/>
        <v>2024</v>
      </c>
    </row>
    <row r="2209" spans="2:11" x14ac:dyDescent="0.45">
      <c r="B2209" s="1" t="s">
        <v>11</v>
      </c>
      <c r="C2209" s="1" t="s">
        <v>2207</v>
      </c>
      <c r="D2209" s="7">
        <v>45160</v>
      </c>
      <c r="E2209" s="7">
        <v>45185</v>
      </c>
      <c r="F2209" s="7">
        <v>45269</v>
      </c>
      <c r="G2209" s="1" t="s">
        <v>22</v>
      </c>
      <c r="H2209" s="8">
        <v>12969636.880000001</v>
      </c>
      <c r="I2209" s="8">
        <v>6584572.0199999996</v>
      </c>
      <c r="J2209" s="1">
        <f>IF(COUNTIF($C$4:C2209,C2209)=1,1,0)</f>
        <v>1</v>
      </c>
      <c r="K2209" s="1">
        <f t="shared" si="34"/>
        <v>2023</v>
      </c>
    </row>
    <row r="2210" spans="2:11" x14ac:dyDescent="0.45">
      <c r="B2210" s="1" t="s">
        <v>11</v>
      </c>
      <c r="C2210" s="1" t="s">
        <v>2208</v>
      </c>
      <c r="D2210" s="7">
        <v>45931</v>
      </c>
      <c r="E2210" s="7">
        <v>45933</v>
      </c>
      <c r="F2210" s="7">
        <v>46061</v>
      </c>
      <c r="G2210" s="1" t="s">
        <v>20</v>
      </c>
      <c r="H2210" s="8">
        <v>1952028.59</v>
      </c>
      <c r="I2210" s="8">
        <v>1350546.09</v>
      </c>
      <c r="J2210" s="1">
        <f>IF(COUNTIF($C$4:C2210,C2210)=1,1,0)</f>
        <v>1</v>
      </c>
      <c r="K2210" s="1">
        <f t="shared" si="34"/>
        <v>2025</v>
      </c>
    </row>
    <row r="2211" spans="2:11" x14ac:dyDescent="0.45">
      <c r="B2211" s="1" t="s">
        <v>11</v>
      </c>
      <c r="C2211" s="1" t="s">
        <v>2209</v>
      </c>
      <c r="D2211" s="7">
        <v>45628</v>
      </c>
      <c r="E2211" s="7">
        <v>45650</v>
      </c>
      <c r="F2211" s="7">
        <v>45688</v>
      </c>
      <c r="G2211" s="1" t="s">
        <v>20</v>
      </c>
      <c r="H2211" s="8">
        <v>3532837.45</v>
      </c>
      <c r="I2211" s="8">
        <v>2442038.3199999998</v>
      </c>
      <c r="J2211" s="1">
        <f>IF(COUNTIF($C$4:C2211,C2211)=1,1,0)</f>
        <v>1</v>
      </c>
      <c r="K2211" s="1">
        <f t="shared" si="34"/>
        <v>2024</v>
      </c>
    </row>
    <row r="2212" spans="2:11" x14ac:dyDescent="0.45">
      <c r="B2212" s="1" t="s">
        <v>11</v>
      </c>
      <c r="C2212" s="1" t="s">
        <v>2210</v>
      </c>
      <c r="D2212" s="7">
        <v>45288</v>
      </c>
      <c r="E2212" s="7">
        <v>45292</v>
      </c>
      <c r="F2212" s="7">
        <v>45404</v>
      </c>
      <c r="G2212" s="1" t="s">
        <v>18</v>
      </c>
      <c r="H2212" s="8">
        <v>7589568.8899999997</v>
      </c>
      <c r="I2212" s="8">
        <v>4691567.51</v>
      </c>
      <c r="J2212" s="1">
        <f>IF(COUNTIF($C$4:C2212,C2212)=1,1,0)</f>
        <v>1</v>
      </c>
      <c r="K2212" s="1">
        <f t="shared" si="34"/>
        <v>2023</v>
      </c>
    </row>
    <row r="2213" spans="2:11" x14ac:dyDescent="0.45">
      <c r="B2213" s="1" t="s">
        <v>11</v>
      </c>
      <c r="C2213" s="1" t="s">
        <v>2211</v>
      </c>
      <c r="D2213" s="7">
        <v>44625</v>
      </c>
      <c r="E2213" s="7">
        <v>44631</v>
      </c>
      <c r="F2213" s="7">
        <v>44671</v>
      </c>
      <c r="G2213" s="1" t="s">
        <v>212</v>
      </c>
      <c r="H2213" s="8">
        <v>5324075.57</v>
      </c>
      <c r="I2213" s="8">
        <v>2356623.02</v>
      </c>
      <c r="J2213" s="1">
        <f>IF(COUNTIF($C$4:C2213,C2213)=1,1,0)</f>
        <v>1</v>
      </c>
      <c r="K2213" s="1">
        <f t="shared" si="34"/>
        <v>2022</v>
      </c>
    </row>
    <row r="2214" spans="2:11" x14ac:dyDescent="0.45">
      <c r="B2214" s="1" t="s">
        <v>11</v>
      </c>
      <c r="C2214" s="1" t="s">
        <v>2212</v>
      </c>
      <c r="D2214" s="7">
        <v>43450</v>
      </c>
      <c r="E2214" s="7">
        <v>43467</v>
      </c>
      <c r="F2214" s="7">
        <v>43653</v>
      </c>
      <c r="G2214" s="1" t="s">
        <v>1348</v>
      </c>
      <c r="H2214" s="8">
        <v>31989294.199999999</v>
      </c>
      <c r="I2214" s="8">
        <v>21347694.010000002</v>
      </c>
      <c r="J2214" s="1">
        <f>IF(COUNTIF($C$4:C2214,C2214)=1,1,0)</f>
        <v>1</v>
      </c>
      <c r="K2214" s="1">
        <f t="shared" si="34"/>
        <v>2018</v>
      </c>
    </row>
    <row r="2215" spans="2:11" x14ac:dyDescent="0.45">
      <c r="B2215" s="1" t="s">
        <v>11</v>
      </c>
      <c r="C2215" s="1" t="s">
        <v>2213</v>
      </c>
      <c r="D2215" s="7">
        <v>45962</v>
      </c>
      <c r="E2215" s="7">
        <v>45969</v>
      </c>
      <c r="F2215" s="7">
        <v>46087</v>
      </c>
      <c r="G2215" s="1" t="s">
        <v>13</v>
      </c>
      <c r="H2215" s="8">
        <v>746189.27</v>
      </c>
      <c r="I2215" s="8">
        <v>617684.88</v>
      </c>
      <c r="J2215" s="1">
        <f>IF(COUNTIF($C$4:C2215,C2215)=1,1,0)</f>
        <v>1</v>
      </c>
      <c r="K2215" s="1">
        <f t="shared" si="34"/>
        <v>2025</v>
      </c>
    </row>
    <row r="2216" spans="2:11" x14ac:dyDescent="0.45">
      <c r="B2216" s="1" t="s">
        <v>11</v>
      </c>
      <c r="C2216" s="1" t="s">
        <v>2214</v>
      </c>
      <c r="D2216" s="7">
        <v>43283</v>
      </c>
      <c r="E2216" s="7">
        <v>43292</v>
      </c>
      <c r="F2216" s="7">
        <v>43440</v>
      </c>
      <c r="G2216" s="1" t="s">
        <v>1348</v>
      </c>
      <c r="H2216" s="8">
        <v>85914310.760000005</v>
      </c>
      <c r="I2216" s="8">
        <v>40909638.469999999</v>
      </c>
      <c r="J2216" s="1">
        <f>IF(COUNTIF($C$4:C2216,C2216)=1,1,0)</f>
        <v>1</v>
      </c>
      <c r="K2216" s="1">
        <f t="shared" si="34"/>
        <v>2018</v>
      </c>
    </row>
    <row r="2217" spans="2:11" x14ac:dyDescent="0.45">
      <c r="B2217" s="1" t="s">
        <v>11</v>
      </c>
      <c r="C2217" s="1" t="s">
        <v>2215</v>
      </c>
      <c r="D2217" s="7">
        <v>44155</v>
      </c>
      <c r="E2217" s="7">
        <v>44174</v>
      </c>
      <c r="F2217" s="7">
        <v>44354</v>
      </c>
      <c r="G2217" s="1" t="s">
        <v>20</v>
      </c>
      <c r="H2217" s="8">
        <v>998793.49</v>
      </c>
      <c r="I2217" s="8">
        <v>626278.31999999995</v>
      </c>
      <c r="J2217" s="1">
        <f>IF(COUNTIF($C$4:C2217,C2217)=1,1,0)</f>
        <v>1</v>
      </c>
      <c r="K2217" s="1">
        <f t="shared" si="34"/>
        <v>2020</v>
      </c>
    </row>
    <row r="2218" spans="2:11" x14ac:dyDescent="0.45">
      <c r="B2218" s="1" t="s">
        <v>11</v>
      </c>
      <c r="C2218" s="1" t="s">
        <v>2216</v>
      </c>
      <c r="D2218" s="7">
        <v>45379</v>
      </c>
      <c r="E2218" s="7">
        <v>45409</v>
      </c>
      <c r="F2218" s="7">
        <v>45441</v>
      </c>
      <c r="G2218" s="1" t="s">
        <v>13</v>
      </c>
      <c r="H2218" s="8">
        <v>246912.03</v>
      </c>
      <c r="I2218" s="8">
        <v>201160.05</v>
      </c>
      <c r="J2218" s="1">
        <f>IF(COUNTIF($C$4:C2218,C2218)=1,1,0)</f>
        <v>1</v>
      </c>
      <c r="K2218" s="1">
        <f t="shared" si="34"/>
        <v>2024</v>
      </c>
    </row>
    <row r="2219" spans="2:11" x14ac:dyDescent="0.45">
      <c r="B2219" s="1" t="s">
        <v>11</v>
      </c>
      <c r="C2219" s="1" t="s">
        <v>2217</v>
      </c>
      <c r="D2219" s="7">
        <v>44179</v>
      </c>
      <c r="E2219" s="7">
        <v>44183</v>
      </c>
      <c r="F2219" s="7">
        <v>44254</v>
      </c>
      <c r="G2219" s="1" t="s">
        <v>212</v>
      </c>
      <c r="H2219" s="8">
        <v>41583432.299999997</v>
      </c>
      <c r="I2219" s="8">
        <v>20163698.010000002</v>
      </c>
      <c r="J2219" s="1">
        <f>IF(COUNTIF($C$4:C2219,C2219)=1,1,0)</f>
        <v>1</v>
      </c>
      <c r="K2219" s="1">
        <f t="shared" si="34"/>
        <v>2020</v>
      </c>
    </row>
    <row r="2220" spans="2:11" x14ac:dyDescent="0.45">
      <c r="B2220" s="1" t="s">
        <v>11</v>
      </c>
      <c r="C2220" s="1" t="s">
        <v>2218</v>
      </c>
      <c r="D2220" s="7">
        <v>45884</v>
      </c>
      <c r="E2220" s="7">
        <v>45901</v>
      </c>
      <c r="F2220" s="7">
        <v>46107</v>
      </c>
      <c r="G2220" s="1" t="s">
        <v>18</v>
      </c>
      <c r="H2220" s="8">
        <v>4699123.93</v>
      </c>
      <c r="I2220" s="8">
        <v>3665609.95</v>
      </c>
      <c r="J2220" s="1">
        <f>IF(COUNTIF($C$4:C2220,C2220)=1,1,0)</f>
        <v>1</v>
      </c>
      <c r="K2220" s="1">
        <f t="shared" si="34"/>
        <v>2025</v>
      </c>
    </row>
    <row r="2221" spans="2:11" x14ac:dyDescent="0.45">
      <c r="B2221" s="1" t="s">
        <v>11</v>
      </c>
      <c r="C2221" s="1" t="s">
        <v>2219</v>
      </c>
      <c r="D2221" s="7">
        <v>44506</v>
      </c>
      <c r="E2221" s="7">
        <v>44523</v>
      </c>
      <c r="F2221" s="7">
        <v>44659</v>
      </c>
      <c r="G2221" s="1" t="s">
        <v>212</v>
      </c>
      <c r="H2221" s="8">
        <v>70689239.510000005</v>
      </c>
      <c r="I2221" s="8">
        <v>27480383.280000001</v>
      </c>
      <c r="J2221" s="1">
        <f>IF(COUNTIF($C$4:C2221,C2221)=1,1,0)</f>
        <v>1</v>
      </c>
      <c r="K2221" s="1">
        <f t="shared" si="34"/>
        <v>2021</v>
      </c>
    </row>
    <row r="2222" spans="2:11" x14ac:dyDescent="0.45">
      <c r="B2222" s="1" t="s">
        <v>11</v>
      </c>
      <c r="C2222" s="1" t="s">
        <v>2220</v>
      </c>
      <c r="D2222" s="7">
        <v>45826</v>
      </c>
      <c r="E2222" s="7">
        <v>45851</v>
      </c>
      <c r="F2222" s="7">
        <v>45942</v>
      </c>
      <c r="G2222" s="1" t="s">
        <v>22</v>
      </c>
      <c r="H2222" s="8">
        <v>53931792.399999999</v>
      </c>
      <c r="I2222" s="8">
        <v>35473400.979999997</v>
      </c>
      <c r="J2222" s="1">
        <f>IF(COUNTIF($C$4:C2222,C2222)=1,1,0)</f>
        <v>1</v>
      </c>
      <c r="K2222" s="1">
        <f t="shared" si="34"/>
        <v>2025</v>
      </c>
    </row>
    <row r="2223" spans="2:11" x14ac:dyDescent="0.45">
      <c r="B2223" s="1" t="s">
        <v>11</v>
      </c>
      <c r="C2223" s="1" t="s">
        <v>2221</v>
      </c>
      <c r="D2223" s="7">
        <v>44042</v>
      </c>
      <c r="E2223" s="7">
        <v>44067</v>
      </c>
      <c r="F2223" s="7">
        <v>44102</v>
      </c>
      <c r="G2223" s="1" t="s">
        <v>38</v>
      </c>
      <c r="H2223" s="8">
        <v>310184.43</v>
      </c>
      <c r="I2223" s="8">
        <v>232428.18</v>
      </c>
      <c r="J2223" s="1">
        <f>IF(COUNTIF($C$4:C2223,C2223)=1,1,0)</f>
        <v>1</v>
      </c>
      <c r="K2223" s="1">
        <f t="shared" si="34"/>
        <v>2020</v>
      </c>
    </row>
    <row r="2224" spans="2:11" x14ac:dyDescent="0.45">
      <c r="B2224" s="1" t="s">
        <v>11</v>
      </c>
      <c r="C2224" s="1" t="s">
        <v>2222</v>
      </c>
      <c r="D2224" s="7">
        <v>45440</v>
      </c>
      <c r="E2224" s="7">
        <v>45466</v>
      </c>
      <c r="F2224" s="7">
        <v>45521</v>
      </c>
      <c r="G2224" s="1" t="s">
        <v>20</v>
      </c>
      <c r="H2224" s="8">
        <v>1521558.33</v>
      </c>
      <c r="I2224" s="8">
        <v>1209530.27</v>
      </c>
      <c r="J2224" s="1">
        <f>IF(COUNTIF($C$4:C2224,C2224)=1,1,0)</f>
        <v>1</v>
      </c>
      <c r="K2224" s="1">
        <f t="shared" si="34"/>
        <v>2024</v>
      </c>
    </row>
    <row r="2225" spans="2:11" x14ac:dyDescent="0.45">
      <c r="B2225" s="1" t="s">
        <v>11</v>
      </c>
      <c r="C2225" s="1" t="s">
        <v>2223</v>
      </c>
      <c r="D2225" s="7">
        <v>43539</v>
      </c>
      <c r="E2225" s="7">
        <v>43569</v>
      </c>
      <c r="F2225" s="7">
        <v>43803</v>
      </c>
      <c r="G2225" s="1" t="s">
        <v>212</v>
      </c>
      <c r="H2225" s="8">
        <v>39331499.869999997</v>
      </c>
      <c r="I2225" s="8">
        <v>19214666.899999999</v>
      </c>
      <c r="J2225" s="1">
        <f>IF(COUNTIF($C$4:C2225,C2225)=1,1,0)</f>
        <v>1</v>
      </c>
      <c r="K2225" s="1">
        <f t="shared" si="34"/>
        <v>2019</v>
      </c>
    </row>
    <row r="2226" spans="2:11" x14ac:dyDescent="0.45">
      <c r="B2226" s="1" t="s">
        <v>11</v>
      </c>
      <c r="C2226" s="1" t="s">
        <v>2224</v>
      </c>
      <c r="D2226" s="7">
        <v>43919</v>
      </c>
      <c r="E2226" s="7">
        <v>43946</v>
      </c>
      <c r="F2226" s="7">
        <v>44104</v>
      </c>
      <c r="G2226" s="1" t="s">
        <v>13</v>
      </c>
      <c r="H2226" s="8">
        <v>15450166.42</v>
      </c>
      <c r="I2226" s="8">
        <v>9608144.6199999992</v>
      </c>
      <c r="J2226" s="1">
        <f>IF(COUNTIF($C$4:C2226,C2226)=1,1,0)</f>
        <v>1</v>
      </c>
      <c r="K2226" s="1">
        <f t="shared" si="34"/>
        <v>2020</v>
      </c>
    </row>
    <row r="2227" spans="2:11" x14ac:dyDescent="0.45">
      <c r="B2227" s="1" t="s">
        <v>11</v>
      </c>
      <c r="C2227" s="1" t="s">
        <v>2225</v>
      </c>
      <c r="D2227" s="7">
        <v>43559</v>
      </c>
      <c r="E2227" s="7">
        <v>43575</v>
      </c>
      <c r="F2227" s="7">
        <v>43815</v>
      </c>
      <c r="G2227" s="1" t="s">
        <v>13</v>
      </c>
      <c r="H2227" s="8">
        <v>37928806.630000003</v>
      </c>
      <c r="I2227" s="8">
        <v>23749645.440000001</v>
      </c>
      <c r="J2227" s="1">
        <f>IF(COUNTIF($C$4:C2227,C2227)=1,1,0)</f>
        <v>1</v>
      </c>
      <c r="K2227" s="1">
        <f t="shared" si="34"/>
        <v>2019</v>
      </c>
    </row>
    <row r="2228" spans="2:11" x14ac:dyDescent="0.45">
      <c r="B2228" s="1" t="s">
        <v>11</v>
      </c>
      <c r="C2228" s="1" t="s">
        <v>2226</v>
      </c>
      <c r="D2228" s="7">
        <v>44342</v>
      </c>
      <c r="E2228" s="7">
        <v>44352</v>
      </c>
      <c r="F2228" s="7">
        <v>44449</v>
      </c>
      <c r="G2228" s="1" t="s">
        <v>38</v>
      </c>
      <c r="H2228" s="8">
        <v>1575489.46</v>
      </c>
      <c r="I2228" s="8">
        <v>1217477.21</v>
      </c>
      <c r="J2228" s="1">
        <f>IF(COUNTIF($C$4:C2228,C2228)=1,1,0)</f>
        <v>1</v>
      </c>
      <c r="K2228" s="1">
        <f t="shared" si="34"/>
        <v>2021</v>
      </c>
    </row>
    <row r="2229" spans="2:11" x14ac:dyDescent="0.45">
      <c r="B2229" s="1" t="s">
        <v>11</v>
      </c>
      <c r="C2229" s="1" t="s">
        <v>2227</v>
      </c>
      <c r="D2229" s="7">
        <v>44728</v>
      </c>
      <c r="E2229" s="7">
        <v>44735</v>
      </c>
      <c r="F2229" s="7">
        <v>44835</v>
      </c>
      <c r="G2229" s="1" t="s">
        <v>13</v>
      </c>
      <c r="H2229" s="8">
        <v>19842733.539999999</v>
      </c>
      <c r="I2229" s="8">
        <v>8634837.1600000001</v>
      </c>
      <c r="J2229" s="1">
        <f>IF(COUNTIF($C$4:C2229,C2229)=1,1,0)</f>
        <v>1</v>
      </c>
      <c r="K2229" s="1">
        <f t="shared" si="34"/>
        <v>2022</v>
      </c>
    </row>
    <row r="2230" spans="2:11" x14ac:dyDescent="0.45">
      <c r="B2230" s="1" t="s">
        <v>11</v>
      </c>
      <c r="C2230" s="1" t="s">
        <v>2228</v>
      </c>
      <c r="D2230" s="7">
        <v>45747</v>
      </c>
      <c r="E2230" s="7">
        <v>45748</v>
      </c>
      <c r="F2230" s="7">
        <v>45756</v>
      </c>
      <c r="G2230" s="1" t="s">
        <v>16</v>
      </c>
      <c r="H2230" s="8">
        <v>10863721.42</v>
      </c>
      <c r="I2230" s="8">
        <v>7023386.4199999999</v>
      </c>
      <c r="J2230" s="1">
        <f>IF(COUNTIF($C$4:C2230,C2230)=1,1,0)</f>
        <v>1</v>
      </c>
      <c r="K2230" s="1">
        <f t="shared" si="34"/>
        <v>2025</v>
      </c>
    </row>
    <row r="2231" spans="2:11" x14ac:dyDescent="0.45">
      <c r="B2231" s="1" t="s">
        <v>11</v>
      </c>
      <c r="C2231" s="1" t="s">
        <v>2229</v>
      </c>
      <c r="D2231" s="7">
        <v>44503</v>
      </c>
      <c r="E2231" s="7">
        <v>44528</v>
      </c>
      <c r="F2231" s="7">
        <v>44691</v>
      </c>
      <c r="G2231" s="1" t="s">
        <v>22</v>
      </c>
      <c r="H2231" s="8">
        <v>3359811.63</v>
      </c>
      <c r="I2231" s="8">
        <v>1858206.66</v>
      </c>
      <c r="J2231" s="1">
        <f>IF(COUNTIF($C$4:C2231,C2231)=1,1,0)</f>
        <v>1</v>
      </c>
      <c r="K2231" s="1">
        <f t="shared" si="34"/>
        <v>2021</v>
      </c>
    </row>
    <row r="2232" spans="2:11" x14ac:dyDescent="0.45">
      <c r="B2232" s="1" t="s">
        <v>11</v>
      </c>
      <c r="C2232" s="1" t="s">
        <v>2230</v>
      </c>
      <c r="D2232" s="7">
        <v>45225</v>
      </c>
      <c r="E2232" s="7">
        <v>45230</v>
      </c>
      <c r="F2232" s="7">
        <v>45462</v>
      </c>
      <c r="G2232" s="1" t="s">
        <v>13</v>
      </c>
      <c r="H2232" s="8">
        <v>256416.23</v>
      </c>
      <c r="I2232" s="8">
        <v>217089.09</v>
      </c>
      <c r="J2232" s="1">
        <f>IF(COUNTIF($C$4:C2232,C2232)=1,1,0)</f>
        <v>1</v>
      </c>
      <c r="K2232" s="1">
        <f t="shared" si="34"/>
        <v>2023</v>
      </c>
    </row>
    <row r="2233" spans="2:11" x14ac:dyDescent="0.45">
      <c r="B2233" s="1" t="s">
        <v>11</v>
      </c>
      <c r="C2233" s="1" t="s">
        <v>2231</v>
      </c>
      <c r="D2233" s="7">
        <v>44043</v>
      </c>
      <c r="E2233" s="7">
        <v>44049</v>
      </c>
      <c r="F2233" s="7">
        <v>44089</v>
      </c>
      <c r="G2233" s="1" t="s">
        <v>20</v>
      </c>
      <c r="H2233" s="8">
        <v>3771132.69</v>
      </c>
      <c r="I2233" s="8">
        <v>2733360.07</v>
      </c>
      <c r="J2233" s="1">
        <f>IF(COUNTIF($C$4:C2233,C2233)=1,1,0)</f>
        <v>1</v>
      </c>
      <c r="K2233" s="1">
        <f t="shared" si="34"/>
        <v>2020</v>
      </c>
    </row>
    <row r="2234" spans="2:11" x14ac:dyDescent="0.45">
      <c r="B2234" s="1" t="s">
        <v>11</v>
      </c>
      <c r="C2234" s="1" t="s">
        <v>2232</v>
      </c>
      <c r="D2234" s="7">
        <v>43625</v>
      </c>
      <c r="E2234" s="7">
        <v>43644</v>
      </c>
      <c r="F2234" s="7">
        <v>43679</v>
      </c>
      <c r="G2234" s="1" t="s">
        <v>41</v>
      </c>
      <c r="H2234" s="8">
        <v>58828.11</v>
      </c>
      <c r="I2234" s="8">
        <v>43691.16</v>
      </c>
      <c r="J2234" s="1">
        <f>IF(COUNTIF($C$4:C2234,C2234)=1,1,0)</f>
        <v>1</v>
      </c>
      <c r="K2234" s="1">
        <f t="shared" si="34"/>
        <v>2019</v>
      </c>
    </row>
    <row r="2235" spans="2:11" x14ac:dyDescent="0.45">
      <c r="B2235" s="1" t="s">
        <v>11</v>
      </c>
      <c r="C2235" s="1" t="s">
        <v>2233</v>
      </c>
      <c r="D2235" s="7">
        <v>43768</v>
      </c>
      <c r="E2235" s="7">
        <v>43792</v>
      </c>
      <c r="F2235" s="7">
        <v>43967</v>
      </c>
      <c r="G2235" s="1" t="s">
        <v>20</v>
      </c>
      <c r="H2235" s="8">
        <v>389971.46</v>
      </c>
      <c r="I2235" s="8">
        <v>204415.85</v>
      </c>
      <c r="J2235" s="1">
        <f>IF(COUNTIF($C$4:C2235,C2235)=1,1,0)</f>
        <v>1</v>
      </c>
      <c r="K2235" s="1">
        <f t="shared" si="34"/>
        <v>2019</v>
      </c>
    </row>
    <row r="2236" spans="2:11" x14ac:dyDescent="0.45">
      <c r="B2236" s="1" t="s">
        <v>11</v>
      </c>
      <c r="C2236" s="1" t="s">
        <v>2234</v>
      </c>
      <c r="D2236" s="7">
        <v>44121</v>
      </c>
      <c r="E2236" s="7">
        <v>44137</v>
      </c>
      <c r="F2236" s="7">
        <v>44298</v>
      </c>
      <c r="G2236" s="1" t="s">
        <v>22</v>
      </c>
      <c r="H2236" s="8">
        <v>10441877.92</v>
      </c>
      <c r="I2236" s="8">
        <v>6724733.1500000004</v>
      </c>
      <c r="J2236" s="1">
        <f>IF(COUNTIF($C$4:C2236,C2236)=1,1,0)</f>
        <v>1</v>
      </c>
      <c r="K2236" s="1">
        <f t="shared" si="34"/>
        <v>2020</v>
      </c>
    </row>
    <row r="2237" spans="2:11" x14ac:dyDescent="0.45">
      <c r="B2237" s="1" t="s">
        <v>11</v>
      </c>
      <c r="C2237" s="1" t="s">
        <v>2235</v>
      </c>
      <c r="D2237" s="7">
        <v>45215</v>
      </c>
      <c r="E2237" s="7">
        <v>45226</v>
      </c>
      <c r="F2237" s="7">
        <v>45409</v>
      </c>
      <c r="G2237" s="1" t="s">
        <v>16</v>
      </c>
      <c r="H2237" s="8">
        <v>6421338.6900000004</v>
      </c>
      <c r="I2237" s="8">
        <v>3722756.94</v>
      </c>
      <c r="J2237" s="1">
        <f>IF(COUNTIF($C$4:C2237,C2237)=1,1,0)</f>
        <v>1</v>
      </c>
      <c r="K2237" s="1">
        <f t="shared" si="34"/>
        <v>2023</v>
      </c>
    </row>
    <row r="2238" spans="2:11" x14ac:dyDescent="0.45">
      <c r="B2238" s="1" t="s">
        <v>11</v>
      </c>
      <c r="C2238" s="1" t="s">
        <v>2236</v>
      </c>
      <c r="D2238" s="7">
        <v>44782</v>
      </c>
      <c r="E2238" s="7">
        <v>44807</v>
      </c>
      <c r="F2238" s="7">
        <v>44853</v>
      </c>
      <c r="G2238" s="1" t="s">
        <v>16</v>
      </c>
      <c r="H2238" s="8">
        <v>3978699.12</v>
      </c>
      <c r="I2238" s="8">
        <v>2952606.98</v>
      </c>
      <c r="J2238" s="1">
        <f>IF(COUNTIF($C$4:C2238,C2238)=1,1,0)</f>
        <v>1</v>
      </c>
      <c r="K2238" s="1">
        <f t="shared" si="34"/>
        <v>2022</v>
      </c>
    </row>
    <row r="2239" spans="2:11" x14ac:dyDescent="0.45">
      <c r="B2239" s="1" t="s">
        <v>11</v>
      </c>
      <c r="C2239" s="1" t="s">
        <v>2237</v>
      </c>
      <c r="D2239" s="7">
        <v>43596</v>
      </c>
      <c r="E2239" s="7">
        <v>43597</v>
      </c>
      <c r="F2239" s="7">
        <v>43783</v>
      </c>
      <c r="G2239" s="1" t="s">
        <v>16</v>
      </c>
      <c r="H2239" s="8">
        <v>678691.01</v>
      </c>
      <c r="I2239" s="8">
        <v>336531.93</v>
      </c>
      <c r="J2239" s="1">
        <f>IF(COUNTIF($C$4:C2239,C2239)=1,1,0)</f>
        <v>1</v>
      </c>
      <c r="K2239" s="1">
        <f t="shared" si="34"/>
        <v>2019</v>
      </c>
    </row>
    <row r="2240" spans="2:11" x14ac:dyDescent="0.45">
      <c r="B2240" s="1" t="s">
        <v>11</v>
      </c>
      <c r="C2240" s="1" t="s">
        <v>2238</v>
      </c>
      <c r="D2240" s="7">
        <v>45963</v>
      </c>
      <c r="E2240" s="7">
        <v>45990</v>
      </c>
      <c r="F2240" s="7">
        <v>46076</v>
      </c>
      <c r="G2240" s="1" t="s">
        <v>13</v>
      </c>
      <c r="H2240" s="8">
        <v>20246791.440000001</v>
      </c>
      <c r="I2240" s="8">
        <v>8107919.9100000001</v>
      </c>
      <c r="J2240" s="1">
        <f>IF(COUNTIF($C$4:C2240,C2240)=1,1,0)</f>
        <v>1</v>
      </c>
      <c r="K2240" s="1">
        <f t="shared" si="34"/>
        <v>2025</v>
      </c>
    </row>
    <row r="2241" spans="2:11" x14ac:dyDescent="0.45">
      <c r="B2241" s="1" t="s">
        <v>11</v>
      </c>
      <c r="C2241" s="1" t="s">
        <v>2239</v>
      </c>
      <c r="D2241" s="7">
        <v>45223</v>
      </c>
      <c r="E2241" s="7">
        <v>45228</v>
      </c>
      <c r="F2241" s="7">
        <v>45358</v>
      </c>
      <c r="G2241" s="1" t="s">
        <v>16</v>
      </c>
      <c r="H2241" s="8">
        <v>2885170.71</v>
      </c>
      <c r="I2241" s="8">
        <v>1582167.14</v>
      </c>
      <c r="J2241" s="1">
        <f>IF(COUNTIF($C$4:C2241,C2241)=1,1,0)</f>
        <v>1</v>
      </c>
      <c r="K2241" s="1">
        <f t="shared" si="34"/>
        <v>2023</v>
      </c>
    </row>
    <row r="2242" spans="2:11" x14ac:dyDescent="0.45">
      <c r="B2242" s="1" t="s">
        <v>11</v>
      </c>
      <c r="C2242" s="1" t="s">
        <v>2240</v>
      </c>
      <c r="D2242" s="7">
        <v>43852</v>
      </c>
      <c r="E2242" s="7">
        <v>43863</v>
      </c>
      <c r="F2242" s="7">
        <v>43878</v>
      </c>
      <c r="G2242" s="1" t="s">
        <v>1348</v>
      </c>
      <c r="H2242" s="8">
        <v>141732615.59999999</v>
      </c>
      <c r="I2242" s="8">
        <v>92624233.269999996</v>
      </c>
      <c r="J2242" s="1">
        <f>IF(COUNTIF($C$4:C2242,C2242)=1,1,0)</f>
        <v>1</v>
      </c>
      <c r="K2242" s="1">
        <f t="shared" si="34"/>
        <v>2020</v>
      </c>
    </row>
    <row r="2243" spans="2:11" x14ac:dyDescent="0.45">
      <c r="B2243" s="1" t="s">
        <v>11</v>
      </c>
      <c r="C2243" s="1" t="s">
        <v>2241</v>
      </c>
      <c r="D2243" s="7">
        <v>45399</v>
      </c>
      <c r="E2243" s="7">
        <v>45402</v>
      </c>
      <c r="F2243" s="7">
        <v>45578</v>
      </c>
      <c r="G2243" s="1" t="s">
        <v>13</v>
      </c>
      <c r="H2243" s="8">
        <v>481079.61</v>
      </c>
      <c r="I2243" s="8">
        <v>406498.25</v>
      </c>
      <c r="J2243" s="1">
        <f>IF(COUNTIF($C$4:C2243,C2243)=1,1,0)</f>
        <v>1</v>
      </c>
      <c r="K2243" s="1">
        <f t="shared" si="34"/>
        <v>2024</v>
      </c>
    </row>
    <row r="2244" spans="2:11" x14ac:dyDescent="0.45">
      <c r="B2244" s="1" t="s">
        <v>11</v>
      </c>
      <c r="C2244" s="1" t="s">
        <v>2242</v>
      </c>
      <c r="D2244" s="7">
        <v>44437</v>
      </c>
      <c r="E2244" s="7">
        <v>44465</v>
      </c>
      <c r="F2244" s="7">
        <v>44642</v>
      </c>
      <c r="G2244" s="1" t="s">
        <v>22</v>
      </c>
      <c r="H2244" s="8">
        <v>24069923.809999999</v>
      </c>
      <c r="I2244" s="8">
        <v>16137206.83</v>
      </c>
      <c r="J2244" s="1">
        <f>IF(COUNTIF($C$4:C2244,C2244)=1,1,0)</f>
        <v>1</v>
      </c>
      <c r="K2244" s="1">
        <f t="shared" si="34"/>
        <v>2021</v>
      </c>
    </row>
    <row r="2245" spans="2:11" x14ac:dyDescent="0.45">
      <c r="B2245" s="1" t="s">
        <v>11</v>
      </c>
      <c r="C2245" s="1" t="s">
        <v>2243</v>
      </c>
      <c r="D2245" s="7">
        <v>46140</v>
      </c>
      <c r="E2245" s="7">
        <v>46156</v>
      </c>
      <c r="F2245" s="7">
        <v>46212</v>
      </c>
      <c r="G2245" s="1" t="s">
        <v>13</v>
      </c>
      <c r="H2245" s="8">
        <v>561324.80000000005</v>
      </c>
      <c r="I2245" s="8">
        <v>434558.88</v>
      </c>
      <c r="J2245" s="1">
        <f>IF(COUNTIF($C$4:C2245,C2245)=1,1,0)</f>
        <v>1</v>
      </c>
      <c r="K2245" s="1">
        <f t="shared" ref="K2245:K2308" si="35">YEAR(D2245)</f>
        <v>2026</v>
      </c>
    </row>
    <row r="2246" spans="2:11" x14ac:dyDescent="0.45">
      <c r="B2246" s="1" t="s">
        <v>11</v>
      </c>
      <c r="C2246" s="1" t="s">
        <v>2244</v>
      </c>
      <c r="D2246" s="7">
        <v>45850</v>
      </c>
      <c r="E2246" s="7">
        <v>45864</v>
      </c>
      <c r="F2246" s="7">
        <v>45899</v>
      </c>
      <c r="G2246" s="1" t="s">
        <v>20</v>
      </c>
      <c r="H2246" s="8">
        <v>553155.11</v>
      </c>
      <c r="I2246" s="8">
        <v>386762.61</v>
      </c>
      <c r="J2246" s="1">
        <f>IF(COUNTIF($C$4:C2246,C2246)=1,1,0)</f>
        <v>1</v>
      </c>
      <c r="K2246" s="1">
        <f t="shared" si="35"/>
        <v>2025</v>
      </c>
    </row>
    <row r="2247" spans="2:11" x14ac:dyDescent="0.45">
      <c r="B2247" s="1" t="s">
        <v>11</v>
      </c>
      <c r="C2247" s="1" t="s">
        <v>2245</v>
      </c>
      <c r="D2247" s="7">
        <v>45736</v>
      </c>
      <c r="E2247" s="7">
        <v>45736</v>
      </c>
      <c r="F2247" s="7">
        <v>45830</v>
      </c>
      <c r="G2247" s="1" t="s">
        <v>1348</v>
      </c>
      <c r="H2247" s="8">
        <v>38487936.170000002</v>
      </c>
      <c r="I2247" s="8">
        <v>21605927.43</v>
      </c>
      <c r="J2247" s="1">
        <f>IF(COUNTIF($C$4:C2247,C2247)=1,1,0)</f>
        <v>1</v>
      </c>
      <c r="K2247" s="1">
        <f t="shared" si="35"/>
        <v>2025</v>
      </c>
    </row>
    <row r="2248" spans="2:11" x14ac:dyDescent="0.45">
      <c r="B2248" s="1" t="s">
        <v>11</v>
      </c>
      <c r="C2248" s="1" t="s">
        <v>2246</v>
      </c>
      <c r="D2248" s="7">
        <v>45674</v>
      </c>
      <c r="E2248" s="7">
        <v>45689</v>
      </c>
      <c r="F2248" s="7">
        <v>45715</v>
      </c>
      <c r="G2248" s="1" t="s">
        <v>13</v>
      </c>
      <c r="H2248" s="8">
        <v>6972232.6200000001</v>
      </c>
      <c r="I2248" s="8">
        <v>2526293.0099999998</v>
      </c>
      <c r="J2248" s="1">
        <f>IF(COUNTIF($C$4:C2248,C2248)=1,1,0)</f>
        <v>1</v>
      </c>
      <c r="K2248" s="1">
        <f t="shared" si="35"/>
        <v>2025</v>
      </c>
    </row>
    <row r="2249" spans="2:11" x14ac:dyDescent="0.45">
      <c r="B2249" s="1" t="s">
        <v>11</v>
      </c>
      <c r="C2249" s="1" t="s">
        <v>2247</v>
      </c>
      <c r="D2249" s="7">
        <v>45705</v>
      </c>
      <c r="E2249" s="7">
        <v>45711</v>
      </c>
      <c r="F2249" s="7">
        <v>45819</v>
      </c>
      <c r="G2249" s="1" t="s">
        <v>38</v>
      </c>
      <c r="H2249" s="8">
        <v>808803.18</v>
      </c>
      <c r="I2249" s="8">
        <v>493388.69</v>
      </c>
      <c r="J2249" s="1">
        <f>IF(COUNTIF($C$4:C2249,C2249)=1,1,0)</f>
        <v>1</v>
      </c>
      <c r="K2249" s="1">
        <f t="shared" si="35"/>
        <v>2025</v>
      </c>
    </row>
    <row r="2250" spans="2:11" x14ac:dyDescent="0.45">
      <c r="B2250" s="1" t="s">
        <v>11</v>
      </c>
      <c r="C2250" s="1" t="s">
        <v>2248</v>
      </c>
      <c r="D2250" s="7">
        <v>45102</v>
      </c>
      <c r="E2250" s="7">
        <v>45131</v>
      </c>
      <c r="F2250" s="7">
        <v>45251</v>
      </c>
      <c r="G2250" s="1" t="s">
        <v>13</v>
      </c>
      <c r="H2250" s="8">
        <v>37422146.109999999</v>
      </c>
      <c r="I2250" s="8">
        <v>28634600.870000001</v>
      </c>
      <c r="J2250" s="1">
        <f>IF(COUNTIF($C$4:C2250,C2250)=1,1,0)</f>
        <v>1</v>
      </c>
      <c r="K2250" s="1">
        <f t="shared" si="35"/>
        <v>2023</v>
      </c>
    </row>
    <row r="2251" spans="2:11" x14ac:dyDescent="0.45">
      <c r="B2251" s="1" t="s">
        <v>11</v>
      </c>
      <c r="C2251" s="1" t="s">
        <v>2249</v>
      </c>
      <c r="D2251" s="7">
        <v>43811</v>
      </c>
      <c r="E2251" s="7">
        <v>43832</v>
      </c>
      <c r="F2251" s="7">
        <v>43906</v>
      </c>
      <c r="G2251" s="1" t="s">
        <v>16</v>
      </c>
      <c r="H2251" s="8">
        <v>611507.04</v>
      </c>
      <c r="I2251" s="8">
        <v>313507.15999999997</v>
      </c>
      <c r="J2251" s="1">
        <f>IF(COUNTIF($C$4:C2251,C2251)=1,1,0)</f>
        <v>1</v>
      </c>
      <c r="K2251" s="1">
        <f t="shared" si="35"/>
        <v>2019</v>
      </c>
    </row>
    <row r="2252" spans="2:11" x14ac:dyDescent="0.45">
      <c r="B2252" s="1" t="s">
        <v>11</v>
      </c>
      <c r="C2252" s="1" t="s">
        <v>2250</v>
      </c>
      <c r="D2252" s="7">
        <v>44285</v>
      </c>
      <c r="E2252" s="7">
        <v>44313</v>
      </c>
      <c r="F2252" s="7">
        <v>44390</v>
      </c>
      <c r="G2252" s="1" t="s">
        <v>13</v>
      </c>
      <c r="H2252" s="8">
        <v>1431562.97</v>
      </c>
      <c r="I2252" s="8">
        <v>1028921.67</v>
      </c>
      <c r="J2252" s="1">
        <f>IF(COUNTIF($C$4:C2252,C2252)=1,1,0)</f>
        <v>1</v>
      </c>
      <c r="K2252" s="1">
        <f t="shared" si="35"/>
        <v>2021</v>
      </c>
    </row>
    <row r="2253" spans="2:11" x14ac:dyDescent="0.45">
      <c r="B2253" s="1" t="s">
        <v>11</v>
      </c>
      <c r="C2253" s="1" t="s">
        <v>2251</v>
      </c>
      <c r="D2253" s="7">
        <v>45738</v>
      </c>
      <c r="E2253" s="7">
        <v>45757</v>
      </c>
      <c r="F2253" s="7">
        <v>45875</v>
      </c>
      <c r="G2253" s="1" t="s">
        <v>41</v>
      </c>
      <c r="H2253" s="8">
        <v>202440.2</v>
      </c>
      <c r="I2253" s="8">
        <v>138694.39999999999</v>
      </c>
      <c r="J2253" s="1">
        <f>IF(COUNTIF($C$4:C2253,C2253)=1,1,0)</f>
        <v>1</v>
      </c>
      <c r="K2253" s="1">
        <f t="shared" si="35"/>
        <v>2025</v>
      </c>
    </row>
    <row r="2254" spans="2:11" x14ac:dyDescent="0.45">
      <c r="B2254" s="1" t="s">
        <v>11</v>
      </c>
      <c r="C2254" s="1" t="s">
        <v>2252</v>
      </c>
      <c r="D2254" s="7">
        <v>45689</v>
      </c>
      <c r="E2254" s="7">
        <v>45710</v>
      </c>
      <c r="F2254" s="7">
        <v>45932</v>
      </c>
      <c r="G2254" s="1" t="s">
        <v>22</v>
      </c>
      <c r="H2254" s="8">
        <v>25305679.379999999</v>
      </c>
      <c r="I2254" s="8">
        <v>17986714.57</v>
      </c>
      <c r="J2254" s="1">
        <f>IF(COUNTIF($C$4:C2254,C2254)=1,1,0)</f>
        <v>1</v>
      </c>
      <c r="K2254" s="1">
        <f t="shared" si="35"/>
        <v>2025</v>
      </c>
    </row>
    <row r="2255" spans="2:11" x14ac:dyDescent="0.45">
      <c r="B2255" s="1" t="s">
        <v>11</v>
      </c>
      <c r="C2255" s="1" t="s">
        <v>2253</v>
      </c>
      <c r="D2255" s="7">
        <v>44092</v>
      </c>
      <c r="E2255" s="7">
        <v>44097</v>
      </c>
      <c r="F2255" s="7">
        <v>44327</v>
      </c>
      <c r="G2255" s="1" t="s">
        <v>38</v>
      </c>
      <c r="H2255" s="8">
        <v>456399.86</v>
      </c>
      <c r="I2255" s="8">
        <v>356894.96</v>
      </c>
      <c r="J2255" s="1">
        <f>IF(COUNTIF($C$4:C2255,C2255)=1,1,0)</f>
        <v>1</v>
      </c>
      <c r="K2255" s="1">
        <f t="shared" si="35"/>
        <v>2020</v>
      </c>
    </row>
    <row r="2256" spans="2:11" x14ac:dyDescent="0.45">
      <c r="B2256" s="1" t="s">
        <v>11</v>
      </c>
      <c r="C2256" s="1" t="s">
        <v>2254</v>
      </c>
      <c r="D2256" s="7">
        <v>43841</v>
      </c>
      <c r="E2256" s="7">
        <v>43862</v>
      </c>
      <c r="F2256" s="7">
        <v>44028</v>
      </c>
      <c r="G2256" s="1" t="s">
        <v>22</v>
      </c>
      <c r="H2256" s="8">
        <v>52439808.799999997</v>
      </c>
      <c r="I2256" s="8">
        <v>38436692.020000003</v>
      </c>
      <c r="J2256" s="1">
        <f>IF(COUNTIF($C$4:C2256,C2256)=1,1,0)</f>
        <v>1</v>
      </c>
      <c r="K2256" s="1">
        <f t="shared" si="35"/>
        <v>2020</v>
      </c>
    </row>
    <row r="2257" spans="2:11" x14ac:dyDescent="0.45">
      <c r="B2257" s="1" t="s">
        <v>11</v>
      </c>
      <c r="C2257" s="1" t="s">
        <v>2255</v>
      </c>
      <c r="D2257" s="7">
        <v>44886</v>
      </c>
      <c r="E2257" s="7">
        <v>44895</v>
      </c>
      <c r="F2257" s="7">
        <v>45020</v>
      </c>
      <c r="G2257" s="1" t="s">
        <v>16</v>
      </c>
      <c r="H2257" s="8">
        <v>4450375.16</v>
      </c>
      <c r="I2257" s="8">
        <v>3195214.12</v>
      </c>
      <c r="J2257" s="1">
        <f>IF(COUNTIF($C$4:C2257,C2257)=1,1,0)</f>
        <v>1</v>
      </c>
      <c r="K2257" s="1">
        <f t="shared" si="35"/>
        <v>2022</v>
      </c>
    </row>
    <row r="2258" spans="2:11" x14ac:dyDescent="0.45">
      <c r="B2258" s="1" t="s">
        <v>11</v>
      </c>
      <c r="C2258" s="1" t="s">
        <v>2256</v>
      </c>
      <c r="D2258" s="7">
        <v>43421</v>
      </c>
      <c r="E2258" s="7">
        <v>43430</v>
      </c>
      <c r="F2258" s="7">
        <v>43555</v>
      </c>
      <c r="G2258" s="1" t="s">
        <v>13</v>
      </c>
      <c r="H2258" s="8">
        <v>348864.83</v>
      </c>
      <c r="I2258" s="8">
        <v>265289.78999999998</v>
      </c>
      <c r="J2258" s="1">
        <f>IF(COUNTIF($C$4:C2258,C2258)=1,1,0)</f>
        <v>1</v>
      </c>
      <c r="K2258" s="1">
        <f t="shared" si="35"/>
        <v>2018</v>
      </c>
    </row>
    <row r="2259" spans="2:11" x14ac:dyDescent="0.45">
      <c r="B2259" s="1" t="s">
        <v>11</v>
      </c>
      <c r="C2259" s="1" t="s">
        <v>2257</v>
      </c>
      <c r="D2259" s="7">
        <v>44914</v>
      </c>
      <c r="E2259" s="7">
        <v>44926</v>
      </c>
      <c r="F2259" s="7">
        <v>45149</v>
      </c>
      <c r="G2259" s="1" t="s">
        <v>16</v>
      </c>
      <c r="H2259" s="8">
        <v>3731564.14</v>
      </c>
      <c r="I2259" s="8">
        <v>2444475.9300000002</v>
      </c>
      <c r="J2259" s="1">
        <f>IF(COUNTIF($C$4:C2259,C2259)=1,1,0)</f>
        <v>1</v>
      </c>
      <c r="K2259" s="1">
        <f t="shared" si="35"/>
        <v>2022</v>
      </c>
    </row>
    <row r="2260" spans="2:11" x14ac:dyDescent="0.45">
      <c r="B2260" s="1" t="s">
        <v>11</v>
      </c>
      <c r="C2260" s="1" t="s">
        <v>2258</v>
      </c>
      <c r="D2260" s="7">
        <v>44274</v>
      </c>
      <c r="E2260" s="7">
        <v>44288</v>
      </c>
      <c r="F2260" s="7">
        <v>44416</v>
      </c>
      <c r="G2260" s="1" t="s">
        <v>1348</v>
      </c>
      <c r="H2260" s="8">
        <v>13113889.779999999</v>
      </c>
      <c r="I2260" s="8">
        <v>4558405.05</v>
      </c>
      <c r="J2260" s="1">
        <f>IF(COUNTIF($C$4:C2260,C2260)=1,1,0)</f>
        <v>1</v>
      </c>
      <c r="K2260" s="1">
        <f t="shared" si="35"/>
        <v>2021</v>
      </c>
    </row>
    <row r="2261" spans="2:11" x14ac:dyDescent="0.45">
      <c r="B2261" s="1" t="s">
        <v>11</v>
      </c>
      <c r="C2261" s="1" t="s">
        <v>2259</v>
      </c>
      <c r="D2261" s="7">
        <v>45077</v>
      </c>
      <c r="E2261" s="7">
        <v>45077</v>
      </c>
      <c r="F2261" s="7">
        <v>45137</v>
      </c>
      <c r="G2261" s="1" t="s">
        <v>20</v>
      </c>
      <c r="H2261" s="8">
        <v>1039081.15</v>
      </c>
      <c r="I2261" s="8">
        <v>723975.23</v>
      </c>
      <c r="J2261" s="1">
        <f>IF(COUNTIF($C$4:C2261,C2261)=1,1,0)</f>
        <v>1</v>
      </c>
      <c r="K2261" s="1">
        <f t="shared" si="35"/>
        <v>2023</v>
      </c>
    </row>
    <row r="2262" spans="2:11" x14ac:dyDescent="0.45">
      <c r="B2262" s="1" t="s">
        <v>11</v>
      </c>
      <c r="C2262" s="1" t="s">
        <v>2260</v>
      </c>
      <c r="D2262" s="7">
        <v>43887</v>
      </c>
      <c r="E2262" s="7">
        <v>43897</v>
      </c>
      <c r="F2262" s="7">
        <v>43932</v>
      </c>
      <c r="G2262" s="1" t="s">
        <v>20</v>
      </c>
      <c r="H2262" s="8">
        <v>295991.78000000003</v>
      </c>
      <c r="I2262" s="8">
        <v>234306.6</v>
      </c>
      <c r="J2262" s="1">
        <f>IF(COUNTIF($C$4:C2262,C2262)=1,1,0)</f>
        <v>1</v>
      </c>
      <c r="K2262" s="1">
        <f t="shared" si="35"/>
        <v>2020</v>
      </c>
    </row>
    <row r="2263" spans="2:11" x14ac:dyDescent="0.45">
      <c r="B2263" s="1" t="s">
        <v>11</v>
      </c>
      <c r="C2263" s="1" t="s">
        <v>2261</v>
      </c>
      <c r="D2263" s="7">
        <v>43460</v>
      </c>
      <c r="E2263" s="7">
        <v>43460</v>
      </c>
      <c r="F2263" s="7">
        <v>43552</v>
      </c>
      <c r="G2263" s="1" t="s">
        <v>13</v>
      </c>
      <c r="H2263" s="8">
        <v>603911.1</v>
      </c>
      <c r="I2263" s="8">
        <v>511621.56</v>
      </c>
      <c r="J2263" s="1">
        <f>IF(COUNTIF($C$4:C2263,C2263)=1,1,0)</f>
        <v>1</v>
      </c>
      <c r="K2263" s="1">
        <f t="shared" si="35"/>
        <v>2018</v>
      </c>
    </row>
    <row r="2264" spans="2:11" x14ac:dyDescent="0.45">
      <c r="B2264" s="1" t="s">
        <v>11</v>
      </c>
      <c r="C2264" s="1" t="s">
        <v>2262</v>
      </c>
      <c r="D2264" s="7">
        <v>43581</v>
      </c>
      <c r="E2264" s="7">
        <v>43597</v>
      </c>
      <c r="F2264" s="7">
        <v>43727</v>
      </c>
      <c r="G2264" s="1" t="s">
        <v>13</v>
      </c>
      <c r="H2264" s="8">
        <v>12648896.449999999</v>
      </c>
      <c r="I2264" s="8">
        <v>4706901.26</v>
      </c>
      <c r="J2264" s="1">
        <f>IF(COUNTIF($C$4:C2264,C2264)=1,1,0)</f>
        <v>1</v>
      </c>
      <c r="K2264" s="1">
        <f t="shared" si="35"/>
        <v>2019</v>
      </c>
    </row>
    <row r="2265" spans="2:11" x14ac:dyDescent="0.45">
      <c r="B2265" s="1" t="s">
        <v>11</v>
      </c>
      <c r="C2265" s="1" t="s">
        <v>2263</v>
      </c>
      <c r="D2265" s="7">
        <v>43581</v>
      </c>
      <c r="E2265" s="7">
        <v>43605</v>
      </c>
      <c r="F2265" s="7">
        <v>43715</v>
      </c>
      <c r="G2265" s="1" t="s">
        <v>41</v>
      </c>
      <c r="H2265" s="8">
        <v>98000.35</v>
      </c>
      <c r="I2265" s="8">
        <v>78693.8</v>
      </c>
      <c r="J2265" s="1">
        <f>IF(COUNTIF($C$4:C2265,C2265)=1,1,0)</f>
        <v>1</v>
      </c>
      <c r="K2265" s="1">
        <f t="shared" si="35"/>
        <v>2019</v>
      </c>
    </row>
    <row r="2266" spans="2:11" x14ac:dyDescent="0.45">
      <c r="B2266" s="1" t="s">
        <v>11</v>
      </c>
      <c r="C2266" s="1" t="s">
        <v>2264</v>
      </c>
      <c r="D2266" s="7">
        <v>44939</v>
      </c>
      <c r="E2266" s="7">
        <v>44959</v>
      </c>
      <c r="F2266" s="7">
        <v>45024</v>
      </c>
      <c r="G2266" s="1" t="s">
        <v>41</v>
      </c>
      <c r="H2266" s="8">
        <v>1601799.6</v>
      </c>
      <c r="I2266" s="8">
        <v>1200278.79</v>
      </c>
      <c r="J2266" s="1">
        <f>IF(COUNTIF($C$4:C2266,C2266)=1,1,0)</f>
        <v>1</v>
      </c>
      <c r="K2266" s="1">
        <f t="shared" si="35"/>
        <v>2023</v>
      </c>
    </row>
    <row r="2267" spans="2:11" x14ac:dyDescent="0.45">
      <c r="B2267" s="1" t="s">
        <v>11</v>
      </c>
      <c r="C2267" s="1" t="s">
        <v>2265</v>
      </c>
      <c r="D2267" s="7">
        <v>43407</v>
      </c>
      <c r="E2267" s="7">
        <v>43409</v>
      </c>
      <c r="F2267" s="7">
        <v>43512</v>
      </c>
      <c r="G2267" s="1" t="s">
        <v>38</v>
      </c>
      <c r="H2267" s="8">
        <v>1487547.82</v>
      </c>
      <c r="I2267" s="8">
        <v>886681.44</v>
      </c>
      <c r="J2267" s="1">
        <f>IF(COUNTIF($C$4:C2267,C2267)=1,1,0)</f>
        <v>1</v>
      </c>
      <c r="K2267" s="1">
        <f t="shared" si="35"/>
        <v>2018</v>
      </c>
    </row>
    <row r="2268" spans="2:11" x14ac:dyDescent="0.45">
      <c r="B2268" s="1" t="s">
        <v>11</v>
      </c>
      <c r="C2268" s="1" t="s">
        <v>2266</v>
      </c>
      <c r="D2268" s="7">
        <v>45174</v>
      </c>
      <c r="E2268" s="7">
        <v>45201</v>
      </c>
      <c r="F2268" s="7">
        <v>45426</v>
      </c>
      <c r="G2268" s="1" t="s">
        <v>1348</v>
      </c>
      <c r="H2268" s="8">
        <v>18022623.199999999</v>
      </c>
      <c r="I2268" s="8">
        <v>14849068.17</v>
      </c>
      <c r="J2268" s="1">
        <f>IF(COUNTIF($C$4:C2268,C2268)=1,1,0)</f>
        <v>1</v>
      </c>
      <c r="K2268" s="1">
        <f t="shared" si="35"/>
        <v>2023</v>
      </c>
    </row>
    <row r="2269" spans="2:11" x14ac:dyDescent="0.45">
      <c r="B2269" s="1" t="s">
        <v>11</v>
      </c>
      <c r="C2269" s="1" t="s">
        <v>2267</v>
      </c>
      <c r="D2269" s="7">
        <v>44803</v>
      </c>
      <c r="E2269" s="7">
        <v>44833</v>
      </c>
      <c r="F2269" s="7">
        <v>45018</v>
      </c>
      <c r="G2269" s="1" t="s">
        <v>1348</v>
      </c>
      <c r="H2269" s="8">
        <v>32973874.25</v>
      </c>
      <c r="I2269" s="8">
        <v>24416199.120000001</v>
      </c>
      <c r="J2269" s="1">
        <f>IF(COUNTIF($C$4:C2269,C2269)=1,1,0)</f>
        <v>1</v>
      </c>
      <c r="K2269" s="1">
        <f t="shared" si="35"/>
        <v>2022</v>
      </c>
    </row>
    <row r="2270" spans="2:11" x14ac:dyDescent="0.45">
      <c r="B2270" s="1" t="s">
        <v>11</v>
      </c>
      <c r="C2270" s="1" t="s">
        <v>2268</v>
      </c>
      <c r="D2270" s="7">
        <v>44087</v>
      </c>
      <c r="E2270" s="7">
        <v>44101</v>
      </c>
      <c r="F2270" s="7">
        <v>44340</v>
      </c>
      <c r="G2270" s="1" t="s">
        <v>13</v>
      </c>
      <c r="H2270" s="8">
        <v>10307229.109999999</v>
      </c>
      <c r="I2270" s="8">
        <v>4399773.0599999996</v>
      </c>
      <c r="J2270" s="1">
        <f>IF(COUNTIF($C$4:C2270,C2270)=1,1,0)</f>
        <v>1</v>
      </c>
      <c r="K2270" s="1">
        <f t="shared" si="35"/>
        <v>2020</v>
      </c>
    </row>
    <row r="2271" spans="2:11" x14ac:dyDescent="0.45">
      <c r="B2271" s="1" t="s">
        <v>11</v>
      </c>
      <c r="C2271" s="1" t="s">
        <v>2269</v>
      </c>
      <c r="D2271" s="7">
        <v>44724</v>
      </c>
      <c r="E2271" s="7">
        <v>44741</v>
      </c>
      <c r="F2271" s="7">
        <v>44863</v>
      </c>
      <c r="G2271" s="1" t="s">
        <v>16</v>
      </c>
      <c r="H2271" s="8">
        <v>1736784.29</v>
      </c>
      <c r="I2271" s="8">
        <v>1031892.27</v>
      </c>
      <c r="J2271" s="1">
        <f>IF(COUNTIF($C$4:C2271,C2271)=1,1,0)</f>
        <v>1</v>
      </c>
      <c r="K2271" s="1">
        <f t="shared" si="35"/>
        <v>2022</v>
      </c>
    </row>
    <row r="2272" spans="2:11" x14ac:dyDescent="0.45">
      <c r="B2272" s="1" t="s">
        <v>11</v>
      </c>
      <c r="C2272" s="1" t="s">
        <v>2270</v>
      </c>
      <c r="D2272" s="7">
        <v>44694</v>
      </c>
      <c r="E2272" s="7">
        <v>44712</v>
      </c>
      <c r="F2272" s="7">
        <v>44765</v>
      </c>
      <c r="G2272" s="1" t="s">
        <v>22</v>
      </c>
      <c r="H2272" s="8">
        <v>31608623.039999999</v>
      </c>
      <c r="I2272" s="8">
        <v>20731046.25</v>
      </c>
      <c r="J2272" s="1">
        <f>IF(COUNTIF($C$4:C2272,C2272)=1,1,0)</f>
        <v>1</v>
      </c>
      <c r="K2272" s="1">
        <f t="shared" si="35"/>
        <v>2022</v>
      </c>
    </row>
    <row r="2273" spans="2:11" x14ac:dyDescent="0.45">
      <c r="B2273" s="1" t="s">
        <v>11</v>
      </c>
      <c r="C2273" s="1" t="s">
        <v>2271</v>
      </c>
      <c r="D2273" s="7">
        <v>43443</v>
      </c>
      <c r="E2273" s="7">
        <v>43466</v>
      </c>
      <c r="F2273" s="7">
        <v>43629</v>
      </c>
      <c r="G2273" s="1" t="s">
        <v>20</v>
      </c>
      <c r="H2273" s="8">
        <v>974416.47</v>
      </c>
      <c r="I2273" s="8">
        <v>721130.84</v>
      </c>
      <c r="J2273" s="1">
        <f>IF(COUNTIF($C$4:C2273,C2273)=1,1,0)</f>
        <v>1</v>
      </c>
      <c r="K2273" s="1">
        <f t="shared" si="35"/>
        <v>2018</v>
      </c>
    </row>
    <row r="2274" spans="2:11" x14ac:dyDescent="0.45">
      <c r="B2274" s="1" t="s">
        <v>11</v>
      </c>
      <c r="C2274" s="1" t="s">
        <v>2272</v>
      </c>
      <c r="D2274" s="7">
        <v>45634</v>
      </c>
      <c r="E2274" s="7">
        <v>45636</v>
      </c>
      <c r="F2274" s="7">
        <v>45696</v>
      </c>
      <c r="G2274" s="1" t="s">
        <v>41</v>
      </c>
      <c r="H2274" s="8">
        <v>640179.19999999995</v>
      </c>
      <c r="I2274" s="8">
        <v>485781.22</v>
      </c>
      <c r="J2274" s="1">
        <f>IF(COUNTIF($C$4:C2274,C2274)=1,1,0)</f>
        <v>1</v>
      </c>
      <c r="K2274" s="1">
        <f t="shared" si="35"/>
        <v>2024</v>
      </c>
    </row>
    <row r="2275" spans="2:11" x14ac:dyDescent="0.45">
      <c r="B2275" s="1" t="s">
        <v>11</v>
      </c>
      <c r="C2275" s="1" t="s">
        <v>2273</v>
      </c>
      <c r="D2275" s="7">
        <v>46213</v>
      </c>
      <c r="E2275" s="7">
        <v>46224</v>
      </c>
      <c r="F2275" s="7">
        <v>46367</v>
      </c>
      <c r="G2275" s="1" t="s">
        <v>22</v>
      </c>
      <c r="H2275" s="8">
        <v>2209827.2200000002</v>
      </c>
      <c r="I2275" s="8">
        <v>1316410.3700000001</v>
      </c>
      <c r="J2275" s="1">
        <f>IF(COUNTIF($C$4:C2275,C2275)=1,1,0)</f>
        <v>1</v>
      </c>
      <c r="K2275" s="1">
        <f t="shared" si="35"/>
        <v>2026</v>
      </c>
    </row>
    <row r="2276" spans="2:11" x14ac:dyDescent="0.45">
      <c r="B2276" s="1" t="s">
        <v>11</v>
      </c>
      <c r="C2276" s="1" t="s">
        <v>2274</v>
      </c>
      <c r="D2276" s="7">
        <v>44775</v>
      </c>
      <c r="E2276" s="7">
        <v>44805</v>
      </c>
      <c r="F2276" s="7">
        <v>44823</v>
      </c>
      <c r="G2276" s="1" t="s">
        <v>13</v>
      </c>
      <c r="H2276" s="8">
        <v>81498840.510000005</v>
      </c>
      <c r="I2276" s="8">
        <v>56307546.030000001</v>
      </c>
      <c r="J2276" s="1">
        <f>IF(COUNTIF($C$4:C2276,C2276)=1,1,0)</f>
        <v>1</v>
      </c>
      <c r="K2276" s="1">
        <f t="shared" si="35"/>
        <v>2022</v>
      </c>
    </row>
    <row r="2277" spans="2:11" x14ac:dyDescent="0.45">
      <c r="B2277" s="1" t="s">
        <v>11</v>
      </c>
      <c r="C2277" s="1" t="s">
        <v>2275</v>
      </c>
      <c r="D2277" s="7">
        <v>44748</v>
      </c>
      <c r="E2277" s="7">
        <v>44769</v>
      </c>
      <c r="F2277" s="7">
        <v>44968</v>
      </c>
      <c r="G2277" s="1" t="s">
        <v>22</v>
      </c>
      <c r="H2277" s="8">
        <v>9865896.6300000008</v>
      </c>
      <c r="I2277" s="8">
        <v>5626250.2199999997</v>
      </c>
      <c r="J2277" s="1">
        <f>IF(COUNTIF($C$4:C2277,C2277)=1,1,0)</f>
        <v>1</v>
      </c>
      <c r="K2277" s="1">
        <f t="shared" si="35"/>
        <v>2022</v>
      </c>
    </row>
    <row r="2278" spans="2:11" x14ac:dyDescent="0.45">
      <c r="B2278" s="1" t="s">
        <v>11</v>
      </c>
      <c r="C2278" s="1" t="s">
        <v>2276</v>
      </c>
      <c r="D2278" s="7">
        <v>45443</v>
      </c>
      <c r="E2278" s="7">
        <v>45467</v>
      </c>
      <c r="F2278" s="7">
        <v>45622</v>
      </c>
      <c r="G2278" s="1" t="s">
        <v>22</v>
      </c>
      <c r="H2278" s="8">
        <v>41032310.770000003</v>
      </c>
      <c r="I2278" s="8">
        <v>25052490.149999999</v>
      </c>
      <c r="J2278" s="1">
        <f>IF(COUNTIF($C$4:C2278,C2278)=1,1,0)</f>
        <v>1</v>
      </c>
      <c r="K2278" s="1">
        <f t="shared" si="35"/>
        <v>2024</v>
      </c>
    </row>
    <row r="2279" spans="2:11" x14ac:dyDescent="0.45">
      <c r="B2279" s="1" t="s">
        <v>11</v>
      </c>
      <c r="C2279" s="1" t="s">
        <v>2277</v>
      </c>
      <c r="D2279" s="7">
        <v>44033</v>
      </c>
      <c r="E2279" s="7">
        <v>44049</v>
      </c>
      <c r="F2279" s="7">
        <v>44110</v>
      </c>
      <c r="G2279" s="1" t="s">
        <v>13</v>
      </c>
      <c r="H2279" s="8">
        <v>10655591.34</v>
      </c>
      <c r="I2279" s="8">
        <v>6105388.4100000001</v>
      </c>
      <c r="J2279" s="1">
        <f>IF(COUNTIF($C$4:C2279,C2279)=1,1,0)</f>
        <v>1</v>
      </c>
      <c r="K2279" s="1">
        <f t="shared" si="35"/>
        <v>2020</v>
      </c>
    </row>
    <row r="2280" spans="2:11" x14ac:dyDescent="0.45">
      <c r="B2280" s="1" t="s">
        <v>11</v>
      </c>
      <c r="C2280" s="1" t="s">
        <v>2278</v>
      </c>
      <c r="D2280" s="7">
        <v>45340</v>
      </c>
      <c r="E2280" s="7">
        <v>45351</v>
      </c>
      <c r="F2280" s="7">
        <v>45398</v>
      </c>
      <c r="G2280" s="1" t="s">
        <v>20</v>
      </c>
      <c r="H2280" s="8">
        <v>641687.05000000005</v>
      </c>
      <c r="I2280" s="8">
        <v>416236.7</v>
      </c>
      <c r="J2280" s="1">
        <f>IF(COUNTIF($C$4:C2280,C2280)=1,1,0)</f>
        <v>1</v>
      </c>
      <c r="K2280" s="1">
        <f t="shared" si="35"/>
        <v>2024</v>
      </c>
    </row>
    <row r="2281" spans="2:11" x14ac:dyDescent="0.45">
      <c r="B2281" s="1" t="s">
        <v>11</v>
      </c>
      <c r="C2281" s="1" t="s">
        <v>2279</v>
      </c>
      <c r="D2281" s="7">
        <v>45518</v>
      </c>
      <c r="E2281" s="7">
        <v>45528</v>
      </c>
      <c r="F2281" s="7">
        <v>45749</v>
      </c>
      <c r="G2281" s="1" t="s">
        <v>16</v>
      </c>
      <c r="H2281" s="8">
        <v>3852582.08</v>
      </c>
      <c r="I2281" s="8">
        <v>2777928.39</v>
      </c>
      <c r="J2281" s="1">
        <f>IF(COUNTIF($C$4:C2281,C2281)=1,1,0)</f>
        <v>1</v>
      </c>
      <c r="K2281" s="1">
        <f t="shared" si="35"/>
        <v>2024</v>
      </c>
    </row>
    <row r="2282" spans="2:11" x14ac:dyDescent="0.45">
      <c r="B2282" s="1" t="s">
        <v>11</v>
      </c>
      <c r="C2282" s="1" t="s">
        <v>2280</v>
      </c>
      <c r="D2282" s="7">
        <v>44383</v>
      </c>
      <c r="E2282" s="7">
        <v>44413</v>
      </c>
      <c r="F2282" s="7">
        <v>44637</v>
      </c>
      <c r="G2282" s="1" t="s">
        <v>16</v>
      </c>
      <c r="H2282" s="8">
        <v>1138065.96</v>
      </c>
      <c r="I2282" s="8">
        <v>831524.52</v>
      </c>
      <c r="J2282" s="1">
        <f>IF(COUNTIF($C$4:C2282,C2282)=1,1,0)</f>
        <v>1</v>
      </c>
      <c r="K2282" s="1">
        <f t="shared" si="35"/>
        <v>2021</v>
      </c>
    </row>
    <row r="2283" spans="2:11" x14ac:dyDescent="0.45">
      <c r="B2283" s="1" t="s">
        <v>11</v>
      </c>
      <c r="C2283" s="1" t="s">
        <v>2281</v>
      </c>
      <c r="D2283" s="7">
        <v>45461</v>
      </c>
      <c r="E2283" s="7">
        <v>45467</v>
      </c>
      <c r="F2283" s="7">
        <v>45608</v>
      </c>
      <c r="G2283" s="1" t="s">
        <v>20</v>
      </c>
      <c r="H2283" s="8">
        <v>269810.06</v>
      </c>
      <c r="I2283" s="8">
        <v>152631.74</v>
      </c>
      <c r="J2283" s="1">
        <f>IF(COUNTIF($C$4:C2283,C2283)=1,1,0)</f>
        <v>1</v>
      </c>
      <c r="K2283" s="1">
        <f t="shared" si="35"/>
        <v>2024</v>
      </c>
    </row>
    <row r="2284" spans="2:11" x14ac:dyDescent="0.45">
      <c r="B2284" s="1" t="s">
        <v>11</v>
      </c>
      <c r="C2284" s="1" t="s">
        <v>2282</v>
      </c>
      <c r="D2284" s="7">
        <v>44072</v>
      </c>
      <c r="E2284" s="7">
        <v>44099</v>
      </c>
      <c r="F2284" s="7">
        <v>44233</v>
      </c>
      <c r="G2284" s="1" t="s">
        <v>38</v>
      </c>
      <c r="H2284" s="8">
        <v>300604.40000000002</v>
      </c>
      <c r="I2284" s="8">
        <v>223427.43</v>
      </c>
      <c r="J2284" s="1">
        <f>IF(COUNTIF($C$4:C2284,C2284)=1,1,0)</f>
        <v>1</v>
      </c>
      <c r="K2284" s="1">
        <f t="shared" si="35"/>
        <v>2020</v>
      </c>
    </row>
    <row r="2285" spans="2:11" x14ac:dyDescent="0.45">
      <c r="B2285" s="1" t="s">
        <v>11</v>
      </c>
      <c r="C2285" s="1" t="s">
        <v>2283</v>
      </c>
      <c r="D2285" s="7">
        <v>46098</v>
      </c>
      <c r="E2285" s="7">
        <v>46118</v>
      </c>
      <c r="F2285" s="7">
        <v>46299</v>
      </c>
      <c r="G2285" s="1" t="s">
        <v>13</v>
      </c>
      <c r="H2285" s="8">
        <v>22310405.010000002</v>
      </c>
      <c r="I2285" s="8">
        <v>8163250.2999999998</v>
      </c>
      <c r="J2285" s="1">
        <f>IF(COUNTIF($C$4:C2285,C2285)=1,1,0)</f>
        <v>1</v>
      </c>
      <c r="K2285" s="1">
        <f t="shared" si="35"/>
        <v>2026</v>
      </c>
    </row>
    <row r="2286" spans="2:11" x14ac:dyDescent="0.45">
      <c r="B2286" s="1" t="s">
        <v>11</v>
      </c>
      <c r="C2286" s="1" t="s">
        <v>2284</v>
      </c>
      <c r="D2286" s="7">
        <v>46023</v>
      </c>
      <c r="E2286" s="7">
        <v>46051</v>
      </c>
      <c r="F2286" s="7">
        <v>46156</v>
      </c>
      <c r="G2286" s="1" t="s">
        <v>16</v>
      </c>
      <c r="H2286" s="8">
        <v>4097500.55</v>
      </c>
      <c r="I2286" s="8">
        <v>2815472.72</v>
      </c>
      <c r="J2286" s="1">
        <f>IF(COUNTIF($C$4:C2286,C2286)=1,1,0)</f>
        <v>1</v>
      </c>
      <c r="K2286" s="1">
        <f t="shared" si="35"/>
        <v>2026</v>
      </c>
    </row>
    <row r="2287" spans="2:11" x14ac:dyDescent="0.45">
      <c r="B2287" s="1" t="s">
        <v>11</v>
      </c>
      <c r="C2287" s="1" t="s">
        <v>2285</v>
      </c>
      <c r="D2287" s="7">
        <v>45311</v>
      </c>
      <c r="E2287" s="7">
        <v>45319</v>
      </c>
      <c r="F2287" s="7">
        <v>45326</v>
      </c>
      <c r="G2287" s="1" t="s">
        <v>38</v>
      </c>
      <c r="H2287" s="8">
        <v>1246230.19</v>
      </c>
      <c r="I2287" s="8">
        <v>701564.87</v>
      </c>
      <c r="J2287" s="1">
        <f>IF(COUNTIF($C$4:C2287,C2287)=1,1,0)</f>
        <v>1</v>
      </c>
      <c r="K2287" s="1">
        <f t="shared" si="35"/>
        <v>2024</v>
      </c>
    </row>
    <row r="2288" spans="2:11" x14ac:dyDescent="0.45">
      <c r="B2288" s="1" t="s">
        <v>11</v>
      </c>
      <c r="C2288" s="1" t="s">
        <v>2286</v>
      </c>
      <c r="D2288" s="7">
        <v>43990</v>
      </c>
      <c r="E2288" s="7">
        <v>43991</v>
      </c>
      <c r="F2288" s="7">
        <v>44176</v>
      </c>
      <c r="G2288" s="1" t="s">
        <v>13</v>
      </c>
      <c r="H2288" s="8">
        <v>1591061.43</v>
      </c>
      <c r="I2288" s="8">
        <v>1011707.68</v>
      </c>
      <c r="J2288" s="1">
        <f>IF(COUNTIF($C$4:C2288,C2288)=1,1,0)</f>
        <v>1</v>
      </c>
      <c r="K2288" s="1">
        <f t="shared" si="35"/>
        <v>2020</v>
      </c>
    </row>
    <row r="2289" spans="2:11" x14ac:dyDescent="0.45">
      <c r="B2289" s="1" t="s">
        <v>11</v>
      </c>
      <c r="C2289" s="1" t="s">
        <v>2287</v>
      </c>
      <c r="D2289" s="7">
        <v>45756</v>
      </c>
      <c r="E2289" s="7">
        <v>45763</v>
      </c>
      <c r="F2289" s="7">
        <v>45944</v>
      </c>
      <c r="G2289" s="1" t="s">
        <v>22</v>
      </c>
      <c r="H2289" s="8">
        <v>13135813.15</v>
      </c>
      <c r="I2289" s="8">
        <v>4946611.75</v>
      </c>
      <c r="J2289" s="1">
        <f>IF(COUNTIF($C$4:C2289,C2289)=1,1,0)</f>
        <v>1</v>
      </c>
      <c r="K2289" s="1">
        <f t="shared" si="35"/>
        <v>2025</v>
      </c>
    </row>
    <row r="2290" spans="2:11" x14ac:dyDescent="0.45">
      <c r="B2290" s="1" t="s">
        <v>11</v>
      </c>
      <c r="C2290" s="1" t="s">
        <v>2288</v>
      </c>
      <c r="D2290" s="7">
        <v>44350</v>
      </c>
      <c r="E2290" s="7">
        <v>44359</v>
      </c>
      <c r="F2290" s="7">
        <v>44514</v>
      </c>
      <c r="G2290" s="1" t="s">
        <v>22</v>
      </c>
      <c r="H2290" s="8">
        <v>28249435.829999998</v>
      </c>
      <c r="I2290" s="8">
        <v>15087343.199999999</v>
      </c>
      <c r="J2290" s="1">
        <f>IF(COUNTIF($C$4:C2290,C2290)=1,1,0)</f>
        <v>1</v>
      </c>
      <c r="K2290" s="1">
        <f t="shared" si="35"/>
        <v>2021</v>
      </c>
    </row>
    <row r="2291" spans="2:11" x14ac:dyDescent="0.45">
      <c r="B2291" s="1" t="s">
        <v>11</v>
      </c>
      <c r="C2291" s="1" t="s">
        <v>2289</v>
      </c>
      <c r="D2291" s="7">
        <v>43953</v>
      </c>
      <c r="E2291" s="7">
        <v>43983</v>
      </c>
      <c r="F2291" s="7">
        <v>44136</v>
      </c>
      <c r="G2291" s="1" t="s">
        <v>20</v>
      </c>
      <c r="H2291" s="8">
        <v>1314401.93</v>
      </c>
      <c r="I2291" s="8">
        <v>936790.78</v>
      </c>
      <c r="J2291" s="1">
        <f>IF(COUNTIF($C$4:C2291,C2291)=1,1,0)</f>
        <v>1</v>
      </c>
      <c r="K2291" s="1">
        <f t="shared" si="35"/>
        <v>2020</v>
      </c>
    </row>
    <row r="2292" spans="2:11" x14ac:dyDescent="0.45">
      <c r="B2292" s="1" t="s">
        <v>11</v>
      </c>
      <c r="C2292" s="1" t="s">
        <v>2290</v>
      </c>
      <c r="D2292" s="7">
        <v>44369</v>
      </c>
      <c r="E2292" s="7">
        <v>44396</v>
      </c>
      <c r="F2292" s="7">
        <v>44434</v>
      </c>
      <c r="G2292" s="1" t="s">
        <v>41</v>
      </c>
      <c r="H2292" s="8">
        <v>712801.69</v>
      </c>
      <c r="I2292" s="8">
        <v>462876.31</v>
      </c>
      <c r="J2292" s="1">
        <f>IF(COUNTIF($C$4:C2292,C2292)=1,1,0)</f>
        <v>1</v>
      </c>
      <c r="K2292" s="1">
        <f t="shared" si="35"/>
        <v>2021</v>
      </c>
    </row>
    <row r="2293" spans="2:11" x14ac:dyDescent="0.45">
      <c r="B2293" s="1" t="s">
        <v>11</v>
      </c>
      <c r="C2293" s="1" t="s">
        <v>2291</v>
      </c>
      <c r="D2293" s="7">
        <v>45126</v>
      </c>
      <c r="E2293" s="7">
        <v>45142</v>
      </c>
      <c r="F2293" s="7">
        <v>45213</v>
      </c>
      <c r="G2293" s="1" t="s">
        <v>1348</v>
      </c>
      <c r="H2293" s="8">
        <v>13700193.289999999</v>
      </c>
      <c r="I2293" s="8">
        <v>9785025.9499999993</v>
      </c>
      <c r="J2293" s="1">
        <f>IF(COUNTIF($C$4:C2293,C2293)=1,1,0)</f>
        <v>1</v>
      </c>
      <c r="K2293" s="1">
        <f t="shared" si="35"/>
        <v>2023</v>
      </c>
    </row>
    <row r="2294" spans="2:11" x14ac:dyDescent="0.45">
      <c r="B2294" s="1" t="s">
        <v>11</v>
      </c>
      <c r="C2294" s="1" t="s">
        <v>2292</v>
      </c>
      <c r="D2294" s="7">
        <v>43487</v>
      </c>
      <c r="E2294" s="7">
        <v>43504</v>
      </c>
      <c r="F2294" s="7">
        <v>43513</v>
      </c>
      <c r="G2294" s="1" t="s">
        <v>13</v>
      </c>
      <c r="H2294" s="8">
        <v>91072307.030000001</v>
      </c>
      <c r="I2294" s="8">
        <v>39692342.460000001</v>
      </c>
      <c r="J2294" s="1">
        <f>IF(COUNTIF($C$4:C2294,C2294)=1,1,0)</f>
        <v>1</v>
      </c>
      <c r="K2294" s="1">
        <f t="shared" si="35"/>
        <v>2019</v>
      </c>
    </row>
    <row r="2295" spans="2:11" x14ac:dyDescent="0.45">
      <c r="B2295" s="1" t="s">
        <v>11</v>
      </c>
      <c r="C2295" s="1" t="s">
        <v>2293</v>
      </c>
      <c r="D2295" s="7">
        <v>44024</v>
      </c>
      <c r="E2295" s="7">
        <v>44028</v>
      </c>
      <c r="F2295" s="7">
        <v>44223</v>
      </c>
      <c r="G2295" s="1" t="s">
        <v>22</v>
      </c>
      <c r="H2295" s="8">
        <v>1260635.6100000001</v>
      </c>
      <c r="I2295" s="8">
        <v>752243.46</v>
      </c>
      <c r="J2295" s="1">
        <f>IF(COUNTIF($C$4:C2295,C2295)=1,1,0)</f>
        <v>1</v>
      </c>
      <c r="K2295" s="1">
        <f t="shared" si="35"/>
        <v>2020</v>
      </c>
    </row>
    <row r="2296" spans="2:11" x14ac:dyDescent="0.45">
      <c r="B2296" s="1" t="s">
        <v>11</v>
      </c>
      <c r="C2296" s="1" t="s">
        <v>2294</v>
      </c>
      <c r="D2296" s="7">
        <v>45087</v>
      </c>
      <c r="E2296" s="7">
        <v>45108</v>
      </c>
      <c r="F2296" s="7">
        <v>45283</v>
      </c>
      <c r="G2296" s="1" t="s">
        <v>13</v>
      </c>
      <c r="H2296" s="8">
        <v>1024413.27</v>
      </c>
      <c r="I2296" s="8">
        <v>793749.99</v>
      </c>
      <c r="J2296" s="1">
        <f>IF(COUNTIF($C$4:C2296,C2296)=1,1,0)</f>
        <v>1</v>
      </c>
      <c r="K2296" s="1">
        <f t="shared" si="35"/>
        <v>2023</v>
      </c>
    </row>
    <row r="2297" spans="2:11" x14ac:dyDescent="0.45">
      <c r="B2297" s="1" t="s">
        <v>11</v>
      </c>
      <c r="C2297" s="1" t="s">
        <v>2295</v>
      </c>
      <c r="D2297" s="7">
        <v>44525</v>
      </c>
      <c r="E2297" s="7">
        <v>44528</v>
      </c>
      <c r="F2297" s="7">
        <v>44653</v>
      </c>
      <c r="G2297" s="1" t="s">
        <v>1348</v>
      </c>
      <c r="H2297" s="8">
        <v>60747105.450000003</v>
      </c>
      <c r="I2297" s="8">
        <v>32155413.760000002</v>
      </c>
      <c r="J2297" s="1">
        <f>IF(COUNTIF($C$4:C2297,C2297)=1,1,0)</f>
        <v>1</v>
      </c>
      <c r="K2297" s="1">
        <f t="shared" si="35"/>
        <v>2021</v>
      </c>
    </row>
    <row r="2298" spans="2:11" x14ac:dyDescent="0.45">
      <c r="B2298" s="1" t="s">
        <v>11</v>
      </c>
      <c r="C2298" s="1" t="s">
        <v>2296</v>
      </c>
      <c r="D2298" s="7">
        <v>43809</v>
      </c>
      <c r="E2298" s="7">
        <v>43820</v>
      </c>
      <c r="F2298" s="7">
        <v>43887</v>
      </c>
      <c r="G2298" s="1" t="s">
        <v>20</v>
      </c>
      <c r="H2298" s="8">
        <v>3062544.08</v>
      </c>
      <c r="I2298" s="8">
        <v>1948624.2</v>
      </c>
      <c r="J2298" s="1">
        <f>IF(COUNTIF($C$4:C2298,C2298)=1,1,0)</f>
        <v>1</v>
      </c>
      <c r="K2298" s="1">
        <f t="shared" si="35"/>
        <v>2019</v>
      </c>
    </row>
    <row r="2299" spans="2:11" x14ac:dyDescent="0.45">
      <c r="B2299" s="1" t="s">
        <v>11</v>
      </c>
      <c r="C2299" s="1" t="s">
        <v>2297</v>
      </c>
      <c r="D2299" s="7">
        <v>43825</v>
      </c>
      <c r="E2299" s="7">
        <v>43825</v>
      </c>
      <c r="F2299" s="7">
        <v>44016</v>
      </c>
      <c r="G2299" s="1" t="s">
        <v>1348</v>
      </c>
      <c r="H2299" s="8">
        <v>18806223.449999999</v>
      </c>
      <c r="I2299" s="8">
        <v>13075649.1</v>
      </c>
      <c r="J2299" s="1">
        <f>IF(COUNTIF($C$4:C2299,C2299)=1,1,0)</f>
        <v>1</v>
      </c>
      <c r="K2299" s="1">
        <f t="shared" si="35"/>
        <v>2019</v>
      </c>
    </row>
    <row r="2300" spans="2:11" x14ac:dyDescent="0.45">
      <c r="B2300" s="1" t="s">
        <v>11</v>
      </c>
      <c r="C2300" s="1" t="s">
        <v>2298</v>
      </c>
      <c r="D2300" s="7">
        <v>44248</v>
      </c>
      <c r="E2300" s="7">
        <v>44272</v>
      </c>
      <c r="F2300" s="7">
        <v>44482</v>
      </c>
      <c r="G2300" s="1" t="s">
        <v>18</v>
      </c>
      <c r="H2300" s="8">
        <v>5100068.18</v>
      </c>
      <c r="I2300" s="8">
        <v>4129512.46</v>
      </c>
      <c r="J2300" s="1">
        <f>IF(COUNTIF($C$4:C2300,C2300)=1,1,0)</f>
        <v>1</v>
      </c>
      <c r="K2300" s="1">
        <f t="shared" si="35"/>
        <v>2021</v>
      </c>
    </row>
    <row r="2301" spans="2:11" x14ac:dyDescent="0.45">
      <c r="B2301" s="1" t="s">
        <v>11</v>
      </c>
      <c r="C2301" s="1" t="s">
        <v>2299</v>
      </c>
      <c r="D2301" s="7">
        <v>45764</v>
      </c>
      <c r="E2301" s="7">
        <v>45783</v>
      </c>
      <c r="F2301" s="7">
        <v>45967</v>
      </c>
      <c r="G2301" s="1" t="s">
        <v>41</v>
      </c>
      <c r="H2301" s="8">
        <v>99124.66</v>
      </c>
      <c r="I2301" s="8">
        <v>72897</v>
      </c>
      <c r="J2301" s="1">
        <f>IF(COUNTIF($C$4:C2301,C2301)=1,1,0)</f>
        <v>1</v>
      </c>
      <c r="K2301" s="1">
        <f t="shared" si="35"/>
        <v>2025</v>
      </c>
    </row>
    <row r="2302" spans="2:11" x14ac:dyDescent="0.45">
      <c r="B2302" s="1" t="s">
        <v>11</v>
      </c>
      <c r="C2302" s="1" t="s">
        <v>2300</v>
      </c>
      <c r="D2302" s="7">
        <v>44943</v>
      </c>
      <c r="E2302" s="7">
        <v>44966</v>
      </c>
      <c r="F2302" s="7">
        <v>45087</v>
      </c>
      <c r="G2302" s="1" t="s">
        <v>16</v>
      </c>
      <c r="H2302" s="8">
        <v>1076905.52</v>
      </c>
      <c r="I2302" s="8">
        <v>787513.05</v>
      </c>
      <c r="J2302" s="1">
        <f>IF(COUNTIF($C$4:C2302,C2302)=1,1,0)</f>
        <v>1</v>
      </c>
      <c r="K2302" s="1">
        <f t="shared" si="35"/>
        <v>2023</v>
      </c>
    </row>
    <row r="2303" spans="2:11" x14ac:dyDescent="0.45">
      <c r="B2303" s="1" t="s">
        <v>11</v>
      </c>
      <c r="C2303" s="1" t="s">
        <v>2301</v>
      </c>
      <c r="D2303" s="7">
        <v>43487</v>
      </c>
      <c r="E2303" s="7">
        <v>43516</v>
      </c>
      <c r="F2303" s="7">
        <v>43657</v>
      </c>
      <c r="G2303" s="1" t="s">
        <v>41</v>
      </c>
      <c r="H2303" s="8">
        <v>991197.47</v>
      </c>
      <c r="I2303" s="8">
        <v>723378.47</v>
      </c>
      <c r="J2303" s="1">
        <f>IF(COUNTIF($C$4:C2303,C2303)=1,1,0)</f>
        <v>1</v>
      </c>
      <c r="K2303" s="1">
        <f t="shared" si="35"/>
        <v>2019</v>
      </c>
    </row>
    <row r="2304" spans="2:11" x14ac:dyDescent="0.45">
      <c r="B2304" s="1" t="s">
        <v>11</v>
      </c>
      <c r="C2304" s="1" t="s">
        <v>2302</v>
      </c>
      <c r="D2304" s="7">
        <v>43799</v>
      </c>
      <c r="E2304" s="7">
        <v>43806</v>
      </c>
      <c r="F2304" s="7">
        <v>43834</v>
      </c>
      <c r="G2304" s="1" t="s">
        <v>16</v>
      </c>
      <c r="H2304" s="8">
        <v>766543.41</v>
      </c>
      <c r="I2304" s="8">
        <v>448270.46</v>
      </c>
      <c r="J2304" s="1">
        <f>IF(COUNTIF($C$4:C2304,C2304)=1,1,0)</f>
        <v>1</v>
      </c>
      <c r="K2304" s="1">
        <f t="shared" si="35"/>
        <v>2019</v>
      </c>
    </row>
    <row r="2305" spans="2:11" x14ac:dyDescent="0.45">
      <c r="B2305" s="1" t="s">
        <v>11</v>
      </c>
      <c r="C2305" s="1" t="s">
        <v>2303</v>
      </c>
      <c r="D2305" s="7">
        <v>45012</v>
      </c>
      <c r="E2305" s="7">
        <v>45015</v>
      </c>
      <c r="F2305" s="7">
        <v>45193</v>
      </c>
      <c r="G2305" s="1" t="s">
        <v>41</v>
      </c>
      <c r="H2305" s="8">
        <v>63174.34</v>
      </c>
      <c r="I2305" s="8">
        <v>54673.24</v>
      </c>
      <c r="J2305" s="1">
        <f>IF(COUNTIF($C$4:C2305,C2305)=1,1,0)</f>
        <v>1</v>
      </c>
      <c r="K2305" s="1">
        <f t="shared" si="35"/>
        <v>2023</v>
      </c>
    </row>
    <row r="2306" spans="2:11" x14ac:dyDescent="0.45">
      <c r="B2306" s="1" t="s">
        <v>11</v>
      </c>
      <c r="C2306" s="1" t="s">
        <v>2304</v>
      </c>
      <c r="D2306" s="7">
        <v>46117</v>
      </c>
      <c r="E2306" s="7">
        <v>46121</v>
      </c>
      <c r="F2306" s="7">
        <v>46360</v>
      </c>
      <c r="G2306" s="1" t="s">
        <v>38</v>
      </c>
      <c r="H2306" s="8">
        <v>154437.56</v>
      </c>
      <c r="I2306" s="8">
        <v>107206.27</v>
      </c>
      <c r="J2306" s="1">
        <f>IF(COUNTIF($C$4:C2306,C2306)=1,1,0)</f>
        <v>1</v>
      </c>
      <c r="K2306" s="1">
        <f t="shared" si="35"/>
        <v>2026</v>
      </c>
    </row>
    <row r="2307" spans="2:11" x14ac:dyDescent="0.45">
      <c r="B2307" s="1" t="s">
        <v>11</v>
      </c>
      <c r="C2307" s="1" t="s">
        <v>2305</v>
      </c>
      <c r="D2307" s="7">
        <v>45792</v>
      </c>
      <c r="E2307" s="7">
        <v>45810</v>
      </c>
      <c r="F2307" s="7">
        <v>45958</v>
      </c>
      <c r="G2307" s="1" t="s">
        <v>18</v>
      </c>
      <c r="H2307" s="8">
        <v>1969432.47</v>
      </c>
      <c r="I2307" s="8">
        <v>1436209.71</v>
      </c>
      <c r="J2307" s="1">
        <f>IF(COUNTIF($C$4:C2307,C2307)=1,1,0)</f>
        <v>1</v>
      </c>
      <c r="K2307" s="1">
        <f t="shared" si="35"/>
        <v>2025</v>
      </c>
    </row>
    <row r="2308" spans="2:11" x14ac:dyDescent="0.45">
      <c r="B2308" s="1" t="s">
        <v>11</v>
      </c>
      <c r="C2308" s="1" t="s">
        <v>2306</v>
      </c>
      <c r="D2308" s="7">
        <v>44180</v>
      </c>
      <c r="E2308" s="7">
        <v>44182</v>
      </c>
      <c r="F2308" s="7">
        <v>44299</v>
      </c>
      <c r="G2308" s="1" t="s">
        <v>13</v>
      </c>
      <c r="H2308" s="8">
        <v>564842.07999999996</v>
      </c>
      <c r="I2308" s="8">
        <v>444812.41</v>
      </c>
      <c r="J2308" s="1">
        <f>IF(COUNTIF($C$4:C2308,C2308)=1,1,0)</f>
        <v>1</v>
      </c>
      <c r="K2308" s="1">
        <f t="shared" si="35"/>
        <v>2020</v>
      </c>
    </row>
    <row r="2309" spans="2:11" x14ac:dyDescent="0.45">
      <c r="B2309" s="1" t="s">
        <v>11</v>
      </c>
      <c r="C2309" s="1" t="s">
        <v>2307</v>
      </c>
      <c r="D2309" s="7">
        <v>44997</v>
      </c>
      <c r="E2309" s="7">
        <v>45002</v>
      </c>
      <c r="F2309" s="7">
        <v>45052</v>
      </c>
      <c r="G2309" s="1" t="s">
        <v>22</v>
      </c>
      <c r="H2309" s="8">
        <v>6735513.3700000001</v>
      </c>
      <c r="I2309" s="8">
        <v>3980761.02</v>
      </c>
      <c r="J2309" s="1">
        <f>IF(COUNTIF($C$4:C2309,C2309)=1,1,0)</f>
        <v>1</v>
      </c>
      <c r="K2309" s="1">
        <f t="shared" ref="K2309:K2372" si="36">YEAR(D2309)</f>
        <v>2023</v>
      </c>
    </row>
    <row r="2310" spans="2:11" x14ac:dyDescent="0.45">
      <c r="B2310" s="1" t="s">
        <v>11</v>
      </c>
      <c r="C2310" s="1" t="s">
        <v>2308</v>
      </c>
      <c r="D2310" s="7">
        <v>46015</v>
      </c>
      <c r="E2310" s="7">
        <v>46019</v>
      </c>
      <c r="F2310" s="7">
        <v>46161</v>
      </c>
      <c r="G2310" s="1" t="s">
        <v>1348</v>
      </c>
      <c r="H2310" s="8">
        <v>38714998.32</v>
      </c>
      <c r="I2310" s="8">
        <v>21477017.890000001</v>
      </c>
      <c r="J2310" s="1">
        <f>IF(COUNTIF($C$4:C2310,C2310)=1,1,0)</f>
        <v>1</v>
      </c>
      <c r="K2310" s="1">
        <f t="shared" si="36"/>
        <v>2025</v>
      </c>
    </row>
    <row r="2311" spans="2:11" x14ac:dyDescent="0.45">
      <c r="B2311" s="1" t="s">
        <v>11</v>
      </c>
      <c r="C2311" s="1" t="s">
        <v>2309</v>
      </c>
      <c r="D2311" s="7">
        <v>45494</v>
      </c>
      <c r="E2311" s="7">
        <v>45520</v>
      </c>
      <c r="F2311" s="7">
        <v>45690</v>
      </c>
      <c r="G2311" s="1" t="s">
        <v>41</v>
      </c>
      <c r="H2311" s="8">
        <v>150850.66</v>
      </c>
      <c r="I2311" s="8">
        <v>106040.45</v>
      </c>
      <c r="J2311" s="1">
        <f>IF(COUNTIF($C$4:C2311,C2311)=1,1,0)</f>
        <v>1</v>
      </c>
      <c r="K2311" s="1">
        <f t="shared" si="36"/>
        <v>2024</v>
      </c>
    </row>
    <row r="2312" spans="2:11" x14ac:dyDescent="0.45">
      <c r="B2312" s="1" t="s">
        <v>11</v>
      </c>
      <c r="C2312" s="1" t="s">
        <v>2310</v>
      </c>
      <c r="D2312" s="7">
        <v>44645</v>
      </c>
      <c r="E2312" s="7">
        <v>44672</v>
      </c>
      <c r="F2312" s="7">
        <v>44731</v>
      </c>
      <c r="G2312" s="1" t="s">
        <v>13</v>
      </c>
      <c r="H2312" s="8">
        <v>139974.65</v>
      </c>
      <c r="I2312" s="8">
        <v>99171.74</v>
      </c>
      <c r="J2312" s="1">
        <f>IF(COUNTIF($C$4:C2312,C2312)=1,1,0)</f>
        <v>1</v>
      </c>
      <c r="K2312" s="1">
        <f t="shared" si="36"/>
        <v>2022</v>
      </c>
    </row>
    <row r="2313" spans="2:11" x14ac:dyDescent="0.45">
      <c r="B2313" s="1" t="s">
        <v>11</v>
      </c>
      <c r="C2313" s="1" t="s">
        <v>2311</v>
      </c>
      <c r="D2313" s="7">
        <v>43654</v>
      </c>
      <c r="E2313" s="7">
        <v>43672</v>
      </c>
      <c r="F2313" s="7">
        <v>43896</v>
      </c>
      <c r="G2313" s="1" t="s">
        <v>20</v>
      </c>
      <c r="H2313" s="8">
        <v>1326474.8</v>
      </c>
      <c r="I2313" s="8">
        <v>912496.56</v>
      </c>
      <c r="J2313" s="1">
        <f>IF(COUNTIF($C$4:C2313,C2313)=1,1,0)</f>
        <v>1</v>
      </c>
      <c r="K2313" s="1">
        <f t="shared" si="36"/>
        <v>2019</v>
      </c>
    </row>
    <row r="2314" spans="2:11" x14ac:dyDescent="0.45">
      <c r="B2314" s="1" t="s">
        <v>11</v>
      </c>
      <c r="C2314" s="1" t="s">
        <v>2312</v>
      </c>
      <c r="D2314" s="7">
        <v>45597</v>
      </c>
      <c r="E2314" s="7">
        <v>45599</v>
      </c>
      <c r="F2314" s="7">
        <v>45762</v>
      </c>
      <c r="G2314" s="1" t="s">
        <v>38</v>
      </c>
      <c r="H2314" s="8">
        <v>733531.47</v>
      </c>
      <c r="I2314" s="8">
        <v>604524.4</v>
      </c>
      <c r="J2314" s="1">
        <f>IF(COUNTIF($C$4:C2314,C2314)=1,1,0)</f>
        <v>1</v>
      </c>
      <c r="K2314" s="1">
        <f t="shared" si="36"/>
        <v>2024</v>
      </c>
    </row>
    <row r="2315" spans="2:11" x14ac:dyDescent="0.45">
      <c r="B2315" s="1" t="s">
        <v>11</v>
      </c>
      <c r="C2315" s="1" t="s">
        <v>2313</v>
      </c>
      <c r="D2315" s="7">
        <v>44859</v>
      </c>
      <c r="E2315" s="7">
        <v>44870</v>
      </c>
      <c r="F2315" s="7">
        <v>45001</v>
      </c>
      <c r="G2315" s="1" t="s">
        <v>13</v>
      </c>
      <c r="H2315" s="8">
        <v>652407.12</v>
      </c>
      <c r="I2315" s="8">
        <v>497902.69</v>
      </c>
      <c r="J2315" s="1">
        <f>IF(COUNTIF($C$4:C2315,C2315)=1,1,0)</f>
        <v>1</v>
      </c>
      <c r="K2315" s="1">
        <f t="shared" si="36"/>
        <v>2022</v>
      </c>
    </row>
    <row r="2316" spans="2:11" x14ac:dyDescent="0.45">
      <c r="B2316" s="1" t="s">
        <v>11</v>
      </c>
      <c r="C2316" s="1" t="s">
        <v>2314</v>
      </c>
      <c r="D2316" s="7">
        <v>44224</v>
      </c>
      <c r="E2316" s="7">
        <v>44225</v>
      </c>
      <c r="F2316" s="7">
        <v>44311</v>
      </c>
      <c r="G2316" s="1" t="s">
        <v>13</v>
      </c>
      <c r="H2316" s="8">
        <v>383166.66</v>
      </c>
      <c r="I2316" s="8">
        <v>351930.93</v>
      </c>
      <c r="J2316" s="1">
        <f>IF(COUNTIF($C$4:C2316,C2316)=1,1,0)</f>
        <v>1</v>
      </c>
      <c r="K2316" s="1">
        <f t="shared" si="36"/>
        <v>2021</v>
      </c>
    </row>
    <row r="2317" spans="2:11" x14ac:dyDescent="0.45">
      <c r="B2317" s="1" t="s">
        <v>11</v>
      </c>
      <c r="C2317" s="1" t="s">
        <v>2315</v>
      </c>
      <c r="D2317" s="7">
        <v>45478</v>
      </c>
      <c r="E2317" s="7">
        <v>45482</v>
      </c>
      <c r="F2317" s="7">
        <v>45564</v>
      </c>
      <c r="G2317" s="1" t="s">
        <v>38</v>
      </c>
      <c r="H2317" s="8">
        <v>949323.23</v>
      </c>
      <c r="I2317" s="8">
        <v>808871.19</v>
      </c>
      <c r="J2317" s="1">
        <f>IF(COUNTIF($C$4:C2317,C2317)=1,1,0)</f>
        <v>1</v>
      </c>
      <c r="K2317" s="1">
        <f t="shared" si="36"/>
        <v>2024</v>
      </c>
    </row>
    <row r="2318" spans="2:11" x14ac:dyDescent="0.45">
      <c r="B2318" s="1" t="s">
        <v>11</v>
      </c>
      <c r="C2318" s="1" t="s">
        <v>2316</v>
      </c>
      <c r="D2318" s="7">
        <v>43180</v>
      </c>
      <c r="E2318" s="7">
        <v>43202</v>
      </c>
      <c r="F2318" s="7">
        <v>43339</v>
      </c>
      <c r="G2318" s="1" t="s">
        <v>22</v>
      </c>
      <c r="H2318" s="8">
        <v>8693885.6400000006</v>
      </c>
      <c r="I2318" s="8">
        <v>4125157.06</v>
      </c>
      <c r="J2318" s="1">
        <f>IF(COUNTIF($C$4:C2318,C2318)=1,1,0)</f>
        <v>1</v>
      </c>
      <c r="K2318" s="1">
        <f t="shared" si="36"/>
        <v>2018</v>
      </c>
    </row>
    <row r="2319" spans="2:11" x14ac:dyDescent="0.45">
      <c r="B2319" s="1" t="s">
        <v>11</v>
      </c>
      <c r="C2319" s="1" t="s">
        <v>2317</v>
      </c>
      <c r="D2319" s="7">
        <v>44635</v>
      </c>
      <c r="E2319" s="7">
        <v>44636</v>
      </c>
      <c r="F2319" s="7">
        <v>44723</v>
      </c>
      <c r="G2319" s="1" t="s">
        <v>38</v>
      </c>
      <c r="H2319" s="8">
        <v>518136.4</v>
      </c>
      <c r="I2319" s="8">
        <v>341527.17</v>
      </c>
      <c r="J2319" s="1">
        <f>IF(COUNTIF($C$4:C2319,C2319)=1,1,0)</f>
        <v>1</v>
      </c>
      <c r="K2319" s="1">
        <f t="shared" si="36"/>
        <v>2022</v>
      </c>
    </row>
    <row r="2320" spans="2:11" x14ac:dyDescent="0.45">
      <c r="B2320" s="1" t="s">
        <v>11</v>
      </c>
      <c r="C2320" s="1" t="s">
        <v>2318</v>
      </c>
      <c r="D2320" s="7">
        <v>43457</v>
      </c>
      <c r="E2320" s="7">
        <v>43465</v>
      </c>
      <c r="F2320" s="7">
        <v>43568</v>
      </c>
      <c r="G2320" s="1" t="s">
        <v>20</v>
      </c>
      <c r="H2320" s="8">
        <v>1274783.28</v>
      </c>
      <c r="I2320" s="8">
        <v>696765.19</v>
      </c>
      <c r="J2320" s="1">
        <f>IF(COUNTIF($C$4:C2320,C2320)=1,1,0)</f>
        <v>1</v>
      </c>
      <c r="K2320" s="1">
        <f t="shared" si="36"/>
        <v>2018</v>
      </c>
    </row>
    <row r="2321" spans="2:11" x14ac:dyDescent="0.45">
      <c r="B2321" s="1" t="s">
        <v>11</v>
      </c>
      <c r="C2321" s="1" t="s">
        <v>2319</v>
      </c>
      <c r="D2321" s="7">
        <v>44132</v>
      </c>
      <c r="E2321" s="7">
        <v>44146</v>
      </c>
      <c r="F2321" s="7">
        <v>44386</v>
      </c>
      <c r="G2321" s="1" t="s">
        <v>13</v>
      </c>
      <c r="H2321" s="8">
        <v>41957106.700000003</v>
      </c>
      <c r="I2321" s="8">
        <v>14291481.689999999</v>
      </c>
      <c r="J2321" s="1">
        <f>IF(COUNTIF($C$4:C2321,C2321)=1,1,0)</f>
        <v>1</v>
      </c>
      <c r="K2321" s="1">
        <f t="shared" si="36"/>
        <v>2020</v>
      </c>
    </row>
    <row r="2322" spans="2:11" x14ac:dyDescent="0.45">
      <c r="B2322" s="1" t="s">
        <v>11</v>
      </c>
      <c r="C2322" s="1" t="s">
        <v>2320</v>
      </c>
      <c r="D2322" s="7">
        <v>44414</v>
      </c>
      <c r="E2322" s="7">
        <v>44441</v>
      </c>
      <c r="F2322" s="7">
        <v>44470</v>
      </c>
      <c r="G2322" s="1" t="s">
        <v>20</v>
      </c>
      <c r="H2322" s="8">
        <v>190096.73</v>
      </c>
      <c r="I2322" s="8">
        <v>142292.46</v>
      </c>
      <c r="J2322" s="1">
        <f>IF(COUNTIF($C$4:C2322,C2322)=1,1,0)</f>
        <v>1</v>
      </c>
      <c r="K2322" s="1">
        <f t="shared" si="36"/>
        <v>2021</v>
      </c>
    </row>
    <row r="2323" spans="2:11" x14ac:dyDescent="0.45">
      <c r="B2323" s="1" t="s">
        <v>11</v>
      </c>
      <c r="C2323" s="1" t="s">
        <v>2321</v>
      </c>
      <c r="D2323" s="7">
        <v>43679</v>
      </c>
      <c r="E2323" s="7">
        <v>43688</v>
      </c>
      <c r="F2323" s="7">
        <v>43873</v>
      </c>
      <c r="G2323" s="1" t="s">
        <v>16</v>
      </c>
      <c r="H2323" s="8">
        <v>4790875.6100000003</v>
      </c>
      <c r="I2323" s="8">
        <v>3241750.74</v>
      </c>
      <c r="J2323" s="1">
        <f>IF(COUNTIF($C$4:C2323,C2323)=1,1,0)</f>
        <v>1</v>
      </c>
      <c r="K2323" s="1">
        <f t="shared" si="36"/>
        <v>2019</v>
      </c>
    </row>
    <row r="2324" spans="2:11" x14ac:dyDescent="0.45">
      <c r="B2324" s="1" t="s">
        <v>11</v>
      </c>
      <c r="C2324" s="1" t="s">
        <v>2322</v>
      </c>
      <c r="D2324" s="7">
        <v>45512</v>
      </c>
      <c r="E2324" s="7">
        <v>45536</v>
      </c>
      <c r="F2324" s="7">
        <v>45739</v>
      </c>
      <c r="G2324" s="1" t="s">
        <v>1348</v>
      </c>
      <c r="H2324" s="8">
        <v>6603623.4299999997</v>
      </c>
      <c r="I2324" s="8">
        <v>3541032.99</v>
      </c>
      <c r="J2324" s="1">
        <f>IF(COUNTIF($C$4:C2324,C2324)=1,1,0)</f>
        <v>1</v>
      </c>
      <c r="K2324" s="1">
        <f t="shared" si="36"/>
        <v>2024</v>
      </c>
    </row>
    <row r="2325" spans="2:11" x14ac:dyDescent="0.45">
      <c r="B2325" s="1" t="s">
        <v>11</v>
      </c>
      <c r="C2325" s="1" t="s">
        <v>2323</v>
      </c>
      <c r="D2325" s="7">
        <v>45985</v>
      </c>
      <c r="E2325" s="7">
        <v>46014</v>
      </c>
      <c r="F2325" s="7">
        <v>46192</v>
      </c>
      <c r="G2325" s="1" t="s">
        <v>13</v>
      </c>
      <c r="H2325" s="8">
        <v>38361071.210000001</v>
      </c>
      <c r="I2325" s="8">
        <v>20371204.23</v>
      </c>
      <c r="J2325" s="1">
        <f>IF(COUNTIF($C$4:C2325,C2325)=1,1,0)</f>
        <v>1</v>
      </c>
      <c r="K2325" s="1">
        <f t="shared" si="36"/>
        <v>2025</v>
      </c>
    </row>
    <row r="2326" spans="2:11" x14ac:dyDescent="0.45">
      <c r="B2326" s="1" t="s">
        <v>11</v>
      </c>
      <c r="C2326" s="1" t="s">
        <v>2324</v>
      </c>
      <c r="D2326" s="7">
        <v>45505</v>
      </c>
      <c r="E2326" s="7">
        <v>45526</v>
      </c>
      <c r="F2326" s="7">
        <v>45558</v>
      </c>
      <c r="G2326" s="1" t="s">
        <v>1348</v>
      </c>
      <c r="H2326" s="8">
        <v>14586275.01</v>
      </c>
      <c r="I2326" s="8">
        <v>10082337.060000001</v>
      </c>
      <c r="J2326" s="1">
        <f>IF(COUNTIF($C$4:C2326,C2326)=1,1,0)</f>
        <v>1</v>
      </c>
      <c r="K2326" s="1">
        <f t="shared" si="36"/>
        <v>2024</v>
      </c>
    </row>
    <row r="2327" spans="2:11" x14ac:dyDescent="0.45">
      <c r="B2327" s="1" t="s">
        <v>11</v>
      </c>
      <c r="C2327" s="1" t="s">
        <v>2325</v>
      </c>
      <c r="D2327" s="7">
        <v>44018</v>
      </c>
      <c r="E2327" s="7">
        <v>44042</v>
      </c>
      <c r="F2327" s="7">
        <v>44235</v>
      </c>
      <c r="G2327" s="1" t="s">
        <v>38</v>
      </c>
      <c r="H2327" s="8">
        <v>477499.87</v>
      </c>
      <c r="I2327" s="8">
        <v>385898.29</v>
      </c>
      <c r="J2327" s="1">
        <f>IF(COUNTIF($C$4:C2327,C2327)=1,1,0)</f>
        <v>1</v>
      </c>
      <c r="K2327" s="1">
        <f t="shared" si="36"/>
        <v>2020</v>
      </c>
    </row>
    <row r="2328" spans="2:11" x14ac:dyDescent="0.45">
      <c r="B2328" s="1" t="s">
        <v>11</v>
      </c>
      <c r="C2328" s="1" t="s">
        <v>2326</v>
      </c>
      <c r="D2328" s="7">
        <v>43372</v>
      </c>
      <c r="E2328" s="7">
        <v>43381</v>
      </c>
      <c r="F2328" s="7">
        <v>43490</v>
      </c>
      <c r="G2328" s="1" t="s">
        <v>38</v>
      </c>
      <c r="H2328" s="8">
        <v>226087.99</v>
      </c>
      <c r="I2328" s="8">
        <v>161026.68</v>
      </c>
      <c r="J2328" s="1">
        <f>IF(COUNTIF($C$4:C2328,C2328)=1,1,0)</f>
        <v>1</v>
      </c>
      <c r="K2328" s="1">
        <f t="shared" si="36"/>
        <v>2018</v>
      </c>
    </row>
    <row r="2329" spans="2:11" x14ac:dyDescent="0.45">
      <c r="B2329" s="1" t="s">
        <v>11</v>
      </c>
      <c r="C2329" s="1" t="s">
        <v>2327</v>
      </c>
      <c r="D2329" s="7">
        <v>45724</v>
      </c>
      <c r="E2329" s="7">
        <v>45728</v>
      </c>
      <c r="F2329" s="7">
        <v>45854</v>
      </c>
      <c r="G2329" s="1" t="s">
        <v>41</v>
      </c>
      <c r="H2329" s="8">
        <v>83614</v>
      </c>
      <c r="I2329" s="8">
        <v>52112.89</v>
      </c>
      <c r="J2329" s="1">
        <f>IF(COUNTIF($C$4:C2329,C2329)=1,1,0)</f>
        <v>1</v>
      </c>
      <c r="K2329" s="1">
        <f t="shared" si="36"/>
        <v>2025</v>
      </c>
    </row>
    <row r="2330" spans="2:11" x14ac:dyDescent="0.45">
      <c r="B2330" s="1" t="s">
        <v>11</v>
      </c>
      <c r="C2330" s="1" t="s">
        <v>2328</v>
      </c>
      <c r="D2330" s="7">
        <v>44805</v>
      </c>
      <c r="E2330" s="7">
        <v>44826</v>
      </c>
      <c r="F2330" s="7">
        <v>44876</v>
      </c>
      <c r="G2330" s="1" t="s">
        <v>16</v>
      </c>
      <c r="H2330" s="8">
        <v>1789173.55</v>
      </c>
      <c r="I2330" s="8">
        <v>1096740.45</v>
      </c>
      <c r="J2330" s="1">
        <f>IF(COUNTIF($C$4:C2330,C2330)=1,1,0)</f>
        <v>1</v>
      </c>
      <c r="K2330" s="1">
        <f t="shared" si="36"/>
        <v>2022</v>
      </c>
    </row>
    <row r="2331" spans="2:11" x14ac:dyDescent="0.45">
      <c r="B2331" s="1" t="s">
        <v>11</v>
      </c>
      <c r="C2331" s="1" t="s">
        <v>2329</v>
      </c>
      <c r="D2331" s="7">
        <v>44965</v>
      </c>
      <c r="E2331" s="7">
        <v>44994</v>
      </c>
      <c r="F2331" s="7">
        <v>45210</v>
      </c>
      <c r="G2331" s="1" t="s">
        <v>20</v>
      </c>
      <c r="H2331" s="8">
        <v>1879153.06</v>
      </c>
      <c r="I2331" s="8">
        <v>1480335.24</v>
      </c>
      <c r="J2331" s="1">
        <f>IF(COUNTIF($C$4:C2331,C2331)=1,1,0)</f>
        <v>1</v>
      </c>
      <c r="K2331" s="1">
        <f t="shared" si="36"/>
        <v>2023</v>
      </c>
    </row>
    <row r="2332" spans="2:11" x14ac:dyDescent="0.45">
      <c r="B2332" s="1" t="s">
        <v>11</v>
      </c>
      <c r="C2332" s="1" t="s">
        <v>2330</v>
      </c>
      <c r="D2332" s="7">
        <v>43815</v>
      </c>
      <c r="E2332" s="7">
        <v>43821</v>
      </c>
      <c r="F2332" s="7">
        <v>43979</v>
      </c>
      <c r="G2332" s="1" t="s">
        <v>1348</v>
      </c>
      <c r="H2332" s="8">
        <v>51245993.259999998</v>
      </c>
      <c r="I2332" s="8">
        <v>33667243.950000003</v>
      </c>
      <c r="J2332" s="1">
        <f>IF(COUNTIF($C$4:C2332,C2332)=1,1,0)</f>
        <v>1</v>
      </c>
      <c r="K2332" s="1">
        <f t="shared" si="36"/>
        <v>2019</v>
      </c>
    </row>
    <row r="2333" spans="2:11" x14ac:dyDescent="0.45">
      <c r="B2333" s="1" t="s">
        <v>11</v>
      </c>
      <c r="C2333" s="1" t="s">
        <v>2331</v>
      </c>
      <c r="D2333" s="7">
        <v>43571</v>
      </c>
      <c r="E2333" s="7">
        <v>43590</v>
      </c>
      <c r="F2333" s="7">
        <v>43715</v>
      </c>
      <c r="G2333" s="1" t="s">
        <v>13</v>
      </c>
      <c r="H2333" s="8">
        <v>438101.91</v>
      </c>
      <c r="I2333" s="8">
        <v>313987.56</v>
      </c>
      <c r="J2333" s="1">
        <f>IF(COUNTIF($C$4:C2333,C2333)=1,1,0)</f>
        <v>1</v>
      </c>
      <c r="K2333" s="1">
        <f t="shared" si="36"/>
        <v>2019</v>
      </c>
    </row>
    <row r="2334" spans="2:11" x14ac:dyDescent="0.45">
      <c r="B2334" s="1" t="s">
        <v>11</v>
      </c>
      <c r="C2334" s="1" t="s">
        <v>2332</v>
      </c>
      <c r="D2334" s="7">
        <v>45488</v>
      </c>
      <c r="E2334" s="7">
        <v>45504</v>
      </c>
      <c r="F2334" s="7">
        <v>45521</v>
      </c>
      <c r="G2334" s="1" t="s">
        <v>41</v>
      </c>
      <c r="H2334" s="8">
        <v>123592.27</v>
      </c>
      <c r="I2334" s="8">
        <v>86748.5</v>
      </c>
      <c r="J2334" s="1">
        <f>IF(COUNTIF($C$4:C2334,C2334)=1,1,0)</f>
        <v>1</v>
      </c>
      <c r="K2334" s="1">
        <f t="shared" si="36"/>
        <v>2024</v>
      </c>
    </row>
    <row r="2335" spans="2:11" x14ac:dyDescent="0.45">
      <c r="B2335" s="1" t="s">
        <v>11</v>
      </c>
      <c r="C2335" s="1" t="s">
        <v>2333</v>
      </c>
      <c r="D2335" s="7">
        <v>45042</v>
      </c>
      <c r="E2335" s="7">
        <v>45052</v>
      </c>
      <c r="F2335" s="7">
        <v>45273</v>
      </c>
      <c r="G2335" s="1" t="s">
        <v>41</v>
      </c>
      <c r="H2335" s="8">
        <v>55728.55</v>
      </c>
      <c r="I2335" s="8">
        <v>47029.04</v>
      </c>
      <c r="J2335" s="1">
        <f>IF(COUNTIF($C$4:C2335,C2335)=1,1,0)</f>
        <v>1</v>
      </c>
      <c r="K2335" s="1">
        <f t="shared" si="36"/>
        <v>2023</v>
      </c>
    </row>
    <row r="2336" spans="2:11" x14ac:dyDescent="0.45">
      <c r="B2336" s="1" t="s">
        <v>11</v>
      </c>
      <c r="C2336" s="1" t="s">
        <v>1196</v>
      </c>
      <c r="D2336" s="7">
        <v>45131</v>
      </c>
      <c r="E2336" s="7">
        <v>45136</v>
      </c>
      <c r="F2336" s="7">
        <v>45226</v>
      </c>
      <c r="G2336" s="1" t="s">
        <v>1348</v>
      </c>
      <c r="H2336" s="8">
        <v>47851135.899999999</v>
      </c>
      <c r="I2336" s="8">
        <v>28665871.390000001</v>
      </c>
      <c r="J2336" s="1">
        <f>IF(COUNTIF($C$4:C2336,C2336)=1,1,0)</f>
        <v>0</v>
      </c>
      <c r="K2336" s="1">
        <f t="shared" si="36"/>
        <v>2023</v>
      </c>
    </row>
    <row r="2337" spans="2:11" x14ac:dyDescent="0.45">
      <c r="B2337" s="1" t="s">
        <v>11</v>
      </c>
      <c r="C2337" s="1" t="s">
        <v>2334</v>
      </c>
      <c r="D2337" s="7">
        <v>45630</v>
      </c>
      <c r="E2337" s="7">
        <v>45654</v>
      </c>
      <c r="F2337" s="7">
        <v>45746</v>
      </c>
      <c r="G2337" s="1" t="s">
        <v>1348</v>
      </c>
      <c r="H2337" s="8">
        <v>35619216.740000002</v>
      </c>
      <c r="I2337" s="8">
        <v>22735773.719999999</v>
      </c>
      <c r="J2337" s="1">
        <f>IF(COUNTIF($C$4:C2337,C2337)=1,1,0)</f>
        <v>1</v>
      </c>
      <c r="K2337" s="1">
        <f t="shared" si="36"/>
        <v>2024</v>
      </c>
    </row>
    <row r="2338" spans="2:11" x14ac:dyDescent="0.45">
      <c r="B2338" s="1" t="s">
        <v>11</v>
      </c>
      <c r="C2338" s="1" t="s">
        <v>2335</v>
      </c>
      <c r="D2338" s="7">
        <v>45985</v>
      </c>
      <c r="E2338" s="7">
        <v>46010</v>
      </c>
      <c r="F2338" s="7">
        <v>46134</v>
      </c>
      <c r="G2338" s="1" t="s">
        <v>22</v>
      </c>
      <c r="H2338" s="8">
        <v>23556109.34</v>
      </c>
      <c r="I2338" s="8">
        <v>12067810.01</v>
      </c>
      <c r="J2338" s="1">
        <f>IF(COUNTIF($C$4:C2338,C2338)=1,1,0)</f>
        <v>1</v>
      </c>
      <c r="K2338" s="1">
        <f t="shared" si="36"/>
        <v>2025</v>
      </c>
    </row>
    <row r="2339" spans="2:11" x14ac:dyDescent="0.45">
      <c r="B2339" s="1" t="s">
        <v>11</v>
      </c>
      <c r="C2339" s="1" t="s">
        <v>2336</v>
      </c>
      <c r="D2339" s="7">
        <v>45538</v>
      </c>
      <c r="E2339" s="7">
        <v>45567</v>
      </c>
      <c r="F2339" s="7">
        <v>45648</v>
      </c>
      <c r="G2339" s="1" t="s">
        <v>13</v>
      </c>
      <c r="H2339" s="8">
        <v>488017.02</v>
      </c>
      <c r="I2339" s="8">
        <v>343142.81</v>
      </c>
      <c r="J2339" s="1">
        <f>IF(COUNTIF($C$4:C2339,C2339)=1,1,0)</f>
        <v>1</v>
      </c>
      <c r="K2339" s="1">
        <f t="shared" si="36"/>
        <v>2024</v>
      </c>
    </row>
    <row r="2340" spans="2:11" x14ac:dyDescent="0.45">
      <c r="B2340" s="1" t="s">
        <v>11</v>
      </c>
      <c r="C2340" s="1" t="s">
        <v>2337</v>
      </c>
      <c r="D2340" s="7">
        <v>44617</v>
      </c>
      <c r="E2340" s="7">
        <v>44636</v>
      </c>
      <c r="F2340" s="7">
        <v>44870</v>
      </c>
      <c r="G2340" s="1" t="s">
        <v>22</v>
      </c>
      <c r="H2340" s="8">
        <v>27532675.710000001</v>
      </c>
      <c r="I2340" s="8">
        <v>16739967.67</v>
      </c>
      <c r="J2340" s="1">
        <f>IF(COUNTIF($C$4:C2340,C2340)=1,1,0)</f>
        <v>1</v>
      </c>
      <c r="K2340" s="1">
        <f t="shared" si="36"/>
        <v>2022</v>
      </c>
    </row>
    <row r="2341" spans="2:11" x14ac:dyDescent="0.45">
      <c r="B2341" s="1" t="s">
        <v>11</v>
      </c>
      <c r="C2341" s="1" t="s">
        <v>2338</v>
      </c>
      <c r="D2341" s="7">
        <v>43349</v>
      </c>
      <c r="E2341" s="7">
        <v>43351</v>
      </c>
      <c r="F2341" s="7">
        <v>43506</v>
      </c>
      <c r="G2341" s="1" t="s">
        <v>22</v>
      </c>
      <c r="H2341" s="8">
        <v>29489156.390000001</v>
      </c>
      <c r="I2341" s="8">
        <v>21978128.079999998</v>
      </c>
      <c r="J2341" s="1">
        <f>IF(COUNTIF($C$4:C2341,C2341)=1,1,0)</f>
        <v>1</v>
      </c>
      <c r="K2341" s="1">
        <f t="shared" si="36"/>
        <v>2018</v>
      </c>
    </row>
    <row r="2342" spans="2:11" x14ac:dyDescent="0.45">
      <c r="B2342" s="1" t="s">
        <v>11</v>
      </c>
      <c r="C2342" s="1" t="s">
        <v>2339</v>
      </c>
      <c r="D2342" s="7">
        <v>44335</v>
      </c>
      <c r="E2342" s="7">
        <v>44362</v>
      </c>
      <c r="F2342" s="7">
        <v>44522</v>
      </c>
      <c r="G2342" s="1" t="s">
        <v>13</v>
      </c>
      <c r="H2342" s="8">
        <v>16696365.640000001</v>
      </c>
      <c r="I2342" s="8">
        <v>6789853.6799999997</v>
      </c>
      <c r="J2342" s="1">
        <f>IF(COUNTIF($C$4:C2342,C2342)=1,1,0)</f>
        <v>1</v>
      </c>
      <c r="K2342" s="1">
        <f t="shared" si="36"/>
        <v>2021</v>
      </c>
    </row>
    <row r="2343" spans="2:11" x14ac:dyDescent="0.45">
      <c r="B2343" s="1" t="s">
        <v>11</v>
      </c>
      <c r="C2343" s="1" t="s">
        <v>2340</v>
      </c>
      <c r="D2343" s="7">
        <v>45189</v>
      </c>
      <c r="E2343" s="7">
        <v>45205</v>
      </c>
      <c r="F2343" s="7">
        <v>45374</v>
      </c>
      <c r="G2343" s="1" t="s">
        <v>20</v>
      </c>
      <c r="H2343" s="8">
        <v>2792697.2</v>
      </c>
      <c r="I2343" s="8">
        <v>1533777.81</v>
      </c>
      <c r="J2343" s="1">
        <f>IF(COUNTIF($C$4:C2343,C2343)=1,1,0)</f>
        <v>1</v>
      </c>
      <c r="K2343" s="1">
        <f t="shared" si="36"/>
        <v>2023</v>
      </c>
    </row>
    <row r="2344" spans="2:11" x14ac:dyDescent="0.45">
      <c r="B2344" s="1" t="s">
        <v>11</v>
      </c>
      <c r="C2344" s="1" t="s">
        <v>2341</v>
      </c>
      <c r="D2344" s="7">
        <v>44166</v>
      </c>
      <c r="E2344" s="7">
        <v>44195</v>
      </c>
      <c r="F2344" s="7">
        <v>44397</v>
      </c>
      <c r="G2344" s="1" t="s">
        <v>13</v>
      </c>
      <c r="H2344" s="8">
        <v>4912784.58</v>
      </c>
      <c r="I2344" s="8">
        <v>2670684.3199999998</v>
      </c>
      <c r="J2344" s="1">
        <f>IF(COUNTIF($C$4:C2344,C2344)=1,1,0)</f>
        <v>1</v>
      </c>
      <c r="K2344" s="1">
        <f t="shared" si="36"/>
        <v>2020</v>
      </c>
    </row>
    <row r="2345" spans="2:11" x14ac:dyDescent="0.45">
      <c r="B2345" s="1" t="s">
        <v>11</v>
      </c>
      <c r="C2345" s="1" t="s">
        <v>2342</v>
      </c>
      <c r="D2345" s="7">
        <v>45454</v>
      </c>
      <c r="E2345" s="7">
        <v>45463</v>
      </c>
      <c r="F2345" s="7">
        <v>45701</v>
      </c>
      <c r="G2345" s="1" t="s">
        <v>41</v>
      </c>
      <c r="H2345" s="8">
        <v>357203.24</v>
      </c>
      <c r="I2345" s="8">
        <v>247029.65</v>
      </c>
      <c r="J2345" s="1">
        <f>IF(COUNTIF($C$4:C2345,C2345)=1,1,0)</f>
        <v>1</v>
      </c>
      <c r="K2345" s="1">
        <f t="shared" si="36"/>
        <v>2024</v>
      </c>
    </row>
    <row r="2346" spans="2:11" x14ac:dyDescent="0.45">
      <c r="B2346" s="1" t="s">
        <v>11</v>
      </c>
      <c r="C2346" s="1" t="s">
        <v>2343</v>
      </c>
      <c r="D2346" s="7">
        <v>43508</v>
      </c>
      <c r="E2346" s="7">
        <v>43525</v>
      </c>
      <c r="F2346" s="7">
        <v>43599</v>
      </c>
      <c r="G2346" s="1" t="s">
        <v>38</v>
      </c>
      <c r="H2346" s="8">
        <v>1668172.27</v>
      </c>
      <c r="I2346" s="8">
        <v>1332513.6299999999</v>
      </c>
      <c r="J2346" s="1">
        <f>IF(COUNTIF($C$4:C2346,C2346)=1,1,0)</f>
        <v>1</v>
      </c>
      <c r="K2346" s="1">
        <f t="shared" si="36"/>
        <v>2019</v>
      </c>
    </row>
    <row r="2347" spans="2:11" x14ac:dyDescent="0.45">
      <c r="B2347" s="1" t="s">
        <v>11</v>
      </c>
      <c r="C2347" s="1" t="s">
        <v>1633</v>
      </c>
      <c r="D2347" s="7">
        <v>45154</v>
      </c>
      <c r="E2347" s="7">
        <v>45171</v>
      </c>
      <c r="F2347" s="7">
        <v>45345</v>
      </c>
      <c r="G2347" s="1" t="s">
        <v>41</v>
      </c>
      <c r="H2347" s="8">
        <v>305537.94</v>
      </c>
      <c r="I2347" s="8">
        <v>235932.92</v>
      </c>
      <c r="J2347" s="1">
        <f>IF(COUNTIF($C$4:C2347,C2347)=1,1,0)</f>
        <v>0</v>
      </c>
      <c r="K2347" s="1">
        <f t="shared" si="36"/>
        <v>2023</v>
      </c>
    </row>
    <row r="2348" spans="2:11" x14ac:dyDescent="0.45">
      <c r="B2348" s="1" t="s">
        <v>11</v>
      </c>
      <c r="C2348" s="1" t="s">
        <v>2344</v>
      </c>
      <c r="D2348" s="7">
        <v>45814</v>
      </c>
      <c r="E2348" s="7">
        <v>45829</v>
      </c>
      <c r="F2348" s="7">
        <v>45915</v>
      </c>
      <c r="G2348" s="1" t="s">
        <v>22</v>
      </c>
      <c r="H2348" s="8">
        <v>2164296.39</v>
      </c>
      <c r="I2348" s="8">
        <v>1630495.77</v>
      </c>
      <c r="J2348" s="1">
        <f>IF(COUNTIF($C$4:C2348,C2348)=1,1,0)</f>
        <v>1</v>
      </c>
      <c r="K2348" s="1">
        <f t="shared" si="36"/>
        <v>2025</v>
      </c>
    </row>
    <row r="2349" spans="2:11" x14ac:dyDescent="0.45">
      <c r="B2349" s="1" t="s">
        <v>11</v>
      </c>
      <c r="C2349" s="1" t="s">
        <v>2345</v>
      </c>
      <c r="D2349" s="7">
        <v>43820</v>
      </c>
      <c r="E2349" s="7">
        <v>43834</v>
      </c>
      <c r="F2349" s="7">
        <v>44043</v>
      </c>
      <c r="G2349" s="1" t="s">
        <v>16</v>
      </c>
      <c r="H2349" s="8">
        <v>2711041.09</v>
      </c>
      <c r="I2349" s="8">
        <v>1882146.65</v>
      </c>
      <c r="J2349" s="1">
        <f>IF(COUNTIF($C$4:C2349,C2349)=1,1,0)</f>
        <v>1</v>
      </c>
      <c r="K2349" s="1">
        <f t="shared" si="36"/>
        <v>2019</v>
      </c>
    </row>
    <row r="2350" spans="2:11" x14ac:dyDescent="0.45">
      <c r="B2350" s="1" t="s">
        <v>11</v>
      </c>
      <c r="C2350" s="1" t="s">
        <v>2346</v>
      </c>
      <c r="D2350" s="7">
        <v>45988</v>
      </c>
      <c r="E2350" s="7">
        <v>46018</v>
      </c>
      <c r="F2350" s="7">
        <v>46039</v>
      </c>
      <c r="G2350" s="1" t="s">
        <v>13</v>
      </c>
      <c r="H2350" s="8">
        <v>816907.67</v>
      </c>
      <c r="I2350" s="8">
        <v>720274.92</v>
      </c>
      <c r="J2350" s="1">
        <f>IF(COUNTIF($C$4:C2350,C2350)=1,1,0)</f>
        <v>1</v>
      </c>
      <c r="K2350" s="1">
        <f t="shared" si="36"/>
        <v>2025</v>
      </c>
    </row>
    <row r="2351" spans="2:11" x14ac:dyDescent="0.45">
      <c r="B2351" s="1" t="s">
        <v>11</v>
      </c>
      <c r="C2351" s="1" t="s">
        <v>2347</v>
      </c>
      <c r="D2351" s="7">
        <v>45235</v>
      </c>
      <c r="E2351" s="7">
        <v>45240</v>
      </c>
      <c r="F2351" s="7">
        <v>45354</v>
      </c>
      <c r="G2351" s="1" t="s">
        <v>38</v>
      </c>
      <c r="H2351" s="8">
        <v>218346.89</v>
      </c>
      <c r="I2351" s="8">
        <v>198671.64</v>
      </c>
      <c r="J2351" s="1">
        <f>IF(COUNTIF($C$4:C2351,C2351)=1,1,0)</f>
        <v>1</v>
      </c>
      <c r="K2351" s="1">
        <f t="shared" si="36"/>
        <v>2023</v>
      </c>
    </row>
    <row r="2352" spans="2:11" x14ac:dyDescent="0.45">
      <c r="B2352" s="1" t="s">
        <v>11</v>
      </c>
      <c r="C2352" s="1" t="s">
        <v>2348</v>
      </c>
      <c r="D2352" s="7">
        <v>45836</v>
      </c>
      <c r="E2352" s="7">
        <v>45863</v>
      </c>
      <c r="F2352" s="7">
        <v>45969</v>
      </c>
      <c r="G2352" s="1" t="s">
        <v>20</v>
      </c>
      <c r="H2352" s="8">
        <v>1015135.33</v>
      </c>
      <c r="I2352" s="8">
        <v>721725.91</v>
      </c>
      <c r="J2352" s="1">
        <f>IF(COUNTIF($C$4:C2352,C2352)=1,1,0)</f>
        <v>1</v>
      </c>
      <c r="K2352" s="1">
        <f t="shared" si="36"/>
        <v>2025</v>
      </c>
    </row>
    <row r="2353" spans="2:11" x14ac:dyDescent="0.45">
      <c r="B2353" s="1" t="s">
        <v>11</v>
      </c>
      <c r="C2353" s="1" t="s">
        <v>2349</v>
      </c>
      <c r="D2353" s="7">
        <v>43579</v>
      </c>
      <c r="E2353" s="7">
        <v>43583</v>
      </c>
      <c r="F2353" s="7">
        <v>43713</v>
      </c>
      <c r="G2353" s="1" t="s">
        <v>41</v>
      </c>
      <c r="H2353" s="8">
        <v>330428.09000000003</v>
      </c>
      <c r="I2353" s="8">
        <v>245435.19</v>
      </c>
      <c r="J2353" s="1">
        <f>IF(COUNTIF($C$4:C2353,C2353)=1,1,0)</f>
        <v>1</v>
      </c>
      <c r="K2353" s="1">
        <f t="shared" si="36"/>
        <v>2019</v>
      </c>
    </row>
    <row r="2354" spans="2:11" x14ac:dyDescent="0.45">
      <c r="B2354" s="1" t="s">
        <v>11</v>
      </c>
      <c r="C2354" s="1" t="s">
        <v>2350</v>
      </c>
      <c r="D2354" s="7">
        <v>43920</v>
      </c>
      <c r="E2354" s="7">
        <v>43925</v>
      </c>
      <c r="F2354" s="7">
        <v>44058</v>
      </c>
      <c r="G2354" s="1" t="s">
        <v>13</v>
      </c>
      <c r="H2354" s="8">
        <v>536076.27</v>
      </c>
      <c r="I2354" s="8">
        <v>403140.46</v>
      </c>
      <c r="J2354" s="1">
        <f>IF(COUNTIF($C$4:C2354,C2354)=1,1,0)</f>
        <v>1</v>
      </c>
      <c r="K2354" s="1">
        <f t="shared" si="36"/>
        <v>2020</v>
      </c>
    </row>
    <row r="2355" spans="2:11" x14ac:dyDescent="0.45">
      <c r="B2355" s="1" t="s">
        <v>11</v>
      </c>
      <c r="C2355" s="1" t="s">
        <v>2351</v>
      </c>
      <c r="D2355" s="7">
        <v>45097</v>
      </c>
      <c r="E2355" s="7">
        <v>45114</v>
      </c>
      <c r="F2355" s="7">
        <v>45146</v>
      </c>
      <c r="G2355" s="1" t="s">
        <v>20</v>
      </c>
      <c r="H2355" s="8">
        <v>393782.84</v>
      </c>
      <c r="I2355" s="8">
        <v>228310.41</v>
      </c>
      <c r="J2355" s="1">
        <f>IF(COUNTIF($C$4:C2355,C2355)=1,1,0)</f>
        <v>1</v>
      </c>
      <c r="K2355" s="1">
        <f t="shared" si="36"/>
        <v>2023</v>
      </c>
    </row>
    <row r="2356" spans="2:11" x14ac:dyDescent="0.45">
      <c r="B2356" s="1" t="s">
        <v>11</v>
      </c>
      <c r="C2356" s="1" t="s">
        <v>2352</v>
      </c>
      <c r="D2356" s="7">
        <v>45636</v>
      </c>
      <c r="E2356" s="7">
        <v>45661</v>
      </c>
      <c r="F2356" s="7">
        <v>45791</v>
      </c>
      <c r="G2356" s="1" t="s">
        <v>13</v>
      </c>
      <c r="H2356" s="8">
        <v>655270.04</v>
      </c>
      <c r="I2356" s="8">
        <v>533026.30000000005</v>
      </c>
      <c r="J2356" s="1">
        <f>IF(COUNTIF($C$4:C2356,C2356)=1,1,0)</f>
        <v>1</v>
      </c>
      <c r="K2356" s="1">
        <f t="shared" si="36"/>
        <v>2024</v>
      </c>
    </row>
    <row r="2357" spans="2:11" x14ac:dyDescent="0.45">
      <c r="B2357" s="1" t="s">
        <v>11</v>
      </c>
      <c r="C2357" s="1" t="s">
        <v>2353</v>
      </c>
      <c r="D2357" s="7">
        <v>44625</v>
      </c>
      <c r="E2357" s="7">
        <v>44651</v>
      </c>
      <c r="F2357" s="7">
        <v>44754</v>
      </c>
      <c r="G2357" s="1" t="s">
        <v>13</v>
      </c>
      <c r="H2357" s="8">
        <v>4252045.43</v>
      </c>
      <c r="I2357" s="8">
        <v>2456474.58</v>
      </c>
      <c r="J2357" s="1">
        <f>IF(COUNTIF($C$4:C2357,C2357)=1,1,0)</f>
        <v>1</v>
      </c>
      <c r="K2357" s="1">
        <f t="shared" si="36"/>
        <v>2022</v>
      </c>
    </row>
    <row r="2358" spans="2:11" x14ac:dyDescent="0.45">
      <c r="B2358" s="1" t="s">
        <v>11</v>
      </c>
      <c r="C2358" s="1" t="s">
        <v>2354</v>
      </c>
      <c r="D2358" s="7">
        <v>45948</v>
      </c>
      <c r="E2358" s="7">
        <v>45955</v>
      </c>
      <c r="F2358" s="7">
        <v>46175</v>
      </c>
      <c r="G2358" s="1" t="s">
        <v>13</v>
      </c>
      <c r="H2358" s="8">
        <v>91995210.200000003</v>
      </c>
      <c r="I2358" s="8">
        <v>43711430.219999999</v>
      </c>
      <c r="J2358" s="1">
        <f>IF(COUNTIF($C$4:C2358,C2358)=1,1,0)</f>
        <v>1</v>
      </c>
      <c r="K2358" s="1">
        <f t="shared" si="36"/>
        <v>2025</v>
      </c>
    </row>
    <row r="2359" spans="2:11" x14ac:dyDescent="0.45">
      <c r="B2359" s="1" t="s">
        <v>11</v>
      </c>
      <c r="C2359" s="1" t="s">
        <v>2355</v>
      </c>
      <c r="D2359" s="7">
        <v>44248</v>
      </c>
      <c r="E2359" s="7">
        <v>44275</v>
      </c>
      <c r="F2359" s="7">
        <v>44475</v>
      </c>
      <c r="G2359" s="1" t="s">
        <v>20</v>
      </c>
      <c r="H2359" s="8">
        <v>333682.19</v>
      </c>
      <c r="I2359" s="8">
        <v>234460.84</v>
      </c>
      <c r="J2359" s="1">
        <f>IF(COUNTIF($C$4:C2359,C2359)=1,1,0)</f>
        <v>1</v>
      </c>
      <c r="K2359" s="1">
        <f t="shared" si="36"/>
        <v>2021</v>
      </c>
    </row>
    <row r="2360" spans="2:11" x14ac:dyDescent="0.45">
      <c r="B2360" s="1" t="s">
        <v>11</v>
      </c>
      <c r="C2360" s="1" t="s">
        <v>2356</v>
      </c>
      <c r="D2360" s="7">
        <v>44134</v>
      </c>
      <c r="E2360" s="7">
        <v>44158</v>
      </c>
      <c r="F2360" s="7">
        <v>44199</v>
      </c>
      <c r="G2360" s="1" t="s">
        <v>16</v>
      </c>
      <c r="H2360" s="8">
        <v>3538904.08</v>
      </c>
      <c r="I2360" s="8">
        <v>2552806.5099999998</v>
      </c>
      <c r="J2360" s="1">
        <f>IF(COUNTIF($C$4:C2360,C2360)=1,1,0)</f>
        <v>1</v>
      </c>
      <c r="K2360" s="1">
        <f t="shared" si="36"/>
        <v>2020</v>
      </c>
    </row>
    <row r="2361" spans="2:11" x14ac:dyDescent="0.45">
      <c r="B2361" s="1" t="s">
        <v>11</v>
      </c>
      <c r="C2361" s="1" t="s">
        <v>2357</v>
      </c>
      <c r="D2361" s="7">
        <v>45542</v>
      </c>
      <c r="E2361" s="7">
        <v>45553</v>
      </c>
      <c r="F2361" s="7">
        <v>45653</v>
      </c>
      <c r="G2361" s="1" t="s">
        <v>38</v>
      </c>
      <c r="H2361" s="8">
        <v>174352.16</v>
      </c>
      <c r="I2361" s="8">
        <v>153339.75</v>
      </c>
      <c r="J2361" s="1">
        <f>IF(COUNTIF($C$4:C2361,C2361)=1,1,0)</f>
        <v>1</v>
      </c>
      <c r="K2361" s="1">
        <f t="shared" si="36"/>
        <v>2024</v>
      </c>
    </row>
    <row r="2362" spans="2:11" x14ac:dyDescent="0.45">
      <c r="B2362" s="1" t="s">
        <v>11</v>
      </c>
      <c r="C2362" s="1" t="s">
        <v>2358</v>
      </c>
      <c r="D2362" s="7">
        <v>43330</v>
      </c>
      <c r="E2362" s="7">
        <v>43336</v>
      </c>
      <c r="F2362" s="7">
        <v>43498</v>
      </c>
      <c r="G2362" s="1" t="s">
        <v>41</v>
      </c>
      <c r="H2362" s="8">
        <v>40819.879999999997</v>
      </c>
      <c r="I2362" s="8">
        <v>33741.49</v>
      </c>
      <c r="J2362" s="1">
        <f>IF(COUNTIF($C$4:C2362,C2362)=1,1,0)</f>
        <v>1</v>
      </c>
      <c r="K2362" s="1">
        <f t="shared" si="36"/>
        <v>2018</v>
      </c>
    </row>
    <row r="2363" spans="2:11" x14ac:dyDescent="0.45">
      <c r="B2363" s="1" t="s">
        <v>11</v>
      </c>
      <c r="C2363" s="1" t="s">
        <v>2359</v>
      </c>
      <c r="D2363" s="7">
        <v>43777</v>
      </c>
      <c r="E2363" s="7">
        <v>43796</v>
      </c>
      <c r="F2363" s="7">
        <v>43877</v>
      </c>
      <c r="G2363" s="1" t="s">
        <v>38</v>
      </c>
      <c r="H2363" s="8">
        <v>57839.47</v>
      </c>
      <c r="I2363" s="8">
        <v>51097.599999999999</v>
      </c>
      <c r="J2363" s="1">
        <f>IF(COUNTIF($C$4:C2363,C2363)=1,1,0)</f>
        <v>1</v>
      </c>
      <c r="K2363" s="1">
        <f t="shared" si="36"/>
        <v>2019</v>
      </c>
    </row>
    <row r="2364" spans="2:11" x14ac:dyDescent="0.45">
      <c r="B2364" s="1" t="s">
        <v>11</v>
      </c>
      <c r="C2364" s="1" t="s">
        <v>2360</v>
      </c>
      <c r="D2364" s="7">
        <v>46094</v>
      </c>
      <c r="E2364" s="7">
        <v>46109</v>
      </c>
      <c r="F2364" s="7">
        <v>46322</v>
      </c>
      <c r="G2364" s="1" t="s">
        <v>20</v>
      </c>
      <c r="H2364" s="8">
        <v>105376849.69</v>
      </c>
      <c r="I2364" s="8">
        <v>55305518.93</v>
      </c>
      <c r="J2364" s="1">
        <f>IF(COUNTIF($C$4:C2364,C2364)=1,1,0)</f>
        <v>1</v>
      </c>
      <c r="K2364" s="1">
        <f t="shared" si="36"/>
        <v>2026</v>
      </c>
    </row>
    <row r="2365" spans="2:11" x14ac:dyDescent="0.45">
      <c r="B2365" s="1" t="s">
        <v>11</v>
      </c>
      <c r="C2365" s="1" t="s">
        <v>2361</v>
      </c>
      <c r="D2365" s="7">
        <v>43680</v>
      </c>
      <c r="E2365" s="7">
        <v>43704</v>
      </c>
      <c r="F2365" s="7">
        <v>43927</v>
      </c>
      <c r="G2365" s="1" t="s">
        <v>16</v>
      </c>
      <c r="H2365" s="8">
        <v>3270311.9</v>
      </c>
      <c r="I2365" s="8">
        <v>2171661.4900000002</v>
      </c>
      <c r="J2365" s="1">
        <f>IF(COUNTIF($C$4:C2365,C2365)=1,1,0)</f>
        <v>1</v>
      </c>
      <c r="K2365" s="1">
        <f t="shared" si="36"/>
        <v>2019</v>
      </c>
    </row>
    <row r="2366" spans="2:11" x14ac:dyDescent="0.45">
      <c r="B2366" s="1" t="s">
        <v>11</v>
      </c>
      <c r="C2366" s="1" t="s">
        <v>2362</v>
      </c>
      <c r="D2366" s="7">
        <v>46093</v>
      </c>
      <c r="E2366" s="7">
        <v>46103</v>
      </c>
      <c r="F2366" s="7">
        <v>46212</v>
      </c>
      <c r="G2366" s="1" t="s">
        <v>20</v>
      </c>
      <c r="H2366" s="8">
        <v>668233.71</v>
      </c>
      <c r="I2366" s="8">
        <v>476667.16</v>
      </c>
      <c r="J2366" s="1">
        <f>IF(COUNTIF($C$4:C2366,C2366)=1,1,0)</f>
        <v>1</v>
      </c>
      <c r="K2366" s="1">
        <f t="shared" si="36"/>
        <v>2026</v>
      </c>
    </row>
    <row r="2367" spans="2:11" x14ac:dyDescent="0.45">
      <c r="B2367" s="1" t="s">
        <v>11</v>
      </c>
      <c r="C2367" s="1" t="s">
        <v>2363</v>
      </c>
      <c r="D2367" s="7">
        <v>45633</v>
      </c>
      <c r="E2367" s="7">
        <v>45638</v>
      </c>
      <c r="F2367" s="7">
        <v>45685</v>
      </c>
      <c r="G2367" s="1" t="s">
        <v>20</v>
      </c>
      <c r="H2367" s="8">
        <v>24642800.170000002</v>
      </c>
      <c r="I2367" s="8">
        <v>12208274.390000001</v>
      </c>
      <c r="J2367" s="1">
        <f>IF(COUNTIF($C$4:C2367,C2367)=1,1,0)</f>
        <v>1</v>
      </c>
      <c r="K2367" s="1">
        <f t="shared" si="36"/>
        <v>2024</v>
      </c>
    </row>
    <row r="2368" spans="2:11" x14ac:dyDescent="0.45">
      <c r="B2368" s="1" t="s">
        <v>11</v>
      </c>
      <c r="C2368" s="1" t="s">
        <v>2364</v>
      </c>
      <c r="D2368" s="7">
        <v>44192</v>
      </c>
      <c r="E2368" s="7">
        <v>44220</v>
      </c>
      <c r="F2368" s="7">
        <v>44269</v>
      </c>
      <c r="G2368" s="1" t="s">
        <v>20</v>
      </c>
      <c r="H2368" s="8">
        <v>2424903.17</v>
      </c>
      <c r="I2368" s="8">
        <v>1810896.99</v>
      </c>
      <c r="J2368" s="1">
        <f>IF(COUNTIF($C$4:C2368,C2368)=1,1,0)</f>
        <v>1</v>
      </c>
      <c r="K2368" s="1">
        <f t="shared" si="36"/>
        <v>2020</v>
      </c>
    </row>
    <row r="2369" spans="2:11" x14ac:dyDescent="0.45">
      <c r="B2369" s="1" t="s">
        <v>11</v>
      </c>
      <c r="C2369" s="1" t="s">
        <v>2365</v>
      </c>
      <c r="D2369" s="7">
        <v>45741</v>
      </c>
      <c r="E2369" s="7">
        <v>45764</v>
      </c>
      <c r="F2369" s="7">
        <v>45828</v>
      </c>
      <c r="G2369" s="1" t="s">
        <v>22</v>
      </c>
      <c r="H2369" s="8">
        <v>33318452.760000002</v>
      </c>
      <c r="I2369" s="8">
        <v>17065005.82</v>
      </c>
      <c r="J2369" s="1">
        <f>IF(COUNTIF($C$4:C2369,C2369)=1,1,0)</f>
        <v>1</v>
      </c>
      <c r="K2369" s="1">
        <f t="shared" si="36"/>
        <v>2025</v>
      </c>
    </row>
    <row r="2370" spans="2:11" x14ac:dyDescent="0.45">
      <c r="B2370" s="1" t="s">
        <v>11</v>
      </c>
      <c r="C2370" s="1" t="s">
        <v>2366</v>
      </c>
      <c r="D2370" s="7">
        <v>43698</v>
      </c>
      <c r="E2370" s="7">
        <v>43712</v>
      </c>
      <c r="F2370" s="7">
        <v>43834</v>
      </c>
      <c r="G2370" s="1" t="s">
        <v>22</v>
      </c>
      <c r="H2370" s="8">
        <v>35431095.390000001</v>
      </c>
      <c r="I2370" s="8">
        <v>12224959.060000001</v>
      </c>
      <c r="J2370" s="1">
        <f>IF(COUNTIF($C$4:C2370,C2370)=1,1,0)</f>
        <v>1</v>
      </c>
      <c r="K2370" s="1">
        <f t="shared" si="36"/>
        <v>2019</v>
      </c>
    </row>
    <row r="2371" spans="2:11" x14ac:dyDescent="0.45">
      <c r="B2371" s="1" t="s">
        <v>11</v>
      </c>
      <c r="C2371" s="1" t="s">
        <v>2367</v>
      </c>
      <c r="D2371" s="7">
        <v>44617</v>
      </c>
      <c r="E2371" s="7">
        <v>44636</v>
      </c>
      <c r="F2371" s="7">
        <v>44656</v>
      </c>
      <c r="G2371" s="1" t="s">
        <v>20</v>
      </c>
      <c r="H2371" s="8">
        <v>13454862.98</v>
      </c>
      <c r="I2371" s="8">
        <v>5725672.1100000003</v>
      </c>
      <c r="J2371" s="1">
        <f>IF(COUNTIF($C$4:C2371,C2371)=1,1,0)</f>
        <v>1</v>
      </c>
      <c r="K2371" s="1">
        <f t="shared" si="36"/>
        <v>2022</v>
      </c>
    </row>
    <row r="2372" spans="2:11" x14ac:dyDescent="0.45">
      <c r="B2372" s="1" t="s">
        <v>11</v>
      </c>
      <c r="C2372" s="1" t="s">
        <v>2368</v>
      </c>
      <c r="D2372" s="7">
        <v>45454</v>
      </c>
      <c r="E2372" s="7">
        <v>45465</v>
      </c>
      <c r="F2372" s="7">
        <v>45593</v>
      </c>
      <c r="G2372" s="1" t="s">
        <v>20</v>
      </c>
      <c r="H2372" s="8">
        <v>8713281.6799999997</v>
      </c>
      <c r="I2372" s="8">
        <v>4466012.09</v>
      </c>
      <c r="J2372" s="1">
        <f>IF(COUNTIF($C$4:C2372,C2372)=1,1,0)</f>
        <v>1</v>
      </c>
      <c r="K2372" s="1">
        <f t="shared" si="36"/>
        <v>2024</v>
      </c>
    </row>
    <row r="2373" spans="2:11" x14ac:dyDescent="0.45">
      <c r="B2373" s="1" t="s">
        <v>11</v>
      </c>
      <c r="C2373" s="1" t="s">
        <v>2369</v>
      </c>
      <c r="D2373" s="7">
        <v>43902</v>
      </c>
      <c r="E2373" s="7">
        <v>43930</v>
      </c>
      <c r="F2373" s="7">
        <v>43968</v>
      </c>
      <c r="G2373" s="1" t="s">
        <v>13</v>
      </c>
      <c r="H2373" s="8">
        <v>34556115.420000002</v>
      </c>
      <c r="I2373" s="8">
        <v>19750164</v>
      </c>
      <c r="J2373" s="1">
        <f>IF(COUNTIF($C$4:C2373,C2373)=1,1,0)</f>
        <v>1</v>
      </c>
      <c r="K2373" s="1">
        <f t="shared" ref="K2373:K2436" si="37">YEAR(D2373)</f>
        <v>2020</v>
      </c>
    </row>
    <row r="2374" spans="2:11" x14ac:dyDescent="0.45">
      <c r="B2374" s="1" t="s">
        <v>11</v>
      </c>
      <c r="C2374" s="1" t="s">
        <v>2370</v>
      </c>
      <c r="D2374" s="7">
        <v>44114</v>
      </c>
      <c r="E2374" s="7">
        <v>44120</v>
      </c>
      <c r="F2374" s="7">
        <v>44133</v>
      </c>
      <c r="G2374" s="1" t="s">
        <v>41</v>
      </c>
      <c r="H2374" s="8">
        <v>215307.62</v>
      </c>
      <c r="I2374" s="8">
        <v>170960.49</v>
      </c>
      <c r="J2374" s="1">
        <f>IF(COUNTIF($C$4:C2374,C2374)=1,1,0)</f>
        <v>1</v>
      </c>
      <c r="K2374" s="1">
        <f t="shared" si="37"/>
        <v>2020</v>
      </c>
    </row>
    <row r="2375" spans="2:11" x14ac:dyDescent="0.45">
      <c r="B2375" s="1" t="s">
        <v>11</v>
      </c>
      <c r="C2375" s="1" t="s">
        <v>2371</v>
      </c>
      <c r="D2375" s="7">
        <v>45114</v>
      </c>
      <c r="E2375" s="7">
        <v>45125</v>
      </c>
      <c r="F2375" s="7">
        <v>45330</v>
      </c>
      <c r="G2375" s="1" t="s">
        <v>13</v>
      </c>
      <c r="H2375" s="8">
        <v>467334.93</v>
      </c>
      <c r="I2375" s="8">
        <v>355544.91</v>
      </c>
      <c r="J2375" s="1">
        <f>IF(COUNTIF($C$4:C2375,C2375)=1,1,0)</f>
        <v>1</v>
      </c>
      <c r="K2375" s="1">
        <f t="shared" si="37"/>
        <v>2023</v>
      </c>
    </row>
    <row r="2376" spans="2:11" x14ac:dyDescent="0.45">
      <c r="B2376" s="1" t="s">
        <v>11</v>
      </c>
      <c r="C2376" s="1" t="s">
        <v>2372</v>
      </c>
      <c r="D2376" s="7">
        <v>43935</v>
      </c>
      <c r="E2376" s="7">
        <v>43942</v>
      </c>
      <c r="F2376" s="7">
        <v>44013</v>
      </c>
      <c r="G2376" s="1" t="s">
        <v>44</v>
      </c>
      <c r="H2376" s="8">
        <v>463795984.19</v>
      </c>
      <c r="I2376" s="8">
        <v>233217655.34999999</v>
      </c>
      <c r="J2376" s="1">
        <f>IF(COUNTIF($C$4:C2376,C2376)=1,1,0)</f>
        <v>1</v>
      </c>
      <c r="K2376" s="1">
        <f t="shared" si="37"/>
        <v>2020</v>
      </c>
    </row>
    <row r="2377" spans="2:11" x14ac:dyDescent="0.45">
      <c r="B2377" s="1" t="s">
        <v>11</v>
      </c>
      <c r="C2377" s="1" t="s">
        <v>2373</v>
      </c>
      <c r="D2377" s="7">
        <v>43314</v>
      </c>
      <c r="E2377" s="7">
        <v>43340</v>
      </c>
      <c r="F2377" s="7">
        <v>43515</v>
      </c>
      <c r="G2377" s="1" t="s">
        <v>16</v>
      </c>
      <c r="H2377" s="8">
        <v>3075625.43</v>
      </c>
      <c r="I2377" s="8">
        <v>1780567.17</v>
      </c>
      <c r="J2377" s="1">
        <f>IF(COUNTIF($C$4:C2377,C2377)=1,1,0)</f>
        <v>1</v>
      </c>
      <c r="K2377" s="1">
        <f t="shared" si="37"/>
        <v>2018</v>
      </c>
    </row>
    <row r="2378" spans="2:11" x14ac:dyDescent="0.45">
      <c r="B2378" s="1" t="s">
        <v>11</v>
      </c>
      <c r="C2378" s="1" t="s">
        <v>2374</v>
      </c>
      <c r="D2378" s="7">
        <v>44328</v>
      </c>
      <c r="E2378" s="7">
        <v>44352</v>
      </c>
      <c r="F2378" s="7">
        <v>44412</v>
      </c>
      <c r="G2378" s="1" t="s">
        <v>13</v>
      </c>
      <c r="H2378" s="8">
        <v>42398423.049999997</v>
      </c>
      <c r="I2378" s="8">
        <v>21740808.27</v>
      </c>
      <c r="J2378" s="1">
        <f>IF(COUNTIF($C$4:C2378,C2378)=1,1,0)</f>
        <v>1</v>
      </c>
      <c r="K2378" s="1">
        <f t="shared" si="37"/>
        <v>2021</v>
      </c>
    </row>
    <row r="2379" spans="2:11" x14ac:dyDescent="0.45">
      <c r="B2379" s="1" t="s">
        <v>11</v>
      </c>
      <c r="C2379" s="1" t="s">
        <v>2375</v>
      </c>
      <c r="D2379" s="7">
        <v>44902</v>
      </c>
      <c r="E2379" s="7">
        <v>44909</v>
      </c>
      <c r="F2379" s="7">
        <v>44961</v>
      </c>
      <c r="G2379" s="1" t="s">
        <v>20</v>
      </c>
      <c r="H2379" s="8">
        <v>441761.54</v>
      </c>
      <c r="I2379" s="8">
        <v>313851.09999999998</v>
      </c>
      <c r="J2379" s="1">
        <f>IF(COUNTIF($C$4:C2379,C2379)=1,1,0)</f>
        <v>1</v>
      </c>
      <c r="K2379" s="1">
        <f t="shared" si="37"/>
        <v>2022</v>
      </c>
    </row>
    <row r="2380" spans="2:11" x14ac:dyDescent="0.45">
      <c r="B2380" s="1" t="s">
        <v>11</v>
      </c>
      <c r="C2380" s="1" t="s">
        <v>2376</v>
      </c>
      <c r="D2380" s="7">
        <v>43561</v>
      </c>
      <c r="E2380" s="7">
        <v>43568</v>
      </c>
      <c r="F2380" s="7">
        <v>43753</v>
      </c>
      <c r="G2380" s="1" t="s">
        <v>20</v>
      </c>
      <c r="H2380" s="8">
        <v>93829071.260000005</v>
      </c>
      <c r="I2380" s="8">
        <v>48943635.560000002</v>
      </c>
      <c r="J2380" s="1">
        <f>IF(COUNTIF($C$4:C2380,C2380)=1,1,0)</f>
        <v>1</v>
      </c>
      <c r="K2380" s="1">
        <f t="shared" si="37"/>
        <v>2019</v>
      </c>
    </row>
    <row r="2381" spans="2:11" x14ac:dyDescent="0.45">
      <c r="B2381" s="1" t="s">
        <v>11</v>
      </c>
      <c r="C2381" s="1" t="s">
        <v>2377</v>
      </c>
      <c r="D2381" s="7">
        <v>44677</v>
      </c>
      <c r="E2381" s="7">
        <v>44693</v>
      </c>
      <c r="F2381" s="7">
        <v>44908</v>
      </c>
      <c r="G2381" s="1" t="s">
        <v>20</v>
      </c>
      <c r="H2381" s="8">
        <v>60389643.289999999</v>
      </c>
      <c r="I2381" s="8">
        <v>34122991.710000001</v>
      </c>
      <c r="J2381" s="1">
        <f>IF(COUNTIF($C$4:C2381,C2381)=1,1,0)</f>
        <v>1</v>
      </c>
      <c r="K2381" s="1">
        <f t="shared" si="37"/>
        <v>2022</v>
      </c>
    </row>
    <row r="2382" spans="2:11" x14ac:dyDescent="0.45">
      <c r="B2382" s="1" t="s">
        <v>11</v>
      </c>
      <c r="C2382" s="1" t="s">
        <v>2378</v>
      </c>
      <c r="D2382" s="7">
        <v>46171</v>
      </c>
      <c r="E2382" s="7">
        <v>46178</v>
      </c>
      <c r="F2382" s="7">
        <v>46407</v>
      </c>
      <c r="G2382" s="1" t="s">
        <v>16</v>
      </c>
      <c r="H2382" s="8">
        <v>13229643.42</v>
      </c>
      <c r="I2382" s="8">
        <v>9229090.5600000005</v>
      </c>
      <c r="J2382" s="1">
        <f>IF(COUNTIF($C$4:C2382,C2382)=1,1,0)</f>
        <v>1</v>
      </c>
      <c r="K2382" s="1">
        <f t="shared" si="37"/>
        <v>2026</v>
      </c>
    </row>
    <row r="2383" spans="2:11" x14ac:dyDescent="0.45">
      <c r="B2383" s="1" t="s">
        <v>11</v>
      </c>
      <c r="C2383" s="1" t="s">
        <v>2379</v>
      </c>
      <c r="D2383" s="7">
        <v>45543</v>
      </c>
      <c r="E2383" s="7">
        <v>45552</v>
      </c>
      <c r="F2383" s="7">
        <v>45601</v>
      </c>
      <c r="G2383" s="1" t="s">
        <v>20</v>
      </c>
      <c r="H2383" s="8">
        <v>970318.98</v>
      </c>
      <c r="I2383" s="8">
        <v>621100</v>
      </c>
      <c r="J2383" s="1">
        <f>IF(COUNTIF($C$4:C2383,C2383)=1,1,0)</f>
        <v>1</v>
      </c>
      <c r="K2383" s="1">
        <f t="shared" si="37"/>
        <v>2024</v>
      </c>
    </row>
    <row r="2384" spans="2:11" x14ac:dyDescent="0.45">
      <c r="B2384" s="1" t="s">
        <v>11</v>
      </c>
      <c r="C2384" s="1" t="s">
        <v>2380</v>
      </c>
      <c r="D2384" s="7">
        <v>43294</v>
      </c>
      <c r="E2384" s="7">
        <v>43302</v>
      </c>
      <c r="F2384" s="7">
        <v>43456</v>
      </c>
      <c r="G2384" s="1" t="s">
        <v>20</v>
      </c>
      <c r="H2384" s="8">
        <v>29948716.219999999</v>
      </c>
      <c r="I2384" s="8">
        <v>21723778.760000002</v>
      </c>
      <c r="J2384" s="1">
        <f>IF(COUNTIF($C$4:C2384,C2384)=1,1,0)</f>
        <v>1</v>
      </c>
      <c r="K2384" s="1">
        <f t="shared" si="37"/>
        <v>2018</v>
      </c>
    </row>
    <row r="2385" spans="2:11" x14ac:dyDescent="0.45">
      <c r="B2385" s="1" t="s">
        <v>11</v>
      </c>
      <c r="C2385" s="1" t="s">
        <v>2381</v>
      </c>
      <c r="D2385" s="7">
        <v>43487</v>
      </c>
      <c r="E2385" s="7">
        <v>43496</v>
      </c>
      <c r="F2385" s="7">
        <v>43526</v>
      </c>
      <c r="G2385" s="1" t="s">
        <v>16</v>
      </c>
      <c r="H2385" s="8">
        <v>4593289.7</v>
      </c>
      <c r="I2385" s="8">
        <v>3392959.43</v>
      </c>
      <c r="J2385" s="1">
        <f>IF(COUNTIF($C$4:C2385,C2385)=1,1,0)</f>
        <v>1</v>
      </c>
      <c r="K2385" s="1">
        <f t="shared" si="37"/>
        <v>2019</v>
      </c>
    </row>
    <row r="2386" spans="2:11" x14ac:dyDescent="0.45">
      <c r="B2386" s="1" t="s">
        <v>11</v>
      </c>
      <c r="C2386" s="1" t="s">
        <v>2382</v>
      </c>
      <c r="D2386" s="7">
        <v>45802</v>
      </c>
      <c r="E2386" s="7">
        <v>45813</v>
      </c>
      <c r="F2386" s="7">
        <v>45999</v>
      </c>
      <c r="G2386" s="1" t="s">
        <v>13</v>
      </c>
      <c r="H2386" s="8">
        <v>50534784.649999999</v>
      </c>
      <c r="I2386" s="8">
        <v>39293395.07</v>
      </c>
      <c r="J2386" s="1">
        <f>IF(COUNTIF($C$4:C2386,C2386)=1,1,0)</f>
        <v>1</v>
      </c>
      <c r="K2386" s="1">
        <f t="shared" si="37"/>
        <v>2025</v>
      </c>
    </row>
    <row r="2387" spans="2:11" x14ac:dyDescent="0.45">
      <c r="B2387" s="1" t="s">
        <v>11</v>
      </c>
      <c r="C2387" s="1" t="s">
        <v>2383</v>
      </c>
      <c r="D2387" s="7">
        <v>43540</v>
      </c>
      <c r="E2387" s="7">
        <v>43556</v>
      </c>
      <c r="F2387" s="7">
        <v>43633</v>
      </c>
      <c r="G2387" s="1" t="s">
        <v>22</v>
      </c>
      <c r="H2387" s="8">
        <v>17965976.170000002</v>
      </c>
      <c r="I2387" s="8">
        <v>8113110.04</v>
      </c>
      <c r="J2387" s="1">
        <f>IF(COUNTIF($C$4:C2387,C2387)=1,1,0)</f>
        <v>1</v>
      </c>
      <c r="K2387" s="1">
        <f t="shared" si="37"/>
        <v>2019</v>
      </c>
    </row>
    <row r="2388" spans="2:11" x14ac:dyDescent="0.45">
      <c r="B2388" s="1" t="s">
        <v>11</v>
      </c>
      <c r="C2388" s="1" t="s">
        <v>2384</v>
      </c>
      <c r="D2388" s="7">
        <v>46106</v>
      </c>
      <c r="E2388" s="7">
        <v>46111</v>
      </c>
      <c r="F2388" s="7">
        <v>46140</v>
      </c>
      <c r="G2388" s="1" t="s">
        <v>13</v>
      </c>
      <c r="H2388" s="8">
        <v>8026395.8899999997</v>
      </c>
      <c r="I2388" s="8">
        <v>5486894.2699999996</v>
      </c>
      <c r="J2388" s="1">
        <f>IF(COUNTIF($C$4:C2388,C2388)=1,1,0)</f>
        <v>1</v>
      </c>
      <c r="K2388" s="1">
        <f t="shared" si="37"/>
        <v>2026</v>
      </c>
    </row>
    <row r="2389" spans="2:11" x14ac:dyDescent="0.45">
      <c r="B2389" s="1" t="s">
        <v>11</v>
      </c>
      <c r="C2389" s="1" t="s">
        <v>2385</v>
      </c>
      <c r="D2389" s="7">
        <v>43478</v>
      </c>
      <c r="E2389" s="7">
        <v>43485</v>
      </c>
      <c r="F2389" s="7">
        <v>43694</v>
      </c>
      <c r="G2389" s="1" t="s">
        <v>44</v>
      </c>
      <c r="H2389" s="8">
        <v>98813192.790000007</v>
      </c>
      <c r="I2389" s="8">
        <v>78686409.280000001</v>
      </c>
      <c r="J2389" s="1">
        <f>IF(COUNTIF($C$4:C2389,C2389)=1,1,0)</f>
        <v>1</v>
      </c>
      <c r="K2389" s="1">
        <f t="shared" si="37"/>
        <v>2019</v>
      </c>
    </row>
    <row r="2390" spans="2:11" x14ac:dyDescent="0.45">
      <c r="B2390" s="1" t="s">
        <v>11</v>
      </c>
      <c r="C2390" s="1" t="s">
        <v>2386</v>
      </c>
      <c r="D2390" s="7">
        <v>45495</v>
      </c>
      <c r="E2390" s="7">
        <v>45514</v>
      </c>
      <c r="F2390" s="7">
        <v>45699</v>
      </c>
      <c r="G2390" s="1" t="s">
        <v>22</v>
      </c>
      <c r="H2390" s="8">
        <v>41115792.75</v>
      </c>
      <c r="I2390" s="8">
        <v>23621443.640000001</v>
      </c>
      <c r="J2390" s="1">
        <f>IF(COUNTIF($C$4:C2390,C2390)=1,1,0)</f>
        <v>1</v>
      </c>
      <c r="K2390" s="1">
        <f t="shared" si="37"/>
        <v>2024</v>
      </c>
    </row>
    <row r="2391" spans="2:11" x14ac:dyDescent="0.45">
      <c r="B2391" s="1" t="s">
        <v>11</v>
      </c>
      <c r="C2391" s="1" t="s">
        <v>2387</v>
      </c>
      <c r="D2391" s="7">
        <v>44327</v>
      </c>
      <c r="E2391" s="7">
        <v>44349</v>
      </c>
      <c r="F2391" s="7">
        <v>44393</v>
      </c>
      <c r="G2391" s="1" t="s">
        <v>20</v>
      </c>
      <c r="H2391" s="8">
        <v>79152864.030000001</v>
      </c>
      <c r="I2391" s="8">
        <v>58501309.740000002</v>
      </c>
      <c r="J2391" s="1">
        <f>IF(COUNTIF($C$4:C2391,C2391)=1,1,0)</f>
        <v>1</v>
      </c>
      <c r="K2391" s="1">
        <f t="shared" si="37"/>
        <v>2021</v>
      </c>
    </row>
    <row r="2392" spans="2:11" x14ac:dyDescent="0.45">
      <c r="B2392" s="1" t="s">
        <v>11</v>
      </c>
      <c r="C2392" s="1" t="s">
        <v>2388</v>
      </c>
      <c r="D2392" s="7">
        <v>44828</v>
      </c>
      <c r="E2392" s="7">
        <v>44840</v>
      </c>
      <c r="F2392" s="7">
        <v>44916</v>
      </c>
      <c r="G2392" s="1" t="s">
        <v>16</v>
      </c>
      <c r="H2392" s="8">
        <v>1599220.36</v>
      </c>
      <c r="I2392" s="8">
        <v>1190159.55</v>
      </c>
      <c r="J2392" s="1">
        <f>IF(COUNTIF($C$4:C2392,C2392)=1,1,0)</f>
        <v>1</v>
      </c>
      <c r="K2392" s="1">
        <f t="shared" si="37"/>
        <v>2022</v>
      </c>
    </row>
    <row r="2393" spans="2:11" x14ac:dyDescent="0.45">
      <c r="B2393" s="1" t="s">
        <v>11</v>
      </c>
      <c r="C2393" s="1" t="s">
        <v>2389</v>
      </c>
      <c r="D2393" s="7">
        <v>44961</v>
      </c>
      <c r="E2393" s="7">
        <v>44990</v>
      </c>
      <c r="F2393" s="7">
        <v>45013</v>
      </c>
      <c r="G2393" s="1" t="s">
        <v>13</v>
      </c>
      <c r="H2393" s="8">
        <v>32782373.210000001</v>
      </c>
      <c r="I2393" s="8">
        <v>24897752.050000001</v>
      </c>
      <c r="J2393" s="1">
        <f>IF(COUNTIF($C$4:C2393,C2393)=1,1,0)</f>
        <v>1</v>
      </c>
      <c r="K2393" s="1">
        <f t="shared" si="37"/>
        <v>2023</v>
      </c>
    </row>
    <row r="2394" spans="2:11" x14ac:dyDescent="0.45">
      <c r="B2394" s="1" t="s">
        <v>11</v>
      </c>
      <c r="C2394" s="1" t="s">
        <v>2390</v>
      </c>
      <c r="D2394" s="7">
        <v>43673</v>
      </c>
      <c r="E2394" s="7">
        <v>43694</v>
      </c>
      <c r="F2394" s="7">
        <v>43918</v>
      </c>
      <c r="G2394" s="1" t="s">
        <v>41</v>
      </c>
      <c r="H2394" s="8">
        <v>286612.24</v>
      </c>
      <c r="I2394" s="8">
        <v>231088.38</v>
      </c>
      <c r="J2394" s="1">
        <f>IF(COUNTIF($C$4:C2394,C2394)=1,1,0)</f>
        <v>1</v>
      </c>
      <c r="K2394" s="1">
        <f t="shared" si="37"/>
        <v>2019</v>
      </c>
    </row>
    <row r="2395" spans="2:11" x14ac:dyDescent="0.45">
      <c r="B2395" s="1" t="s">
        <v>11</v>
      </c>
      <c r="C2395" s="1" t="s">
        <v>2391</v>
      </c>
      <c r="D2395" s="7">
        <v>46030</v>
      </c>
      <c r="E2395" s="7">
        <v>46047</v>
      </c>
      <c r="F2395" s="7">
        <v>46095</v>
      </c>
      <c r="G2395" s="1" t="s">
        <v>13</v>
      </c>
      <c r="H2395" s="8">
        <v>9084168.7799999993</v>
      </c>
      <c r="I2395" s="8">
        <v>5468504.6500000004</v>
      </c>
      <c r="J2395" s="1">
        <f>IF(COUNTIF($C$4:C2395,C2395)=1,1,0)</f>
        <v>1</v>
      </c>
      <c r="K2395" s="1">
        <f t="shared" si="37"/>
        <v>2026</v>
      </c>
    </row>
    <row r="2396" spans="2:11" x14ac:dyDescent="0.45">
      <c r="B2396" s="1" t="s">
        <v>11</v>
      </c>
      <c r="C2396" s="1" t="s">
        <v>2392</v>
      </c>
      <c r="D2396" s="7">
        <v>45869</v>
      </c>
      <c r="E2396" s="7">
        <v>45873</v>
      </c>
      <c r="F2396" s="7">
        <v>45967</v>
      </c>
      <c r="G2396" s="1" t="s">
        <v>22</v>
      </c>
      <c r="H2396" s="8">
        <v>24511268.010000002</v>
      </c>
      <c r="I2396" s="8">
        <v>10346937.35</v>
      </c>
      <c r="J2396" s="1">
        <f>IF(COUNTIF($C$4:C2396,C2396)=1,1,0)</f>
        <v>1</v>
      </c>
      <c r="K2396" s="1">
        <f t="shared" si="37"/>
        <v>2025</v>
      </c>
    </row>
    <row r="2397" spans="2:11" x14ac:dyDescent="0.45">
      <c r="B2397" s="1" t="s">
        <v>11</v>
      </c>
      <c r="C2397" s="1" t="s">
        <v>2393</v>
      </c>
      <c r="D2397" s="7">
        <v>44991</v>
      </c>
      <c r="E2397" s="7">
        <v>44992</v>
      </c>
      <c r="F2397" s="7">
        <v>45139</v>
      </c>
      <c r="G2397" s="1" t="s">
        <v>16</v>
      </c>
      <c r="H2397" s="8">
        <v>2785212.11</v>
      </c>
      <c r="I2397" s="8">
        <v>1251714.8700000001</v>
      </c>
      <c r="J2397" s="1">
        <f>IF(COUNTIF($C$4:C2397,C2397)=1,1,0)</f>
        <v>1</v>
      </c>
      <c r="K2397" s="1">
        <f t="shared" si="37"/>
        <v>2023</v>
      </c>
    </row>
    <row r="2398" spans="2:11" x14ac:dyDescent="0.45">
      <c r="B2398" s="1" t="s">
        <v>11</v>
      </c>
      <c r="C2398" s="1" t="s">
        <v>2394</v>
      </c>
      <c r="D2398" s="7">
        <v>45040</v>
      </c>
      <c r="E2398" s="7">
        <v>45058</v>
      </c>
      <c r="F2398" s="7">
        <v>45137</v>
      </c>
      <c r="G2398" s="1" t="s">
        <v>41</v>
      </c>
      <c r="H2398" s="8">
        <v>861088.5</v>
      </c>
      <c r="I2398" s="8">
        <v>600932.51</v>
      </c>
      <c r="J2398" s="1">
        <f>IF(COUNTIF($C$4:C2398,C2398)=1,1,0)</f>
        <v>1</v>
      </c>
      <c r="K2398" s="1">
        <f t="shared" si="37"/>
        <v>2023</v>
      </c>
    </row>
    <row r="2399" spans="2:11" x14ac:dyDescent="0.45">
      <c r="B2399" s="1" t="s">
        <v>11</v>
      </c>
      <c r="C2399" s="1" t="s">
        <v>2395</v>
      </c>
      <c r="D2399" s="7">
        <v>45360</v>
      </c>
      <c r="E2399" s="7">
        <v>45386</v>
      </c>
      <c r="F2399" s="7">
        <v>45616</v>
      </c>
      <c r="G2399" s="1" t="s">
        <v>20</v>
      </c>
      <c r="H2399" s="8">
        <v>804355.87</v>
      </c>
      <c r="I2399" s="8">
        <v>521527.23</v>
      </c>
      <c r="J2399" s="1">
        <f>IF(COUNTIF($C$4:C2399,C2399)=1,1,0)</f>
        <v>1</v>
      </c>
      <c r="K2399" s="1">
        <f t="shared" si="37"/>
        <v>2024</v>
      </c>
    </row>
    <row r="2400" spans="2:11" x14ac:dyDescent="0.45">
      <c r="B2400" s="1" t="s">
        <v>11</v>
      </c>
      <c r="C2400" s="1" t="s">
        <v>2396</v>
      </c>
      <c r="D2400" s="7">
        <v>45379</v>
      </c>
      <c r="E2400" s="7">
        <v>45404</v>
      </c>
      <c r="F2400" s="7">
        <v>45412</v>
      </c>
      <c r="G2400" s="1" t="s">
        <v>18</v>
      </c>
      <c r="H2400" s="8">
        <v>4232710.13</v>
      </c>
      <c r="I2400" s="8">
        <v>3120526.79</v>
      </c>
      <c r="J2400" s="1">
        <f>IF(COUNTIF($C$4:C2400,C2400)=1,1,0)</f>
        <v>1</v>
      </c>
      <c r="K2400" s="1">
        <f t="shared" si="37"/>
        <v>2024</v>
      </c>
    </row>
    <row r="2401" spans="2:11" x14ac:dyDescent="0.45">
      <c r="B2401" s="1" t="s">
        <v>11</v>
      </c>
      <c r="C2401" s="1" t="s">
        <v>2397</v>
      </c>
      <c r="D2401" s="7">
        <v>45950</v>
      </c>
      <c r="E2401" s="7">
        <v>45974</v>
      </c>
      <c r="F2401" s="7">
        <v>46125</v>
      </c>
      <c r="G2401" s="1" t="s">
        <v>20</v>
      </c>
      <c r="H2401" s="8">
        <v>263957.5</v>
      </c>
      <c r="I2401" s="8">
        <v>195069.23</v>
      </c>
      <c r="J2401" s="1">
        <f>IF(COUNTIF($C$4:C2401,C2401)=1,1,0)</f>
        <v>1</v>
      </c>
      <c r="K2401" s="1">
        <f t="shared" si="37"/>
        <v>2025</v>
      </c>
    </row>
    <row r="2402" spans="2:11" x14ac:dyDescent="0.45">
      <c r="B2402" s="1" t="s">
        <v>11</v>
      </c>
      <c r="C2402" s="1" t="s">
        <v>2398</v>
      </c>
      <c r="D2402" s="7">
        <v>46054</v>
      </c>
      <c r="E2402" s="7">
        <v>46059</v>
      </c>
      <c r="F2402" s="7">
        <v>46282</v>
      </c>
      <c r="G2402" s="1" t="s">
        <v>38</v>
      </c>
      <c r="H2402" s="8">
        <v>841575.57</v>
      </c>
      <c r="I2402" s="8">
        <v>505945.59999999998</v>
      </c>
      <c r="J2402" s="1">
        <f>IF(COUNTIF($C$4:C2402,C2402)=1,1,0)</f>
        <v>1</v>
      </c>
      <c r="K2402" s="1">
        <f t="shared" si="37"/>
        <v>2026</v>
      </c>
    </row>
    <row r="2403" spans="2:11" x14ac:dyDescent="0.45">
      <c r="B2403" s="1" t="s">
        <v>11</v>
      </c>
      <c r="C2403" s="1" t="s">
        <v>2399</v>
      </c>
      <c r="D2403" s="7">
        <v>43406</v>
      </c>
      <c r="E2403" s="7">
        <v>43433</v>
      </c>
      <c r="F2403" s="7">
        <v>43457</v>
      </c>
      <c r="G2403" s="1" t="s">
        <v>41</v>
      </c>
      <c r="H2403" s="8">
        <v>286851.53000000003</v>
      </c>
      <c r="I2403" s="8">
        <v>197817.68</v>
      </c>
      <c r="J2403" s="1">
        <f>IF(COUNTIF($C$4:C2403,C2403)=1,1,0)</f>
        <v>1</v>
      </c>
      <c r="K2403" s="1">
        <f t="shared" si="37"/>
        <v>2018</v>
      </c>
    </row>
    <row r="2404" spans="2:11" x14ac:dyDescent="0.45">
      <c r="B2404" s="1" t="s">
        <v>11</v>
      </c>
      <c r="C2404" s="1" t="s">
        <v>2400</v>
      </c>
      <c r="D2404" s="7">
        <v>43514</v>
      </c>
      <c r="E2404" s="7">
        <v>43524</v>
      </c>
      <c r="F2404" s="7">
        <v>43668</v>
      </c>
      <c r="G2404" s="1" t="s">
        <v>13</v>
      </c>
      <c r="H2404" s="8">
        <v>552059.84</v>
      </c>
      <c r="I2404" s="8">
        <v>497281.32</v>
      </c>
      <c r="J2404" s="1">
        <f>IF(COUNTIF($C$4:C2404,C2404)=1,1,0)</f>
        <v>1</v>
      </c>
      <c r="K2404" s="1">
        <f t="shared" si="37"/>
        <v>2019</v>
      </c>
    </row>
    <row r="2405" spans="2:11" x14ac:dyDescent="0.45">
      <c r="B2405" s="1" t="s">
        <v>11</v>
      </c>
      <c r="C2405" s="1" t="s">
        <v>2401</v>
      </c>
      <c r="D2405" s="7">
        <v>44519</v>
      </c>
      <c r="E2405" s="7">
        <v>44544</v>
      </c>
      <c r="F2405" s="7">
        <v>44675</v>
      </c>
      <c r="G2405" s="1" t="s">
        <v>16</v>
      </c>
      <c r="H2405" s="8">
        <v>1099042.48</v>
      </c>
      <c r="I2405" s="8">
        <v>777572.61</v>
      </c>
      <c r="J2405" s="1">
        <f>IF(COUNTIF($C$4:C2405,C2405)=1,1,0)</f>
        <v>1</v>
      </c>
      <c r="K2405" s="1">
        <f t="shared" si="37"/>
        <v>2021</v>
      </c>
    </row>
    <row r="2406" spans="2:11" x14ac:dyDescent="0.45">
      <c r="B2406" s="1" t="s">
        <v>11</v>
      </c>
      <c r="C2406" s="1" t="s">
        <v>2402</v>
      </c>
      <c r="D2406" s="7">
        <v>43456</v>
      </c>
      <c r="E2406" s="7">
        <v>43485</v>
      </c>
      <c r="F2406" s="7">
        <v>43523</v>
      </c>
      <c r="G2406" s="1" t="s">
        <v>16</v>
      </c>
      <c r="H2406" s="8">
        <v>146186.18</v>
      </c>
      <c r="I2406" s="8">
        <v>110800.81</v>
      </c>
      <c r="J2406" s="1">
        <f>IF(COUNTIF($C$4:C2406,C2406)=1,1,0)</f>
        <v>1</v>
      </c>
      <c r="K2406" s="1">
        <f t="shared" si="37"/>
        <v>2018</v>
      </c>
    </row>
    <row r="2407" spans="2:11" x14ac:dyDescent="0.45">
      <c r="B2407" s="1" t="s">
        <v>11</v>
      </c>
      <c r="C2407" s="1" t="s">
        <v>2403</v>
      </c>
      <c r="D2407" s="7">
        <v>45990</v>
      </c>
      <c r="E2407" s="7">
        <v>46001</v>
      </c>
      <c r="F2407" s="7">
        <v>46113</v>
      </c>
      <c r="G2407" s="1" t="s">
        <v>22</v>
      </c>
      <c r="H2407" s="8">
        <v>8619023.0099999998</v>
      </c>
      <c r="I2407" s="8">
        <v>5685958.7000000002</v>
      </c>
      <c r="J2407" s="1">
        <f>IF(COUNTIF($C$4:C2407,C2407)=1,1,0)</f>
        <v>1</v>
      </c>
      <c r="K2407" s="1">
        <f t="shared" si="37"/>
        <v>2025</v>
      </c>
    </row>
    <row r="2408" spans="2:11" x14ac:dyDescent="0.45">
      <c r="B2408" s="1" t="s">
        <v>11</v>
      </c>
      <c r="C2408" s="1" t="s">
        <v>2404</v>
      </c>
      <c r="D2408" s="7">
        <v>45852</v>
      </c>
      <c r="E2408" s="7">
        <v>45869</v>
      </c>
      <c r="F2408" s="7">
        <v>46038</v>
      </c>
      <c r="G2408" s="1" t="s">
        <v>20</v>
      </c>
      <c r="H2408" s="8">
        <v>285110.92</v>
      </c>
      <c r="I2408" s="8">
        <v>222495.01</v>
      </c>
      <c r="J2408" s="1">
        <f>IF(COUNTIF($C$4:C2408,C2408)=1,1,0)</f>
        <v>1</v>
      </c>
      <c r="K2408" s="1">
        <f t="shared" si="37"/>
        <v>2025</v>
      </c>
    </row>
    <row r="2409" spans="2:11" x14ac:dyDescent="0.45">
      <c r="B2409" s="1" t="s">
        <v>11</v>
      </c>
      <c r="C2409" s="1" t="s">
        <v>2405</v>
      </c>
      <c r="D2409" s="7">
        <v>43806</v>
      </c>
      <c r="E2409" s="7">
        <v>43828</v>
      </c>
      <c r="F2409" s="7">
        <v>43890</v>
      </c>
      <c r="G2409" s="1" t="s">
        <v>44</v>
      </c>
      <c r="H2409" s="8">
        <v>108067064.7</v>
      </c>
      <c r="I2409" s="8">
        <v>80665908.659999996</v>
      </c>
      <c r="J2409" s="1">
        <f>IF(COUNTIF($C$4:C2409,C2409)=1,1,0)</f>
        <v>1</v>
      </c>
      <c r="K2409" s="1">
        <f t="shared" si="37"/>
        <v>2019</v>
      </c>
    </row>
    <row r="2410" spans="2:11" x14ac:dyDescent="0.45">
      <c r="B2410" s="1" t="s">
        <v>11</v>
      </c>
      <c r="C2410" s="1" t="s">
        <v>2406</v>
      </c>
      <c r="D2410" s="7">
        <v>44642</v>
      </c>
      <c r="E2410" s="7">
        <v>44653</v>
      </c>
      <c r="F2410" s="7">
        <v>44674</v>
      </c>
      <c r="G2410" s="1" t="s">
        <v>38</v>
      </c>
      <c r="H2410" s="8">
        <v>365227.07</v>
      </c>
      <c r="I2410" s="8">
        <v>280295.71999999997</v>
      </c>
      <c r="J2410" s="1">
        <f>IF(COUNTIF($C$4:C2410,C2410)=1,1,0)</f>
        <v>1</v>
      </c>
      <c r="K2410" s="1">
        <f t="shared" si="37"/>
        <v>2022</v>
      </c>
    </row>
    <row r="2411" spans="2:11" x14ac:dyDescent="0.45">
      <c r="B2411" s="1" t="s">
        <v>11</v>
      </c>
      <c r="C2411" s="1" t="s">
        <v>2407</v>
      </c>
      <c r="D2411" s="7">
        <v>46002</v>
      </c>
      <c r="E2411" s="7">
        <v>46025</v>
      </c>
      <c r="F2411" s="7">
        <v>46137</v>
      </c>
      <c r="G2411" s="1" t="s">
        <v>22</v>
      </c>
      <c r="H2411" s="8">
        <v>23635747.23</v>
      </c>
      <c r="I2411" s="8">
        <v>13964793.1</v>
      </c>
      <c r="J2411" s="1">
        <f>IF(COUNTIF($C$4:C2411,C2411)=1,1,0)</f>
        <v>1</v>
      </c>
      <c r="K2411" s="1">
        <f t="shared" si="37"/>
        <v>2025</v>
      </c>
    </row>
    <row r="2412" spans="2:11" x14ac:dyDescent="0.45">
      <c r="B2412" s="1" t="s">
        <v>11</v>
      </c>
      <c r="C2412" s="1" t="s">
        <v>2408</v>
      </c>
      <c r="D2412" s="7">
        <v>45050</v>
      </c>
      <c r="E2412" s="7">
        <v>45051</v>
      </c>
      <c r="F2412" s="7">
        <v>45185</v>
      </c>
      <c r="G2412" s="1" t="s">
        <v>20</v>
      </c>
      <c r="H2412" s="8">
        <v>48954294.530000001</v>
      </c>
      <c r="I2412" s="8">
        <v>31315879.300000001</v>
      </c>
      <c r="J2412" s="1">
        <f>IF(COUNTIF($C$4:C2412,C2412)=1,1,0)</f>
        <v>1</v>
      </c>
      <c r="K2412" s="1">
        <f t="shared" si="37"/>
        <v>2023</v>
      </c>
    </row>
    <row r="2413" spans="2:11" x14ac:dyDescent="0.45">
      <c r="B2413" s="1" t="s">
        <v>11</v>
      </c>
      <c r="C2413" s="1" t="s">
        <v>2409</v>
      </c>
      <c r="D2413" s="7">
        <v>44493</v>
      </c>
      <c r="E2413" s="7">
        <v>44493</v>
      </c>
      <c r="F2413" s="7">
        <v>44587</v>
      </c>
      <c r="G2413" s="1" t="s">
        <v>16</v>
      </c>
      <c r="H2413" s="8">
        <v>1770079.04</v>
      </c>
      <c r="I2413" s="8">
        <v>828569.13</v>
      </c>
      <c r="J2413" s="1">
        <f>IF(COUNTIF($C$4:C2413,C2413)=1,1,0)</f>
        <v>1</v>
      </c>
      <c r="K2413" s="1">
        <f t="shared" si="37"/>
        <v>2021</v>
      </c>
    </row>
    <row r="2414" spans="2:11" x14ac:dyDescent="0.45">
      <c r="B2414" s="1" t="s">
        <v>11</v>
      </c>
      <c r="C2414" s="1" t="s">
        <v>2410</v>
      </c>
      <c r="D2414" s="7">
        <v>44770</v>
      </c>
      <c r="E2414" s="7">
        <v>44788</v>
      </c>
      <c r="F2414" s="7">
        <v>44923</v>
      </c>
      <c r="G2414" s="1" t="s">
        <v>44</v>
      </c>
      <c r="H2414" s="8">
        <v>81259172.129999995</v>
      </c>
      <c r="I2414" s="8">
        <v>49272895.350000001</v>
      </c>
      <c r="J2414" s="1">
        <f>IF(COUNTIF($C$4:C2414,C2414)=1,1,0)</f>
        <v>1</v>
      </c>
      <c r="K2414" s="1">
        <f t="shared" si="37"/>
        <v>2022</v>
      </c>
    </row>
    <row r="2415" spans="2:11" x14ac:dyDescent="0.45">
      <c r="B2415" s="1" t="s">
        <v>11</v>
      </c>
      <c r="C2415" s="1" t="s">
        <v>2411</v>
      </c>
      <c r="D2415" s="7">
        <v>43714</v>
      </c>
      <c r="E2415" s="7">
        <v>43718</v>
      </c>
      <c r="F2415" s="7">
        <v>43880</v>
      </c>
      <c r="G2415" s="1" t="s">
        <v>44</v>
      </c>
      <c r="H2415" s="8">
        <v>150299246.02000001</v>
      </c>
      <c r="I2415" s="8">
        <v>92048755.430000007</v>
      </c>
      <c r="J2415" s="1">
        <f>IF(COUNTIF($C$4:C2415,C2415)=1,1,0)</f>
        <v>1</v>
      </c>
      <c r="K2415" s="1">
        <f t="shared" si="37"/>
        <v>2019</v>
      </c>
    </row>
    <row r="2416" spans="2:11" x14ac:dyDescent="0.45">
      <c r="B2416" s="1" t="s">
        <v>11</v>
      </c>
      <c r="C2416" s="1" t="s">
        <v>2412</v>
      </c>
      <c r="D2416" s="7">
        <v>45677</v>
      </c>
      <c r="E2416" s="7">
        <v>45696</v>
      </c>
      <c r="F2416" s="7">
        <v>45887</v>
      </c>
      <c r="G2416" s="1" t="s">
        <v>22</v>
      </c>
      <c r="H2416" s="8">
        <v>112575968.68000001</v>
      </c>
      <c r="I2416" s="8">
        <v>51837743.060000002</v>
      </c>
      <c r="J2416" s="1">
        <f>IF(COUNTIF($C$4:C2416,C2416)=1,1,0)</f>
        <v>1</v>
      </c>
      <c r="K2416" s="1">
        <f t="shared" si="37"/>
        <v>2025</v>
      </c>
    </row>
    <row r="2417" spans="2:11" x14ac:dyDescent="0.45">
      <c r="B2417" s="1" t="s">
        <v>11</v>
      </c>
      <c r="C2417" s="1" t="s">
        <v>2413</v>
      </c>
      <c r="D2417" s="7">
        <v>45455</v>
      </c>
      <c r="E2417" s="7">
        <v>45466</v>
      </c>
      <c r="F2417" s="7">
        <v>45545</v>
      </c>
      <c r="G2417" s="1" t="s">
        <v>16</v>
      </c>
      <c r="H2417" s="8">
        <v>23061865</v>
      </c>
      <c r="I2417" s="8">
        <v>16726220</v>
      </c>
      <c r="J2417" s="1">
        <f>IF(COUNTIF($C$4:C2417,C2417)=1,1,0)</f>
        <v>1</v>
      </c>
      <c r="K2417" s="1">
        <f t="shared" si="37"/>
        <v>2024</v>
      </c>
    </row>
    <row r="2418" spans="2:11" x14ac:dyDescent="0.45">
      <c r="B2418" s="1" t="s">
        <v>11</v>
      </c>
      <c r="C2418" s="1" t="s">
        <v>2414</v>
      </c>
      <c r="D2418" s="7">
        <v>43751</v>
      </c>
      <c r="E2418" s="7">
        <v>43769</v>
      </c>
      <c r="F2418" s="7">
        <v>43907</v>
      </c>
      <c r="G2418" s="1" t="s">
        <v>13</v>
      </c>
      <c r="H2418" s="8">
        <v>5114776.37</v>
      </c>
      <c r="I2418" s="8">
        <v>3190879.98</v>
      </c>
      <c r="J2418" s="1">
        <f>IF(COUNTIF($C$4:C2418,C2418)=1,1,0)</f>
        <v>1</v>
      </c>
      <c r="K2418" s="1">
        <f t="shared" si="37"/>
        <v>2019</v>
      </c>
    </row>
    <row r="2419" spans="2:11" x14ac:dyDescent="0.45">
      <c r="B2419" s="1" t="s">
        <v>11</v>
      </c>
      <c r="C2419" s="1" t="s">
        <v>2415</v>
      </c>
      <c r="D2419" s="7">
        <v>44134</v>
      </c>
      <c r="E2419" s="7">
        <v>44149</v>
      </c>
      <c r="F2419" s="7">
        <v>44191</v>
      </c>
      <c r="G2419" s="1" t="s">
        <v>20</v>
      </c>
      <c r="H2419" s="8">
        <v>3546093.65</v>
      </c>
      <c r="I2419" s="8">
        <v>2513267.81</v>
      </c>
      <c r="J2419" s="1">
        <f>IF(COUNTIF($C$4:C2419,C2419)=1,1,0)</f>
        <v>1</v>
      </c>
      <c r="K2419" s="1">
        <f t="shared" si="37"/>
        <v>2020</v>
      </c>
    </row>
    <row r="2420" spans="2:11" x14ac:dyDescent="0.45">
      <c r="B2420" s="1" t="s">
        <v>11</v>
      </c>
      <c r="C2420" s="1" t="s">
        <v>2416</v>
      </c>
      <c r="D2420" s="7">
        <v>44062</v>
      </c>
      <c r="E2420" s="7">
        <v>44080</v>
      </c>
      <c r="F2420" s="7">
        <v>44301</v>
      </c>
      <c r="G2420" s="1" t="s">
        <v>13</v>
      </c>
      <c r="H2420" s="8">
        <v>732672.18</v>
      </c>
      <c r="I2420" s="8">
        <v>596716.80000000005</v>
      </c>
      <c r="J2420" s="1">
        <f>IF(COUNTIF($C$4:C2420,C2420)=1,1,0)</f>
        <v>1</v>
      </c>
      <c r="K2420" s="1">
        <f t="shared" si="37"/>
        <v>2020</v>
      </c>
    </row>
    <row r="2421" spans="2:11" x14ac:dyDescent="0.45">
      <c r="B2421" s="1" t="s">
        <v>11</v>
      </c>
      <c r="C2421" s="1" t="s">
        <v>2417</v>
      </c>
      <c r="D2421" s="7">
        <v>43781</v>
      </c>
      <c r="E2421" s="7">
        <v>43784</v>
      </c>
      <c r="F2421" s="7">
        <v>43862</v>
      </c>
      <c r="G2421" s="1" t="s">
        <v>13</v>
      </c>
      <c r="H2421" s="8">
        <v>1271975.47</v>
      </c>
      <c r="I2421" s="8">
        <v>1038722.71</v>
      </c>
      <c r="J2421" s="1">
        <f>IF(COUNTIF($C$4:C2421,C2421)=1,1,0)</f>
        <v>1</v>
      </c>
      <c r="K2421" s="1">
        <f t="shared" si="37"/>
        <v>2019</v>
      </c>
    </row>
    <row r="2422" spans="2:11" x14ac:dyDescent="0.45">
      <c r="B2422" s="1" t="s">
        <v>11</v>
      </c>
      <c r="C2422" s="1" t="s">
        <v>2418</v>
      </c>
      <c r="D2422" s="7">
        <v>45544</v>
      </c>
      <c r="E2422" s="7">
        <v>45550</v>
      </c>
      <c r="F2422" s="7">
        <v>45727</v>
      </c>
      <c r="G2422" s="1" t="s">
        <v>44</v>
      </c>
      <c r="H2422" s="8">
        <v>22332382.300000001</v>
      </c>
      <c r="I2422" s="8">
        <v>15346428.029999999</v>
      </c>
      <c r="J2422" s="1">
        <f>IF(COUNTIF($C$4:C2422,C2422)=1,1,0)</f>
        <v>1</v>
      </c>
      <c r="K2422" s="1">
        <f t="shared" si="37"/>
        <v>2024</v>
      </c>
    </row>
    <row r="2423" spans="2:11" x14ac:dyDescent="0.45">
      <c r="B2423" s="1" t="s">
        <v>11</v>
      </c>
      <c r="C2423" s="1" t="s">
        <v>2419</v>
      </c>
      <c r="D2423" s="7">
        <v>43396</v>
      </c>
      <c r="E2423" s="7">
        <v>43409</v>
      </c>
      <c r="F2423" s="7">
        <v>43626</v>
      </c>
      <c r="G2423" s="1" t="s">
        <v>22</v>
      </c>
      <c r="H2423" s="8">
        <v>15144460.310000001</v>
      </c>
      <c r="I2423" s="8">
        <v>9702719.4700000007</v>
      </c>
      <c r="J2423" s="1">
        <f>IF(COUNTIF($C$4:C2423,C2423)=1,1,0)</f>
        <v>1</v>
      </c>
      <c r="K2423" s="1">
        <f t="shared" si="37"/>
        <v>2018</v>
      </c>
    </row>
    <row r="2424" spans="2:11" x14ac:dyDescent="0.45">
      <c r="B2424" s="1" t="s">
        <v>11</v>
      </c>
      <c r="C2424" s="1" t="s">
        <v>2420</v>
      </c>
      <c r="D2424" s="7">
        <v>45934</v>
      </c>
      <c r="E2424" s="7">
        <v>45951</v>
      </c>
      <c r="F2424" s="7">
        <v>46073</v>
      </c>
      <c r="G2424" s="1" t="s">
        <v>20</v>
      </c>
      <c r="H2424" s="8">
        <v>116197749.34</v>
      </c>
      <c r="I2424" s="8">
        <v>67270923</v>
      </c>
      <c r="J2424" s="1">
        <f>IF(COUNTIF($C$4:C2424,C2424)=1,1,0)</f>
        <v>1</v>
      </c>
      <c r="K2424" s="1">
        <f t="shared" si="37"/>
        <v>2025</v>
      </c>
    </row>
    <row r="2425" spans="2:11" x14ac:dyDescent="0.45">
      <c r="B2425" s="1" t="s">
        <v>11</v>
      </c>
      <c r="C2425" s="1" t="s">
        <v>2421</v>
      </c>
      <c r="D2425" s="7">
        <v>45949</v>
      </c>
      <c r="E2425" s="7">
        <v>45949</v>
      </c>
      <c r="F2425" s="7">
        <v>46064</v>
      </c>
      <c r="G2425" s="1" t="s">
        <v>13</v>
      </c>
      <c r="H2425" s="8">
        <v>164153.69</v>
      </c>
      <c r="I2425" s="8">
        <v>108535.79</v>
      </c>
      <c r="J2425" s="1">
        <f>IF(COUNTIF($C$4:C2425,C2425)=1,1,0)</f>
        <v>1</v>
      </c>
      <c r="K2425" s="1">
        <f t="shared" si="37"/>
        <v>2025</v>
      </c>
    </row>
    <row r="2426" spans="2:11" x14ac:dyDescent="0.45">
      <c r="B2426" s="1" t="s">
        <v>11</v>
      </c>
      <c r="C2426" s="1" t="s">
        <v>2422</v>
      </c>
      <c r="D2426" s="7">
        <v>43955</v>
      </c>
      <c r="E2426" s="7">
        <v>43979</v>
      </c>
      <c r="F2426" s="7">
        <v>44128</v>
      </c>
      <c r="G2426" s="1" t="s">
        <v>13</v>
      </c>
      <c r="H2426" s="8">
        <v>158658.26999999999</v>
      </c>
      <c r="I2426" s="8">
        <v>119739.07</v>
      </c>
      <c r="J2426" s="1">
        <f>IF(COUNTIF($C$4:C2426,C2426)=1,1,0)</f>
        <v>1</v>
      </c>
      <c r="K2426" s="1">
        <f t="shared" si="37"/>
        <v>2020</v>
      </c>
    </row>
    <row r="2427" spans="2:11" x14ac:dyDescent="0.45">
      <c r="B2427" s="1" t="s">
        <v>11</v>
      </c>
      <c r="C2427" s="1" t="s">
        <v>2423</v>
      </c>
      <c r="D2427" s="7">
        <v>45741</v>
      </c>
      <c r="E2427" s="7">
        <v>45746</v>
      </c>
      <c r="F2427" s="7">
        <v>45837</v>
      </c>
      <c r="G2427" s="1" t="s">
        <v>20</v>
      </c>
      <c r="H2427" s="8">
        <v>56144195.810000002</v>
      </c>
      <c r="I2427" s="8">
        <v>32735299.539999999</v>
      </c>
      <c r="J2427" s="1">
        <f>IF(COUNTIF($C$4:C2427,C2427)=1,1,0)</f>
        <v>1</v>
      </c>
      <c r="K2427" s="1">
        <f t="shared" si="37"/>
        <v>2025</v>
      </c>
    </row>
    <row r="2428" spans="2:11" x14ac:dyDescent="0.45">
      <c r="B2428" s="1" t="s">
        <v>11</v>
      </c>
      <c r="C2428" s="1" t="s">
        <v>2424</v>
      </c>
      <c r="D2428" s="7">
        <v>44542</v>
      </c>
      <c r="E2428" s="7">
        <v>44546</v>
      </c>
      <c r="F2428" s="7">
        <v>44662</v>
      </c>
      <c r="G2428" s="1" t="s">
        <v>20</v>
      </c>
      <c r="H2428" s="8">
        <v>68784326.420000002</v>
      </c>
      <c r="I2428" s="8">
        <v>34473770.229999997</v>
      </c>
      <c r="J2428" s="1">
        <f>IF(COUNTIF($C$4:C2428,C2428)=1,1,0)</f>
        <v>1</v>
      </c>
      <c r="K2428" s="1">
        <f t="shared" si="37"/>
        <v>2021</v>
      </c>
    </row>
    <row r="2429" spans="2:11" x14ac:dyDescent="0.45">
      <c r="B2429" s="1" t="s">
        <v>11</v>
      </c>
      <c r="C2429" s="1" t="s">
        <v>2425</v>
      </c>
      <c r="D2429" s="7">
        <v>44288</v>
      </c>
      <c r="E2429" s="7">
        <v>44314</v>
      </c>
      <c r="F2429" s="7">
        <v>44547</v>
      </c>
      <c r="G2429" s="1" t="s">
        <v>13</v>
      </c>
      <c r="H2429" s="8">
        <v>27745619.390000001</v>
      </c>
      <c r="I2429" s="8">
        <v>15078612.49</v>
      </c>
      <c r="J2429" s="1">
        <f>IF(COUNTIF($C$4:C2429,C2429)=1,1,0)</f>
        <v>1</v>
      </c>
      <c r="K2429" s="1">
        <f t="shared" si="37"/>
        <v>2021</v>
      </c>
    </row>
    <row r="2430" spans="2:11" x14ac:dyDescent="0.45">
      <c r="B2430" s="1" t="s">
        <v>11</v>
      </c>
      <c r="C2430" s="1" t="s">
        <v>2426</v>
      </c>
      <c r="D2430" s="7">
        <v>44841</v>
      </c>
      <c r="E2430" s="7">
        <v>44856</v>
      </c>
      <c r="F2430" s="7">
        <v>44974</v>
      </c>
      <c r="G2430" s="1" t="s">
        <v>44</v>
      </c>
      <c r="H2430" s="8">
        <v>509026943.25</v>
      </c>
      <c r="I2430" s="8">
        <v>353932580.35000002</v>
      </c>
      <c r="J2430" s="1">
        <f>IF(COUNTIF($C$4:C2430,C2430)=1,1,0)</f>
        <v>1</v>
      </c>
      <c r="K2430" s="1">
        <f t="shared" si="37"/>
        <v>2022</v>
      </c>
    </row>
    <row r="2431" spans="2:11" x14ac:dyDescent="0.45">
      <c r="B2431" s="1" t="s">
        <v>11</v>
      </c>
      <c r="C2431" s="1" t="s">
        <v>2427</v>
      </c>
      <c r="D2431" s="7">
        <v>45142</v>
      </c>
      <c r="E2431" s="7">
        <v>45170</v>
      </c>
      <c r="F2431" s="7">
        <v>45386</v>
      </c>
      <c r="G2431" s="1" t="s">
        <v>13</v>
      </c>
      <c r="H2431" s="8">
        <v>110998468.97</v>
      </c>
      <c r="I2431" s="8">
        <v>48450772.460000001</v>
      </c>
      <c r="J2431" s="1">
        <f>IF(COUNTIF($C$4:C2431,C2431)=1,1,0)</f>
        <v>1</v>
      </c>
      <c r="K2431" s="1">
        <f t="shared" si="37"/>
        <v>2023</v>
      </c>
    </row>
    <row r="2432" spans="2:11" x14ac:dyDescent="0.45">
      <c r="B2432" s="1" t="s">
        <v>11</v>
      </c>
      <c r="C2432" s="1" t="s">
        <v>2428</v>
      </c>
      <c r="D2432" s="7">
        <v>44364</v>
      </c>
      <c r="E2432" s="7">
        <v>44379</v>
      </c>
      <c r="F2432" s="7">
        <v>44576</v>
      </c>
      <c r="G2432" s="1" t="s">
        <v>44</v>
      </c>
      <c r="H2432" s="8">
        <v>32810302.940000001</v>
      </c>
      <c r="I2432" s="8">
        <v>22984746.129999999</v>
      </c>
      <c r="J2432" s="1">
        <f>IF(COUNTIF($C$4:C2432,C2432)=1,1,0)</f>
        <v>1</v>
      </c>
      <c r="K2432" s="1">
        <f t="shared" si="37"/>
        <v>2021</v>
      </c>
    </row>
    <row r="2433" spans="2:11" x14ac:dyDescent="0.45">
      <c r="B2433" s="1" t="s">
        <v>11</v>
      </c>
      <c r="C2433" s="1" t="s">
        <v>2429</v>
      </c>
      <c r="D2433" s="7">
        <v>45140</v>
      </c>
      <c r="E2433" s="7">
        <v>45165</v>
      </c>
      <c r="F2433" s="7">
        <v>45366</v>
      </c>
      <c r="G2433" s="1" t="s">
        <v>13</v>
      </c>
      <c r="H2433" s="8">
        <v>316187</v>
      </c>
      <c r="I2433" s="8">
        <v>197536.78</v>
      </c>
      <c r="J2433" s="1">
        <f>IF(COUNTIF($C$4:C2433,C2433)=1,1,0)</f>
        <v>1</v>
      </c>
      <c r="K2433" s="1">
        <f t="shared" si="37"/>
        <v>2023</v>
      </c>
    </row>
    <row r="2434" spans="2:11" x14ac:dyDescent="0.45">
      <c r="B2434" s="1" t="s">
        <v>11</v>
      </c>
      <c r="C2434" s="1" t="s">
        <v>2430</v>
      </c>
      <c r="D2434" s="7">
        <v>45857</v>
      </c>
      <c r="E2434" s="7">
        <v>45859</v>
      </c>
      <c r="F2434" s="7">
        <v>45998</v>
      </c>
      <c r="G2434" s="1" t="s">
        <v>13</v>
      </c>
      <c r="H2434" s="8">
        <v>43624604.869999997</v>
      </c>
      <c r="I2434" s="8">
        <v>20753636.32</v>
      </c>
      <c r="J2434" s="1">
        <f>IF(COUNTIF($C$4:C2434,C2434)=1,1,0)</f>
        <v>1</v>
      </c>
      <c r="K2434" s="1">
        <f t="shared" si="37"/>
        <v>2025</v>
      </c>
    </row>
    <row r="2435" spans="2:11" x14ac:dyDescent="0.45">
      <c r="B2435" s="1" t="s">
        <v>11</v>
      </c>
      <c r="C2435" s="1" t="s">
        <v>2431</v>
      </c>
      <c r="D2435" s="7">
        <v>43989</v>
      </c>
      <c r="E2435" s="7">
        <v>43994</v>
      </c>
      <c r="F2435" s="7">
        <v>44004</v>
      </c>
      <c r="G2435" s="1" t="s">
        <v>20</v>
      </c>
      <c r="H2435" s="8">
        <v>1076235.99</v>
      </c>
      <c r="I2435" s="8">
        <v>847892.09</v>
      </c>
      <c r="J2435" s="1">
        <f>IF(COUNTIF($C$4:C2435,C2435)=1,1,0)</f>
        <v>1</v>
      </c>
      <c r="K2435" s="1">
        <f t="shared" si="37"/>
        <v>2020</v>
      </c>
    </row>
    <row r="2436" spans="2:11" x14ac:dyDescent="0.45">
      <c r="B2436" s="1" t="s">
        <v>11</v>
      </c>
      <c r="C2436" s="1" t="s">
        <v>2432</v>
      </c>
      <c r="D2436" s="7">
        <v>43446</v>
      </c>
      <c r="E2436" s="7">
        <v>43472</v>
      </c>
      <c r="F2436" s="7">
        <v>43511</v>
      </c>
      <c r="G2436" s="1" t="s">
        <v>13</v>
      </c>
      <c r="H2436" s="8">
        <v>291878.65000000002</v>
      </c>
      <c r="I2436" s="8">
        <v>205184.57</v>
      </c>
      <c r="J2436" s="1">
        <f>IF(COUNTIF($C$4:C2436,C2436)=1,1,0)</f>
        <v>1</v>
      </c>
      <c r="K2436" s="1">
        <f t="shared" si="37"/>
        <v>2018</v>
      </c>
    </row>
    <row r="2437" spans="2:11" x14ac:dyDescent="0.45">
      <c r="B2437" s="1" t="s">
        <v>11</v>
      </c>
      <c r="C2437" s="1" t="s">
        <v>2433</v>
      </c>
      <c r="D2437" s="7">
        <v>45725</v>
      </c>
      <c r="E2437" s="7">
        <v>45743</v>
      </c>
      <c r="F2437" s="7">
        <v>45922</v>
      </c>
      <c r="G2437" s="1" t="s">
        <v>16</v>
      </c>
      <c r="H2437" s="8">
        <v>8530158.5899999999</v>
      </c>
      <c r="I2437" s="8">
        <v>5330323.07</v>
      </c>
      <c r="J2437" s="1">
        <f>IF(COUNTIF($C$4:C2437,C2437)=1,1,0)</f>
        <v>1</v>
      </c>
      <c r="K2437" s="1">
        <f t="shared" ref="K2437:K2500" si="38">YEAR(D2437)</f>
        <v>2025</v>
      </c>
    </row>
    <row r="2438" spans="2:11" x14ac:dyDescent="0.45">
      <c r="B2438" s="1" t="s">
        <v>11</v>
      </c>
      <c r="C2438" s="1" t="s">
        <v>2434</v>
      </c>
      <c r="D2438" s="7">
        <v>45182</v>
      </c>
      <c r="E2438" s="7">
        <v>45198</v>
      </c>
      <c r="F2438" s="7">
        <v>45211</v>
      </c>
      <c r="G2438" s="1" t="s">
        <v>41</v>
      </c>
      <c r="H2438" s="8">
        <v>69796.72</v>
      </c>
      <c r="I2438" s="8">
        <v>58095</v>
      </c>
      <c r="J2438" s="1">
        <f>IF(COUNTIF($C$4:C2438,C2438)=1,1,0)</f>
        <v>1</v>
      </c>
      <c r="K2438" s="1">
        <f t="shared" si="38"/>
        <v>2023</v>
      </c>
    </row>
    <row r="2439" spans="2:11" x14ac:dyDescent="0.45">
      <c r="B2439" s="1" t="s">
        <v>11</v>
      </c>
      <c r="C2439" s="1" t="s">
        <v>2435</v>
      </c>
      <c r="D2439" s="7">
        <v>43419</v>
      </c>
      <c r="E2439" s="7">
        <v>43445</v>
      </c>
      <c r="F2439" s="7">
        <v>43552</v>
      </c>
      <c r="G2439" s="1" t="s">
        <v>16</v>
      </c>
      <c r="H2439" s="8">
        <v>2045441.72</v>
      </c>
      <c r="I2439" s="8">
        <v>1381823.76</v>
      </c>
      <c r="J2439" s="1">
        <f>IF(COUNTIF($C$4:C2439,C2439)=1,1,0)</f>
        <v>1</v>
      </c>
      <c r="K2439" s="1">
        <f t="shared" si="38"/>
        <v>2018</v>
      </c>
    </row>
    <row r="2440" spans="2:11" x14ac:dyDescent="0.45">
      <c r="B2440" s="1" t="s">
        <v>11</v>
      </c>
      <c r="C2440" s="1" t="s">
        <v>2436</v>
      </c>
      <c r="D2440" s="7">
        <v>45524</v>
      </c>
      <c r="E2440" s="7">
        <v>45548</v>
      </c>
      <c r="F2440" s="7">
        <v>45661</v>
      </c>
      <c r="G2440" s="1" t="s">
        <v>22</v>
      </c>
      <c r="H2440" s="8">
        <v>6186175.4800000004</v>
      </c>
      <c r="I2440" s="8">
        <v>4508309.38</v>
      </c>
      <c r="J2440" s="1">
        <f>IF(COUNTIF($C$4:C2440,C2440)=1,1,0)</f>
        <v>1</v>
      </c>
      <c r="K2440" s="1">
        <f t="shared" si="38"/>
        <v>2024</v>
      </c>
    </row>
    <row r="2441" spans="2:11" x14ac:dyDescent="0.45">
      <c r="B2441" s="1" t="s">
        <v>11</v>
      </c>
      <c r="C2441" s="1" t="s">
        <v>2437</v>
      </c>
      <c r="D2441" s="7">
        <v>45698</v>
      </c>
      <c r="E2441" s="7">
        <v>45728</v>
      </c>
      <c r="F2441" s="7">
        <v>45892</v>
      </c>
      <c r="G2441" s="1" t="s">
        <v>44</v>
      </c>
      <c r="H2441" s="8">
        <v>68851106.950000003</v>
      </c>
      <c r="I2441" s="8">
        <v>34806315.039999999</v>
      </c>
      <c r="J2441" s="1">
        <f>IF(COUNTIF($C$4:C2441,C2441)=1,1,0)</f>
        <v>1</v>
      </c>
      <c r="K2441" s="1">
        <f t="shared" si="38"/>
        <v>2025</v>
      </c>
    </row>
    <row r="2442" spans="2:11" x14ac:dyDescent="0.45">
      <c r="B2442" s="1" t="s">
        <v>11</v>
      </c>
      <c r="C2442" s="1" t="s">
        <v>2438</v>
      </c>
      <c r="D2442" s="7">
        <v>45627</v>
      </c>
      <c r="E2442" s="7">
        <v>45649</v>
      </c>
      <c r="F2442" s="7">
        <v>45779</v>
      </c>
      <c r="G2442" s="1" t="s">
        <v>44</v>
      </c>
      <c r="H2442" s="8">
        <v>168295147.75999999</v>
      </c>
      <c r="I2442" s="8">
        <v>69387845.859999999</v>
      </c>
      <c r="J2442" s="1">
        <f>IF(COUNTIF($C$4:C2442,C2442)=1,1,0)</f>
        <v>1</v>
      </c>
      <c r="K2442" s="1">
        <f t="shared" si="38"/>
        <v>2024</v>
      </c>
    </row>
    <row r="2443" spans="2:11" x14ac:dyDescent="0.45">
      <c r="B2443" s="1" t="s">
        <v>11</v>
      </c>
      <c r="C2443" s="1" t="s">
        <v>2439</v>
      </c>
      <c r="D2443" s="7">
        <v>44302</v>
      </c>
      <c r="E2443" s="7">
        <v>44309</v>
      </c>
      <c r="F2443" s="7">
        <v>44531</v>
      </c>
      <c r="G2443" s="1" t="s">
        <v>22</v>
      </c>
      <c r="H2443" s="8">
        <v>13892252.890000001</v>
      </c>
      <c r="I2443" s="8">
        <v>9161239.5899999999</v>
      </c>
      <c r="J2443" s="1">
        <f>IF(COUNTIF($C$4:C2443,C2443)=1,1,0)</f>
        <v>1</v>
      </c>
      <c r="K2443" s="1">
        <f t="shared" si="38"/>
        <v>2021</v>
      </c>
    </row>
    <row r="2444" spans="2:11" x14ac:dyDescent="0.45">
      <c r="B2444" s="1" t="s">
        <v>11</v>
      </c>
      <c r="C2444" s="1" t="s">
        <v>2440</v>
      </c>
      <c r="D2444" s="7">
        <v>43907</v>
      </c>
      <c r="E2444" s="7">
        <v>43936</v>
      </c>
      <c r="F2444" s="7">
        <v>44146</v>
      </c>
      <c r="G2444" s="1" t="s">
        <v>20</v>
      </c>
      <c r="H2444" s="8">
        <v>51843886.369999997</v>
      </c>
      <c r="I2444" s="8">
        <v>35553352.270000003</v>
      </c>
      <c r="J2444" s="1">
        <f>IF(COUNTIF($C$4:C2444,C2444)=1,1,0)</f>
        <v>1</v>
      </c>
      <c r="K2444" s="1">
        <f t="shared" si="38"/>
        <v>2020</v>
      </c>
    </row>
    <row r="2445" spans="2:11" x14ac:dyDescent="0.45">
      <c r="B2445" s="1" t="s">
        <v>11</v>
      </c>
      <c r="C2445" s="1" t="s">
        <v>2441</v>
      </c>
      <c r="D2445" s="7">
        <v>44970</v>
      </c>
      <c r="E2445" s="7">
        <v>45000</v>
      </c>
      <c r="F2445" s="7">
        <v>45184</v>
      </c>
      <c r="G2445" s="1" t="s">
        <v>41</v>
      </c>
      <c r="H2445" s="8">
        <v>474302</v>
      </c>
      <c r="I2445" s="8">
        <v>335617.78</v>
      </c>
      <c r="J2445" s="1">
        <f>IF(COUNTIF($C$4:C2445,C2445)=1,1,0)</f>
        <v>1</v>
      </c>
      <c r="K2445" s="1">
        <f t="shared" si="38"/>
        <v>2023</v>
      </c>
    </row>
    <row r="2446" spans="2:11" x14ac:dyDescent="0.45">
      <c r="B2446" s="1" t="s">
        <v>11</v>
      </c>
      <c r="C2446" s="1" t="s">
        <v>2442</v>
      </c>
      <c r="D2446" s="7">
        <v>45503</v>
      </c>
      <c r="E2446" s="7">
        <v>45530</v>
      </c>
      <c r="F2446" s="7">
        <v>45583</v>
      </c>
      <c r="G2446" s="1" t="s">
        <v>20</v>
      </c>
      <c r="H2446" s="8">
        <v>185065.94</v>
      </c>
      <c r="I2446" s="8">
        <v>136592.74</v>
      </c>
      <c r="J2446" s="1">
        <f>IF(COUNTIF($C$4:C2446,C2446)=1,1,0)</f>
        <v>1</v>
      </c>
      <c r="K2446" s="1">
        <f t="shared" si="38"/>
        <v>2024</v>
      </c>
    </row>
    <row r="2447" spans="2:11" x14ac:dyDescent="0.45">
      <c r="B2447" s="1" t="s">
        <v>11</v>
      </c>
      <c r="C2447" s="1" t="s">
        <v>2443</v>
      </c>
      <c r="D2447" s="7">
        <v>44600</v>
      </c>
      <c r="E2447" s="7">
        <v>44607</v>
      </c>
      <c r="F2447" s="7">
        <v>44623</v>
      </c>
      <c r="G2447" s="1" t="s">
        <v>16</v>
      </c>
      <c r="H2447" s="8">
        <v>4328800.8600000003</v>
      </c>
      <c r="I2447" s="8">
        <v>3205118.04</v>
      </c>
      <c r="J2447" s="1">
        <f>IF(COUNTIF($C$4:C2447,C2447)=1,1,0)</f>
        <v>1</v>
      </c>
      <c r="K2447" s="1">
        <f t="shared" si="38"/>
        <v>2022</v>
      </c>
    </row>
    <row r="2448" spans="2:11" x14ac:dyDescent="0.45">
      <c r="B2448" s="1" t="s">
        <v>11</v>
      </c>
      <c r="C2448" s="1" t="s">
        <v>2444</v>
      </c>
      <c r="D2448" s="7">
        <v>44588</v>
      </c>
      <c r="E2448" s="7">
        <v>44609</v>
      </c>
      <c r="F2448" s="7">
        <v>44810</v>
      </c>
      <c r="G2448" s="1" t="s">
        <v>22</v>
      </c>
      <c r="H2448" s="8">
        <v>66597090.530000001</v>
      </c>
      <c r="I2448" s="8">
        <v>44928769.259999998</v>
      </c>
      <c r="J2448" s="1">
        <f>IF(COUNTIF($C$4:C2448,C2448)=1,1,0)</f>
        <v>1</v>
      </c>
      <c r="K2448" s="1">
        <f t="shared" si="38"/>
        <v>2022</v>
      </c>
    </row>
    <row r="2449" spans="2:11" x14ac:dyDescent="0.45">
      <c r="B2449" s="1" t="s">
        <v>11</v>
      </c>
      <c r="C2449" s="1" t="s">
        <v>2445</v>
      </c>
      <c r="D2449" s="7">
        <v>44431</v>
      </c>
      <c r="E2449" s="7">
        <v>44447</v>
      </c>
      <c r="F2449" s="7">
        <v>44629</v>
      </c>
      <c r="G2449" s="1" t="s">
        <v>20</v>
      </c>
      <c r="H2449" s="8">
        <v>33015626.780000001</v>
      </c>
      <c r="I2449" s="8">
        <v>21836466.690000001</v>
      </c>
      <c r="J2449" s="1">
        <f>IF(COUNTIF($C$4:C2449,C2449)=1,1,0)</f>
        <v>1</v>
      </c>
      <c r="K2449" s="1">
        <f t="shared" si="38"/>
        <v>2021</v>
      </c>
    </row>
    <row r="2450" spans="2:11" x14ac:dyDescent="0.45">
      <c r="B2450" s="1" t="s">
        <v>11</v>
      </c>
      <c r="C2450" s="1" t="s">
        <v>2446</v>
      </c>
      <c r="D2450" s="7">
        <v>44174</v>
      </c>
      <c r="E2450" s="7">
        <v>44177</v>
      </c>
      <c r="F2450" s="7">
        <v>44347</v>
      </c>
      <c r="G2450" s="1" t="s">
        <v>41</v>
      </c>
      <c r="H2450" s="8">
        <v>401922.62</v>
      </c>
      <c r="I2450" s="8">
        <v>306417.48</v>
      </c>
      <c r="J2450" s="1">
        <f>IF(COUNTIF($C$4:C2450,C2450)=1,1,0)</f>
        <v>1</v>
      </c>
      <c r="K2450" s="1">
        <f t="shared" si="38"/>
        <v>2020</v>
      </c>
    </row>
    <row r="2451" spans="2:11" x14ac:dyDescent="0.45">
      <c r="B2451" s="1" t="s">
        <v>11</v>
      </c>
      <c r="C2451" s="1" t="s">
        <v>2447</v>
      </c>
      <c r="D2451" s="7">
        <v>44007</v>
      </c>
      <c r="E2451" s="7">
        <v>44012</v>
      </c>
      <c r="F2451" s="7">
        <v>44241</v>
      </c>
      <c r="G2451" s="1" t="s">
        <v>44</v>
      </c>
      <c r="H2451" s="8">
        <v>332042867.25999999</v>
      </c>
      <c r="I2451" s="8">
        <v>225194443.03999999</v>
      </c>
      <c r="J2451" s="1">
        <f>IF(COUNTIF($C$4:C2451,C2451)=1,1,0)</f>
        <v>1</v>
      </c>
      <c r="K2451" s="1">
        <f t="shared" si="38"/>
        <v>2020</v>
      </c>
    </row>
    <row r="2452" spans="2:11" x14ac:dyDescent="0.45">
      <c r="B2452" s="1" t="s">
        <v>11</v>
      </c>
      <c r="C2452" s="1" t="s">
        <v>2448</v>
      </c>
      <c r="D2452" s="7">
        <v>44569</v>
      </c>
      <c r="E2452" s="7">
        <v>44596</v>
      </c>
      <c r="F2452" s="7">
        <v>44740</v>
      </c>
      <c r="G2452" s="1" t="s">
        <v>44</v>
      </c>
      <c r="H2452" s="8">
        <v>32079169.280000001</v>
      </c>
      <c r="I2452" s="8">
        <v>14886632.800000001</v>
      </c>
      <c r="J2452" s="1">
        <f>IF(COUNTIF($C$4:C2452,C2452)=1,1,0)</f>
        <v>1</v>
      </c>
      <c r="K2452" s="1">
        <f t="shared" si="38"/>
        <v>2022</v>
      </c>
    </row>
    <row r="2453" spans="2:11" x14ac:dyDescent="0.45">
      <c r="B2453" s="1" t="s">
        <v>11</v>
      </c>
      <c r="C2453" s="1" t="s">
        <v>2449</v>
      </c>
      <c r="D2453" s="7">
        <v>45770</v>
      </c>
      <c r="E2453" s="7">
        <v>45790</v>
      </c>
      <c r="F2453" s="7">
        <v>45842</v>
      </c>
      <c r="G2453" s="1" t="s">
        <v>16</v>
      </c>
      <c r="H2453" s="8">
        <v>3841495.91</v>
      </c>
      <c r="I2453" s="8">
        <v>2794773.74</v>
      </c>
      <c r="J2453" s="1">
        <f>IF(COUNTIF($C$4:C2453,C2453)=1,1,0)</f>
        <v>1</v>
      </c>
      <c r="K2453" s="1">
        <f t="shared" si="38"/>
        <v>2025</v>
      </c>
    </row>
    <row r="2454" spans="2:11" x14ac:dyDescent="0.45">
      <c r="B2454" s="1" t="s">
        <v>11</v>
      </c>
      <c r="C2454" s="1" t="s">
        <v>2450</v>
      </c>
      <c r="D2454" s="7">
        <v>45867</v>
      </c>
      <c r="E2454" s="7">
        <v>45889</v>
      </c>
      <c r="F2454" s="7">
        <v>46014</v>
      </c>
      <c r="G2454" s="1" t="s">
        <v>20</v>
      </c>
      <c r="H2454" s="8">
        <v>63310861.009999998</v>
      </c>
      <c r="I2454" s="8">
        <v>38630400.549999997</v>
      </c>
      <c r="J2454" s="1">
        <f>IF(COUNTIF($C$4:C2454,C2454)=1,1,0)</f>
        <v>1</v>
      </c>
      <c r="K2454" s="1">
        <f t="shared" si="38"/>
        <v>2025</v>
      </c>
    </row>
    <row r="2455" spans="2:11" x14ac:dyDescent="0.45">
      <c r="B2455" s="1" t="s">
        <v>11</v>
      </c>
      <c r="C2455" s="1" t="s">
        <v>2451</v>
      </c>
      <c r="D2455" s="7">
        <v>44302</v>
      </c>
      <c r="E2455" s="7">
        <v>44315</v>
      </c>
      <c r="F2455" s="7">
        <v>44522</v>
      </c>
      <c r="G2455" s="1" t="s">
        <v>13</v>
      </c>
      <c r="H2455" s="8">
        <v>194925.78</v>
      </c>
      <c r="I2455" s="8">
        <v>142041.19</v>
      </c>
      <c r="J2455" s="1">
        <f>IF(COUNTIF($C$4:C2455,C2455)=1,1,0)</f>
        <v>1</v>
      </c>
      <c r="K2455" s="1">
        <f t="shared" si="38"/>
        <v>2021</v>
      </c>
    </row>
    <row r="2456" spans="2:11" x14ac:dyDescent="0.45">
      <c r="B2456" s="1" t="s">
        <v>11</v>
      </c>
      <c r="C2456" s="1" t="s">
        <v>2452</v>
      </c>
      <c r="D2456" s="7">
        <v>43403</v>
      </c>
      <c r="E2456" s="7">
        <v>43417</v>
      </c>
      <c r="F2456" s="7">
        <v>43447</v>
      </c>
      <c r="G2456" s="1" t="s">
        <v>38</v>
      </c>
      <c r="H2456" s="8">
        <v>905368.81</v>
      </c>
      <c r="I2456" s="8">
        <v>733664.61</v>
      </c>
      <c r="J2456" s="1">
        <f>IF(COUNTIF($C$4:C2456,C2456)=1,1,0)</f>
        <v>1</v>
      </c>
      <c r="K2456" s="1">
        <f t="shared" si="38"/>
        <v>2018</v>
      </c>
    </row>
    <row r="2457" spans="2:11" x14ac:dyDescent="0.45">
      <c r="B2457" s="1" t="s">
        <v>11</v>
      </c>
      <c r="C2457" s="1" t="s">
        <v>2453</v>
      </c>
      <c r="D2457" s="7">
        <v>43812</v>
      </c>
      <c r="E2457" s="7">
        <v>43820</v>
      </c>
      <c r="F2457" s="7">
        <v>43840</v>
      </c>
      <c r="G2457" s="1" t="s">
        <v>20</v>
      </c>
      <c r="H2457" s="8">
        <v>529308.01</v>
      </c>
      <c r="I2457" s="8">
        <v>339810.88</v>
      </c>
      <c r="J2457" s="1">
        <f>IF(COUNTIF($C$4:C2457,C2457)=1,1,0)</f>
        <v>1</v>
      </c>
      <c r="K2457" s="1">
        <f t="shared" si="38"/>
        <v>2019</v>
      </c>
    </row>
    <row r="2458" spans="2:11" x14ac:dyDescent="0.45">
      <c r="B2458" s="1" t="s">
        <v>11</v>
      </c>
      <c r="C2458" s="1" t="s">
        <v>2454</v>
      </c>
      <c r="D2458" s="7">
        <v>44295</v>
      </c>
      <c r="E2458" s="7">
        <v>44315</v>
      </c>
      <c r="F2458" s="7">
        <v>44332</v>
      </c>
      <c r="G2458" s="1" t="s">
        <v>44</v>
      </c>
      <c r="H2458" s="8">
        <v>31894487.120000001</v>
      </c>
      <c r="I2458" s="8">
        <v>24668192.949999999</v>
      </c>
      <c r="J2458" s="1">
        <f>IF(COUNTIF($C$4:C2458,C2458)=1,1,0)</f>
        <v>1</v>
      </c>
      <c r="K2458" s="1">
        <f t="shared" si="38"/>
        <v>2021</v>
      </c>
    </row>
    <row r="2459" spans="2:11" x14ac:dyDescent="0.45">
      <c r="B2459" s="1" t="s">
        <v>11</v>
      </c>
      <c r="C2459" s="1" t="s">
        <v>2455</v>
      </c>
      <c r="D2459" s="7">
        <v>43760</v>
      </c>
      <c r="E2459" s="7">
        <v>43779</v>
      </c>
      <c r="F2459" s="7">
        <v>43949</v>
      </c>
      <c r="G2459" s="1" t="s">
        <v>13</v>
      </c>
      <c r="H2459" s="8">
        <v>6017446.6500000004</v>
      </c>
      <c r="I2459" s="8">
        <v>2780666.48</v>
      </c>
      <c r="J2459" s="1">
        <f>IF(COUNTIF($C$4:C2459,C2459)=1,1,0)</f>
        <v>1</v>
      </c>
      <c r="K2459" s="1">
        <f t="shared" si="38"/>
        <v>2019</v>
      </c>
    </row>
    <row r="2460" spans="2:11" x14ac:dyDescent="0.45">
      <c r="B2460" s="1" t="s">
        <v>11</v>
      </c>
      <c r="C2460" s="1" t="s">
        <v>2456</v>
      </c>
      <c r="D2460" s="7">
        <v>43252</v>
      </c>
      <c r="E2460" s="7">
        <v>43254</v>
      </c>
      <c r="F2460" s="7">
        <v>43275</v>
      </c>
      <c r="G2460" s="1" t="s">
        <v>20</v>
      </c>
      <c r="H2460" s="8">
        <v>884860.71</v>
      </c>
      <c r="I2460" s="8">
        <v>565503.5</v>
      </c>
      <c r="J2460" s="1">
        <f>IF(COUNTIF($C$4:C2460,C2460)=1,1,0)</f>
        <v>1</v>
      </c>
      <c r="K2460" s="1">
        <f t="shared" si="38"/>
        <v>2018</v>
      </c>
    </row>
    <row r="2461" spans="2:11" x14ac:dyDescent="0.45">
      <c r="B2461" s="1" t="s">
        <v>11</v>
      </c>
      <c r="C2461" s="1" t="s">
        <v>2457</v>
      </c>
      <c r="D2461" s="7">
        <v>44783</v>
      </c>
      <c r="E2461" s="7">
        <v>44803</v>
      </c>
      <c r="F2461" s="7">
        <v>44941</v>
      </c>
      <c r="G2461" s="1" t="s">
        <v>13</v>
      </c>
      <c r="H2461" s="8">
        <v>913113.47</v>
      </c>
      <c r="I2461" s="8">
        <v>507327.27</v>
      </c>
      <c r="J2461" s="1">
        <f>IF(COUNTIF($C$4:C2461,C2461)=1,1,0)</f>
        <v>1</v>
      </c>
      <c r="K2461" s="1">
        <f t="shared" si="38"/>
        <v>2022</v>
      </c>
    </row>
    <row r="2462" spans="2:11" x14ac:dyDescent="0.45">
      <c r="B2462" s="1" t="s">
        <v>11</v>
      </c>
      <c r="C2462" s="1" t="s">
        <v>2458</v>
      </c>
      <c r="D2462" s="7">
        <v>44901</v>
      </c>
      <c r="E2462" s="7">
        <v>44928</v>
      </c>
      <c r="F2462" s="7">
        <v>44968</v>
      </c>
      <c r="G2462" s="1" t="s">
        <v>20</v>
      </c>
      <c r="H2462" s="8">
        <v>795211.22</v>
      </c>
      <c r="I2462" s="8">
        <v>525546.84</v>
      </c>
      <c r="J2462" s="1">
        <f>IF(COUNTIF($C$4:C2462,C2462)=1,1,0)</f>
        <v>1</v>
      </c>
      <c r="K2462" s="1">
        <f t="shared" si="38"/>
        <v>2022</v>
      </c>
    </row>
    <row r="2463" spans="2:11" x14ac:dyDescent="0.45">
      <c r="B2463" s="1" t="s">
        <v>11</v>
      </c>
      <c r="C2463" s="1" t="s">
        <v>2459</v>
      </c>
      <c r="D2463" s="7">
        <v>45619</v>
      </c>
      <c r="E2463" s="7">
        <v>45638</v>
      </c>
      <c r="F2463" s="7">
        <v>45824</v>
      </c>
      <c r="G2463" s="1" t="s">
        <v>20</v>
      </c>
      <c r="H2463" s="8">
        <v>1283837.22</v>
      </c>
      <c r="I2463" s="8">
        <v>572084.98</v>
      </c>
      <c r="J2463" s="1">
        <f>IF(COUNTIF($C$4:C2463,C2463)=1,1,0)</f>
        <v>1</v>
      </c>
      <c r="K2463" s="1">
        <f t="shared" si="38"/>
        <v>2024</v>
      </c>
    </row>
    <row r="2464" spans="2:11" x14ac:dyDescent="0.45">
      <c r="B2464" s="1" t="s">
        <v>11</v>
      </c>
      <c r="C2464" s="1" t="s">
        <v>2460</v>
      </c>
      <c r="D2464" s="7">
        <v>45169</v>
      </c>
      <c r="E2464" s="7">
        <v>45195</v>
      </c>
      <c r="F2464" s="7">
        <v>45418</v>
      </c>
      <c r="G2464" s="1" t="s">
        <v>38</v>
      </c>
      <c r="H2464" s="8">
        <v>213903.56</v>
      </c>
      <c r="I2464" s="8">
        <v>146193.24</v>
      </c>
      <c r="J2464" s="1">
        <f>IF(COUNTIF($C$4:C2464,C2464)=1,1,0)</f>
        <v>1</v>
      </c>
      <c r="K2464" s="1">
        <f t="shared" si="38"/>
        <v>2023</v>
      </c>
    </row>
    <row r="2465" spans="2:11" x14ac:dyDescent="0.45">
      <c r="B2465" s="1" t="s">
        <v>11</v>
      </c>
      <c r="C2465" s="1" t="s">
        <v>2461</v>
      </c>
      <c r="D2465" s="7">
        <v>44778</v>
      </c>
      <c r="E2465" s="7">
        <v>44781</v>
      </c>
      <c r="F2465" s="7">
        <v>45019</v>
      </c>
      <c r="G2465" s="1" t="s">
        <v>22</v>
      </c>
      <c r="H2465" s="8">
        <v>19666300.57</v>
      </c>
      <c r="I2465" s="8">
        <v>5927213.3799999999</v>
      </c>
      <c r="J2465" s="1">
        <f>IF(COUNTIF($C$4:C2465,C2465)=1,1,0)</f>
        <v>1</v>
      </c>
      <c r="K2465" s="1">
        <f t="shared" si="38"/>
        <v>2022</v>
      </c>
    </row>
    <row r="2466" spans="2:11" x14ac:dyDescent="0.45">
      <c r="B2466" s="1" t="s">
        <v>11</v>
      </c>
      <c r="C2466" s="1" t="s">
        <v>2462</v>
      </c>
      <c r="D2466" s="7">
        <v>43701</v>
      </c>
      <c r="E2466" s="7">
        <v>43701</v>
      </c>
      <c r="F2466" s="7">
        <v>43905</v>
      </c>
      <c r="G2466" s="1" t="s">
        <v>22</v>
      </c>
      <c r="H2466" s="8">
        <v>48282489.359999999</v>
      </c>
      <c r="I2466" s="8">
        <v>33033403.030000001</v>
      </c>
      <c r="J2466" s="1">
        <f>IF(COUNTIF($C$4:C2466,C2466)=1,1,0)</f>
        <v>1</v>
      </c>
      <c r="K2466" s="1">
        <f t="shared" si="38"/>
        <v>2019</v>
      </c>
    </row>
    <row r="2467" spans="2:11" x14ac:dyDescent="0.45">
      <c r="B2467" s="1" t="s">
        <v>11</v>
      </c>
      <c r="C2467" s="1" t="s">
        <v>2463</v>
      </c>
      <c r="D2467" s="7">
        <v>45162</v>
      </c>
      <c r="E2467" s="7">
        <v>45169</v>
      </c>
      <c r="F2467" s="7">
        <v>45332</v>
      </c>
      <c r="G2467" s="1" t="s">
        <v>13</v>
      </c>
      <c r="H2467" s="8">
        <v>1783067.81</v>
      </c>
      <c r="I2467" s="8">
        <v>1121830.95</v>
      </c>
      <c r="J2467" s="1">
        <f>IF(COUNTIF($C$4:C2467,C2467)=1,1,0)</f>
        <v>1</v>
      </c>
      <c r="K2467" s="1">
        <f t="shared" si="38"/>
        <v>2023</v>
      </c>
    </row>
    <row r="2468" spans="2:11" x14ac:dyDescent="0.45">
      <c r="B2468" s="1" t="s">
        <v>11</v>
      </c>
      <c r="C2468" s="1" t="s">
        <v>2464</v>
      </c>
      <c r="D2468" s="7">
        <v>45735</v>
      </c>
      <c r="E2468" s="7">
        <v>45752</v>
      </c>
      <c r="F2468" s="7">
        <v>45928</v>
      </c>
      <c r="G2468" s="1" t="s">
        <v>22</v>
      </c>
      <c r="H2468" s="8">
        <v>17627425.199999999</v>
      </c>
      <c r="I2468" s="8">
        <v>11074309.75</v>
      </c>
      <c r="J2468" s="1">
        <f>IF(COUNTIF($C$4:C2468,C2468)=1,1,0)</f>
        <v>1</v>
      </c>
      <c r="K2468" s="1">
        <f t="shared" si="38"/>
        <v>2025</v>
      </c>
    </row>
    <row r="2469" spans="2:11" x14ac:dyDescent="0.45">
      <c r="B2469" s="1" t="s">
        <v>11</v>
      </c>
      <c r="C2469" s="1" t="s">
        <v>2465</v>
      </c>
      <c r="D2469" s="7">
        <v>45678</v>
      </c>
      <c r="E2469" s="7">
        <v>45688</v>
      </c>
      <c r="F2469" s="7">
        <v>45832</v>
      </c>
      <c r="G2469" s="1" t="s">
        <v>20</v>
      </c>
      <c r="H2469" s="8">
        <v>87279779.829999998</v>
      </c>
      <c r="I2469" s="8">
        <v>38590256.200000003</v>
      </c>
      <c r="J2469" s="1">
        <f>IF(COUNTIF($C$4:C2469,C2469)=1,1,0)</f>
        <v>1</v>
      </c>
      <c r="K2469" s="1">
        <f t="shared" si="38"/>
        <v>2025</v>
      </c>
    </row>
    <row r="2470" spans="2:11" x14ac:dyDescent="0.45">
      <c r="B2470" s="1" t="s">
        <v>11</v>
      </c>
      <c r="C2470" s="1" t="s">
        <v>2466</v>
      </c>
      <c r="D2470" s="7">
        <v>46156</v>
      </c>
      <c r="E2470" s="7">
        <v>46159</v>
      </c>
      <c r="F2470" s="7">
        <v>46357</v>
      </c>
      <c r="G2470" s="1" t="s">
        <v>44</v>
      </c>
      <c r="H2470" s="8">
        <v>160805851.90000001</v>
      </c>
      <c r="I2470" s="8">
        <v>83857849.670000002</v>
      </c>
      <c r="J2470" s="1">
        <f>IF(COUNTIF($C$4:C2470,C2470)=1,1,0)</f>
        <v>1</v>
      </c>
      <c r="K2470" s="1">
        <f t="shared" si="38"/>
        <v>2026</v>
      </c>
    </row>
    <row r="2471" spans="2:11" x14ac:dyDescent="0.45">
      <c r="B2471" s="1" t="s">
        <v>11</v>
      </c>
      <c r="C2471" s="1" t="s">
        <v>2467</v>
      </c>
      <c r="D2471" s="7">
        <v>44958</v>
      </c>
      <c r="E2471" s="7">
        <v>44971</v>
      </c>
      <c r="F2471" s="7">
        <v>45187</v>
      </c>
      <c r="G2471" s="1" t="s">
        <v>20</v>
      </c>
      <c r="H2471" s="8">
        <v>730979.17</v>
      </c>
      <c r="I2471" s="8">
        <v>524059.7</v>
      </c>
      <c r="J2471" s="1">
        <f>IF(COUNTIF($C$4:C2471,C2471)=1,1,0)</f>
        <v>1</v>
      </c>
      <c r="K2471" s="1">
        <f t="shared" si="38"/>
        <v>2023</v>
      </c>
    </row>
    <row r="2472" spans="2:11" x14ac:dyDescent="0.45">
      <c r="B2472" s="1" t="s">
        <v>11</v>
      </c>
      <c r="C2472" s="1" t="s">
        <v>2468</v>
      </c>
      <c r="D2472" s="7">
        <v>44892</v>
      </c>
      <c r="E2472" s="7">
        <v>44894</v>
      </c>
      <c r="F2472" s="7">
        <v>45058</v>
      </c>
      <c r="G2472" s="1" t="s">
        <v>16</v>
      </c>
      <c r="H2472" s="8">
        <v>5019847.88</v>
      </c>
      <c r="I2472" s="8">
        <v>3467979.62</v>
      </c>
      <c r="J2472" s="1">
        <f>IF(COUNTIF($C$4:C2472,C2472)=1,1,0)</f>
        <v>1</v>
      </c>
      <c r="K2472" s="1">
        <f t="shared" si="38"/>
        <v>2022</v>
      </c>
    </row>
    <row r="2473" spans="2:11" x14ac:dyDescent="0.45">
      <c r="B2473" s="1" t="s">
        <v>11</v>
      </c>
      <c r="C2473" s="1" t="s">
        <v>2469</v>
      </c>
      <c r="D2473" s="7">
        <v>43986</v>
      </c>
      <c r="E2473" s="7">
        <v>44014</v>
      </c>
      <c r="F2473" s="7">
        <v>44199</v>
      </c>
      <c r="G2473" s="1" t="s">
        <v>22</v>
      </c>
      <c r="H2473" s="8">
        <v>65973885.350000001</v>
      </c>
      <c r="I2473" s="8">
        <v>43989056.399999999</v>
      </c>
      <c r="J2473" s="1">
        <f>IF(COUNTIF($C$4:C2473,C2473)=1,1,0)</f>
        <v>1</v>
      </c>
      <c r="K2473" s="1">
        <f t="shared" si="38"/>
        <v>2020</v>
      </c>
    </row>
    <row r="2474" spans="2:11" x14ac:dyDescent="0.45">
      <c r="B2474" s="1" t="s">
        <v>11</v>
      </c>
      <c r="C2474" s="1" t="s">
        <v>2470</v>
      </c>
      <c r="D2474" s="7">
        <v>43458</v>
      </c>
      <c r="E2474" s="7">
        <v>43483</v>
      </c>
      <c r="F2474" s="7">
        <v>43694</v>
      </c>
      <c r="G2474" s="1" t="s">
        <v>22</v>
      </c>
      <c r="H2474" s="8">
        <v>38753752.700000003</v>
      </c>
      <c r="I2474" s="8">
        <v>25117312.809999999</v>
      </c>
      <c r="J2474" s="1">
        <f>IF(COUNTIF($C$4:C2474,C2474)=1,1,0)</f>
        <v>1</v>
      </c>
      <c r="K2474" s="1">
        <f t="shared" si="38"/>
        <v>2018</v>
      </c>
    </row>
    <row r="2475" spans="2:11" x14ac:dyDescent="0.45">
      <c r="B2475" s="1" t="s">
        <v>11</v>
      </c>
      <c r="C2475" s="1" t="s">
        <v>2471</v>
      </c>
      <c r="D2475" s="7">
        <v>43551</v>
      </c>
      <c r="E2475" s="7">
        <v>43565</v>
      </c>
      <c r="F2475" s="7">
        <v>43664</v>
      </c>
      <c r="G2475" s="1" t="s">
        <v>20</v>
      </c>
      <c r="H2475" s="8">
        <v>1030306.56</v>
      </c>
      <c r="I2475" s="8">
        <v>731566.93</v>
      </c>
      <c r="J2475" s="1">
        <f>IF(COUNTIF($C$4:C2475,C2475)=1,1,0)</f>
        <v>1</v>
      </c>
      <c r="K2475" s="1">
        <f t="shared" si="38"/>
        <v>2019</v>
      </c>
    </row>
    <row r="2476" spans="2:11" x14ac:dyDescent="0.45">
      <c r="B2476" s="1" t="s">
        <v>11</v>
      </c>
      <c r="C2476" s="1" t="s">
        <v>2472</v>
      </c>
      <c r="D2476" s="7">
        <v>44808</v>
      </c>
      <c r="E2476" s="7">
        <v>44816</v>
      </c>
      <c r="F2476" s="7">
        <v>44877</v>
      </c>
      <c r="G2476" s="1" t="s">
        <v>20</v>
      </c>
      <c r="H2476" s="8">
        <v>1583471.34</v>
      </c>
      <c r="I2476" s="8">
        <v>1212310.8700000001</v>
      </c>
      <c r="J2476" s="1">
        <f>IF(COUNTIF($C$4:C2476,C2476)=1,1,0)</f>
        <v>1</v>
      </c>
      <c r="K2476" s="1">
        <f t="shared" si="38"/>
        <v>2022</v>
      </c>
    </row>
    <row r="2477" spans="2:11" x14ac:dyDescent="0.45">
      <c r="B2477" s="1" t="s">
        <v>11</v>
      </c>
      <c r="C2477" s="1" t="s">
        <v>2473</v>
      </c>
      <c r="D2477" s="7">
        <v>44102</v>
      </c>
      <c r="E2477" s="7">
        <v>44124</v>
      </c>
      <c r="F2477" s="7">
        <v>44132</v>
      </c>
      <c r="G2477" s="1" t="s">
        <v>20</v>
      </c>
      <c r="H2477" s="8">
        <v>1975545.11</v>
      </c>
      <c r="I2477" s="8">
        <v>977783.93</v>
      </c>
      <c r="J2477" s="1">
        <f>IF(COUNTIF($C$4:C2477,C2477)=1,1,0)</f>
        <v>1</v>
      </c>
      <c r="K2477" s="1">
        <f t="shared" si="38"/>
        <v>2020</v>
      </c>
    </row>
    <row r="2478" spans="2:11" x14ac:dyDescent="0.45">
      <c r="B2478" s="1" t="s">
        <v>11</v>
      </c>
      <c r="C2478" s="1" t="s">
        <v>2474</v>
      </c>
      <c r="D2478" s="7">
        <v>44406</v>
      </c>
      <c r="E2478" s="7">
        <v>44411</v>
      </c>
      <c r="F2478" s="7">
        <v>44543</v>
      </c>
      <c r="G2478" s="1" t="s">
        <v>16</v>
      </c>
      <c r="H2478" s="8">
        <v>696860.25</v>
      </c>
      <c r="I2478" s="8">
        <v>489918.84</v>
      </c>
      <c r="J2478" s="1">
        <f>IF(COUNTIF($C$4:C2478,C2478)=1,1,0)</f>
        <v>1</v>
      </c>
      <c r="K2478" s="1">
        <f t="shared" si="38"/>
        <v>2021</v>
      </c>
    </row>
    <row r="2479" spans="2:11" x14ac:dyDescent="0.45">
      <c r="B2479" s="1" t="s">
        <v>11</v>
      </c>
      <c r="C2479" s="1" t="s">
        <v>2475</v>
      </c>
      <c r="D2479" s="7">
        <v>43525</v>
      </c>
      <c r="E2479" s="7">
        <v>43547</v>
      </c>
      <c r="F2479" s="7">
        <v>43737</v>
      </c>
      <c r="G2479" s="1" t="s">
        <v>38</v>
      </c>
      <c r="H2479" s="8">
        <v>599017.18000000005</v>
      </c>
      <c r="I2479" s="8">
        <v>427742.43</v>
      </c>
      <c r="J2479" s="1">
        <f>IF(COUNTIF($C$4:C2479,C2479)=1,1,0)</f>
        <v>1</v>
      </c>
      <c r="K2479" s="1">
        <f t="shared" si="38"/>
        <v>2019</v>
      </c>
    </row>
    <row r="2480" spans="2:11" x14ac:dyDescent="0.45">
      <c r="B2480" s="1" t="s">
        <v>11</v>
      </c>
      <c r="C2480" s="1" t="s">
        <v>2476</v>
      </c>
      <c r="D2480" s="7">
        <v>44405</v>
      </c>
      <c r="E2480" s="7">
        <v>44424</v>
      </c>
      <c r="F2480" s="7">
        <v>44621</v>
      </c>
      <c r="G2480" s="1" t="s">
        <v>20</v>
      </c>
      <c r="H2480" s="8">
        <v>389965.59</v>
      </c>
      <c r="I2480" s="8">
        <v>268920.94</v>
      </c>
      <c r="J2480" s="1">
        <f>IF(COUNTIF($C$4:C2480,C2480)=1,1,0)</f>
        <v>1</v>
      </c>
      <c r="K2480" s="1">
        <f t="shared" si="38"/>
        <v>2021</v>
      </c>
    </row>
    <row r="2481" spans="2:11" x14ac:dyDescent="0.45">
      <c r="B2481" s="1" t="s">
        <v>11</v>
      </c>
      <c r="C2481" s="1" t="s">
        <v>2477</v>
      </c>
      <c r="D2481" s="7">
        <v>43599</v>
      </c>
      <c r="E2481" s="7">
        <v>43627</v>
      </c>
      <c r="F2481" s="7">
        <v>43744</v>
      </c>
      <c r="G2481" s="1" t="s">
        <v>20</v>
      </c>
      <c r="H2481" s="8">
        <v>92232838.099999994</v>
      </c>
      <c r="I2481" s="8">
        <v>56127498.43</v>
      </c>
      <c r="J2481" s="1">
        <f>IF(COUNTIF($C$4:C2481,C2481)=1,1,0)</f>
        <v>1</v>
      </c>
      <c r="K2481" s="1">
        <f t="shared" si="38"/>
        <v>2019</v>
      </c>
    </row>
    <row r="2482" spans="2:11" x14ac:dyDescent="0.45">
      <c r="B2482" s="1" t="s">
        <v>11</v>
      </c>
      <c r="C2482" s="1" t="s">
        <v>2478</v>
      </c>
      <c r="D2482" s="7">
        <v>44142</v>
      </c>
      <c r="E2482" s="7">
        <v>44145</v>
      </c>
      <c r="F2482" s="7">
        <v>44167</v>
      </c>
      <c r="G2482" s="1" t="s">
        <v>22</v>
      </c>
      <c r="H2482" s="8">
        <v>11270288.07</v>
      </c>
      <c r="I2482" s="8">
        <v>5989556.3499999996</v>
      </c>
      <c r="J2482" s="1">
        <f>IF(COUNTIF($C$4:C2482,C2482)=1,1,0)</f>
        <v>1</v>
      </c>
      <c r="K2482" s="1">
        <f t="shared" si="38"/>
        <v>2020</v>
      </c>
    </row>
    <row r="2483" spans="2:11" x14ac:dyDescent="0.45">
      <c r="B2483" s="1" t="s">
        <v>11</v>
      </c>
      <c r="C2483" s="1" t="s">
        <v>2479</v>
      </c>
      <c r="D2483" s="7">
        <v>45288</v>
      </c>
      <c r="E2483" s="7">
        <v>45308</v>
      </c>
      <c r="F2483" s="7">
        <v>45510</v>
      </c>
      <c r="G2483" s="1" t="s">
        <v>41</v>
      </c>
      <c r="H2483" s="8">
        <v>625928.66</v>
      </c>
      <c r="I2483" s="8">
        <v>496255.68</v>
      </c>
      <c r="J2483" s="1">
        <f>IF(COUNTIF($C$4:C2483,C2483)=1,1,0)</f>
        <v>1</v>
      </c>
      <c r="K2483" s="1">
        <f t="shared" si="38"/>
        <v>2023</v>
      </c>
    </row>
    <row r="2484" spans="2:11" x14ac:dyDescent="0.45">
      <c r="B2484" s="1" t="s">
        <v>11</v>
      </c>
      <c r="C2484" s="1" t="s">
        <v>2480</v>
      </c>
      <c r="D2484" s="7">
        <v>45719</v>
      </c>
      <c r="E2484" s="7">
        <v>45731</v>
      </c>
      <c r="F2484" s="7">
        <v>45748</v>
      </c>
      <c r="G2484" s="1" t="s">
        <v>20</v>
      </c>
      <c r="H2484" s="8">
        <v>1047816.28</v>
      </c>
      <c r="I2484" s="8">
        <v>668743.86</v>
      </c>
      <c r="J2484" s="1">
        <f>IF(COUNTIF($C$4:C2484,C2484)=1,1,0)</f>
        <v>1</v>
      </c>
      <c r="K2484" s="1">
        <f t="shared" si="38"/>
        <v>2025</v>
      </c>
    </row>
    <row r="2485" spans="2:11" x14ac:dyDescent="0.45">
      <c r="B2485" s="1" t="s">
        <v>11</v>
      </c>
      <c r="C2485" s="1" t="s">
        <v>2481</v>
      </c>
      <c r="D2485" s="7">
        <v>43539</v>
      </c>
      <c r="E2485" s="7">
        <v>43562</v>
      </c>
      <c r="F2485" s="7">
        <v>43644</v>
      </c>
      <c r="G2485" s="1" t="s">
        <v>20</v>
      </c>
      <c r="H2485" s="8">
        <v>10559529.619999999</v>
      </c>
      <c r="I2485" s="8">
        <v>5223794.74</v>
      </c>
      <c r="J2485" s="1">
        <f>IF(COUNTIF($C$4:C2485,C2485)=1,1,0)</f>
        <v>1</v>
      </c>
      <c r="K2485" s="1">
        <f t="shared" si="38"/>
        <v>2019</v>
      </c>
    </row>
    <row r="2486" spans="2:11" x14ac:dyDescent="0.45">
      <c r="B2486" s="1" t="s">
        <v>11</v>
      </c>
      <c r="C2486" s="1" t="s">
        <v>2482</v>
      </c>
      <c r="D2486" s="7">
        <v>45004</v>
      </c>
      <c r="E2486" s="7">
        <v>45016</v>
      </c>
      <c r="F2486" s="7">
        <v>45180</v>
      </c>
      <c r="G2486" s="1" t="s">
        <v>41</v>
      </c>
      <c r="H2486" s="8">
        <v>647817.04</v>
      </c>
      <c r="I2486" s="8">
        <v>534593.99</v>
      </c>
      <c r="J2486" s="1">
        <f>IF(COUNTIF($C$4:C2486,C2486)=1,1,0)</f>
        <v>1</v>
      </c>
      <c r="K2486" s="1">
        <f t="shared" si="38"/>
        <v>2023</v>
      </c>
    </row>
    <row r="2487" spans="2:11" x14ac:dyDescent="0.45">
      <c r="B2487" s="1" t="s">
        <v>11</v>
      </c>
      <c r="C2487" s="1" t="s">
        <v>2483</v>
      </c>
      <c r="D2487" s="7">
        <v>44122</v>
      </c>
      <c r="E2487" s="7">
        <v>44122</v>
      </c>
      <c r="F2487" s="7">
        <v>44253</v>
      </c>
      <c r="G2487" s="1" t="s">
        <v>13</v>
      </c>
      <c r="H2487" s="8">
        <v>16350514.25</v>
      </c>
      <c r="I2487" s="8">
        <v>11796400.41</v>
      </c>
      <c r="J2487" s="1">
        <f>IF(COUNTIF($C$4:C2487,C2487)=1,1,0)</f>
        <v>1</v>
      </c>
      <c r="K2487" s="1">
        <f t="shared" si="38"/>
        <v>2020</v>
      </c>
    </row>
    <row r="2488" spans="2:11" x14ac:dyDescent="0.45">
      <c r="B2488" s="1" t="s">
        <v>11</v>
      </c>
      <c r="C2488" s="1" t="s">
        <v>1126</v>
      </c>
      <c r="D2488" s="7">
        <v>44307</v>
      </c>
      <c r="E2488" s="7">
        <v>44332</v>
      </c>
      <c r="F2488" s="7">
        <v>44450</v>
      </c>
      <c r="G2488" s="1" t="s">
        <v>44</v>
      </c>
      <c r="H2488" s="8">
        <v>23496827.77</v>
      </c>
      <c r="I2488" s="8">
        <v>11768663.77</v>
      </c>
      <c r="J2488" s="1">
        <f>IF(COUNTIF($C$4:C2488,C2488)=1,1,0)</f>
        <v>0</v>
      </c>
      <c r="K2488" s="1">
        <f t="shared" si="38"/>
        <v>2021</v>
      </c>
    </row>
    <row r="2489" spans="2:11" x14ac:dyDescent="0.45">
      <c r="B2489" s="1" t="s">
        <v>11</v>
      </c>
      <c r="C2489" s="1" t="s">
        <v>2484</v>
      </c>
      <c r="D2489" s="7">
        <v>44639</v>
      </c>
      <c r="E2489" s="7">
        <v>44646</v>
      </c>
      <c r="F2489" s="7">
        <v>44760</v>
      </c>
      <c r="G2489" s="1" t="s">
        <v>38</v>
      </c>
      <c r="H2489" s="8">
        <v>353521.44</v>
      </c>
      <c r="I2489" s="8">
        <v>253883.02</v>
      </c>
      <c r="J2489" s="1">
        <f>IF(COUNTIF($C$4:C2489,C2489)=1,1,0)</f>
        <v>1</v>
      </c>
      <c r="K2489" s="1">
        <f t="shared" si="38"/>
        <v>2022</v>
      </c>
    </row>
    <row r="2490" spans="2:11" x14ac:dyDescent="0.45">
      <c r="B2490" s="1" t="s">
        <v>11</v>
      </c>
      <c r="C2490" s="1" t="s">
        <v>2485</v>
      </c>
      <c r="D2490" s="7">
        <v>45226</v>
      </c>
      <c r="E2490" s="7">
        <v>45245</v>
      </c>
      <c r="F2490" s="7">
        <v>45404</v>
      </c>
      <c r="G2490" s="1" t="s">
        <v>13</v>
      </c>
      <c r="H2490" s="8">
        <v>1821106.99</v>
      </c>
      <c r="I2490" s="8">
        <v>1516376.02</v>
      </c>
      <c r="J2490" s="1">
        <f>IF(COUNTIF($C$4:C2490,C2490)=1,1,0)</f>
        <v>1</v>
      </c>
      <c r="K2490" s="1">
        <f t="shared" si="38"/>
        <v>2023</v>
      </c>
    </row>
    <row r="2491" spans="2:11" x14ac:dyDescent="0.45">
      <c r="B2491" s="1" t="s">
        <v>11</v>
      </c>
      <c r="C2491" s="1" t="s">
        <v>2486</v>
      </c>
      <c r="D2491" s="7">
        <v>45079</v>
      </c>
      <c r="E2491" s="7">
        <v>45083</v>
      </c>
      <c r="F2491" s="7">
        <v>45090</v>
      </c>
      <c r="G2491" s="1" t="s">
        <v>41</v>
      </c>
      <c r="H2491" s="8">
        <v>474453.11</v>
      </c>
      <c r="I2491" s="8">
        <v>343673.83</v>
      </c>
      <c r="J2491" s="1">
        <f>IF(COUNTIF($C$4:C2491,C2491)=1,1,0)</f>
        <v>1</v>
      </c>
      <c r="K2491" s="1">
        <f t="shared" si="38"/>
        <v>2023</v>
      </c>
    </row>
    <row r="2492" spans="2:11" x14ac:dyDescent="0.45">
      <c r="B2492" s="1" t="s">
        <v>11</v>
      </c>
      <c r="C2492" s="1" t="s">
        <v>2487</v>
      </c>
      <c r="D2492" s="7">
        <v>45501</v>
      </c>
      <c r="E2492" s="7">
        <v>45526</v>
      </c>
      <c r="F2492" s="7">
        <v>45742</v>
      </c>
      <c r="G2492" s="1" t="s">
        <v>16</v>
      </c>
      <c r="H2492" s="8">
        <v>2445426.59</v>
      </c>
      <c r="I2492" s="8">
        <v>1671897.25</v>
      </c>
      <c r="J2492" s="1">
        <f>IF(COUNTIF($C$4:C2492,C2492)=1,1,0)</f>
        <v>1</v>
      </c>
      <c r="K2492" s="1">
        <f t="shared" si="38"/>
        <v>2024</v>
      </c>
    </row>
    <row r="2493" spans="2:11" x14ac:dyDescent="0.45">
      <c r="B2493" s="1" t="s">
        <v>11</v>
      </c>
      <c r="C2493" s="1" t="s">
        <v>1126</v>
      </c>
      <c r="D2493" s="7">
        <v>44511</v>
      </c>
      <c r="E2493" s="7">
        <v>44537</v>
      </c>
      <c r="F2493" s="7">
        <v>44563</v>
      </c>
      <c r="G2493" s="1" t="s">
        <v>44</v>
      </c>
      <c r="H2493" s="8">
        <v>94806735.870000005</v>
      </c>
      <c r="I2493" s="8">
        <v>60642532.539999999</v>
      </c>
      <c r="J2493" s="1">
        <f>IF(COUNTIF($C$4:C2493,C2493)=1,1,0)</f>
        <v>0</v>
      </c>
      <c r="K2493" s="1">
        <f t="shared" si="38"/>
        <v>2021</v>
      </c>
    </row>
    <row r="2494" spans="2:11" x14ac:dyDescent="0.45">
      <c r="B2494" s="1" t="s">
        <v>11</v>
      </c>
      <c r="C2494" s="1" t="s">
        <v>2488</v>
      </c>
      <c r="D2494" s="7">
        <v>44662</v>
      </c>
      <c r="E2494" s="7">
        <v>44665</v>
      </c>
      <c r="F2494" s="7">
        <v>44889</v>
      </c>
      <c r="G2494" s="1" t="s">
        <v>13</v>
      </c>
      <c r="H2494" s="8">
        <v>115051.64</v>
      </c>
      <c r="I2494" s="8">
        <v>94463.8</v>
      </c>
      <c r="J2494" s="1">
        <f>IF(COUNTIF($C$4:C2494,C2494)=1,1,0)</f>
        <v>1</v>
      </c>
      <c r="K2494" s="1">
        <f t="shared" si="38"/>
        <v>2022</v>
      </c>
    </row>
    <row r="2495" spans="2:11" x14ac:dyDescent="0.45">
      <c r="B2495" s="1" t="s">
        <v>11</v>
      </c>
      <c r="C2495" s="1" t="s">
        <v>2489</v>
      </c>
      <c r="D2495" s="7">
        <v>45996</v>
      </c>
      <c r="E2495" s="7">
        <v>46005</v>
      </c>
      <c r="F2495" s="7">
        <v>46018</v>
      </c>
      <c r="G2495" s="1" t="s">
        <v>13</v>
      </c>
      <c r="H2495" s="8">
        <v>525874.87</v>
      </c>
      <c r="I2495" s="8">
        <v>406732.67</v>
      </c>
      <c r="J2495" s="1">
        <f>IF(COUNTIF($C$4:C2495,C2495)=1,1,0)</f>
        <v>1</v>
      </c>
      <c r="K2495" s="1">
        <f t="shared" si="38"/>
        <v>2025</v>
      </c>
    </row>
    <row r="2496" spans="2:11" x14ac:dyDescent="0.45">
      <c r="B2496" s="1" t="s">
        <v>11</v>
      </c>
      <c r="C2496" s="1" t="s">
        <v>2490</v>
      </c>
      <c r="D2496" s="7">
        <v>44853</v>
      </c>
      <c r="E2496" s="7">
        <v>44862</v>
      </c>
      <c r="F2496" s="7">
        <v>45070</v>
      </c>
      <c r="G2496" s="1" t="s">
        <v>16</v>
      </c>
      <c r="H2496" s="8">
        <v>4114574.67</v>
      </c>
      <c r="I2496" s="8">
        <v>2014916.54</v>
      </c>
      <c r="J2496" s="1">
        <f>IF(COUNTIF($C$4:C2496,C2496)=1,1,0)</f>
        <v>1</v>
      </c>
      <c r="K2496" s="1">
        <f t="shared" si="38"/>
        <v>2022</v>
      </c>
    </row>
    <row r="2497" spans="2:11" x14ac:dyDescent="0.45">
      <c r="B2497" s="1" t="s">
        <v>11</v>
      </c>
      <c r="C2497" s="1" t="s">
        <v>2491</v>
      </c>
      <c r="D2497" s="7">
        <v>44170</v>
      </c>
      <c r="E2497" s="7">
        <v>44176</v>
      </c>
      <c r="F2497" s="7">
        <v>44309</v>
      </c>
      <c r="G2497" s="1" t="s">
        <v>13</v>
      </c>
      <c r="H2497" s="8">
        <v>4602027.24</v>
      </c>
      <c r="I2497" s="8">
        <v>2069384.48</v>
      </c>
      <c r="J2497" s="1">
        <f>IF(COUNTIF($C$4:C2497,C2497)=1,1,0)</f>
        <v>1</v>
      </c>
      <c r="K2497" s="1">
        <f t="shared" si="38"/>
        <v>2020</v>
      </c>
    </row>
    <row r="2498" spans="2:11" x14ac:dyDescent="0.45">
      <c r="B2498" s="1" t="s">
        <v>11</v>
      </c>
      <c r="C2498" s="1" t="s">
        <v>2492</v>
      </c>
      <c r="D2498" s="7">
        <v>45556</v>
      </c>
      <c r="E2498" s="7">
        <v>45560</v>
      </c>
      <c r="F2498" s="7">
        <v>45576</v>
      </c>
      <c r="G2498" s="1" t="s">
        <v>22</v>
      </c>
      <c r="H2498" s="8">
        <v>24529310.489999998</v>
      </c>
      <c r="I2498" s="8">
        <v>16107450.41</v>
      </c>
      <c r="J2498" s="1">
        <f>IF(COUNTIF($C$4:C2498,C2498)=1,1,0)</f>
        <v>1</v>
      </c>
      <c r="K2498" s="1">
        <f t="shared" si="38"/>
        <v>2024</v>
      </c>
    </row>
    <row r="2499" spans="2:11" x14ac:dyDescent="0.45">
      <c r="B2499" s="1" t="s">
        <v>11</v>
      </c>
      <c r="C2499" s="1" t="s">
        <v>2493</v>
      </c>
      <c r="D2499" s="7">
        <v>44266</v>
      </c>
      <c r="E2499" s="7">
        <v>44267</v>
      </c>
      <c r="F2499" s="7">
        <v>44503</v>
      </c>
      <c r="G2499" s="1" t="s">
        <v>16</v>
      </c>
      <c r="H2499" s="8">
        <v>10823380.77</v>
      </c>
      <c r="I2499" s="8">
        <v>8005255.8399999999</v>
      </c>
      <c r="J2499" s="1">
        <f>IF(COUNTIF($C$4:C2499,C2499)=1,1,0)</f>
        <v>1</v>
      </c>
      <c r="K2499" s="1">
        <f t="shared" si="38"/>
        <v>2021</v>
      </c>
    </row>
    <row r="2500" spans="2:11" x14ac:dyDescent="0.45">
      <c r="B2500" s="1" t="s">
        <v>11</v>
      </c>
      <c r="C2500" s="1" t="s">
        <v>1126</v>
      </c>
      <c r="D2500" s="7">
        <v>45624</v>
      </c>
      <c r="E2500" s="7">
        <v>45639</v>
      </c>
      <c r="F2500" s="7">
        <v>45704</v>
      </c>
      <c r="G2500" s="1" t="s">
        <v>44</v>
      </c>
      <c r="H2500" s="8">
        <v>95389720.920000002</v>
      </c>
      <c r="I2500" s="8">
        <v>67128083.549999997</v>
      </c>
      <c r="J2500" s="1">
        <f>IF(COUNTIF($C$4:C2500,C2500)=1,1,0)</f>
        <v>0</v>
      </c>
      <c r="K2500" s="1">
        <f t="shared" si="38"/>
        <v>2024</v>
      </c>
    </row>
    <row r="2501" spans="2:11" x14ac:dyDescent="0.45">
      <c r="B2501" s="1" t="s">
        <v>11</v>
      </c>
      <c r="C2501" s="1" t="s">
        <v>2494</v>
      </c>
      <c r="D2501" s="7">
        <v>44158</v>
      </c>
      <c r="E2501" s="7">
        <v>44170</v>
      </c>
      <c r="F2501" s="7">
        <v>44402</v>
      </c>
      <c r="G2501" s="1" t="s">
        <v>22</v>
      </c>
      <c r="H2501" s="8">
        <v>57459059.579999998</v>
      </c>
      <c r="I2501" s="8">
        <v>38128875.460000001</v>
      </c>
      <c r="J2501" s="1">
        <f>IF(COUNTIF($C$4:C2501,C2501)=1,1,0)</f>
        <v>1</v>
      </c>
      <c r="K2501" s="1">
        <f t="shared" ref="K2501:K2564" si="39">YEAR(D2501)</f>
        <v>2020</v>
      </c>
    </row>
    <row r="2502" spans="2:11" x14ac:dyDescent="0.45">
      <c r="B2502" s="1" t="s">
        <v>11</v>
      </c>
      <c r="C2502" s="1" t="s">
        <v>2495</v>
      </c>
      <c r="D2502" s="7">
        <v>43975</v>
      </c>
      <c r="E2502" s="7">
        <v>43986</v>
      </c>
      <c r="F2502" s="7">
        <v>44094</v>
      </c>
      <c r="G2502" s="1" t="s">
        <v>20</v>
      </c>
      <c r="H2502" s="8">
        <v>41140368.409999996</v>
      </c>
      <c r="I2502" s="8">
        <v>23250211.16</v>
      </c>
      <c r="J2502" s="1">
        <f>IF(COUNTIF($C$4:C2502,C2502)=1,1,0)</f>
        <v>1</v>
      </c>
      <c r="K2502" s="1">
        <f t="shared" si="39"/>
        <v>2020</v>
      </c>
    </row>
    <row r="2503" spans="2:11" x14ac:dyDescent="0.45">
      <c r="B2503" s="1" t="s">
        <v>11</v>
      </c>
      <c r="C2503" s="1" t="s">
        <v>2496</v>
      </c>
      <c r="D2503" s="7">
        <v>45859</v>
      </c>
      <c r="E2503" s="7">
        <v>45889</v>
      </c>
      <c r="F2503" s="7">
        <v>46125</v>
      </c>
      <c r="G2503" s="1" t="s">
        <v>41</v>
      </c>
      <c r="H2503" s="8">
        <v>336484.92</v>
      </c>
      <c r="I2503" s="8">
        <v>230659.53</v>
      </c>
      <c r="J2503" s="1">
        <f>IF(COUNTIF($C$4:C2503,C2503)=1,1,0)</f>
        <v>1</v>
      </c>
      <c r="K2503" s="1">
        <f t="shared" si="39"/>
        <v>2025</v>
      </c>
    </row>
    <row r="2504" spans="2:11" x14ac:dyDescent="0.45">
      <c r="B2504" s="1" t="s">
        <v>11</v>
      </c>
      <c r="C2504" s="1" t="s">
        <v>2497</v>
      </c>
      <c r="D2504" s="7">
        <v>45307</v>
      </c>
      <c r="E2504" s="7">
        <v>45317</v>
      </c>
      <c r="F2504" s="7">
        <v>45410</v>
      </c>
      <c r="G2504" s="1" t="s">
        <v>13</v>
      </c>
      <c r="H2504" s="8">
        <v>571485.18999999994</v>
      </c>
      <c r="I2504" s="8">
        <v>392644.42</v>
      </c>
      <c r="J2504" s="1">
        <f>IF(COUNTIF($C$4:C2504,C2504)=1,1,0)</f>
        <v>1</v>
      </c>
      <c r="K2504" s="1">
        <f t="shared" si="39"/>
        <v>2024</v>
      </c>
    </row>
    <row r="2505" spans="2:11" x14ac:dyDescent="0.45">
      <c r="B2505" s="1" t="s">
        <v>11</v>
      </c>
      <c r="C2505" s="1" t="s">
        <v>2498</v>
      </c>
      <c r="D2505" s="7">
        <v>46027</v>
      </c>
      <c r="E2505" s="7">
        <v>46032</v>
      </c>
      <c r="F2505" s="7">
        <v>46238</v>
      </c>
      <c r="G2505" s="1" t="s">
        <v>13</v>
      </c>
      <c r="H2505" s="8">
        <v>1936929.85</v>
      </c>
      <c r="I2505" s="8">
        <v>1480425.56</v>
      </c>
      <c r="J2505" s="1">
        <f>IF(COUNTIF($C$4:C2505,C2505)=1,1,0)</f>
        <v>1</v>
      </c>
      <c r="K2505" s="1">
        <f t="shared" si="39"/>
        <v>2026</v>
      </c>
    </row>
    <row r="2506" spans="2:11" x14ac:dyDescent="0.45">
      <c r="B2506" s="1" t="s">
        <v>11</v>
      </c>
      <c r="C2506" s="1" t="s">
        <v>2499</v>
      </c>
      <c r="D2506" s="7">
        <v>44869</v>
      </c>
      <c r="E2506" s="7">
        <v>44881</v>
      </c>
      <c r="F2506" s="7">
        <v>44945</v>
      </c>
      <c r="G2506" s="1" t="s">
        <v>41</v>
      </c>
      <c r="H2506" s="8">
        <v>353037.51</v>
      </c>
      <c r="I2506" s="8">
        <v>272217.28000000003</v>
      </c>
      <c r="J2506" s="1">
        <f>IF(COUNTIF($C$4:C2506,C2506)=1,1,0)</f>
        <v>1</v>
      </c>
      <c r="K2506" s="1">
        <f t="shared" si="39"/>
        <v>2022</v>
      </c>
    </row>
    <row r="2507" spans="2:11" x14ac:dyDescent="0.45">
      <c r="B2507" s="1" t="s">
        <v>11</v>
      </c>
      <c r="C2507" s="1" t="s">
        <v>1126</v>
      </c>
      <c r="D2507" s="7">
        <v>43986</v>
      </c>
      <c r="E2507" s="7">
        <v>43992</v>
      </c>
      <c r="F2507" s="7">
        <v>44194</v>
      </c>
      <c r="G2507" s="1" t="s">
        <v>44</v>
      </c>
      <c r="H2507" s="8">
        <v>60161132.020000003</v>
      </c>
      <c r="I2507" s="8">
        <v>43397619.909999996</v>
      </c>
      <c r="J2507" s="1">
        <f>IF(COUNTIF($C$4:C2507,C2507)=1,1,0)</f>
        <v>0</v>
      </c>
      <c r="K2507" s="1">
        <f t="shared" si="39"/>
        <v>2020</v>
      </c>
    </row>
    <row r="2508" spans="2:11" x14ac:dyDescent="0.45">
      <c r="B2508" s="1" t="s">
        <v>11</v>
      </c>
      <c r="C2508" s="1" t="s">
        <v>2500</v>
      </c>
      <c r="D2508" s="7">
        <v>43405</v>
      </c>
      <c r="E2508" s="7">
        <v>43435</v>
      </c>
      <c r="F2508" s="7">
        <v>43611</v>
      </c>
      <c r="G2508" s="1" t="s">
        <v>16</v>
      </c>
      <c r="H2508" s="8">
        <v>4602067.97</v>
      </c>
      <c r="I2508" s="8">
        <v>3492608.1</v>
      </c>
      <c r="J2508" s="1">
        <f>IF(COUNTIF($C$4:C2508,C2508)=1,1,0)</f>
        <v>1</v>
      </c>
      <c r="K2508" s="1">
        <f t="shared" si="39"/>
        <v>2018</v>
      </c>
    </row>
    <row r="2509" spans="2:11" x14ac:dyDescent="0.45">
      <c r="B2509" s="1" t="s">
        <v>11</v>
      </c>
      <c r="C2509" s="1" t="s">
        <v>2501</v>
      </c>
      <c r="D2509" s="7">
        <v>45585</v>
      </c>
      <c r="E2509" s="7">
        <v>45593</v>
      </c>
      <c r="F2509" s="7">
        <v>45600</v>
      </c>
      <c r="G2509" s="1" t="s">
        <v>20</v>
      </c>
      <c r="H2509" s="8">
        <v>41639604.200000003</v>
      </c>
      <c r="I2509" s="8">
        <v>14501826.300000001</v>
      </c>
      <c r="J2509" s="1">
        <f>IF(COUNTIF($C$4:C2509,C2509)=1,1,0)</f>
        <v>1</v>
      </c>
      <c r="K2509" s="1">
        <f t="shared" si="39"/>
        <v>2024</v>
      </c>
    </row>
    <row r="2510" spans="2:11" x14ac:dyDescent="0.45">
      <c r="B2510" s="1" t="s">
        <v>11</v>
      </c>
      <c r="C2510" s="1" t="s">
        <v>2502</v>
      </c>
      <c r="D2510" s="7">
        <v>45173</v>
      </c>
      <c r="E2510" s="7">
        <v>45178</v>
      </c>
      <c r="F2510" s="7">
        <v>45270</v>
      </c>
      <c r="G2510" s="1" t="s">
        <v>22</v>
      </c>
      <c r="H2510" s="8">
        <v>33884714.799999997</v>
      </c>
      <c r="I2510" s="8">
        <v>19759942.170000002</v>
      </c>
      <c r="J2510" s="1">
        <f>IF(COUNTIF($C$4:C2510,C2510)=1,1,0)</f>
        <v>1</v>
      </c>
      <c r="K2510" s="1">
        <f t="shared" si="39"/>
        <v>2023</v>
      </c>
    </row>
    <row r="2511" spans="2:11" x14ac:dyDescent="0.45">
      <c r="B2511" s="1" t="s">
        <v>11</v>
      </c>
      <c r="C2511" s="1" t="s">
        <v>2503</v>
      </c>
      <c r="D2511" s="7">
        <v>45690</v>
      </c>
      <c r="E2511" s="7">
        <v>45701</v>
      </c>
      <c r="F2511" s="7">
        <v>45807</v>
      </c>
      <c r="G2511" s="1" t="s">
        <v>44</v>
      </c>
      <c r="H2511" s="8">
        <v>31896186.859999999</v>
      </c>
      <c r="I2511" s="8">
        <v>22057676.710000001</v>
      </c>
      <c r="J2511" s="1">
        <f>IF(COUNTIF($C$4:C2511,C2511)=1,1,0)</f>
        <v>1</v>
      </c>
      <c r="K2511" s="1">
        <f t="shared" si="39"/>
        <v>2025</v>
      </c>
    </row>
    <row r="2512" spans="2:11" x14ac:dyDescent="0.45">
      <c r="B2512" s="1" t="s">
        <v>11</v>
      </c>
      <c r="C2512" s="1" t="s">
        <v>2504</v>
      </c>
      <c r="D2512" s="7">
        <v>43456</v>
      </c>
      <c r="E2512" s="7">
        <v>43471</v>
      </c>
      <c r="F2512" s="7">
        <v>43496</v>
      </c>
      <c r="G2512" s="1" t="s">
        <v>16</v>
      </c>
      <c r="H2512" s="8">
        <v>1215549.8700000001</v>
      </c>
      <c r="I2512" s="8">
        <v>773715.59</v>
      </c>
      <c r="J2512" s="1">
        <f>IF(COUNTIF($C$4:C2512,C2512)=1,1,0)</f>
        <v>1</v>
      </c>
      <c r="K2512" s="1">
        <f t="shared" si="39"/>
        <v>2018</v>
      </c>
    </row>
    <row r="2513" spans="2:11" x14ac:dyDescent="0.45">
      <c r="B2513" s="1" t="s">
        <v>11</v>
      </c>
      <c r="C2513" s="1" t="s">
        <v>2505</v>
      </c>
      <c r="D2513" s="7">
        <v>45455</v>
      </c>
      <c r="E2513" s="7">
        <v>45457</v>
      </c>
      <c r="F2513" s="7">
        <v>45677</v>
      </c>
      <c r="G2513" s="1" t="s">
        <v>20</v>
      </c>
      <c r="H2513" s="8">
        <v>70351514.079999998</v>
      </c>
      <c r="I2513" s="8">
        <v>33252347.579999998</v>
      </c>
      <c r="J2513" s="1">
        <f>IF(COUNTIF($C$4:C2513,C2513)=1,1,0)</f>
        <v>1</v>
      </c>
      <c r="K2513" s="1">
        <f t="shared" si="39"/>
        <v>2024</v>
      </c>
    </row>
    <row r="2514" spans="2:11" x14ac:dyDescent="0.45">
      <c r="B2514" s="1" t="s">
        <v>11</v>
      </c>
      <c r="C2514" s="1" t="s">
        <v>2506</v>
      </c>
      <c r="D2514" s="7">
        <v>43953</v>
      </c>
      <c r="E2514" s="7">
        <v>43965</v>
      </c>
      <c r="F2514" s="7">
        <v>44161</v>
      </c>
      <c r="G2514" s="1" t="s">
        <v>13</v>
      </c>
      <c r="H2514" s="8">
        <v>3949815.24</v>
      </c>
      <c r="I2514" s="8">
        <v>2627581.4</v>
      </c>
      <c r="J2514" s="1">
        <f>IF(COUNTIF($C$4:C2514,C2514)=1,1,0)</f>
        <v>1</v>
      </c>
      <c r="K2514" s="1">
        <f t="shared" si="39"/>
        <v>2020</v>
      </c>
    </row>
    <row r="2515" spans="2:11" x14ac:dyDescent="0.45">
      <c r="B2515" s="1" t="s">
        <v>11</v>
      </c>
      <c r="C2515" s="1" t="s">
        <v>2507</v>
      </c>
      <c r="D2515" s="7">
        <v>43556</v>
      </c>
      <c r="E2515" s="7">
        <v>43572</v>
      </c>
      <c r="F2515" s="7">
        <v>43666</v>
      </c>
      <c r="G2515" s="1" t="s">
        <v>13</v>
      </c>
      <c r="H2515" s="8">
        <v>151713665.93000001</v>
      </c>
      <c r="I2515" s="8">
        <v>116604059.73999999</v>
      </c>
      <c r="J2515" s="1">
        <f>IF(COUNTIF($C$4:C2515,C2515)=1,1,0)</f>
        <v>1</v>
      </c>
      <c r="K2515" s="1">
        <f t="shared" si="39"/>
        <v>2019</v>
      </c>
    </row>
    <row r="2516" spans="2:11" x14ac:dyDescent="0.45">
      <c r="B2516" s="1" t="s">
        <v>11</v>
      </c>
      <c r="C2516" s="1" t="s">
        <v>2508</v>
      </c>
      <c r="D2516" s="7">
        <v>44653</v>
      </c>
      <c r="E2516" s="7">
        <v>44671</v>
      </c>
      <c r="F2516" s="7">
        <v>44873</v>
      </c>
      <c r="G2516" s="1" t="s">
        <v>20</v>
      </c>
      <c r="H2516" s="8">
        <v>154496.46</v>
      </c>
      <c r="I2516" s="8">
        <v>73063.350000000006</v>
      </c>
      <c r="J2516" s="1">
        <f>IF(COUNTIF($C$4:C2516,C2516)=1,1,0)</f>
        <v>1</v>
      </c>
      <c r="K2516" s="1">
        <f t="shared" si="39"/>
        <v>2022</v>
      </c>
    </row>
    <row r="2517" spans="2:11" x14ac:dyDescent="0.45">
      <c r="B2517" s="1" t="s">
        <v>11</v>
      </c>
      <c r="C2517" s="1" t="s">
        <v>2509</v>
      </c>
      <c r="D2517" s="7">
        <v>43912</v>
      </c>
      <c r="E2517" s="7">
        <v>43935</v>
      </c>
      <c r="F2517" s="7">
        <v>44116</v>
      </c>
      <c r="G2517" s="1" t="s">
        <v>20</v>
      </c>
      <c r="H2517" s="8">
        <v>848546.12</v>
      </c>
      <c r="I2517" s="8">
        <v>557414.61</v>
      </c>
      <c r="J2517" s="1">
        <f>IF(COUNTIF($C$4:C2517,C2517)=1,1,0)</f>
        <v>1</v>
      </c>
      <c r="K2517" s="1">
        <f t="shared" si="39"/>
        <v>2020</v>
      </c>
    </row>
    <row r="2518" spans="2:11" x14ac:dyDescent="0.45">
      <c r="B2518" s="1" t="s">
        <v>11</v>
      </c>
      <c r="C2518" s="1" t="s">
        <v>1126</v>
      </c>
      <c r="D2518" s="7">
        <v>45370</v>
      </c>
      <c r="E2518" s="7">
        <v>45385</v>
      </c>
      <c r="F2518" s="7">
        <v>45421</v>
      </c>
      <c r="G2518" s="1" t="s">
        <v>44</v>
      </c>
      <c r="H2518" s="8">
        <v>41257458.409999996</v>
      </c>
      <c r="I2518" s="8">
        <v>28040454.059999999</v>
      </c>
      <c r="J2518" s="1">
        <f>IF(COUNTIF($C$4:C2518,C2518)=1,1,0)</f>
        <v>0</v>
      </c>
      <c r="K2518" s="1">
        <f t="shared" si="39"/>
        <v>2024</v>
      </c>
    </row>
    <row r="2519" spans="2:11" x14ac:dyDescent="0.45">
      <c r="B2519" s="1" t="s">
        <v>11</v>
      </c>
      <c r="C2519" s="1" t="s">
        <v>2510</v>
      </c>
      <c r="D2519" s="7">
        <v>44869</v>
      </c>
      <c r="E2519" s="7">
        <v>44871</v>
      </c>
      <c r="F2519" s="7">
        <v>45095</v>
      </c>
      <c r="G2519" s="1" t="s">
        <v>20</v>
      </c>
      <c r="H2519" s="8">
        <v>700473.42</v>
      </c>
      <c r="I2519" s="8">
        <v>403797.68</v>
      </c>
      <c r="J2519" s="1">
        <f>IF(COUNTIF($C$4:C2519,C2519)=1,1,0)</f>
        <v>1</v>
      </c>
      <c r="K2519" s="1">
        <f t="shared" si="39"/>
        <v>2022</v>
      </c>
    </row>
    <row r="2520" spans="2:11" x14ac:dyDescent="0.45">
      <c r="B2520" s="1" t="s">
        <v>11</v>
      </c>
      <c r="C2520" s="1" t="s">
        <v>2511</v>
      </c>
      <c r="D2520" s="7">
        <v>44712</v>
      </c>
      <c r="E2520" s="7">
        <v>44738</v>
      </c>
      <c r="F2520" s="7">
        <v>44877</v>
      </c>
      <c r="G2520" s="1" t="s">
        <v>38</v>
      </c>
      <c r="H2520" s="8">
        <v>3068283.99</v>
      </c>
      <c r="I2520" s="8">
        <v>2396165.5499999998</v>
      </c>
      <c r="J2520" s="1">
        <f>IF(COUNTIF($C$4:C2520,C2520)=1,1,0)</f>
        <v>1</v>
      </c>
      <c r="K2520" s="1">
        <f t="shared" si="39"/>
        <v>2022</v>
      </c>
    </row>
    <row r="2521" spans="2:11" x14ac:dyDescent="0.45">
      <c r="B2521" s="1" t="s">
        <v>11</v>
      </c>
      <c r="C2521" s="1" t="s">
        <v>2512</v>
      </c>
      <c r="D2521" s="7">
        <v>45596</v>
      </c>
      <c r="E2521" s="7">
        <v>45601</v>
      </c>
      <c r="F2521" s="7">
        <v>45779</v>
      </c>
      <c r="G2521" s="1" t="s">
        <v>16</v>
      </c>
      <c r="H2521" s="8">
        <v>1256193.33</v>
      </c>
      <c r="I2521" s="8">
        <v>840632.2</v>
      </c>
      <c r="J2521" s="1">
        <f>IF(COUNTIF($C$4:C2521,C2521)=1,1,0)</f>
        <v>1</v>
      </c>
      <c r="K2521" s="1">
        <f t="shared" si="39"/>
        <v>2024</v>
      </c>
    </row>
    <row r="2522" spans="2:11" x14ac:dyDescent="0.45">
      <c r="B2522" s="1" t="s">
        <v>11</v>
      </c>
      <c r="C2522" s="1" t="s">
        <v>2513</v>
      </c>
      <c r="D2522" s="7">
        <v>43242</v>
      </c>
      <c r="E2522" s="7">
        <v>43263</v>
      </c>
      <c r="F2522" s="7">
        <v>43333</v>
      </c>
      <c r="G2522" s="1" t="s">
        <v>13</v>
      </c>
      <c r="H2522" s="8">
        <v>15278974.119999999</v>
      </c>
      <c r="I2522" s="8">
        <v>7687349.9400000004</v>
      </c>
      <c r="J2522" s="1">
        <f>IF(COUNTIF($C$4:C2522,C2522)=1,1,0)</f>
        <v>1</v>
      </c>
      <c r="K2522" s="1">
        <f t="shared" si="39"/>
        <v>2018</v>
      </c>
    </row>
    <row r="2523" spans="2:11" x14ac:dyDescent="0.45">
      <c r="B2523" s="1" t="s">
        <v>11</v>
      </c>
      <c r="C2523" s="1" t="s">
        <v>2514</v>
      </c>
      <c r="D2523" s="7">
        <v>43540</v>
      </c>
      <c r="E2523" s="7">
        <v>43562</v>
      </c>
      <c r="F2523" s="7">
        <v>43592</v>
      </c>
      <c r="G2523" s="1" t="s">
        <v>16</v>
      </c>
      <c r="H2523" s="8">
        <v>1657349.2</v>
      </c>
      <c r="I2523" s="8">
        <v>1196926.92</v>
      </c>
      <c r="J2523" s="1">
        <f>IF(COUNTIF($C$4:C2523,C2523)=1,1,0)</f>
        <v>1</v>
      </c>
      <c r="K2523" s="1">
        <f t="shared" si="39"/>
        <v>2019</v>
      </c>
    </row>
    <row r="2524" spans="2:11" x14ac:dyDescent="0.45">
      <c r="B2524" s="1" t="s">
        <v>11</v>
      </c>
      <c r="C2524" s="1" t="s">
        <v>2515</v>
      </c>
      <c r="D2524" s="7">
        <v>43726</v>
      </c>
      <c r="E2524" s="7">
        <v>43753</v>
      </c>
      <c r="F2524" s="7">
        <v>43964</v>
      </c>
      <c r="G2524" s="1" t="s">
        <v>13</v>
      </c>
      <c r="H2524" s="8">
        <v>40040.19</v>
      </c>
      <c r="I2524" s="8">
        <v>32203.03</v>
      </c>
      <c r="J2524" s="1">
        <f>IF(COUNTIF($C$4:C2524,C2524)=1,1,0)</f>
        <v>1</v>
      </c>
      <c r="K2524" s="1">
        <f t="shared" si="39"/>
        <v>2019</v>
      </c>
    </row>
    <row r="2525" spans="2:11" x14ac:dyDescent="0.45">
      <c r="B2525" s="1" t="s">
        <v>11</v>
      </c>
      <c r="C2525" s="1" t="s">
        <v>2516</v>
      </c>
      <c r="D2525" s="7">
        <v>45276</v>
      </c>
      <c r="E2525" s="7">
        <v>45297</v>
      </c>
      <c r="F2525" s="7">
        <v>45336</v>
      </c>
      <c r="G2525" s="1" t="s">
        <v>20</v>
      </c>
      <c r="H2525" s="8">
        <v>125770.35</v>
      </c>
      <c r="I2525" s="8">
        <v>94676.65</v>
      </c>
      <c r="J2525" s="1">
        <f>IF(COUNTIF($C$4:C2525,C2525)=1,1,0)</f>
        <v>1</v>
      </c>
      <c r="K2525" s="1">
        <f t="shared" si="39"/>
        <v>2023</v>
      </c>
    </row>
    <row r="2526" spans="2:11" x14ac:dyDescent="0.45">
      <c r="B2526" s="1" t="s">
        <v>11</v>
      </c>
      <c r="C2526" s="1" t="s">
        <v>2517</v>
      </c>
      <c r="D2526" s="7">
        <v>45845</v>
      </c>
      <c r="E2526" s="7">
        <v>45854</v>
      </c>
      <c r="F2526" s="7">
        <v>45892</v>
      </c>
      <c r="G2526" s="1" t="s">
        <v>38</v>
      </c>
      <c r="H2526" s="8">
        <v>97475.93</v>
      </c>
      <c r="I2526" s="8">
        <v>84003.839999999997</v>
      </c>
      <c r="J2526" s="1">
        <f>IF(COUNTIF($C$4:C2526,C2526)=1,1,0)</f>
        <v>1</v>
      </c>
      <c r="K2526" s="1">
        <f t="shared" si="39"/>
        <v>2025</v>
      </c>
    </row>
    <row r="2527" spans="2:11" x14ac:dyDescent="0.45">
      <c r="B2527" s="1" t="s">
        <v>11</v>
      </c>
      <c r="C2527" s="1" t="s">
        <v>2518</v>
      </c>
      <c r="D2527" s="7">
        <v>44770</v>
      </c>
      <c r="E2527" s="7">
        <v>44786</v>
      </c>
      <c r="F2527" s="7">
        <v>45015</v>
      </c>
      <c r="G2527" s="1" t="s">
        <v>20</v>
      </c>
      <c r="H2527" s="8">
        <v>703460.25</v>
      </c>
      <c r="I2527" s="8">
        <v>436557.18</v>
      </c>
      <c r="J2527" s="1">
        <f>IF(COUNTIF($C$4:C2527,C2527)=1,1,0)</f>
        <v>1</v>
      </c>
      <c r="K2527" s="1">
        <f t="shared" si="39"/>
        <v>2022</v>
      </c>
    </row>
    <row r="2528" spans="2:11" x14ac:dyDescent="0.45">
      <c r="B2528" s="1" t="s">
        <v>11</v>
      </c>
      <c r="C2528" s="1" t="s">
        <v>2519</v>
      </c>
      <c r="D2528" s="7">
        <v>45065</v>
      </c>
      <c r="E2528" s="7">
        <v>45065</v>
      </c>
      <c r="F2528" s="7">
        <v>45157</v>
      </c>
      <c r="G2528" s="1" t="s">
        <v>16</v>
      </c>
      <c r="H2528" s="8">
        <v>13066590.949999999</v>
      </c>
      <c r="I2528" s="8">
        <v>8602964.4299999997</v>
      </c>
      <c r="J2528" s="1">
        <f>IF(COUNTIF($C$4:C2528,C2528)=1,1,0)</f>
        <v>1</v>
      </c>
      <c r="K2528" s="1">
        <f t="shared" si="39"/>
        <v>2023</v>
      </c>
    </row>
    <row r="2529" spans="2:11" x14ac:dyDescent="0.45">
      <c r="B2529" s="1" t="s">
        <v>11</v>
      </c>
      <c r="C2529" s="1" t="s">
        <v>2520</v>
      </c>
      <c r="D2529" s="7">
        <v>44150</v>
      </c>
      <c r="E2529" s="7">
        <v>44178</v>
      </c>
      <c r="F2529" s="7">
        <v>44227</v>
      </c>
      <c r="G2529" s="1" t="s">
        <v>44</v>
      </c>
      <c r="H2529" s="8">
        <v>57440830.07</v>
      </c>
      <c r="I2529" s="8">
        <v>44094763.920000002</v>
      </c>
      <c r="J2529" s="1">
        <f>IF(COUNTIF($C$4:C2529,C2529)=1,1,0)</f>
        <v>1</v>
      </c>
      <c r="K2529" s="1">
        <f t="shared" si="39"/>
        <v>2020</v>
      </c>
    </row>
    <row r="2530" spans="2:11" x14ac:dyDescent="0.45">
      <c r="B2530" s="1" t="s">
        <v>11</v>
      </c>
      <c r="C2530" s="1" t="s">
        <v>2521</v>
      </c>
      <c r="D2530" s="7">
        <v>45793</v>
      </c>
      <c r="E2530" s="7">
        <v>45814</v>
      </c>
      <c r="F2530" s="7">
        <v>46042</v>
      </c>
      <c r="G2530" s="1" t="s">
        <v>22</v>
      </c>
      <c r="H2530" s="8">
        <v>5482115.3700000001</v>
      </c>
      <c r="I2530" s="8">
        <v>3713485.18</v>
      </c>
      <c r="J2530" s="1">
        <f>IF(COUNTIF($C$4:C2530,C2530)=1,1,0)</f>
        <v>1</v>
      </c>
      <c r="K2530" s="1">
        <f t="shared" si="39"/>
        <v>2025</v>
      </c>
    </row>
    <row r="2531" spans="2:11" x14ac:dyDescent="0.45">
      <c r="B2531" s="1" t="s">
        <v>11</v>
      </c>
      <c r="C2531" s="1" t="s">
        <v>2522</v>
      </c>
      <c r="D2531" s="7">
        <v>43663</v>
      </c>
      <c r="E2531" s="7">
        <v>43669</v>
      </c>
      <c r="F2531" s="7">
        <v>43761</v>
      </c>
      <c r="G2531" s="1" t="s">
        <v>41</v>
      </c>
      <c r="H2531" s="8">
        <v>245503.83</v>
      </c>
      <c r="I2531" s="8">
        <v>176641.95</v>
      </c>
      <c r="J2531" s="1">
        <f>IF(COUNTIF($C$4:C2531,C2531)=1,1,0)</f>
        <v>1</v>
      </c>
      <c r="K2531" s="1">
        <f t="shared" si="39"/>
        <v>2019</v>
      </c>
    </row>
    <row r="2532" spans="2:11" x14ac:dyDescent="0.45">
      <c r="B2532" s="1" t="s">
        <v>11</v>
      </c>
      <c r="C2532" s="1" t="s">
        <v>2523</v>
      </c>
      <c r="D2532" s="7">
        <v>43685</v>
      </c>
      <c r="E2532" s="7">
        <v>43713</v>
      </c>
      <c r="F2532" s="7">
        <v>43802</v>
      </c>
      <c r="G2532" s="1" t="s">
        <v>18</v>
      </c>
      <c r="H2532" s="8">
        <v>3877243.28</v>
      </c>
      <c r="I2532" s="8">
        <v>2879045.28</v>
      </c>
      <c r="J2532" s="1">
        <f>IF(COUNTIF($C$4:C2532,C2532)=1,1,0)</f>
        <v>1</v>
      </c>
      <c r="K2532" s="1">
        <f t="shared" si="39"/>
        <v>2019</v>
      </c>
    </row>
    <row r="2533" spans="2:11" x14ac:dyDescent="0.45">
      <c r="B2533" s="1" t="s">
        <v>11</v>
      </c>
      <c r="C2533" s="1" t="s">
        <v>2524</v>
      </c>
      <c r="D2533" s="7">
        <v>44904</v>
      </c>
      <c r="E2533" s="7">
        <v>44906</v>
      </c>
      <c r="F2533" s="7">
        <v>44974</v>
      </c>
      <c r="G2533" s="1" t="s">
        <v>22</v>
      </c>
      <c r="H2533" s="8">
        <v>35072518.979999997</v>
      </c>
      <c r="I2533" s="8">
        <v>19372848</v>
      </c>
      <c r="J2533" s="1">
        <f>IF(COUNTIF($C$4:C2533,C2533)=1,1,0)</f>
        <v>1</v>
      </c>
      <c r="K2533" s="1">
        <f t="shared" si="39"/>
        <v>2022</v>
      </c>
    </row>
    <row r="2534" spans="2:11" x14ac:dyDescent="0.45">
      <c r="B2534" s="1" t="s">
        <v>11</v>
      </c>
      <c r="C2534" s="1" t="s">
        <v>2525</v>
      </c>
      <c r="D2534" s="7">
        <v>44859</v>
      </c>
      <c r="E2534" s="7">
        <v>44865</v>
      </c>
      <c r="F2534" s="7">
        <v>44908</v>
      </c>
      <c r="G2534" s="1" t="s">
        <v>20</v>
      </c>
      <c r="H2534" s="8">
        <v>1577340.01</v>
      </c>
      <c r="I2534" s="8">
        <v>1220636.74</v>
      </c>
      <c r="J2534" s="1">
        <f>IF(COUNTIF($C$4:C2534,C2534)=1,1,0)</f>
        <v>1</v>
      </c>
      <c r="K2534" s="1">
        <f t="shared" si="39"/>
        <v>2022</v>
      </c>
    </row>
    <row r="2535" spans="2:11" x14ac:dyDescent="0.45">
      <c r="B2535" s="1" t="s">
        <v>11</v>
      </c>
      <c r="C2535" s="1" t="s">
        <v>2526</v>
      </c>
      <c r="D2535" s="7">
        <v>43549</v>
      </c>
      <c r="E2535" s="7">
        <v>43556</v>
      </c>
      <c r="F2535" s="7">
        <v>43722</v>
      </c>
      <c r="G2535" s="1" t="s">
        <v>13</v>
      </c>
      <c r="H2535" s="8">
        <v>182551.65</v>
      </c>
      <c r="I2535" s="8">
        <v>159789.53</v>
      </c>
      <c r="J2535" s="1">
        <f>IF(COUNTIF($C$4:C2535,C2535)=1,1,0)</f>
        <v>1</v>
      </c>
      <c r="K2535" s="1">
        <f t="shared" si="39"/>
        <v>2019</v>
      </c>
    </row>
    <row r="2536" spans="2:11" x14ac:dyDescent="0.45">
      <c r="B2536" s="1" t="s">
        <v>11</v>
      </c>
      <c r="C2536" s="1" t="s">
        <v>2527</v>
      </c>
      <c r="D2536" s="7">
        <v>45759</v>
      </c>
      <c r="E2536" s="7">
        <v>45762</v>
      </c>
      <c r="F2536" s="7">
        <v>45837</v>
      </c>
      <c r="G2536" s="1" t="s">
        <v>38</v>
      </c>
      <c r="H2536" s="8">
        <v>1249144.0900000001</v>
      </c>
      <c r="I2536" s="8">
        <v>936264.75</v>
      </c>
      <c r="J2536" s="1">
        <f>IF(COUNTIF($C$4:C2536,C2536)=1,1,0)</f>
        <v>1</v>
      </c>
      <c r="K2536" s="1">
        <f t="shared" si="39"/>
        <v>2025</v>
      </c>
    </row>
    <row r="2537" spans="2:11" x14ac:dyDescent="0.45">
      <c r="B2537" s="1" t="s">
        <v>11</v>
      </c>
      <c r="C2537" s="1" t="s">
        <v>2528</v>
      </c>
      <c r="D2537" s="7">
        <v>44374</v>
      </c>
      <c r="E2537" s="7">
        <v>44403</v>
      </c>
      <c r="F2537" s="7">
        <v>44459</v>
      </c>
      <c r="G2537" s="1" t="s">
        <v>22</v>
      </c>
      <c r="H2537" s="8">
        <v>39744247.130000003</v>
      </c>
      <c r="I2537" s="8">
        <v>22765240.280000001</v>
      </c>
      <c r="J2537" s="1">
        <f>IF(COUNTIF($C$4:C2537,C2537)=1,1,0)</f>
        <v>1</v>
      </c>
      <c r="K2537" s="1">
        <f t="shared" si="39"/>
        <v>2021</v>
      </c>
    </row>
    <row r="2538" spans="2:11" x14ac:dyDescent="0.45">
      <c r="B2538" s="1" t="s">
        <v>11</v>
      </c>
      <c r="C2538" s="1" t="s">
        <v>2529</v>
      </c>
      <c r="D2538" s="7">
        <v>44563</v>
      </c>
      <c r="E2538" s="7">
        <v>44563</v>
      </c>
      <c r="F2538" s="7">
        <v>44701</v>
      </c>
      <c r="G2538" s="1" t="s">
        <v>13</v>
      </c>
      <c r="H2538" s="8">
        <v>82625.47</v>
      </c>
      <c r="I2538" s="8">
        <v>58672.480000000003</v>
      </c>
      <c r="J2538" s="1">
        <f>IF(COUNTIF($C$4:C2538,C2538)=1,1,0)</f>
        <v>1</v>
      </c>
      <c r="K2538" s="1">
        <f t="shared" si="39"/>
        <v>2022</v>
      </c>
    </row>
    <row r="2539" spans="2:11" x14ac:dyDescent="0.45">
      <c r="B2539" s="1" t="s">
        <v>11</v>
      </c>
      <c r="C2539" s="1" t="s">
        <v>2530</v>
      </c>
      <c r="D2539" s="7">
        <v>43325</v>
      </c>
      <c r="E2539" s="7">
        <v>43331</v>
      </c>
      <c r="F2539" s="7">
        <v>43372</v>
      </c>
      <c r="G2539" s="1" t="s">
        <v>20</v>
      </c>
      <c r="H2539" s="8">
        <v>698468.7</v>
      </c>
      <c r="I2539" s="8">
        <v>470054.25</v>
      </c>
      <c r="J2539" s="1">
        <f>IF(COUNTIF($C$4:C2539,C2539)=1,1,0)</f>
        <v>1</v>
      </c>
      <c r="K2539" s="1">
        <f t="shared" si="39"/>
        <v>2018</v>
      </c>
    </row>
    <row r="2540" spans="2:11" x14ac:dyDescent="0.45">
      <c r="B2540" s="1" t="s">
        <v>11</v>
      </c>
      <c r="C2540" s="1" t="s">
        <v>2531</v>
      </c>
      <c r="D2540" s="7">
        <v>45437</v>
      </c>
      <c r="E2540" s="7">
        <v>45460</v>
      </c>
      <c r="F2540" s="7">
        <v>45529</v>
      </c>
      <c r="G2540" s="1" t="s">
        <v>13</v>
      </c>
      <c r="H2540" s="8">
        <v>143605340.63999999</v>
      </c>
      <c r="I2540" s="8">
        <v>99568873.200000003</v>
      </c>
      <c r="J2540" s="1">
        <f>IF(COUNTIF($C$4:C2540,C2540)=1,1,0)</f>
        <v>1</v>
      </c>
      <c r="K2540" s="1">
        <f t="shared" si="39"/>
        <v>2024</v>
      </c>
    </row>
    <row r="2541" spans="2:11" x14ac:dyDescent="0.45">
      <c r="B2541" s="1" t="s">
        <v>11</v>
      </c>
      <c r="C2541" s="1" t="s">
        <v>2532</v>
      </c>
      <c r="D2541" s="7">
        <v>45085</v>
      </c>
      <c r="E2541" s="7">
        <v>45092</v>
      </c>
      <c r="F2541" s="7">
        <v>45284</v>
      </c>
      <c r="G2541" s="1" t="s">
        <v>22</v>
      </c>
      <c r="H2541" s="8">
        <v>5427986.6399999997</v>
      </c>
      <c r="I2541" s="8">
        <v>3500910.81</v>
      </c>
      <c r="J2541" s="1">
        <f>IF(COUNTIF($C$4:C2541,C2541)=1,1,0)</f>
        <v>1</v>
      </c>
      <c r="K2541" s="1">
        <f t="shared" si="39"/>
        <v>2023</v>
      </c>
    </row>
    <row r="2542" spans="2:11" x14ac:dyDescent="0.45">
      <c r="B2542" s="1" t="s">
        <v>11</v>
      </c>
      <c r="C2542" s="1" t="s">
        <v>2533</v>
      </c>
      <c r="D2542" s="7">
        <v>43449</v>
      </c>
      <c r="E2542" s="7">
        <v>43469</v>
      </c>
      <c r="F2542" s="7">
        <v>43558</v>
      </c>
      <c r="G2542" s="1" t="s">
        <v>38</v>
      </c>
      <c r="H2542" s="8">
        <v>171570.57</v>
      </c>
      <c r="I2542" s="8">
        <v>125857.55</v>
      </c>
      <c r="J2542" s="1">
        <f>IF(COUNTIF($C$4:C2542,C2542)=1,1,0)</f>
        <v>1</v>
      </c>
      <c r="K2542" s="1">
        <f t="shared" si="39"/>
        <v>2018</v>
      </c>
    </row>
    <row r="2543" spans="2:11" x14ac:dyDescent="0.45">
      <c r="B2543" s="1" t="s">
        <v>11</v>
      </c>
      <c r="C2543" s="1" t="s">
        <v>2534</v>
      </c>
      <c r="D2543" s="7">
        <v>44807</v>
      </c>
      <c r="E2543" s="7">
        <v>44807</v>
      </c>
      <c r="F2543" s="7">
        <v>44976</v>
      </c>
      <c r="G2543" s="1" t="s">
        <v>13</v>
      </c>
      <c r="H2543" s="8">
        <v>51501282.729999997</v>
      </c>
      <c r="I2543" s="8">
        <v>37239477.289999999</v>
      </c>
      <c r="J2543" s="1">
        <f>IF(COUNTIF($C$4:C2543,C2543)=1,1,0)</f>
        <v>1</v>
      </c>
      <c r="K2543" s="1">
        <f t="shared" si="39"/>
        <v>2022</v>
      </c>
    </row>
    <row r="2544" spans="2:11" x14ac:dyDescent="0.45">
      <c r="B2544" s="1" t="s">
        <v>11</v>
      </c>
      <c r="C2544" s="1" t="s">
        <v>2535</v>
      </c>
      <c r="D2544" s="7">
        <v>43381</v>
      </c>
      <c r="E2544" s="7">
        <v>43394</v>
      </c>
      <c r="F2544" s="7">
        <v>43622</v>
      </c>
      <c r="G2544" s="1" t="s">
        <v>13</v>
      </c>
      <c r="H2544" s="8">
        <v>905283.17</v>
      </c>
      <c r="I2544" s="8">
        <v>293824.78999999998</v>
      </c>
      <c r="J2544" s="1">
        <f>IF(COUNTIF($C$4:C2544,C2544)=1,1,0)</f>
        <v>1</v>
      </c>
      <c r="K2544" s="1">
        <f t="shared" si="39"/>
        <v>2018</v>
      </c>
    </row>
    <row r="2545" spans="2:11" x14ac:dyDescent="0.45">
      <c r="B2545" s="1" t="s">
        <v>11</v>
      </c>
      <c r="C2545" s="1" t="s">
        <v>2536</v>
      </c>
      <c r="D2545" s="7">
        <v>46008</v>
      </c>
      <c r="E2545" s="7">
        <v>46017</v>
      </c>
      <c r="F2545" s="7">
        <v>46193</v>
      </c>
      <c r="G2545" s="1" t="s">
        <v>20</v>
      </c>
      <c r="H2545" s="8">
        <v>15983094.58</v>
      </c>
      <c r="I2545" s="8">
        <v>9880787.0299999993</v>
      </c>
      <c r="J2545" s="1">
        <f>IF(COUNTIF($C$4:C2545,C2545)=1,1,0)</f>
        <v>1</v>
      </c>
      <c r="K2545" s="1">
        <f t="shared" si="39"/>
        <v>2025</v>
      </c>
    </row>
    <row r="2546" spans="2:11" x14ac:dyDescent="0.45">
      <c r="B2546" s="1" t="s">
        <v>11</v>
      </c>
      <c r="C2546" s="1" t="s">
        <v>2537</v>
      </c>
      <c r="D2546" s="7">
        <v>43397</v>
      </c>
      <c r="E2546" s="7">
        <v>43397</v>
      </c>
      <c r="F2546" s="7">
        <v>43493</v>
      </c>
      <c r="G2546" s="1" t="s">
        <v>13</v>
      </c>
      <c r="H2546" s="8">
        <v>498202.02</v>
      </c>
      <c r="I2546" s="8">
        <v>352347.44</v>
      </c>
      <c r="J2546" s="1">
        <f>IF(COUNTIF($C$4:C2546,C2546)=1,1,0)</f>
        <v>1</v>
      </c>
      <c r="K2546" s="1">
        <f t="shared" si="39"/>
        <v>2018</v>
      </c>
    </row>
    <row r="2547" spans="2:11" x14ac:dyDescent="0.45">
      <c r="B2547" s="1" t="s">
        <v>11</v>
      </c>
      <c r="C2547" s="1" t="s">
        <v>2538</v>
      </c>
      <c r="D2547" s="7">
        <v>44513</v>
      </c>
      <c r="E2547" s="7">
        <v>44524</v>
      </c>
      <c r="F2547" s="7">
        <v>44720</v>
      </c>
      <c r="G2547" s="1" t="s">
        <v>13</v>
      </c>
      <c r="H2547" s="8">
        <v>471932.17</v>
      </c>
      <c r="I2547" s="8">
        <v>307889.13</v>
      </c>
      <c r="J2547" s="1">
        <f>IF(COUNTIF($C$4:C2547,C2547)=1,1,0)</f>
        <v>1</v>
      </c>
      <c r="K2547" s="1">
        <f t="shared" si="39"/>
        <v>2021</v>
      </c>
    </row>
    <row r="2548" spans="2:11" x14ac:dyDescent="0.45">
      <c r="B2548" s="1" t="s">
        <v>11</v>
      </c>
      <c r="C2548" s="1" t="s">
        <v>2539</v>
      </c>
      <c r="D2548" s="7">
        <v>44491</v>
      </c>
      <c r="E2548" s="7">
        <v>44502</v>
      </c>
      <c r="F2548" s="7">
        <v>44683</v>
      </c>
      <c r="G2548" s="1" t="s">
        <v>41</v>
      </c>
      <c r="H2548" s="8">
        <v>137807.81</v>
      </c>
      <c r="I2548" s="8">
        <v>117105.7</v>
      </c>
      <c r="J2548" s="1">
        <f>IF(COUNTIF($C$4:C2548,C2548)=1,1,0)</f>
        <v>1</v>
      </c>
      <c r="K2548" s="1">
        <f t="shared" si="39"/>
        <v>2021</v>
      </c>
    </row>
    <row r="2549" spans="2:11" x14ac:dyDescent="0.45">
      <c r="B2549" s="1" t="s">
        <v>11</v>
      </c>
      <c r="C2549" s="1" t="s">
        <v>2540</v>
      </c>
      <c r="D2549" s="7">
        <v>45097</v>
      </c>
      <c r="E2549" s="7">
        <v>45122</v>
      </c>
      <c r="F2549" s="7">
        <v>45358</v>
      </c>
      <c r="G2549" s="1" t="s">
        <v>41</v>
      </c>
      <c r="H2549" s="8">
        <v>427848.65</v>
      </c>
      <c r="I2549" s="8">
        <v>388119.25</v>
      </c>
      <c r="J2549" s="1">
        <f>IF(COUNTIF($C$4:C2549,C2549)=1,1,0)</f>
        <v>1</v>
      </c>
      <c r="K2549" s="1">
        <f t="shared" si="39"/>
        <v>2023</v>
      </c>
    </row>
    <row r="2550" spans="2:11" x14ac:dyDescent="0.45">
      <c r="B2550" s="1" t="s">
        <v>11</v>
      </c>
      <c r="C2550" s="1" t="s">
        <v>2541</v>
      </c>
      <c r="D2550" s="7">
        <v>45444</v>
      </c>
      <c r="E2550" s="7">
        <v>45455</v>
      </c>
      <c r="F2550" s="7">
        <v>45694</v>
      </c>
      <c r="G2550" s="1" t="s">
        <v>16</v>
      </c>
      <c r="H2550" s="8">
        <v>529114.42000000004</v>
      </c>
      <c r="I2550" s="8">
        <v>338327.3</v>
      </c>
      <c r="J2550" s="1">
        <f>IF(COUNTIF($C$4:C2550,C2550)=1,1,0)</f>
        <v>1</v>
      </c>
      <c r="K2550" s="1">
        <f t="shared" si="39"/>
        <v>2024</v>
      </c>
    </row>
    <row r="2551" spans="2:11" x14ac:dyDescent="0.45">
      <c r="B2551" s="1" t="s">
        <v>11</v>
      </c>
      <c r="C2551" s="1" t="s">
        <v>2542</v>
      </c>
      <c r="D2551" s="7">
        <v>45435</v>
      </c>
      <c r="E2551" s="7">
        <v>45456</v>
      </c>
      <c r="F2551" s="7">
        <v>45492</v>
      </c>
      <c r="G2551" s="1" t="s">
        <v>13</v>
      </c>
      <c r="H2551" s="8">
        <v>1487178.31</v>
      </c>
      <c r="I2551" s="8">
        <v>1171240.19</v>
      </c>
      <c r="J2551" s="1">
        <f>IF(COUNTIF($C$4:C2551,C2551)=1,1,0)</f>
        <v>1</v>
      </c>
      <c r="K2551" s="1">
        <f t="shared" si="39"/>
        <v>2024</v>
      </c>
    </row>
    <row r="2552" spans="2:11" x14ac:dyDescent="0.45">
      <c r="B2552" s="1" t="s">
        <v>11</v>
      </c>
      <c r="C2552" s="1" t="s">
        <v>2543</v>
      </c>
      <c r="D2552" s="7">
        <v>45802</v>
      </c>
      <c r="E2552" s="7">
        <v>45806</v>
      </c>
      <c r="F2552" s="7">
        <v>46000</v>
      </c>
      <c r="G2552" s="1" t="s">
        <v>13</v>
      </c>
      <c r="H2552" s="8">
        <v>670697.18000000005</v>
      </c>
      <c r="I2552" s="8">
        <v>487355.58</v>
      </c>
      <c r="J2552" s="1">
        <f>IF(COUNTIF($C$4:C2552,C2552)=1,1,0)</f>
        <v>1</v>
      </c>
      <c r="K2552" s="1">
        <f t="shared" si="39"/>
        <v>2025</v>
      </c>
    </row>
    <row r="2553" spans="2:11" x14ac:dyDescent="0.45">
      <c r="B2553" s="1" t="s">
        <v>11</v>
      </c>
      <c r="C2553" s="1" t="s">
        <v>2544</v>
      </c>
      <c r="D2553" s="7">
        <v>43252</v>
      </c>
      <c r="E2553" s="7">
        <v>43267</v>
      </c>
      <c r="F2553" s="7">
        <v>43403</v>
      </c>
      <c r="G2553" s="1" t="s">
        <v>13</v>
      </c>
      <c r="H2553" s="8">
        <v>20424600.670000002</v>
      </c>
      <c r="I2553" s="8">
        <v>7339403.75</v>
      </c>
      <c r="J2553" s="1">
        <f>IF(COUNTIF($C$4:C2553,C2553)=1,1,0)</f>
        <v>1</v>
      </c>
      <c r="K2553" s="1">
        <f t="shared" si="39"/>
        <v>2018</v>
      </c>
    </row>
    <row r="2554" spans="2:11" x14ac:dyDescent="0.45">
      <c r="B2554" s="1" t="s">
        <v>11</v>
      </c>
      <c r="C2554" s="1" t="s">
        <v>2545</v>
      </c>
      <c r="D2554" s="7">
        <v>44220</v>
      </c>
      <c r="E2554" s="7">
        <v>44238</v>
      </c>
      <c r="F2554" s="7">
        <v>44315</v>
      </c>
      <c r="G2554" s="1" t="s">
        <v>38</v>
      </c>
      <c r="H2554" s="8">
        <v>206782.22</v>
      </c>
      <c r="I2554" s="8">
        <v>169342.69</v>
      </c>
      <c r="J2554" s="1">
        <f>IF(COUNTIF($C$4:C2554,C2554)=1,1,0)</f>
        <v>1</v>
      </c>
      <c r="K2554" s="1">
        <f t="shared" si="39"/>
        <v>2021</v>
      </c>
    </row>
    <row r="2555" spans="2:11" x14ac:dyDescent="0.45">
      <c r="B2555" s="1" t="s">
        <v>11</v>
      </c>
      <c r="C2555" s="1" t="s">
        <v>2546</v>
      </c>
      <c r="D2555" s="7">
        <v>43620</v>
      </c>
      <c r="E2555" s="7">
        <v>43642</v>
      </c>
      <c r="F2555" s="7">
        <v>43781</v>
      </c>
      <c r="G2555" s="1" t="s">
        <v>41</v>
      </c>
      <c r="H2555" s="8">
        <v>716858.24</v>
      </c>
      <c r="I2555" s="8">
        <v>608533.9</v>
      </c>
      <c r="J2555" s="1">
        <f>IF(COUNTIF($C$4:C2555,C2555)=1,1,0)</f>
        <v>1</v>
      </c>
      <c r="K2555" s="1">
        <f t="shared" si="39"/>
        <v>2019</v>
      </c>
    </row>
    <row r="2556" spans="2:11" x14ac:dyDescent="0.45">
      <c r="B2556" s="1" t="s">
        <v>11</v>
      </c>
      <c r="C2556" s="1" t="s">
        <v>2547</v>
      </c>
      <c r="D2556" s="7">
        <v>44031</v>
      </c>
      <c r="E2556" s="7">
        <v>44045</v>
      </c>
      <c r="F2556" s="7">
        <v>44090</v>
      </c>
      <c r="G2556" s="1" t="s">
        <v>20</v>
      </c>
      <c r="H2556" s="8">
        <v>236741.61</v>
      </c>
      <c r="I2556" s="8">
        <v>148358.59</v>
      </c>
      <c r="J2556" s="1">
        <f>IF(COUNTIF($C$4:C2556,C2556)=1,1,0)</f>
        <v>1</v>
      </c>
      <c r="K2556" s="1">
        <f t="shared" si="39"/>
        <v>2020</v>
      </c>
    </row>
    <row r="2557" spans="2:11" x14ac:dyDescent="0.45">
      <c r="B2557" s="1" t="s">
        <v>11</v>
      </c>
      <c r="C2557" s="1" t="s">
        <v>2548</v>
      </c>
      <c r="D2557" s="7">
        <v>43843</v>
      </c>
      <c r="E2557" s="7">
        <v>43860</v>
      </c>
      <c r="F2557" s="7">
        <v>43947</v>
      </c>
      <c r="G2557" s="1" t="s">
        <v>16</v>
      </c>
      <c r="H2557" s="8">
        <v>5542338.6600000001</v>
      </c>
      <c r="I2557" s="8">
        <v>4014851.57</v>
      </c>
      <c r="J2557" s="1">
        <f>IF(COUNTIF($C$4:C2557,C2557)=1,1,0)</f>
        <v>1</v>
      </c>
      <c r="K2557" s="1">
        <f t="shared" si="39"/>
        <v>2020</v>
      </c>
    </row>
    <row r="2558" spans="2:11" x14ac:dyDescent="0.45">
      <c r="B2558" s="1" t="s">
        <v>11</v>
      </c>
      <c r="C2558" s="1" t="s">
        <v>2549</v>
      </c>
      <c r="D2558" s="7">
        <v>45976</v>
      </c>
      <c r="E2558" s="7">
        <v>45991</v>
      </c>
      <c r="F2558" s="7">
        <v>46170</v>
      </c>
      <c r="G2558" s="1" t="s">
        <v>16</v>
      </c>
      <c r="H2558" s="8">
        <v>243775.53</v>
      </c>
      <c r="I2558" s="8">
        <v>143255.04999999999</v>
      </c>
      <c r="J2558" s="1">
        <f>IF(COUNTIF($C$4:C2558,C2558)=1,1,0)</f>
        <v>1</v>
      </c>
      <c r="K2558" s="1">
        <f t="shared" si="39"/>
        <v>2025</v>
      </c>
    </row>
    <row r="2559" spans="2:11" x14ac:dyDescent="0.45">
      <c r="B2559" s="1" t="s">
        <v>11</v>
      </c>
      <c r="C2559" s="1" t="s">
        <v>2550</v>
      </c>
      <c r="D2559" s="7">
        <v>44959</v>
      </c>
      <c r="E2559" s="7">
        <v>44966</v>
      </c>
      <c r="F2559" s="7">
        <v>45021</v>
      </c>
      <c r="G2559" s="1" t="s">
        <v>22</v>
      </c>
      <c r="H2559" s="8">
        <v>11435104.289999999</v>
      </c>
      <c r="I2559" s="8">
        <v>6157231.96</v>
      </c>
      <c r="J2559" s="1">
        <f>IF(COUNTIF($C$4:C2559,C2559)=1,1,0)</f>
        <v>1</v>
      </c>
      <c r="K2559" s="1">
        <f t="shared" si="39"/>
        <v>2023</v>
      </c>
    </row>
    <row r="2560" spans="2:11" x14ac:dyDescent="0.45">
      <c r="B2560" s="1" t="s">
        <v>11</v>
      </c>
      <c r="C2560" s="1" t="s">
        <v>2551</v>
      </c>
      <c r="D2560" s="7">
        <v>45343</v>
      </c>
      <c r="E2560" s="7">
        <v>45348</v>
      </c>
      <c r="F2560" s="7">
        <v>45438</v>
      </c>
      <c r="G2560" s="1" t="s">
        <v>20</v>
      </c>
      <c r="H2560" s="8">
        <v>45446174.840000004</v>
      </c>
      <c r="I2560" s="8">
        <v>33642213.280000001</v>
      </c>
      <c r="J2560" s="1">
        <f>IF(COUNTIF($C$4:C2560,C2560)=1,1,0)</f>
        <v>1</v>
      </c>
      <c r="K2560" s="1">
        <f t="shared" si="39"/>
        <v>2024</v>
      </c>
    </row>
    <row r="2561" spans="2:11" x14ac:dyDescent="0.45">
      <c r="B2561" s="1" t="s">
        <v>11</v>
      </c>
      <c r="C2561" s="1" t="s">
        <v>2552</v>
      </c>
      <c r="D2561" s="7">
        <v>43165</v>
      </c>
      <c r="E2561" s="7">
        <v>43190</v>
      </c>
      <c r="F2561" s="7">
        <v>43225</v>
      </c>
      <c r="G2561" s="1" t="s">
        <v>22</v>
      </c>
      <c r="H2561" s="8">
        <v>5081789.8899999997</v>
      </c>
      <c r="I2561" s="8">
        <v>3168597.19</v>
      </c>
      <c r="J2561" s="1">
        <f>IF(COUNTIF($C$4:C2561,C2561)=1,1,0)</f>
        <v>1</v>
      </c>
      <c r="K2561" s="1">
        <f t="shared" si="39"/>
        <v>2018</v>
      </c>
    </row>
    <row r="2562" spans="2:11" x14ac:dyDescent="0.45">
      <c r="B2562" s="1" t="s">
        <v>11</v>
      </c>
      <c r="C2562" s="1" t="s">
        <v>2553</v>
      </c>
      <c r="D2562" s="7">
        <v>44242</v>
      </c>
      <c r="E2562" s="7">
        <v>44256</v>
      </c>
      <c r="F2562" s="7">
        <v>44339</v>
      </c>
      <c r="G2562" s="1" t="s">
        <v>38</v>
      </c>
      <c r="H2562" s="8">
        <v>1565588.87</v>
      </c>
      <c r="I2562" s="8">
        <v>1344899.95</v>
      </c>
      <c r="J2562" s="1">
        <f>IF(COUNTIF($C$4:C2562,C2562)=1,1,0)</f>
        <v>1</v>
      </c>
      <c r="K2562" s="1">
        <f t="shared" si="39"/>
        <v>2021</v>
      </c>
    </row>
    <row r="2563" spans="2:11" x14ac:dyDescent="0.45">
      <c r="B2563" s="1" t="s">
        <v>11</v>
      </c>
      <c r="C2563" s="1" t="s">
        <v>2554</v>
      </c>
      <c r="D2563" s="7">
        <v>43344</v>
      </c>
      <c r="E2563" s="7">
        <v>43361</v>
      </c>
      <c r="F2563" s="7">
        <v>43463</v>
      </c>
      <c r="G2563" s="1" t="s">
        <v>44</v>
      </c>
      <c r="H2563" s="8">
        <v>217578157.69999999</v>
      </c>
      <c r="I2563" s="8">
        <v>94413836.450000003</v>
      </c>
      <c r="J2563" s="1">
        <f>IF(COUNTIF($C$4:C2563,C2563)=1,1,0)</f>
        <v>1</v>
      </c>
      <c r="K2563" s="1">
        <f t="shared" si="39"/>
        <v>2018</v>
      </c>
    </row>
    <row r="2564" spans="2:11" x14ac:dyDescent="0.45">
      <c r="B2564" s="1" t="s">
        <v>11</v>
      </c>
      <c r="C2564" s="1" t="s">
        <v>2555</v>
      </c>
      <c r="D2564" s="7">
        <v>46112</v>
      </c>
      <c r="E2564" s="7">
        <v>46122</v>
      </c>
      <c r="F2564" s="7">
        <v>46362</v>
      </c>
      <c r="G2564" s="1" t="s">
        <v>20</v>
      </c>
      <c r="H2564" s="8">
        <v>383305.39</v>
      </c>
      <c r="I2564" s="8">
        <v>287972.84999999998</v>
      </c>
      <c r="J2564" s="1">
        <f>IF(COUNTIF($C$4:C2564,C2564)=1,1,0)</f>
        <v>1</v>
      </c>
      <c r="K2564" s="1">
        <f t="shared" si="39"/>
        <v>2026</v>
      </c>
    </row>
    <row r="2565" spans="2:11" x14ac:dyDescent="0.45">
      <c r="B2565" s="1" t="s">
        <v>11</v>
      </c>
      <c r="C2565" s="1" t="s">
        <v>2556</v>
      </c>
      <c r="D2565" s="7">
        <v>44223</v>
      </c>
      <c r="E2565" s="7">
        <v>44247</v>
      </c>
      <c r="F2565" s="7">
        <v>44400</v>
      </c>
      <c r="G2565" s="1" t="s">
        <v>38</v>
      </c>
      <c r="H2565" s="8">
        <v>369433.78</v>
      </c>
      <c r="I2565" s="8">
        <v>307550.52</v>
      </c>
      <c r="J2565" s="1">
        <f>IF(COUNTIF($C$4:C2565,C2565)=1,1,0)</f>
        <v>1</v>
      </c>
      <c r="K2565" s="1">
        <f t="shared" ref="K2565:K2628" si="40">YEAR(D2565)</f>
        <v>2021</v>
      </c>
    </row>
    <row r="2566" spans="2:11" x14ac:dyDescent="0.45">
      <c r="B2566" s="1" t="s">
        <v>11</v>
      </c>
      <c r="C2566" s="1" t="s">
        <v>2557</v>
      </c>
      <c r="D2566" s="7">
        <v>43358</v>
      </c>
      <c r="E2566" s="7">
        <v>43374</v>
      </c>
      <c r="F2566" s="7">
        <v>43602</v>
      </c>
      <c r="G2566" s="1" t="s">
        <v>38</v>
      </c>
      <c r="H2566" s="8">
        <v>39336.81</v>
      </c>
      <c r="I2566" s="8">
        <v>32452.89</v>
      </c>
      <c r="J2566" s="1">
        <f>IF(COUNTIF($C$4:C2566,C2566)=1,1,0)</f>
        <v>1</v>
      </c>
      <c r="K2566" s="1">
        <f t="shared" si="40"/>
        <v>2018</v>
      </c>
    </row>
    <row r="2567" spans="2:11" x14ac:dyDescent="0.45">
      <c r="B2567" s="1" t="s">
        <v>11</v>
      </c>
      <c r="C2567" s="1" t="s">
        <v>2558</v>
      </c>
      <c r="D2567" s="7">
        <v>45713</v>
      </c>
      <c r="E2567" s="7">
        <v>45740</v>
      </c>
      <c r="F2567" s="7">
        <v>45946</v>
      </c>
      <c r="G2567" s="1" t="s">
        <v>41</v>
      </c>
      <c r="H2567" s="8">
        <v>367385.83</v>
      </c>
      <c r="I2567" s="8">
        <v>272630.39</v>
      </c>
      <c r="J2567" s="1">
        <f>IF(COUNTIF($C$4:C2567,C2567)=1,1,0)</f>
        <v>1</v>
      </c>
      <c r="K2567" s="1">
        <f t="shared" si="40"/>
        <v>2025</v>
      </c>
    </row>
    <row r="2568" spans="2:11" x14ac:dyDescent="0.45">
      <c r="B2568" s="1" t="s">
        <v>11</v>
      </c>
      <c r="C2568" s="1" t="s">
        <v>2559</v>
      </c>
      <c r="D2568" s="7">
        <v>44933</v>
      </c>
      <c r="E2568" s="7">
        <v>44963</v>
      </c>
      <c r="F2568" s="7">
        <v>45082</v>
      </c>
      <c r="G2568" s="1" t="s">
        <v>13</v>
      </c>
      <c r="H2568" s="8">
        <v>111276.1</v>
      </c>
      <c r="I2568" s="8">
        <v>89840.28</v>
      </c>
      <c r="J2568" s="1">
        <f>IF(COUNTIF($C$4:C2568,C2568)=1,1,0)</f>
        <v>1</v>
      </c>
      <c r="K2568" s="1">
        <f t="shared" si="40"/>
        <v>2023</v>
      </c>
    </row>
    <row r="2569" spans="2:11" x14ac:dyDescent="0.45">
      <c r="B2569" s="1" t="s">
        <v>11</v>
      </c>
      <c r="C2569" s="1" t="s">
        <v>2560</v>
      </c>
      <c r="D2569" s="7">
        <v>44283</v>
      </c>
      <c r="E2569" s="7">
        <v>44301</v>
      </c>
      <c r="F2569" s="7">
        <v>44455</v>
      </c>
      <c r="G2569" s="1" t="s">
        <v>22</v>
      </c>
      <c r="H2569" s="8">
        <v>3695291.22</v>
      </c>
      <c r="I2569" s="8">
        <v>2320167.56</v>
      </c>
      <c r="J2569" s="1">
        <f>IF(COUNTIF($C$4:C2569,C2569)=1,1,0)</f>
        <v>1</v>
      </c>
      <c r="K2569" s="1">
        <f t="shared" si="40"/>
        <v>2021</v>
      </c>
    </row>
    <row r="2570" spans="2:11" x14ac:dyDescent="0.45">
      <c r="B2570" s="1" t="s">
        <v>11</v>
      </c>
      <c r="C2570" s="1" t="s">
        <v>2561</v>
      </c>
      <c r="D2570" s="7">
        <v>44539</v>
      </c>
      <c r="E2570" s="7">
        <v>44566</v>
      </c>
      <c r="F2570" s="7">
        <v>44691</v>
      </c>
      <c r="G2570" s="1" t="s">
        <v>41</v>
      </c>
      <c r="H2570" s="8">
        <v>502557.63</v>
      </c>
      <c r="I2570" s="8">
        <v>402677.39</v>
      </c>
      <c r="J2570" s="1">
        <f>IF(COUNTIF($C$4:C2570,C2570)=1,1,0)</f>
        <v>1</v>
      </c>
      <c r="K2570" s="1">
        <f t="shared" si="40"/>
        <v>2021</v>
      </c>
    </row>
    <row r="2571" spans="2:11" x14ac:dyDescent="0.45">
      <c r="B2571" s="1" t="s">
        <v>11</v>
      </c>
      <c r="C2571" s="1" t="s">
        <v>2562</v>
      </c>
      <c r="D2571" s="7">
        <v>44422</v>
      </c>
      <c r="E2571" s="7">
        <v>44440</v>
      </c>
      <c r="F2571" s="7">
        <v>44661</v>
      </c>
      <c r="G2571" s="1" t="s">
        <v>22</v>
      </c>
      <c r="H2571" s="8">
        <v>2225683.9500000002</v>
      </c>
      <c r="I2571" s="8">
        <v>1251650.08</v>
      </c>
      <c r="J2571" s="1">
        <f>IF(COUNTIF($C$4:C2571,C2571)=1,1,0)</f>
        <v>1</v>
      </c>
      <c r="K2571" s="1">
        <f t="shared" si="40"/>
        <v>2021</v>
      </c>
    </row>
    <row r="2572" spans="2:11" x14ac:dyDescent="0.45">
      <c r="B2572" s="1" t="s">
        <v>11</v>
      </c>
      <c r="C2572" s="1" t="s">
        <v>2563</v>
      </c>
      <c r="D2572" s="7">
        <v>43454</v>
      </c>
      <c r="E2572" s="7">
        <v>43455</v>
      </c>
      <c r="F2572" s="7">
        <v>43600</v>
      </c>
      <c r="G2572" s="1" t="s">
        <v>44</v>
      </c>
      <c r="H2572" s="8">
        <v>101682416.45</v>
      </c>
      <c r="I2572" s="8">
        <v>77121707.859999999</v>
      </c>
      <c r="J2572" s="1">
        <f>IF(COUNTIF($C$4:C2572,C2572)=1,1,0)</f>
        <v>1</v>
      </c>
      <c r="K2572" s="1">
        <f t="shared" si="40"/>
        <v>2018</v>
      </c>
    </row>
    <row r="2573" spans="2:11" x14ac:dyDescent="0.45">
      <c r="B2573" s="1" t="s">
        <v>11</v>
      </c>
      <c r="C2573" s="1" t="s">
        <v>2564</v>
      </c>
      <c r="D2573" s="7">
        <v>45121</v>
      </c>
      <c r="E2573" s="7">
        <v>45126</v>
      </c>
      <c r="F2573" s="7">
        <v>45250</v>
      </c>
      <c r="G2573" s="1" t="s">
        <v>20</v>
      </c>
      <c r="H2573" s="8">
        <v>712802.98</v>
      </c>
      <c r="I2573" s="8">
        <v>392108.16</v>
      </c>
      <c r="J2573" s="1">
        <f>IF(COUNTIF($C$4:C2573,C2573)=1,1,0)</f>
        <v>1</v>
      </c>
      <c r="K2573" s="1">
        <f t="shared" si="40"/>
        <v>2023</v>
      </c>
    </row>
    <row r="2574" spans="2:11" x14ac:dyDescent="0.45">
      <c r="B2574" s="1" t="s">
        <v>11</v>
      </c>
      <c r="C2574" s="1" t="s">
        <v>2565</v>
      </c>
      <c r="D2574" s="7">
        <v>45849</v>
      </c>
      <c r="E2574" s="7">
        <v>45867</v>
      </c>
      <c r="F2574" s="7">
        <v>46033</v>
      </c>
      <c r="G2574" s="1" t="s">
        <v>20</v>
      </c>
      <c r="H2574" s="8">
        <v>4328459.96</v>
      </c>
      <c r="I2574" s="8">
        <v>3527095.51</v>
      </c>
      <c r="J2574" s="1">
        <f>IF(COUNTIF($C$4:C2574,C2574)=1,1,0)</f>
        <v>1</v>
      </c>
      <c r="K2574" s="1">
        <f t="shared" si="40"/>
        <v>2025</v>
      </c>
    </row>
    <row r="2575" spans="2:11" x14ac:dyDescent="0.45">
      <c r="B2575" s="1" t="s">
        <v>11</v>
      </c>
      <c r="C2575" s="1" t="s">
        <v>2566</v>
      </c>
      <c r="D2575" s="7">
        <v>45482</v>
      </c>
      <c r="E2575" s="7">
        <v>45495</v>
      </c>
      <c r="F2575" s="7">
        <v>45571</v>
      </c>
      <c r="G2575" s="1" t="s">
        <v>20</v>
      </c>
      <c r="H2575" s="8">
        <v>873675.57</v>
      </c>
      <c r="I2575" s="8">
        <v>591211.46</v>
      </c>
      <c r="J2575" s="1">
        <f>IF(COUNTIF($C$4:C2575,C2575)=1,1,0)</f>
        <v>1</v>
      </c>
      <c r="K2575" s="1">
        <f t="shared" si="40"/>
        <v>2024</v>
      </c>
    </row>
    <row r="2576" spans="2:11" x14ac:dyDescent="0.45">
      <c r="B2576" s="1" t="s">
        <v>11</v>
      </c>
      <c r="C2576" s="1" t="s">
        <v>2567</v>
      </c>
      <c r="D2576" s="7">
        <v>44862</v>
      </c>
      <c r="E2576" s="7">
        <v>44879</v>
      </c>
      <c r="F2576" s="7">
        <v>44915</v>
      </c>
      <c r="G2576" s="1" t="s">
        <v>22</v>
      </c>
      <c r="H2576" s="8">
        <v>40898659.619999997</v>
      </c>
      <c r="I2576" s="8">
        <v>21718683.890000001</v>
      </c>
      <c r="J2576" s="1">
        <f>IF(COUNTIF($C$4:C2576,C2576)=1,1,0)</f>
        <v>1</v>
      </c>
      <c r="K2576" s="1">
        <f t="shared" si="40"/>
        <v>2022</v>
      </c>
    </row>
    <row r="2577" spans="2:11" x14ac:dyDescent="0.45">
      <c r="B2577" s="1" t="s">
        <v>11</v>
      </c>
      <c r="C2577" s="1" t="s">
        <v>2568</v>
      </c>
      <c r="D2577" s="7">
        <v>44037</v>
      </c>
      <c r="E2577" s="7">
        <v>44061</v>
      </c>
      <c r="F2577" s="7">
        <v>44083</v>
      </c>
      <c r="G2577" s="1" t="s">
        <v>44</v>
      </c>
      <c r="H2577" s="8">
        <v>119487381.39</v>
      </c>
      <c r="I2577" s="8">
        <v>41749306.719999999</v>
      </c>
      <c r="J2577" s="1">
        <f>IF(COUNTIF($C$4:C2577,C2577)=1,1,0)</f>
        <v>1</v>
      </c>
      <c r="K2577" s="1">
        <f t="shared" si="40"/>
        <v>2020</v>
      </c>
    </row>
    <row r="2578" spans="2:11" x14ac:dyDescent="0.45">
      <c r="B2578" s="1" t="s">
        <v>11</v>
      </c>
      <c r="C2578" s="1" t="s">
        <v>2569</v>
      </c>
      <c r="D2578" s="7">
        <v>43830</v>
      </c>
      <c r="E2578" s="7">
        <v>43843</v>
      </c>
      <c r="F2578" s="7">
        <v>43980</v>
      </c>
      <c r="G2578" s="1" t="s">
        <v>41</v>
      </c>
      <c r="H2578" s="8">
        <v>397650.86</v>
      </c>
      <c r="I2578" s="8">
        <v>358508.56</v>
      </c>
      <c r="J2578" s="1">
        <f>IF(COUNTIF($C$4:C2578,C2578)=1,1,0)</f>
        <v>1</v>
      </c>
      <c r="K2578" s="1">
        <f t="shared" si="40"/>
        <v>2019</v>
      </c>
    </row>
    <row r="2579" spans="2:11" x14ac:dyDescent="0.45">
      <c r="B2579" s="1" t="s">
        <v>11</v>
      </c>
      <c r="C2579" s="1" t="s">
        <v>2570</v>
      </c>
      <c r="D2579" s="7">
        <v>45481</v>
      </c>
      <c r="E2579" s="7">
        <v>45492</v>
      </c>
      <c r="F2579" s="7">
        <v>45578</v>
      </c>
      <c r="G2579" s="1" t="s">
        <v>20</v>
      </c>
      <c r="H2579" s="8">
        <v>133094411.5</v>
      </c>
      <c r="I2579" s="8">
        <v>85310022.060000002</v>
      </c>
      <c r="J2579" s="1">
        <f>IF(COUNTIF($C$4:C2579,C2579)=1,1,0)</f>
        <v>1</v>
      </c>
      <c r="K2579" s="1">
        <f t="shared" si="40"/>
        <v>2024</v>
      </c>
    </row>
    <row r="2580" spans="2:11" x14ac:dyDescent="0.45">
      <c r="B2580" s="1" t="s">
        <v>11</v>
      </c>
      <c r="C2580" s="1" t="s">
        <v>2571</v>
      </c>
      <c r="D2580" s="7">
        <v>46106</v>
      </c>
      <c r="E2580" s="7">
        <v>46108</v>
      </c>
      <c r="F2580" s="7">
        <v>46138</v>
      </c>
      <c r="G2580" s="1" t="s">
        <v>44</v>
      </c>
      <c r="H2580" s="8">
        <v>251214355.80000001</v>
      </c>
      <c r="I2580" s="8">
        <v>138557369.50999999</v>
      </c>
      <c r="J2580" s="1">
        <f>IF(COUNTIF($C$4:C2580,C2580)=1,1,0)</f>
        <v>1</v>
      </c>
      <c r="K2580" s="1">
        <f t="shared" si="40"/>
        <v>2026</v>
      </c>
    </row>
    <row r="2581" spans="2:11" x14ac:dyDescent="0.45">
      <c r="B2581" s="1" t="s">
        <v>11</v>
      </c>
      <c r="C2581" s="1" t="s">
        <v>2572</v>
      </c>
      <c r="D2581" s="7">
        <v>46155</v>
      </c>
      <c r="E2581" s="7">
        <v>46177</v>
      </c>
      <c r="F2581" s="7">
        <v>46405</v>
      </c>
      <c r="G2581" s="1" t="s">
        <v>20</v>
      </c>
      <c r="H2581" s="8">
        <v>637329.26</v>
      </c>
      <c r="I2581" s="8">
        <v>484751.02</v>
      </c>
      <c r="J2581" s="1">
        <f>IF(COUNTIF($C$4:C2581,C2581)=1,1,0)</f>
        <v>1</v>
      </c>
      <c r="K2581" s="1">
        <f t="shared" si="40"/>
        <v>2026</v>
      </c>
    </row>
    <row r="2582" spans="2:11" x14ac:dyDescent="0.45">
      <c r="B2582" s="1" t="s">
        <v>11</v>
      </c>
      <c r="C2582" s="1" t="s">
        <v>2573</v>
      </c>
      <c r="D2582" s="7">
        <v>45190</v>
      </c>
      <c r="E2582" s="7">
        <v>45197</v>
      </c>
      <c r="F2582" s="7">
        <v>45225</v>
      </c>
      <c r="G2582" s="1" t="s">
        <v>20</v>
      </c>
      <c r="H2582" s="8">
        <v>122377773.61</v>
      </c>
      <c r="I2582" s="8">
        <v>74001132.819999993</v>
      </c>
      <c r="J2582" s="1">
        <f>IF(COUNTIF($C$4:C2582,C2582)=1,1,0)</f>
        <v>1</v>
      </c>
      <c r="K2582" s="1">
        <f t="shared" si="40"/>
        <v>2023</v>
      </c>
    </row>
    <row r="2583" spans="2:11" x14ac:dyDescent="0.45">
      <c r="B2583" s="1" t="s">
        <v>11</v>
      </c>
      <c r="C2583" s="1" t="s">
        <v>2574</v>
      </c>
      <c r="D2583" s="7">
        <v>44816</v>
      </c>
      <c r="E2583" s="7">
        <v>44825</v>
      </c>
      <c r="F2583" s="7">
        <v>45039</v>
      </c>
      <c r="G2583" s="1" t="s">
        <v>13</v>
      </c>
      <c r="H2583" s="8">
        <v>84241.78</v>
      </c>
      <c r="I2583" s="8">
        <v>61658.76</v>
      </c>
      <c r="J2583" s="1">
        <f>IF(COUNTIF($C$4:C2583,C2583)=1,1,0)</f>
        <v>1</v>
      </c>
      <c r="K2583" s="1">
        <f t="shared" si="40"/>
        <v>2022</v>
      </c>
    </row>
    <row r="2584" spans="2:11" x14ac:dyDescent="0.45">
      <c r="B2584" s="1" t="s">
        <v>11</v>
      </c>
      <c r="C2584" s="1" t="s">
        <v>1418</v>
      </c>
      <c r="D2584" s="7">
        <v>43825</v>
      </c>
      <c r="E2584" s="7">
        <v>43828</v>
      </c>
      <c r="F2584" s="7">
        <v>43871</v>
      </c>
      <c r="G2584" s="1" t="s">
        <v>16</v>
      </c>
      <c r="H2584" s="8">
        <v>1994836.38</v>
      </c>
      <c r="I2584" s="8">
        <v>1415735.22</v>
      </c>
      <c r="J2584" s="1">
        <f>IF(COUNTIF($C$4:C2584,C2584)=1,1,0)</f>
        <v>0</v>
      </c>
      <c r="K2584" s="1">
        <f t="shared" si="40"/>
        <v>2019</v>
      </c>
    </row>
    <row r="2585" spans="2:11" x14ac:dyDescent="0.45">
      <c r="B2585" s="1" t="s">
        <v>11</v>
      </c>
      <c r="C2585" s="1" t="s">
        <v>2575</v>
      </c>
      <c r="D2585" s="7">
        <v>45315</v>
      </c>
      <c r="E2585" s="7">
        <v>45340</v>
      </c>
      <c r="F2585" s="7">
        <v>45408</v>
      </c>
      <c r="G2585" s="1" t="s">
        <v>22</v>
      </c>
      <c r="H2585" s="8">
        <v>19191831.77</v>
      </c>
      <c r="I2585" s="8">
        <v>9064651.8300000001</v>
      </c>
      <c r="J2585" s="1">
        <f>IF(COUNTIF($C$4:C2585,C2585)=1,1,0)</f>
        <v>1</v>
      </c>
      <c r="K2585" s="1">
        <f t="shared" si="40"/>
        <v>2024</v>
      </c>
    </row>
    <row r="2586" spans="2:11" x14ac:dyDescent="0.45">
      <c r="B2586" s="1" t="s">
        <v>11</v>
      </c>
      <c r="C2586" s="1" t="s">
        <v>2576</v>
      </c>
      <c r="D2586" s="7">
        <v>43631</v>
      </c>
      <c r="E2586" s="7">
        <v>43657</v>
      </c>
      <c r="F2586" s="7">
        <v>43689</v>
      </c>
      <c r="G2586" s="1" t="s">
        <v>38</v>
      </c>
      <c r="H2586" s="8">
        <v>2184134.73</v>
      </c>
      <c r="I2586" s="8">
        <v>1736638.07</v>
      </c>
      <c r="J2586" s="1">
        <f>IF(COUNTIF($C$4:C2586,C2586)=1,1,0)</f>
        <v>1</v>
      </c>
      <c r="K2586" s="1">
        <f t="shared" si="40"/>
        <v>2019</v>
      </c>
    </row>
    <row r="2587" spans="2:11" x14ac:dyDescent="0.45">
      <c r="B2587" s="1" t="s">
        <v>11</v>
      </c>
      <c r="C2587" s="1" t="s">
        <v>2577</v>
      </c>
      <c r="D2587" s="7">
        <v>46191</v>
      </c>
      <c r="E2587" s="7">
        <v>46194</v>
      </c>
      <c r="F2587" s="7">
        <v>46342</v>
      </c>
      <c r="G2587" s="1" t="s">
        <v>20</v>
      </c>
      <c r="H2587" s="8">
        <v>320975554.51999998</v>
      </c>
      <c r="I2587" s="8">
        <v>135268939.34</v>
      </c>
      <c r="J2587" s="1">
        <f>IF(COUNTIF($C$4:C2587,C2587)=1,1,0)</f>
        <v>1</v>
      </c>
      <c r="K2587" s="1">
        <f t="shared" si="40"/>
        <v>2026</v>
      </c>
    </row>
    <row r="2588" spans="2:11" x14ac:dyDescent="0.45">
      <c r="B2588" s="1" t="s">
        <v>11</v>
      </c>
      <c r="C2588" s="1" t="s">
        <v>2578</v>
      </c>
      <c r="D2588" s="7">
        <v>45105</v>
      </c>
      <c r="E2588" s="7">
        <v>45111</v>
      </c>
      <c r="F2588" s="7">
        <v>45119</v>
      </c>
      <c r="G2588" s="1" t="s">
        <v>13</v>
      </c>
      <c r="H2588" s="8">
        <v>4608175.38</v>
      </c>
      <c r="I2588" s="8">
        <v>2233579.98</v>
      </c>
      <c r="J2588" s="1">
        <f>IF(COUNTIF($C$4:C2588,C2588)=1,1,0)</f>
        <v>1</v>
      </c>
      <c r="K2588" s="1">
        <f t="shared" si="40"/>
        <v>2023</v>
      </c>
    </row>
    <row r="2589" spans="2:11" x14ac:dyDescent="0.45">
      <c r="B2589" s="1" t="s">
        <v>11</v>
      </c>
      <c r="C2589" s="1" t="s">
        <v>2579</v>
      </c>
      <c r="D2589" s="7">
        <v>44030</v>
      </c>
      <c r="E2589" s="7">
        <v>44055</v>
      </c>
      <c r="F2589" s="7">
        <v>44143</v>
      </c>
      <c r="G2589" s="1" t="s">
        <v>212</v>
      </c>
      <c r="H2589" s="8">
        <v>49754094.789999999</v>
      </c>
      <c r="I2589" s="8">
        <v>17866549.390000001</v>
      </c>
      <c r="J2589" s="1">
        <f>IF(COUNTIF($C$4:C2589,C2589)=1,1,0)</f>
        <v>1</v>
      </c>
      <c r="K2589" s="1">
        <f t="shared" si="40"/>
        <v>2020</v>
      </c>
    </row>
    <row r="2590" spans="2:11" x14ac:dyDescent="0.45">
      <c r="B2590" s="1" t="s">
        <v>11</v>
      </c>
      <c r="C2590" s="1" t="s">
        <v>2580</v>
      </c>
      <c r="D2590" s="7">
        <v>45543</v>
      </c>
      <c r="E2590" s="7">
        <v>45549</v>
      </c>
      <c r="F2590" s="7">
        <v>45715</v>
      </c>
      <c r="G2590" s="1" t="s">
        <v>20</v>
      </c>
      <c r="H2590" s="8">
        <v>1444363.97</v>
      </c>
      <c r="I2590" s="8">
        <v>770919.59</v>
      </c>
      <c r="J2590" s="1">
        <f>IF(COUNTIF($C$4:C2590,C2590)=1,1,0)</f>
        <v>1</v>
      </c>
      <c r="K2590" s="1">
        <f t="shared" si="40"/>
        <v>2024</v>
      </c>
    </row>
    <row r="2591" spans="2:11" x14ac:dyDescent="0.45">
      <c r="B2591" s="1" t="s">
        <v>11</v>
      </c>
      <c r="C2591" s="1" t="s">
        <v>2581</v>
      </c>
      <c r="D2591" s="7">
        <v>43540</v>
      </c>
      <c r="E2591" s="7">
        <v>43567</v>
      </c>
      <c r="F2591" s="7">
        <v>43709</v>
      </c>
      <c r="G2591" s="1" t="s">
        <v>44</v>
      </c>
      <c r="H2591" s="8">
        <v>73602484.090000004</v>
      </c>
      <c r="I2591" s="8">
        <v>47239885.060000002</v>
      </c>
      <c r="J2591" s="1">
        <f>IF(COUNTIF($C$4:C2591,C2591)=1,1,0)</f>
        <v>1</v>
      </c>
      <c r="K2591" s="1">
        <f t="shared" si="40"/>
        <v>2019</v>
      </c>
    </row>
    <row r="2592" spans="2:11" x14ac:dyDescent="0.45">
      <c r="B2592" s="1" t="s">
        <v>11</v>
      </c>
      <c r="C2592" s="1" t="s">
        <v>2582</v>
      </c>
      <c r="D2592" s="7">
        <v>43865</v>
      </c>
      <c r="E2592" s="7">
        <v>43867</v>
      </c>
      <c r="F2592" s="7">
        <v>43971</v>
      </c>
      <c r="G2592" s="1" t="s">
        <v>38</v>
      </c>
      <c r="H2592" s="8">
        <v>572120.73</v>
      </c>
      <c r="I2592" s="8">
        <v>464675.67</v>
      </c>
      <c r="J2592" s="1">
        <f>IF(COUNTIF($C$4:C2592,C2592)=1,1,0)</f>
        <v>1</v>
      </c>
      <c r="K2592" s="1">
        <f t="shared" si="40"/>
        <v>2020</v>
      </c>
    </row>
    <row r="2593" spans="2:11" x14ac:dyDescent="0.45">
      <c r="B2593" s="1" t="s">
        <v>11</v>
      </c>
      <c r="C2593" s="1" t="s">
        <v>2583</v>
      </c>
      <c r="D2593" s="7">
        <v>45157</v>
      </c>
      <c r="E2593" s="7">
        <v>45157</v>
      </c>
      <c r="F2593" s="7">
        <v>45205</v>
      </c>
      <c r="G2593" s="1" t="s">
        <v>212</v>
      </c>
      <c r="H2593" s="8">
        <v>16680729.560000001</v>
      </c>
      <c r="I2593" s="8">
        <v>7541911.6600000001</v>
      </c>
      <c r="J2593" s="1">
        <f>IF(COUNTIF($C$4:C2593,C2593)=1,1,0)</f>
        <v>1</v>
      </c>
      <c r="K2593" s="1">
        <f t="shared" si="40"/>
        <v>2023</v>
      </c>
    </row>
    <row r="2594" spans="2:11" x14ac:dyDescent="0.45">
      <c r="B2594" s="1" t="s">
        <v>11</v>
      </c>
      <c r="C2594" s="1" t="s">
        <v>2584</v>
      </c>
      <c r="D2594" s="7">
        <v>45026</v>
      </c>
      <c r="E2594" s="7">
        <v>45056</v>
      </c>
      <c r="F2594" s="7">
        <v>45173</v>
      </c>
      <c r="G2594" s="1" t="s">
        <v>38</v>
      </c>
      <c r="H2594" s="8">
        <v>720971.46</v>
      </c>
      <c r="I2594" s="8">
        <v>562451.82999999996</v>
      </c>
      <c r="J2594" s="1">
        <f>IF(COUNTIF($C$4:C2594,C2594)=1,1,0)</f>
        <v>1</v>
      </c>
      <c r="K2594" s="1">
        <f t="shared" si="40"/>
        <v>2023</v>
      </c>
    </row>
    <row r="2595" spans="2:11" x14ac:dyDescent="0.45">
      <c r="B2595" s="1" t="s">
        <v>11</v>
      </c>
      <c r="C2595" s="1" t="s">
        <v>2585</v>
      </c>
      <c r="D2595" s="7">
        <v>44059</v>
      </c>
      <c r="E2595" s="7">
        <v>44088</v>
      </c>
      <c r="F2595" s="7">
        <v>44267</v>
      </c>
      <c r="G2595" s="1" t="s">
        <v>41</v>
      </c>
      <c r="H2595" s="8">
        <v>29317.37</v>
      </c>
      <c r="I2595" s="8">
        <v>20632.71</v>
      </c>
      <c r="J2595" s="1">
        <f>IF(COUNTIF($C$4:C2595,C2595)=1,1,0)</f>
        <v>1</v>
      </c>
      <c r="K2595" s="1">
        <f t="shared" si="40"/>
        <v>2020</v>
      </c>
    </row>
    <row r="2596" spans="2:11" x14ac:dyDescent="0.45">
      <c r="B2596" s="1" t="s">
        <v>11</v>
      </c>
      <c r="C2596" s="1" t="s">
        <v>2586</v>
      </c>
      <c r="D2596" s="7">
        <v>44077</v>
      </c>
      <c r="E2596" s="7">
        <v>44081</v>
      </c>
      <c r="F2596" s="7">
        <v>44239</v>
      </c>
      <c r="G2596" s="1" t="s">
        <v>20</v>
      </c>
      <c r="H2596" s="8">
        <v>57844537.670000002</v>
      </c>
      <c r="I2596" s="8">
        <v>36733287.810000002</v>
      </c>
      <c r="J2596" s="1">
        <f>IF(COUNTIF($C$4:C2596,C2596)=1,1,0)</f>
        <v>1</v>
      </c>
      <c r="K2596" s="1">
        <f t="shared" si="40"/>
        <v>2020</v>
      </c>
    </row>
    <row r="2597" spans="2:11" x14ac:dyDescent="0.45">
      <c r="B2597" s="1" t="s">
        <v>11</v>
      </c>
      <c r="C2597" s="1" t="s">
        <v>2587</v>
      </c>
      <c r="D2597" s="7">
        <v>45312</v>
      </c>
      <c r="E2597" s="7">
        <v>45342</v>
      </c>
      <c r="F2597" s="7">
        <v>45423</v>
      </c>
      <c r="G2597" s="1" t="s">
        <v>20</v>
      </c>
      <c r="H2597" s="8">
        <v>100910985.5</v>
      </c>
      <c r="I2597" s="8">
        <v>59283645.670000002</v>
      </c>
      <c r="J2597" s="1">
        <f>IF(COUNTIF($C$4:C2597,C2597)=1,1,0)</f>
        <v>1</v>
      </c>
      <c r="K2597" s="1">
        <f t="shared" si="40"/>
        <v>2024</v>
      </c>
    </row>
    <row r="2598" spans="2:11" x14ac:dyDescent="0.45">
      <c r="B2598" s="1" t="s">
        <v>11</v>
      </c>
      <c r="C2598" s="1" t="s">
        <v>2588</v>
      </c>
      <c r="D2598" s="7">
        <v>44048</v>
      </c>
      <c r="E2598" s="7">
        <v>44067</v>
      </c>
      <c r="F2598" s="7">
        <v>44200</v>
      </c>
      <c r="G2598" s="1" t="s">
        <v>44</v>
      </c>
      <c r="H2598" s="8">
        <v>301735412.43000001</v>
      </c>
      <c r="I2598" s="8">
        <v>164896950.00999999</v>
      </c>
      <c r="J2598" s="1">
        <f>IF(COUNTIF($C$4:C2598,C2598)=1,1,0)</f>
        <v>1</v>
      </c>
      <c r="K2598" s="1">
        <f t="shared" si="40"/>
        <v>2020</v>
      </c>
    </row>
    <row r="2599" spans="2:11" x14ac:dyDescent="0.45">
      <c r="B2599" s="1" t="s">
        <v>11</v>
      </c>
      <c r="C2599" s="1" t="s">
        <v>2589</v>
      </c>
      <c r="D2599" s="7">
        <v>45768</v>
      </c>
      <c r="E2599" s="7">
        <v>45777</v>
      </c>
      <c r="F2599" s="7">
        <v>45799</v>
      </c>
      <c r="G2599" s="1" t="s">
        <v>41</v>
      </c>
      <c r="H2599" s="8">
        <v>149782.16</v>
      </c>
      <c r="I2599" s="8">
        <v>121399.37</v>
      </c>
      <c r="J2599" s="1">
        <f>IF(COUNTIF($C$4:C2599,C2599)=1,1,0)</f>
        <v>1</v>
      </c>
      <c r="K2599" s="1">
        <f t="shared" si="40"/>
        <v>2025</v>
      </c>
    </row>
    <row r="2600" spans="2:11" x14ac:dyDescent="0.45">
      <c r="B2600" s="1" t="s">
        <v>11</v>
      </c>
      <c r="C2600" s="1" t="s">
        <v>2590</v>
      </c>
      <c r="D2600" s="7">
        <v>43682</v>
      </c>
      <c r="E2600" s="7">
        <v>43685</v>
      </c>
      <c r="F2600" s="7">
        <v>43712</v>
      </c>
      <c r="G2600" s="1" t="s">
        <v>212</v>
      </c>
      <c r="H2600" s="8">
        <v>3635098.17</v>
      </c>
      <c r="I2600" s="8">
        <v>1112248.56</v>
      </c>
      <c r="J2600" s="1">
        <f>IF(COUNTIF($C$4:C2600,C2600)=1,1,0)</f>
        <v>1</v>
      </c>
      <c r="K2600" s="1">
        <f t="shared" si="40"/>
        <v>2019</v>
      </c>
    </row>
    <row r="2601" spans="2:11" x14ac:dyDescent="0.45">
      <c r="B2601" s="1" t="s">
        <v>11</v>
      </c>
      <c r="C2601" s="1" t="s">
        <v>2591</v>
      </c>
      <c r="D2601" s="7">
        <v>43766</v>
      </c>
      <c r="E2601" s="7">
        <v>43767</v>
      </c>
      <c r="F2601" s="7">
        <v>43837</v>
      </c>
      <c r="G2601" s="1" t="s">
        <v>20</v>
      </c>
      <c r="H2601" s="8">
        <v>28408814.48</v>
      </c>
      <c r="I2601" s="8">
        <v>15394383.23</v>
      </c>
      <c r="J2601" s="1">
        <f>IF(COUNTIF($C$4:C2601,C2601)=1,1,0)</f>
        <v>1</v>
      </c>
      <c r="K2601" s="1">
        <f t="shared" si="40"/>
        <v>2019</v>
      </c>
    </row>
    <row r="2602" spans="2:11" x14ac:dyDescent="0.45">
      <c r="B2602" s="1" t="s">
        <v>11</v>
      </c>
      <c r="C2602" s="1" t="s">
        <v>2592</v>
      </c>
      <c r="D2602" s="7">
        <v>44157</v>
      </c>
      <c r="E2602" s="7">
        <v>44184</v>
      </c>
      <c r="F2602" s="7">
        <v>44286</v>
      </c>
      <c r="G2602" s="1" t="s">
        <v>41</v>
      </c>
      <c r="H2602" s="8">
        <v>452434.39</v>
      </c>
      <c r="I2602" s="8">
        <v>312049.14</v>
      </c>
      <c r="J2602" s="1">
        <f>IF(COUNTIF($C$4:C2602,C2602)=1,1,0)</f>
        <v>1</v>
      </c>
      <c r="K2602" s="1">
        <f t="shared" si="40"/>
        <v>2020</v>
      </c>
    </row>
    <row r="2603" spans="2:11" x14ac:dyDescent="0.45">
      <c r="B2603" s="1" t="s">
        <v>11</v>
      </c>
      <c r="C2603" s="1" t="s">
        <v>2593</v>
      </c>
      <c r="D2603" s="7">
        <v>45917</v>
      </c>
      <c r="E2603" s="7">
        <v>45919</v>
      </c>
      <c r="F2603" s="7">
        <v>46052</v>
      </c>
      <c r="G2603" s="1" t="s">
        <v>212</v>
      </c>
      <c r="H2603" s="8">
        <v>6827452.7300000004</v>
      </c>
      <c r="I2603" s="8">
        <v>2760434.62</v>
      </c>
      <c r="J2603" s="1">
        <f>IF(COUNTIF($C$4:C2603,C2603)=1,1,0)</f>
        <v>1</v>
      </c>
      <c r="K2603" s="1">
        <f t="shared" si="40"/>
        <v>2025</v>
      </c>
    </row>
    <row r="2604" spans="2:11" x14ac:dyDescent="0.45">
      <c r="B2604" s="1" t="s">
        <v>11</v>
      </c>
      <c r="C2604" s="1" t="s">
        <v>2594</v>
      </c>
      <c r="D2604" s="7">
        <v>45586</v>
      </c>
      <c r="E2604" s="7">
        <v>45589</v>
      </c>
      <c r="F2604" s="7">
        <v>45723</v>
      </c>
      <c r="G2604" s="1" t="s">
        <v>212</v>
      </c>
      <c r="H2604" s="8">
        <v>3682955.21</v>
      </c>
      <c r="I2604" s="8">
        <v>1994842.14</v>
      </c>
      <c r="J2604" s="1">
        <f>IF(COUNTIF($C$4:C2604,C2604)=1,1,0)</f>
        <v>1</v>
      </c>
      <c r="K2604" s="1">
        <f t="shared" si="40"/>
        <v>2024</v>
      </c>
    </row>
    <row r="2605" spans="2:11" x14ac:dyDescent="0.45">
      <c r="B2605" s="1" t="s">
        <v>11</v>
      </c>
      <c r="C2605" s="1" t="s">
        <v>2595</v>
      </c>
      <c r="D2605" s="7">
        <v>44562</v>
      </c>
      <c r="E2605" s="7">
        <v>44563</v>
      </c>
      <c r="F2605" s="7">
        <v>44674</v>
      </c>
      <c r="G2605" s="1" t="s">
        <v>41</v>
      </c>
      <c r="H2605" s="8">
        <v>880674.71</v>
      </c>
      <c r="I2605" s="8">
        <v>706202.66</v>
      </c>
      <c r="J2605" s="1">
        <f>IF(COUNTIF($C$4:C2605,C2605)=1,1,0)</f>
        <v>1</v>
      </c>
      <c r="K2605" s="1">
        <f t="shared" si="40"/>
        <v>2022</v>
      </c>
    </row>
    <row r="2606" spans="2:11" x14ac:dyDescent="0.45">
      <c r="B2606" s="1" t="s">
        <v>11</v>
      </c>
      <c r="C2606" s="1" t="s">
        <v>2596</v>
      </c>
      <c r="D2606" s="7">
        <v>44627</v>
      </c>
      <c r="E2606" s="7">
        <v>44639</v>
      </c>
      <c r="F2606" s="7">
        <v>44796</v>
      </c>
      <c r="G2606" s="1" t="s">
        <v>212</v>
      </c>
      <c r="H2606" s="8">
        <v>40072824.689999998</v>
      </c>
      <c r="I2606" s="8">
        <v>28066372.77</v>
      </c>
      <c r="J2606" s="1">
        <f>IF(COUNTIF($C$4:C2606,C2606)=1,1,0)</f>
        <v>1</v>
      </c>
      <c r="K2606" s="1">
        <f t="shared" si="40"/>
        <v>2022</v>
      </c>
    </row>
    <row r="2607" spans="2:11" x14ac:dyDescent="0.45">
      <c r="B2607" s="1" t="s">
        <v>11</v>
      </c>
      <c r="C2607" s="1" t="s">
        <v>2597</v>
      </c>
      <c r="D2607" s="7">
        <v>45915</v>
      </c>
      <c r="E2607" s="7">
        <v>45923</v>
      </c>
      <c r="F2607" s="7">
        <v>46122</v>
      </c>
      <c r="G2607" s="1" t="s">
        <v>41</v>
      </c>
      <c r="H2607" s="8">
        <v>40626.160000000003</v>
      </c>
      <c r="I2607" s="8">
        <v>28036.32</v>
      </c>
      <c r="J2607" s="1">
        <f>IF(COUNTIF($C$4:C2607,C2607)=1,1,0)</f>
        <v>1</v>
      </c>
      <c r="K2607" s="1">
        <f t="shared" si="40"/>
        <v>2025</v>
      </c>
    </row>
    <row r="2608" spans="2:11" x14ac:dyDescent="0.45">
      <c r="B2608" s="1" t="s">
        <v>11</v>
      </c>
      <c r="C2608" s="1" t="s">
        <v>2598</v>
      </c>
      <c r="D2608" s="7">
        <v>44125</v>
      </c>
      <c r="E2608" s="7">
        <v>44131</v>
      </c>
      <c r="F2608" s="7">
        <v>44270</v>
      </c>
      <c r="G2608" s="1" t="s">
        <v>212</v>
      </c>
      <c r="H2608" s="8">
        <v>22596685.699999999</v>
      </c>
      <c r="I2608" s="8">
        <v>15988677.09</v>
      </c>
      <c r="J2608" s="1">
        <f>IF(COUNTIF($C$4:C2608,C2608)=1,1,0)</f>
        <v>1</v>
      </c>
      <c r="K2608" s="1">
        <f t="shared" si="40"/>
        <v>2020</v>
      </c>
    </row>
    <row r="2609" spans="2:11" x14ac:dyDescent="0.45">
      <c r="B2609" s="1" t="s">
        <v>11</v>
      </c>
      <c r="C2609" s="1" t="s">
        <v>2599</v>
      </c>
      <c r="D2609" s="7">
        <v>45513</v>
      </c>
      <c r="E2609" s="7">
        <v>45525</v>
      </c>
      <c r="F2609" s="7">
        <v>45706</v>
      </c>
      <c r="G2609" s="1" t="s">
        <v>212</v>
      </c>
      <c r="H2609" s="8">
        <v>33008749.399999999</v>
      </c>
      <c r="I2609" s="8">
        <v>13819575.880000001</v>
      </c>
      <c r="J2609" s="1">
        <f>IF(COUNTIF($C$4:C2609,C2609)=1,1,0)</f>
        <v>1</v>
      </c>
      <c r="K2609" s="1">
        <f t="shared" si="40"/>
        <v>2024</v>
      </c>
    </row>
    <row r="2610" spans="2:11" x14ac:dyDescent="0.45">
      <c r="B2610" s="1" t="s">
        <v>11</v>
      </c>
      <c r="C2610" s="1" t="s">
        <v>2600</v>
      </c>
      <c r="D2610" s="7">
        <v>45031</v>
      </c>
      <c r="E2610" s="7">
        <v>45049</v>
      </c>
      <c r="F2610" s="7">
        <v>45099</v>
      </c>
      <c r="G2610" s="1" t="s">
        <v>44</v>
      </c>
      <c r="H2610" s="8">
        <v>21104852.510000002</v>
      </c>
      <c r="I2610" s="8">
        <v>15897771.57</v>
      </c>
      <c r="J2610" s="1">
        <f>IF(COUNTIF($C$4:C2610,C2610)=1,1,0)</f>
        <v>1</v>
      </c>
      <c r="K2610" s="1">
        <f t="shared" si="40"/>
        <v>2023</v>
      </c>
    </row>
    <row r="2611" spans="2:11" x14ac:dyDescent="0.45">
      <c r="B2611" s="1" t="s">
        <v>11</v>
      </c>
      <c r="C2611" s="1" t="s">
        <v>2601</v>
      </c>
      <c r="D2611" s="7">
        <v>43550</v>
      </c>
      <c r="E2611" s="7">
        <v>43551</v>
      </c>
      <c r="F2611" s="7">
        <v>43664</v>
      </c>
      <c r="G2611" s="1" t="s">
        <v>212</v>
      </c>
      <c r="H2611" s="8">
        <v>4158793.38</v>
      </c>
      <c r="I2611" s="8">
        <v>1952156.6</v>
      </c>
      <c r="J2611" s="1">
        <f>IF(COUNTIF($C$4:C2611,C2611)=1,1,0)</f>
        <v>1</v>
      </c>
      <c r="K2611" s="1">
        <f t="shared" si="40"/>
        <v>2019</v>
      </c>
    </row>
    <row r="2612" spans="2:11" x14ac:dyDescent="0.45">
      <c r="B2612" s="1" t="s">
        <v>11</v>
      </c>
      <c r="C2612" s="1" t="s">
        <v>2602</v>
      </c>
      <c r="D2612" s="7">
        <v>45052</v>
      </c>
      <c r="E2612" s="7">
        <v>45076</v>
      </c>
      <c r="F2612" s="7">
        <v>45288</v>
      </c>
      <c r="G2612" s="1" t="s">
        <v>44</v>
      </c>
      <c r="H2612" s="8">
        <v>285792301.89999998</v>
      </c>
      <c r="I2612" s="8">
        <v>195662013.30000001</v>
      </c>
      <c r="J2612" s="1">
        <f>IF(COUNTIF($C$4:C2612,C2612)=1,1,0)</f>
        <v>1</v>
      </c>
      <c r="K2612" s="1">
        <f t="shared" si="40"/>
        <v>2023</v>
      </c>
    </row>
    <row r="2613" spans="2:11" x14ac:dyDescent="0.45">
      <c r="B2613" s="1" t="s">
        <v>11</v>
      </c>
      <c r="C2613" s="1" t="s">
        <v>2603</v>
      </c>
      <c r="D2613" s="7">
        <v>43876</v>
      </c>
      <c r="E2613" s="7">
        <v>43893</v>
      </c>
      <c r="F2613" s="7">
        <v>44087</v>
      </c>
      <c r="G2613" s="1" t="s">
        <v>41</v>
      </c>
      <c r="H2613" s="8">
        <v>81056.929999999993</v>
      </c>
      <c r="I2613" s="8">
        <v>72327.520000000004</v>
      </c>
      <c r="J2613" s="1">
        <f>IF(COUNTIF($C$4:C2613,C2613)=1,1,0)</f>
        <v>1</v>
      </c>
      <c r="K2613" s="1">
        <f t="shared" si="40"/>
        <v>2020</v>
      </c>
    </row>
    <row r="2614" spans="2:11" x14ac:dyDescent="0.45">
      <c r="B2614" s="1" t="s">
        <v>11</v>
      </c>
      <c r="C2614" s="1" t="s">
        <v>2604</v>
      </c>
      <c r="D2614" s="7">
        <v>45721</v>
      </c>
      <c r="E2614" s="7">
        <v>45725</v>
      </c>
      <c r="F2614" s="7">
        <v>45873</v>
      </c>
      <c r="G2614" s="1" t="s">
        <v>20</v>
      </c>
      <c r="H2614" s="8">
        <v>2223307.67</v>
      </c>
      <c r="I2614" s="8">
        <v>1775623.33</v>
      </c>
      <c r="J2614" s="1">
        <f>IF(COUNTIF($C$4:C2614,C2614)=1,1,0)</f>
        <v>1</v>
      </c>
      <c r="K2614" s="1">
        <f t="shared" si="40"/>
        <v>2025</v>
      </c>
    </row>
    <row r="2615" spans="2:11" x14ac:dyDescent="0.45">
      <c r="B2615" s="1" t="s">
        <v>11</v>
      </c>
      <c r="C2615" s="1" t="s">
        <v>2605</v>
      </c>
      <c r="D2615" s="7">
        <v>45582</v>
      </c>
      <c r="E2615" s="7">
        <v>45609</v>
      </c>
      <c r="F2615" s="7">
        <v>45748</v>
      </c>
      <c r="G2615" s="1" t="s">
        <v>20</v>
      </c>
      <c r="H2615" s="8">
        <v>233945.09</v>
      </c>
      <c r="I2615" s="8">
        <v>156066.28</v>
      </c>
      <c r="J2615" s="1">
        <f>IF(COUNTIF($C$4:C2615,C2615)=1,1,0)</f>
        <v>1</v>
      </c>
      <c r="K2615" s="1">
        <f t="shared" si="40"/>
        <v>2024</v>
      </c>
    </row>
    <row r="2616" spans="2:11" x14ac:dyDescent="0.45">
      <c r="B2616" s="1" t="s">
        <v>11</v>
      </c>
      <c r="C2616" s="1" t="s">
        <v>2606</v>
      </c>
      <c r="D2616" s="7">
        <v>44510</v>
      </c>
      <c r="E2616" s="7">
        <v>44528</v>
      </c>
      <c r="F2616" s="7">
        <v>44663</v>
      </c>
      <c r="G2616" s="1" t="s">
        <v>38</v>
      </c>
      <c r="H2616" s="8">
        <v>452690.03</v>
      </c>
      <c r="I2616" s="8">
        <v>389306.61</v>
      </c>
      <c r="J2616" s="1">
        <f>IF(COUNTIF($C$4:C2616,C2616)=1,1,0)</f>
        <v>1</v>
      </c>
      <c r="K2616" s="1">
        <f t="shared" si="40"/>
        <v>2021</v>
      </c>
    </row>
    <row r="2617" spans="2:11" x14ac:dyDescent="0.45">
      <c r="B2617" s="1" t="s">
        <v>11</v>
      </c>
      <c r="C2617" s="1" t="s">
        <v>2607</v>
      </c>
      <c r="D2617" s="7">
        <v>45649</v>
      </c>
      <c r="E2617" s="7">
        <v>45660</v>
      </c>
      <c r="F2617" s="7">
        <v>45873</v>
      </c>
      <c r="G2617" s="1" t="s">
        <v>20</v>
      </c>
      <c r="H2617" s="8">
        <v>1603609.95</v>
      </c>
      <c r="I2617" s="8">
        <v>937050.02</v>
      </c>
      <c r="J2617" s="1">
        <f>IF(COUNTIF($C$4:C2617,C2617)=1,1,0)</f>
        <v>1</v>
      </c>
      <c r="K2617" s="1">
        <f t="shared" si="40"/>
        <v>2024</v>
      </c>
    </row>
    <row r="2618" spans="2:11" x14ac:dyDescent="0.45">
      <c r="B2618" s="1" t="s">
        <v>11</v>
      </c>
      <c r="C2618" s="1" t="s">
        <v>2608</v>
      </c>
      <c r="D2618" s="7">
        <v>45293</v>
      </c>
      <c r="E2618" s="7">
        <v>45320</v>
      </c>
      <c r="F2618" s="7">
        <v>45462</v>
      </c>
      <c r="G2618" s="1" t="s">
        <v>20</v>
      </c>
      <c r="H2618" s="8">
        <v>328215.09000000003</v>
      </c>
      <c r="I2618" s="8">
        <v>244351.7</v>
      </c>
      <c r="J2618" s="1">
        <f>IF(COUNTIF($C$4:C2618,C2618)=1,1,0)</f>
        <v>1</v>
      </c>
      <c r="K2618" s="1">
        <f t="shared" si="40"/>
        <v>2024</v>
      </c>
    </row>
    <row r="2619" spans="2:11" x14ac:dyDescent="0.45">
      <c r="B2619" s="1" t="s">
        <v>11</v>
      </c>
      <c r="C2619" s="1" t="s">
        <v>2609</v>
      </c>
      <c r="D2619" s="7">
        <v>44416</v>
      </c>
      <c r="E2619" s="7">
        <v>44417</v>
      </c>
      <c r="F2619" s="7">
        <v>44430</v>
      </c>
      <c r="G2619" s="1" t="s">
        <v>44</v>
      </c>
      <c r="H2619" s="8">
        <v>62132400.409999996</v>
      </c>
      <c r="I2619" s="8">
        <v>16089912.039999999</v>
      </c>
      <c r="J2619" s="1">
        <f>IF(COUNTIF($C$4:C2619,C2619)=1,1,0)</f>
        <v>1</v>
      </c>
      <c r="K2619" s="1">
        <f t="shared" si="40"/>
        <v>2021</v>
      </c>
    </row>
    <row r="2620" spans="2:11" x14ac:dyDescent="0.45">
      <c r="B2620" s="1" t="s">
        <v>11</v>
      </c>
      <c r="C2620" s="1" t="s">
        <v>2610</v>
      </c>
      <c r="D2620" s="7">
        <v>44562</v>
      </c>
      <c r="E2620" s="7">
        <v>44586</v>
      </c>
      <c r="F2620" s="7">
        <v>44679</v>
      </c>
      <c r="G2620" s="1" t="s">
        <v>44</v>
      </c>
      <c r="H2620" s="8">
        <v>206324816.86000001</v>
      </c>
      <c r="I2620" s="8">
        <v>83071374.819999993</v>
      </c>
      <c r="J2620" s="1">
        <f>IF(COUNTIF($C$4:C2620,C2620)=1,1,0)</f>
        <v>1</v>
      </c>
      <c r="K2620" s="1">
        <f t="shared" si="40"/>
        <v>2022</v>
      </c>
    </row>
    <row r="2621" spans="2:11" x14ac:dyDescent="0.45">
      <c r="B2621" s="1" t="s">
        <v>11</v>
      </c>
      <c r="C2621" s="1" t="s">
        <v>2611</v>
      </c>
      <c r="D2621" s="7">
        <v>44180</v>
      </c>
      <c r="E2621" s="7">
        <v>44201</v>
      </c>
      <c r="F2621" s="7">
        <v>44233</v>
      </c>
      <c r="G2621" s="1" t="s">
        <v>212</v>
      </c>
      <c r="H2621" s="8">
        <v>138827976.13999999</v>
      </c>
      <c r="I2621" s="8">
        <v>71258558</v>
      </c>
      <c r="J2621" s="1">
        <f>IF(COUNTIF($C$4:C2621,C2621)=1,1,0)</f>
        <v>1</v>
      </c>
      <c r="K2621" s="1">
        <f t="shared" si="40"/>
        <v>2020</v>
      </c>
    </row>
    <row r="2622" spans="2:11" x14ac:dyDescent="0.45">
      <c r="B2622" s="1" t="s">
        <v>11</v>
      </c>
      <c r="C2622" s="1" t="s">
        <v>2612</v>
      </c>
      <c r="D2622" s="7">
        <v>43629</v>
      </c>
      <c r="E2622" s="7">
        <v>43629</v>
      </c>
      <c r="F2622" s="7">
        <v>43807</v>
      </c>
      <c r="G2622" s="1" t="s">
        <v>18</v>
      </c>
      <c r="H2622" s="8">
        <v>2114536.7000000002</v>
      </c>
      <c r="I2622" s="8">
        <v>1391036.74</v>
      </c>
      <c r="J2622" s="1">
        <f>IF(COUNTIF($C$4:C2622,C2622)=1,1,0)</f>
        <v>1</v>
      </c>
      <c r="K2622" s="1">
        <f t="shared" si="40"/>
        <v>2019</v>
      </c>
    </row>
    <row r="2623" spans="2:11" x14ac:dyDescent="0.45">
      <c r="B2623" s="1" t="s">
        <v>11</v>
      </c>
      <c r="C2623" s="1" t="s">
        <v>2613</v>
      </c>
      <c r="D2623" s="7">
        <v>44027</v>
      </c>
      <c r="E2623" s="7">
        <v>44047</v>
      </c>
      <c r="F2623" s="7">
        <v>44072</v>
      </c>
      <c r="G2623" s="1" t="s">
        <v>212</v>
      </c>
      <c r="H2623" s="8">
        <v>11999658.42</v>
      </c>
      <c r="I2623" s="8">
        <v>3895872.96</v>
      </c>
      <c r="J2623" s="1">
        <f>IF(COUNTIF($C$4:C2623,C2623)=1,1,0)</f>
        <v>1</v>
      </c>
      <c r="K2623" s="1">
        <f t="shared" si="40"/>
        <v>2020</v>
      </c>
    </row>
    <row r="2624" spans="2:11" x14ac:dyDescent="0.45">
      <c r="B2624" s="1" t="s">
        <v>11</v>
      </c>
      <c r="C2624" s="1" t="s">
        <v>2614</v>
      </c>
      <c r="D2624" s="7">
        <v>43958</v>
      </c>
      <c r="E2624" s="7">
        <v>43966</v>
      </c>
      <c r="F2624" s="7">
        <v>44042</v>
      </c>
      <c r="G2624" s="1" t="s">
        <v>38</v>
      </c>
      <c r="H2624" s="8">
        <v>36417.65</v>
      </c>
      <c r="I2624" s="8">
        <v>23663.71</v>
      </c>
      <c r="J2624" s="1">
        <f>IF(COUNTIF($C$4:C2624,C2624)=1,1,0)</f>
        <v>1</v>
      </c>
      <c r="K2624" s="1">
        <f t="shared" si="40"/>
        <v>2020</v>
      </c>
    </row>
    <row r="2625" spans="2:11" x14ac:dyDescent="0.45">
      <c r="B2625" s="1" t="s">
        <v>11</v>
      </c>
      <c r="C2625" s="1" t="s">
        <v>2615</v>
      </c>
      <c r="D2625" s="7">
        <v>44413</v>
      </c>
      <c r="E2625" s="7">
        <v>44427</v>
      </c>
      <c r="F2625" s="7">
        <v>44617</v>
      </c>
      <c r="G2625" s="1" t="s">
        <v>22</v>
      </c>
      <c r="H2625" s="8">
        <v>7021360.3700000001</v>
      </c>
      <c r="I2625" s="8">
        <v>5339554.5</v>
      </c>
      <c r="J2625" s="1">
        <f>IF(COUNTIF($C$4:C2625,C2625)=1,1,0)</f>
        <v>1</v>
      </c>
      <c r="K2625" s="1">
        <f t="shared" si="40"/>
        <v>2021</v>
      </c>
    </row>
    <row r="2626" spans="2:11" x14ac:dyDescent="0.45">
      <c r="B2626" s="1" t="s">
        <v>11</v>
      </c>
      <c r="C2626" s="1" t="s">
        <v>2616</v>
      </c>
      <c r="D2626" s="7">
        <v>43820</v>
      </c>
      <c r="E2626" s="7">
        <v>43842</v>
      </c>
      <c r="F2626" s="7">
        <v>43942</v>
      </c>
      <c r="G2626" s="1" t="s">
        <v>16</v>
      </c>
      <c r="H2626" s="8">
        <v>6072046.6799999997</v>
      </c>
      <c r="I2626" s="8">
        <v>4242514.74</v>
      </c>
      <c r="J2626" s="1">
        <f>IF(COUNTIF($C$4:C2626,C2626)=1,1,0)</f>
        <v>1</v>
      </c>
      <c r="K2626" s="1">
        <f t="shared" si="40"/>
        <v>2019</v>
      </c>
    </row>
    <row r="2627" spans="2:11" x14ac:dyDescent="0.45">
      <c r="B2627" s="1" t="s">
        <v>11</v>
      </c>
      <c r="C2627" s="1" t="s">
        <v>2617</v>
      </c>
      <c r="D2627" s="7">
        <v>45432</v>
      </c>
      <c r="E2627" s="7">
        <v>45455</v>
      </c>
      <c r="F2627" s="7">
        <v>45671</v>
      </c>
      <c r="G2627" s="1" t="s">
        <v>18</v>
      </c>
      <c r="H2627" s="8">
        <v>3607079.76</v>
      </c>
      <c r="I2627" s="8">
        <v>2884677.65</v>
      </c>
      <c r="J2627" s="1">
        <f>IF(COUNTIF($C$4:C2627,C2627)=1,1,0)</f>
        <v>1</v>
      </c>
      <c r="K2627" s="1">
        <f t="shared" si="40"/>
        <v>2024</v>
      </c>
    </row>
    <row r="2628" spans="2:11" x14ac:dyDescent="0.45">
      <c r="B2628" s="1" t="s">
        <v>11</v>
      </c>
      <c r="C2628" s="1" t="s">
        <v>2618</v>
      </c>
      <c r="D2628" s="7">
        <v>43597</v>
      </c>
      <c r="E2628" s="7">
        <v>43597</v>
      </c>
      <c r="F2628" s="7">
        <v>43643</v>
      </c>
      <c r="G2628" s="1" t="s">
        <v>16</v>
      </c>
      <c r="H2628" s="8">
        <v>4632869.28</v>
      </c>
      <c r="I2628" s="8">
        <v>3218835.18</v>
      </c>
      <c r="J2628" s="1">
        <f>IF(COUNTIF($C$4:C2628,C2628)=1,1,0)</f>
        <v>1</v>
      </c>
      <c r="K2628" s="1">
        <f t="shared" si="40"/>
        <v>2019</v>
      </c>
    </row>
    <row r="2629" spans="2:11" x14ac:dyDescent="0.45">
      <c r="B2629" s="1" t="s">
        <v>11</v>
      </c>
      <c r="C2629" s="1" t="s">
        <v>2619</v>
      </c>
      <c r="D2629" s="7">
        <v>45374</v>
      </c>
      <c r="E2629" s="7">
        <v>45383</v>
      </c>
      <c r="F2629" s="7">
        <v>45539</v>
      </c>
      <c r="G2629" s="1" t="s">
        <v>41</v>
      </c>
      <c r="H2629" s="8">
        <v>120410.52</v>
      </c>
      <c r="I2629" s="8">
        <v>86763.59</v>
      </c>
      <c r="J2629" s="1">
        <f>IF(COUNTIF($C$4:C2629,C2629)=1,1,0)</f>
        <v>1</v>
      </c>
      <c r="K2629" s="1">
        <f t="shared" ref="K2629:K2692" si="41">YEAR(D2629)</f>
        <v>2024</v>
      </c>
    </row>
    <row r="2630" spans="2:11" x14ac:dyDescent="0.45">
      <c r="B2630" s="1" t="s">
        <v>11</v>
      </c>
      <c r="C2630" s="1" t="s">
        <v>2620</v>
      </c>
      <c r="D2630" s="7">
        <v>44301</v>
      </c>
      <c r="E2630" s="7">
        <v>44317</v>
      </c>
      <c r="F2630" s="7">
        <v>44503</v>
      </c>
      <c r="G2630" s="1" t="s">
        <v>41</v>
      </c>
      <c r="H2630" s="8">
        <v>623978.92000000004</v>
      </c>
      <c r="I2630" s="8">
        <v>487968.83</v>
      </c>
      <c r="J2630" s="1">
        <f>IF(COUNTIF($C$4:C2630,C2630)=1,1,0)</f>
        <v>1</v>
      </c>
      <c r="K2630" s="1">
        <f t="shared" si="41"/>
        <v>2021</v>
      </c>
    </row>
    <row r="2631" spans="2:11" x14ac:dyDescent="0.45">
      <c r="B2631" s="1" t="s">
        <v>11</v>
      </c>
      <c r="C2631" s="1" t="s">
        <v>2621</v>
      </c>
      <c r="D2631" s="7">
        <v>44935</v>
      </c>
      <c r="E2631" s="7">
        <v>44964</v>
      </c>
      <c r="F2631" s="7">
        <v>45056</v>
      </c>
      <c r="G2631" s="1" t="s">
        <v>44</v>
      </c>
      <c r="H2631" s="8">
        <v>67561258.060000002</v>
      </c>
      <c r="I2631" s="8">
        <v>45914877.740000002</v>
      </c>
      <c r="J2631" s="1">
        <f>IF(COUNTIF($C$4:C2631,C2631)=1,1,0)</f>
        <v>1</v>
      </c>
      <c r="K2631" s="1">
        <f t="shared" si="41"/>
        <v>2023</v>
      </c>
    </row>
    <row r="2632" spans="2:11" x14ac:dyDescent="0.45">
      <c r="B2632" s="1" t="s">
        <v>11</v>
      </c>
      <c r="C2632" s="1" t="s">
        <v>2622</v>
      </c>
      <c r="D2632" s="7">
        <v>46004</v>
      </c>
      <c r="E2632" s="7">
        <v>46025</v>
      </c>
      <c r="F2632" s="7">
        <v>46132</v>
      </c>
      <c r="G2632" s="1" t="s">
        <v>20</v>
      </c>
      <c r="H2632" s="8">
        <v>102999696.72</v>
      </c>
      <c r="I2632" s="8">
        <v>60155776.369999997</v>
      </c>
      <c r="J2632" s="1">
        <f>IF(COUNTIF($C$4:C2632,C2632)=1,1,0)</f>
        <v>1</v>
      </c>
      <c r="K2632" s="1">
        <f t="shared" si="41"/>
        <v>2025</v>
      </c>
    </row>
    <row r="2633" spans="2:11" x14ac:dyDescent="0.45">
      <c r="B2633" s="1" t="s">
        <v>11</v>
      </c>
      <c r="C2633" s="1" t="s">
        <v>2623</v>
      </c>
      <c r="D2633" s="7">
        <v>44878</v>
      </c>
      <c r="E2633" s="7">
        <v>44892</v>
      </c>
      <c r="F2633" s="7">
        <v>44974</v>
      </c>
      <c r="G2633" s="1" t="s">
        <v>22</v>
      </c>
      <c r="H2633" s="8">
        <v>8481904.0800000001</v>
      </c>
      <c r="I2633" s="8">
        <v>3444423.92</v>
      </c>
      <c r="J2633" s="1">
        <f>IF(COUNTIF($C$4:C2633,C2633)=1,1,0)</f>
        <v>1</v>
      </c>
      <c r="K2633" s="1">
        <f t="shared" si="41"/>
        <v>2022</v>
      </c>
    </row>
    <row r="2634" spans="2:11" x14ac:dyDescent="0.45">
      <c r="B2634" s="1" t="s">
        <v>11</v>
      </c>
      <c r="C2634" s="1" t="s">
        <v>2624</v>
      </c>
      <c r="D2634" s="7">
        <v>44756</v>
      </c>
      <c r="E2634" s="7">
        <v>44783</v>
      </c>
      <c r="F2634" s="7">
        <v>44872</v>
      </c>
      <c r="G2634" s="1" t="s">
        <v>20</v>
      </c>
      <c r="H2634" s="8">
        <v>1332491.29</v>
      </c>
      <c r="I2634" s="8">
        <v>823286.89</v>
      </c>
      <c r="J2634" s="1">
        <f>IF(COUNTIF($C$4:C2634,C2634)=1,1,0)</f>
        <v>1</v>
      </c>
      <c r="K2634" s="1">
        <f t="shared" si="41"/>
        <v>2022</v>
      </c>
    </row>
    <row r="2635" spans="2:11" x14ac:dyDescent="0.45">
      <c r="B2635" s="1" t="s">
        <v>11</v>
      </c>
      <c r="C2635" s="1" t="s">
        <v>2625</v>
      </c>
      <c r="D2635" s="7">
        <v>43845</v>
      </c>
      <c r="E2635" s="7">
        <v>43845</v>
      </c>
      <c r="F2635" s="7">
        <v>43964</v>
      </c>
      <c r="G2635" s="1" t="s">
        <v>20</v>
      </c>
      <c r="H2635" s="8">
        <v>802104.1</v>
      </c>
      <c r="I2635" s="8">
        <v>485913.97</v>
      </c>
      <c r="J2635" s="1">
        <f>IF(COUNTIF($C$4:C2635,C2635)=1,1,0)</f>
        <v>1</v>
      </c>
      <c r="K2635" s="1">
        <f t="shared" si="41"/>
        <v>2020</v>
      </c>
    </row>
    <row r="2636" spans="2:11" x14ac:dyDescent="0.45">
      <c r="B2636" s="1" t="s">
        <v>11</v>
      </c>
      <c r="C2636" s="1" t="s">
        <v>2626</v>
      </c>
      <c r="D2636" s="7">
        <v>43937</v>
      </c>
      <c r="E2636" s="7">
        <v>43947</v>
      </c>
      <c r="F2636" s="7">
        <v>44050</v>
      </c>
      <c r="G2636" s="1" t="s">
        <v>44</v>
      </c>
      <c r="H2636" s="8">
        <v>267637452.03</v>
      </c>
      <c r="I2636" s="8">
        <v>144126635.90000001</v>
      </c>
      <c r="J2636" s="1">
        <f>IF(COUNTIF($C$4:C2636,C2636)=1,1,0)</f>
        <v>1</v>
      </c>
      <c r="K2636" s="1">
        <f t="shared" si="41"/>
        <v>2020</v>
      </c>
    </row>
    <row r="2637" spans="2:11" x14ac:dyDescent="0.45">
      <c r="B2637" s="1" t="s">
        <v>11</v>
      </c>
      <c r="C2637" s="1" t="s">
        <v>2627</v>
      </c>
      <c r="D2637" s="7">
        <v>43453</v>
      </c>
      <c r="E2637" s="7">
        <v>43470</v>
      </c>
      <c r="F2637" s="7">
        <v>43521</v>
      </c>
      <c r="G2637" s="1" t="s">
        <v>20</v>
      </c>
      <c r="H2637" s="8">
        <v>59681916.289999999</v>
      </c>
      <c r="I2637" s="8">
        <v>32043050.66</v>
      </c>
      <c r="J2637" s="1">
        <f>IF(COUNTIF($C$4:C2637,C2637)=1,1,0)</f>
        <v>1</v>
      </c>
      <c r="K2637" s="1">
        <f t="shared" si="41"/>
        <v>2018</v>
      </c>
    </row>
    <row r="2638" spans="2:11" x14ac:dyDescent="0.45">
      <c r="B2638" s="1" t="s">
        <v>11</v>
      </c>
      <c r="C2638" s="1" t="s">
        <v>2628</v>
      </c>
      <c r="D2638" s="7">
        <v>45000</v>
      </c>
      <c r="E2638" s="7">
        <v>45000</v>
      </c>
      <c r="F2638" s="7">
        <v>45035</v>
      </c>
      <c r="G2638" s="1" t="s">
        <v>44</v>
      </c>
      <c r="H2638" s="8">
        <v>44313794.869999997</v>
      </c>
      <c r="I2638" s="8">
        <v>28269811.170000002</v>
      </c>
      <c r="J2638" s="1">
        <f>IF(COUNTIF($C$4:C2638,C2638)=1,1,0)</f>
        <v>1</v>
      </c>
      <c r="K2638" s="1">
        <f t="shared" si="41"/>
        <v>2023</v>
      </c>
    </row>
    <row r="2639" spans="2:11" x14ac:dyDescent="0.45">
      <c r="B2639" s="1" t="s">
        <v>11</v>
      </c>
      <c r="C2639" s="1" t="s">
        <v>2629</v>
      </c>
      <c r="D2639" s="7">
        <v>44606</v>
      </c>
      <c r="E2639" s="7">
        <v>44622</v>
      </c>
      <c r="F2639" s="7">
        <v>44847</v>
      </c>
      <c r="G2639" s="1" t="s">
        <v>44</v>
      </c>
      <c r="H2639" s="8">
        <v>89212290.560000002</v>
      </c>
      <c r="I2639" s="8">
        <v>69082289.469999999</v>
      </c>
      <c r="J2639" s="1">
        <f>IF(COUNTIF($C$4:C2639,C2639)=1,1,0)</f>
        <v>1</v>
      </c>
      <c r="K2639" s="1">
        <f t="shared" si="41"/>
        <v>2022</v>
      </c>
    </row>
    <row r="2640" spans="2:11" x14ac:dyDescent="0.45">
      <c r="B2640" s="1" t="s">
        <v>11</v>
      </c>
      <c r="C2640" s="1" t="s">
        <v>2630</v>
      </c>
      <c r="D2640" s="7">
        <v>45097</v>
      </c>
      <c r="E2640" s="7">
        <v>45100</v>
      </c>
      <c r="F2640" s="7">
        <v>45253</v>
      </c>
      <c r="G2640" s="1" t="s">
        <v>44</v>
      </c>
      <c r="H2640" s="8">
        <v>81007706.400000006</v>
      </c>
      <c r="I2640" s="8">
        <v>53130336.409999996</v>
      </c>
      <c r="J2640" s="1">
        <f>IF(COUNTIF($C$4:C2640,C2640)=1,1,0)</f>
        <v>1</v>
      </c>
      <c r="K2640" s="1">
        <f t="shared" si="41"/>
        <v>2023</v>
      </c>
    </row>
    <row r="2641" spans="2:11" x14ac:dyDescent="0.45">
      <c r="B2641" s="1" t="s">
        <v>11</v>
      </c>
      <c r="C2641" s="1" t="s">
        <v>2631</v>
      </c>
      <c r="D2641" s="7">
        <v>44673</v>
      </c>
      <c r="E2641" s="7">
        <v>44691</v>
      </c>
      <c r="F2641" s="7">
        <v>44916</v>
      </c>
      <c r="G2641" s="1" t="s">
        <v>41</v>
      </c>
      <c r="H2641" s="8">
        <v>281221.62</v>
      </c>
      <c r="I2641" s="8">
        <v>201015.95</v>
      </c>
      <c r="J2641" s="1">
        <f>IF(COUNTIF($C$4:C2641,C2641)=1,1,0)</f>
        <v>1</v>
      </c>
      <c r="K2641" s="1">
        <f t="shared" si="41"/>
        <v>2022</v>
      </c>
    </row>
    <row r="2642" spans="2:11" x14ac:dyDescent="0.45">
      <c r="B2642" s="1" t="s">
        <v>11</v>
      </c>
      <c r="C2642" s="1" t="s">
        <v>2632</v>
      </c>
      <c r="D2642" s="7">
        <v>43915</v>
      </c>
      <c r="E2642" s="7">
        <v>43945</v>
      </c>
      <c r="F2642" s="7">
        <v>44025</v>
      </c>
      <c r="G2642" s="1" t="s">
        <v>41</v>
      </c>
      <c r="H2642" s="8">
        <v>50091.63</v>
      </c>
      <c r="I2642" s="8">
        <v>35990.78</v>
      </c>
      <c r="J2642" s="1">
        <f>IF(COUNTIF($C$4:C2642,C2642)=1,1,0)</f>
        <v>1</v>
      </c>
      <c r="K2642" s="1">
        <f t="shared" si="41"/>
        <v>2020</v>
      </c>
    </row>
    <row r="2643" spans="2:11" x14ac:dyDescent="0.45">
      <c r="B2643" s="1" t="s">
        <v>11</v>
      </c>
      <c r="C2643" s="1" t="s">
        <v>2633</v>
      </c>
      <c r="D2643" s="7">
        <v>43988</v>
      </c>
      <c r="E2643" s="7">
        <v>44014</v>
      </c>
      <c r="F2643" s="7">
        <v>44222</v>
      </c>
      <c r="G2643" s="1" t="s">
        <v>20</v>
      </c>
      <c r="H2643" s="8">
        <v>174811.67</v>
      </c>
      <c r="I2643" s="8">
        <v>100197.21</v>
      </c>
      <c r="J2643" s="1">
        <f>IF(COUNTIF($C$4:C2643,C2643)=1,1,0)</f>
        <v>1</v>
      </c>
      <c r="K2643" s="1">
        <f t="shared" si="41"/>
        <v>2020</v>
      </c>
    </row>
    <row r="2644" spans="2:11" x14ac:dyDescent="0.45">
      <c r="B2644" s="1" t="s">
        <v>11</v>
      </c>
      <c r="C2644" s="1" t="s">
        <v>2634</v>
      </c>
      <c r="D2644" s="7">
        <v>43461</v>
      </c>
      <c r="E2644" s="7">
        <v>43464</v>
      </c>
      <c r="F2644" s="7">
        <v>43688</v>
      </c>
      <c r="G2644" s="1" t="s">
        <v>38</v>
      </c>
      <c r="H2644" s="8">
        <v>347699.75</v>
      </c>
      <c r="I2644" s="8">
        <v>246206.9</v>
      </c>
      <c r="J2644" s="1">
        <f>IF(COUNTIF($C$4:C2644,C2644)=1,1,0)</f>
        <v>1</v>
      </c>
      <c r="K2644" s="1">
        <f t="shared" si="41"/>
        <v>2018</v>
      </c>
    </row>
    <row r="2645" spans="2:11" x14ac:dyDescent="0.45">
      <c r="B2645" s="1" t="s">
        <v>11</v>
      </c>
      <c r="C2645" s="1" t="s">
        <v>2635</v>
      </c>
      <c r="D2645" s="7">
        <v>46005</v>
      </c>
      <c r="E2645" s="7">
        <v>46020</v>
      </c>
      <c r="F2645" s="7">
        <v>46126</v>
      </c>
      <c r="G2645" s="1" t="s">
        <v>38</v>
      </c>
      <c r="H2645" s="8">
        <v>933066.59</v>
      </c>
      <c r="I2645" s="8">
        <v>768238.4</v>
      </c>
      <c r="J2645" s="1">
        <f>IF(COUNTIF($C$4:C2645,C2645)=1,1,0)</f>
        <v>1</v>
      </c>
      <c r="K2645" s="1">
        <f t="shared" si="41"/>
        <v>2025</v>
      </c>
    </row>
    <row r="2646" spans="2:11" x14ac:dyDescent="0.45">
      <c r="B2646" s="1" t="s">
        <v>11</v>
      </c>
      <c r="C2646" s="1" t="s">
        <v>2636</v>
      </c>
      <c r="D2646" s="7">
        <v>44059</v>
      </c>
      <c r="E2646" s="7">
        <v>44083</v>
      </c>
      <c r="F2646" s="7">
        <v>44174</v>
      </c>
      <c r="G2646" s="1" t="s">
        <v>16</v>
      </c>
      <c r="H2646" s="8">
        <v>14133185.130000001</v>
      </c>
      <c r="I2646" s="8">
        <v>10154780.289999999</v>
      </c>
      <c r="J2646" s="1">
        <f>IF(COUNTIF($C$4:C2646,C2646)=1,1,0)</f>
        <v>1</v>
      </c>
      <c r="K2646" s="1">
        <f t="shared" si="41"/>
        <v>2020</v>
      </c>
    </row>
    <row r="2647" spans="2:11" x14ac:dyDescent="0.45">
      <c r="B2647" s="1" t="s">
        <v>11</v>
      </c>
      <c r="C2647" s="1" t="s">
        <v>2637</v>
      </c>
      <c r="D2647" s="7">
        <v>45360</v>
      </c>
      <c r="E2647" s="7">
        <v>45380</v>
      </c>
      <c r="F2647" s="7">
        <v>45452</v>
      </c>
      <c r="G2647" s="1" t="s">
        <v>16</v>
      </c>
      <c r="H2647" s="8">
        <v>307368.09000000003</v>
      </c>
      <c r="I2647" s="8">
        <v>211277.23</v>
      </c>
      <c r="J2647" s="1">
        <f>IF(COUNTIF($C$4:C2647,C2647)=1,1,0)</f>
        <v>1</v>
      </c>
      <c r="K2647" s="1">
        <f t="shared" si="41"/>
        <v>2024</v>
      </c>
    </row>
    <row r="2648" spans="2:11" x14ac:dyDescent="0.45">
      <c r="B2648" s="1" t="s">
        <v>11</v>
      </c>
      <c r="C2648" s="1" t="s">
        <v>2638</v>
      </c>
      <c r="D2648" s="7">
        <v>43250</v>
      </c>
      <c r="E2648" s="7">
        <v>43271</v>
      </c>
      <c r="F2648" s="7">
        <v>43321</v>
      </c>
      <c r="G2648" s="1" t="s">
        <v>212</v>
      </c>
      <c r="H2648" s="8">
        <v>129135074.15000001</v>
      </c>
      <c r="I2648" s="8">
        <v>62838900.310000002</v>
      </c>
      <c r="J2648" s="1">
        <f>IF(COUNTIF($C$4:C2648,C2648)=1,1,0)</f>
        <v>1</v>
      </c>
      <c r="K2648" s="1">
        <f t="shared" si="41"/>
        <v>2018</v>
      </c>
    </row>
    <row r="2649" spans="2:11" x14ac:dyDescent="0.45">
      <c r="B2649" s="1" t="s">
        <v>11</v>
      </c>
      <c r="C2649" s="1" t="s">
        <v>2639</v>
      </c>
      <c r="D2649" s="7">
        <v>46023</v>
      </c>
      <c r="E2649" s="7">
        <v>46032</v>
      </c>
      <c r="F2649" s="7">
        <v>46180</v>
      </c>
      <c r="G2649" s="1" t="s">
        <v>212</v>
      </c>
      <c r="H2649" s="8">
        <v>44248235.100000001</v>
      </c>
      <c r="I2649" s="8">
        <v>15867656.619999999</v>
      </c>
      <c r="J2649" s="1">
        <f>IF(COUNTIF($C$4:C2649,C2649)=1,1,0)</f>
        <v>1</v>
      </c>
      <c r="K2649" s="1">
        <f t="shared" si="41"/>
        <v>2026</v>
      </c>
    </row>
    <row r="2650" spans="2:11" x14ac:dyDescent="0.45">
      <c r="B2650" s="1" t="s">
        <v>11</v>
      </c>
      <c r="C2650" s="1" t="s">
        <v>2640</v>
      </c>
      <c r="D2650" s="7">
        <v>45801</v>
      </c>
      <c r="E2650" s="7">
        <v>45819</v>
      </c>
      <c r="F2650" s="7">
        <v>45903</v>
      </c>
      <c r="G2650" s="1" t="s">
        <v>16</v>
      </c>
      <c r="H2650" s="8">
        <v>1959245.08</v>
      </c>
      <c r="I2650" s="8">
        <v>959707</v>
      </c>
      <c r="J2650" s="1">
        <f>IF(COUNTIF($C$4:C2650,C2650)=1,1,0)</f>
        <v>1</v>
      </c>
      <c r="K2650" s="1">
        <f t="shared" si="41"/>
        <v>2025</v>
      </c>
    </row>
    <row r="2651" spans="2:11" x14ac:dyDescent="0.45">
      <c r="B2651" s="1" t="s">
        <v>11</v>
      </c>
      <c r="C2651" s="1" t="s">
        <v>2641</v>
      </c>
      <c r="D2651" s="7">
        <v>44566</v>
      </c>
      <c r="E2651" s="7">
        <v>44570</v>
      </c>
      <c r="F2651" s="7">
        <v>44715</v>
      </c>
      <c r="G2651" s="1" t="s">
        <v>22</v>
      </c>
      <c r="H2651" s="8">
        <v>531833.79</v>
      </c>
      <c r="I2651" s="8">
        <v>228477.29</v>
      </c>
      <c r="J2651" s="1">
        <f>IF(COUNTIF($C$4:C2651,C2651)=1,1,0)</f>
        <v>1</v>
      </c>
      <c r="K2651" s="1">
        <f t="shared" si="41"/>
        <v>2022</v>
      </c>
    </row>
    <row r="2652" spans="2:11" x14ac:dyDescent="0.45">
      <c r="B2652" s="1" t="s">
        <v>11</v>
      </c>
      <c r="C2652" s="1" t="s">
        <v>2642</v>
      </c>
      <c r="D2652" s="7">
        <v>44278</v>
      </c>
      <c r="E2652" s="7">
        <v>44281</v>
      </c>
      <c r="F2652" s="7">
        <v>44459</v>
      </c>
      <c r="G2652" s="1" t="s">
        <v>44</v>
      </c>
      <c r="H2652" s="8">
        <v>124952217.68000001</v>
      </c>
      <c r="I2652" s="8">
        <v>69815462.370000005</v>
      </c>
      <c r="J2652" s="1">
        <f>IF(COUNTIF($C$4:C2652,C2652)=1,1,0)</f>
        <v>1</v>
      </c>
      <c r="K2652" s="1">
        <f t="shared" si="41"/>
        <v>2021</v>
      </c>
    </row>
    <row r="2653" spans="2:11" x14ac:dyDescent="0.45">
      <c r="B2653" s="1" t="s">
        <v>11</v>
      </c>
      <c r="C2653" s="1" t="s">
        <v>2643</v>
      </c>
      <c r="D2653" s="7">
        <v>45689</v>
      </c>
      <c r="E2653" s="7">
        <v>45692</v>
      </c>
      <c r="F2653" s="7">
        <v>45856</v>
      </c>
      <c r="G2653" s="1" t="s">
        <v>13</v>
      </c>
      <c r="H2653" s="8">
        <v>453044.94</v>
      </c>
      <c r="I2653" s="8">
        <v>330300.78999999998</v>
      </c>
      <c r="J2653" s="1">
        <f>IF(COUNTIF($C$4:C2653,C2653)=1,1,0)</f>
        <v>1</v>
      </c>
      <c r="K2653" s="1">
        <f t="shared" si="41"/>
        <v>2025</v>
      </c>
    </row>
    <row r="2654" spans="2:11" x14ac:dyDescent="0.45">
      <c r="B2654" s="1" t="s">
        <v>11</v>
      </c>
      <c r="C2654" s="1" t="s">
        <v>2644</v>
      </c>
      <c r="D2654" s="7">
        <v>43545</v>
      </c>
      <c r="E2654" s="7">
        <v>43558</v>
      </c>
      <c r="F2654" s="7">
        <v>43720</v>
      </c>
      <c r="G2654" s="1" t="s">
        <v>22</v>
      </c>
      <c r="H2654" s="8">
        <v>99174733.200000003</v>
      </c>
      <c r="I2654" s="8">
        <v>46395984.159999996</v>
      </c>
      <c r="J2654" s="1">
        <f>IF(COUNTIF($C$4:C2654,C2654)=1,1,0)</f>
        <v>1</v>
      </c>
      <c r="K2654" s="1">
        <f t="shared" si="41"/>
        <v>2019</v>
      </c>
    </row>
    <row r="2655" spans="2:11" x14ac:dyDescent="0.45">
      <c r="B2655" s="1" t="s">
        <v>11</v>
      </c>
      <c r="C2655" s="1" t="s">
        <v>2645</v>
      </c>
      <c r="D2655" s="7">
        <v>45100</v>
      </c>
      <c r="E2655" s="7">
        <v>45110</v>
      </c>
      <c r="F2655" s="7">
        <v>45339</v>
      </c>
      <c r="G2655" s="1" t="s">
        <v>18</v>
      </c>
      <c r="H2655" s="8">
        <v>2046624.98</v>
      </c>
      <c r="I2655" s="8">
        <v>1787577.25</v>
      </c>
      <c r="J2655" s="1">
        <f>IF(COUNTIF($C$4:C2655,C2655)=1,1,0)</f>
        <v>1</v>
      </c>
      <c r="K2655" s="1">
        <f t="shared" si="41"/>
        <v>2023</v>
      </c>
    </row>
    <row r="2656" spans="2:11" x14ac:dyDescent="0.45">
      <c r="B2656" s="1" t="s">
        <v>11</v>
      </c>
      <c r="C2656" s="1" t="s">
        <v>2646</v>
      </c>
      <c r="D2656" s="7">
        <v>44611</v>
      </c>
      <c r="E2656" s="7">
        <v>44616</v>
      </c>
      <c r="F2656" s="7">
        <v>44754</v>
      </c>
      <c r="G2656" s="1" t="s">
        <v>20</v>
      </c>
      <c r="H2656" s="8">
        <v>72033201.090000004</v>
      </c>
      <c r="I2656" s="8">
        <v>48894862.920000002</v>
      </c>
      <c r="J2656" s="1">
        <f>IF(COUNTIF($C$4:C2656,C2656)=1,1,0)</f>
        <v>1</v>
      </c>
      <c r="K2656" s="1">
        <f t="shared" si="41"/>
        <v>2022</v>
      </c>
    </row>
    <row r="2657" spans="2:11" x14ac:dyDescent="0.45">
      <c r="B2657" s="1" t="s">
        <v>11</v>
      </c>
      <c r="C2657" s="1" t="s">
        <v>2647</v>
      </c>
      <c r="D2657" s="7">
        <v>43419</v>
      </c>
      <c r="E2657" s="7">
        <v>43437</v>
      </c>
      <c r="F2657" s="7">
        <v>43667</v>
      </c>
      <c r="G2657" s="1" t="s">
        <v>16</v>
      </c>
      <c r="H2657" s="8">
        <v>4444158.4800000004</v>
      </c>
      <c r="I2657" s="8">
        <v>3094228.34</v>
      </c>
      <c r="J2657" s="1">
        <f>IF(COUNTIF($C$4:C2657,C2657)=1,1,0)</f>
        <v>1</v>
      </c>
      <c r="K2657" s="1">
        <f t="shared" si="41"/>
        <v>2018</v>
      </c>
    </row>
    <row r="2658" spans="2:11" x14ac:dyDescent="0.45">
      <c r="B2658" s="1" t="s">
        <v>11</v>
      </c>
      <c r="C2658" s="1" t="s">
        <v>2648</v>
      </c>
      <c r="D2658" s="7">
        <v>44477</v>
      </c>
      <c r="E2658" s="7">
        <v>44481</v>
      </c>
      <c r="F2658" s="7">
        <v>44576</v>
      </c>
      <c r="G2658" s="1" t="s">
        <v>22</v>
      </c>
      <c r="H2658" s="8">
        <v>13325384.9</v>
      </c>
      <c r="I2658" s="8">
        <v>8157402.4900000002</v>
      </c>
      <c r="J2658" s="1">
        <f>IF(COUNTIF($C$4:C2658,C2658)=1,1,0)</f>
        <v>1</v>
      </c>
      <c r="K2658" s="1">
        <f t="shared" si="41"/>
        <v>2021</v>
      </c>
    </row>
    <row r="2659" spans="2:11" x14ac:dyDescent="0.45">
      <c r="B2659" s="1" t="s">
        <v>11</v>
      </c>
      <c r="C2659" s="1" t="s">
        <v>2649</v>
      </c>
      <c r="D2659" s="7">
        <v>43760</v>
      </c>
      <c r="E2659" s="7">
        <v>43783</v>
      </c>
      <c r="F2659" s="7">
        <v>43840</v>
      </c>
      <c r="G2659" s="1" t="s">
        <v>20</v>
      </c>
      <c r="H2659" s="8">
        <v>845881.84</v>
      </c>
      <c r="I2659" s="8">
        <v>602399.11</v>
      </c>
      <c r="J2659" s="1">
        <f>IF(COUNTIF($C$4:C2659,C2659)=1,1,0)</f>
        <v>1</v>
      </c>
      <c r="K2659" s="1">
        <f t="shared" si="41"/>
        <v>2019</v>
      </c>
    </row>
    <row r="2660" spans="2:11" x14ac:dyDescent="0.45">
      <c r="B2660" s="1" t="s">
        <v>11</v>
      </c>
      <c r="C2660" s="1" t="s">
        <v>2650</v>
      </c>
      <c r="D2660" s="7">
        <v>44669</v>
      </c>
      <c r="E2660" s="7">
        <v>44684</v>
      </c>
      <c r="F2660" s="7">
        <v>44807</v>
      </c>
      <c r="G2660" s="1" t="s">
        <v>18</v>
      </c>
      <c r="H2660" s="8">
        <v>3853922.13</v>
      </c>
      <c r="I2660" s="8">
        <v>2630061.0699999998</v>
      </c>
      <c r="J2660" s="1">
        <f>IF(COUNTIF($C$4:C2660,C2660)=1,1,0)</f>
        <v>1</v>
      </c>
      <c r="K2660" s="1">
        <f t="shared" si="41"/>
        <v>2022</v>
      </c>
    </row>
    <row r="2661" spans="2:11" x14ac:dyDescent="0.45">
      <c r="B2661" s="1" t="s">
        <v>11</v>
      </c>
      <c r="C2661" s="1" t="s">
        <v>2651</v>
      </c>
      <c r="D2661" s="7">
        <v>45828</v>
      </c>
      <c r="E2661" s="7">
        <v>45855</v>
      </c>
      <c r="F2661" s="7">
        <v>45904</v>
      </c>
      <c r="G2661" s="1" t="s">
        <v>41</v>
      </c>
      <c r="H2661" s="8">
        <v>623917.42000000004</v>
      </c>
      <c r="I2661" s="8">
        <v>471026.89</v>
      </c>
      <c r="J2661" s="1">
        <f>IF(COUNTIF($C$4:C2661,C2661)=1,1,0)</f>
        <v>1</v>
      </c>
      <c r="K2661" s="1">
        <f t="shared" si="41"/>
        <v>2025</v>
      </c>
    </row>
    <row r="2662" spans="2:11" x14ac:dyDescent="0.45">
      <c r="B2662" s="1" t="s">
        <v>11</v>
      </c>
      <c r="C2662" s="1" t="s">
        <v>2652</v>
      </c>
      <c r="D2662" s="7">
        <v>43225</v>
      </c>
      <c r="E2662" s="7">
        <v>43255</v>
      </c>
      <c r="F2662" s="7">
        <v>43432</v>
      </c>
      <c r="G2662" s="1" t="s">
        <v>20</v>
      </c>
      <c r="H2662" s="8">
        <v>3506097.66</v>
      </c>
      <c r="I2662" s="8">
        <v>1912572.18</v>
      </c>
      <c r="J2662" s="1">
        <f>IF(COUNTIF($C$4:C2662,C2662)=1,1,0)</f>
        <v>1</v>
      </c>
      <c r="K2662" s="1">
        <f t="shared" si="41"/>
        <v>2018</v>
      </c>
    </row>
    <row r="2663" spans="2:11" x14ac:dyDescent="0.45">
      <c r="B2663" s="1" t="s">
        <v>11</v>
      </c>
      <c r="C2663" s="1" t="s">
        <v>2653</v>
      </c>
      <c r="D2663" s="7">
        <v>45226</v>
      </c>
      <c r="E2663" s="7">
        <v>45243</v>
      </c>
      <c r="F2663" s="7">
        <v>45469</v>
      </c>
      <c r="G2663" s="1" t="s">
        <v>20</v>
      </c>
      <c r="H2663" s="8">
        <v>1793117.18</v>
      </c>
      <c r="I2663" s="8">
        <v>1189259.9099999999</v>
      </c>
      <c r="J2663" s="1">
        <f>IF(COUNTIF($C$4:C2663,C2663)=1,1,0)</f>
        <v>1</v>
      </c>
      <c r="K2663" s="1">
        <f t="shared" si="41"/>
        <v>2023</v>
      </c>
    </row>
    <row r="2664" spans="2:11" x14ac:dyDescent="0.45">
      <c r="B2664" s="1" t="s">
        <v>11</v>
      </c>
      <c r="C2664" s="1" t="s">
        <v>2654</v>
      </c>
      <c r="D2664" s="7">
        <v>45885</v>
      </c>
      <c r="E2664" s="7">
        <v>45908</v>
      </c>
      <c r="F2664" s="7">
        <v>46047</v>
      </c>
      <c r="G2664" s="1" t="s">
        <v>22</v>
      </c>
      <c r="H2664" s="8">
        <v>42147644</v>
      </c>
      <c r="I2664" s="8">
        <v>14451581.15</v>
      </c>
      <c r="J2664" s="1">
        <f>IF(COUNTIF($C$4:C2664,C2664)=1,1,0)</f>
        <v>1</v>
      </c>
      <c r="K2664" s="1">
        <f t="shared" si="41"/>
        <v>2025</v>
      </c>
    </row>
    <row r="2665" spans="2:11" x14ac:dyDescent="0.45">
      <c r="B2665" s="1" t="s">
        <v>11</v>
      </c>
      <c r="C2665" s="1" t="s">
        <v>2655</v>
      </c>
      <c r="D2665" s="7">
        <v>44389</v>
      </c>
      <c r="E2665" s="7">
        <v>44403</v>
      </c>
      <c r="F2665" s="7">
        <v>44460</v>
      </c>
      <c r="G2665" s="1" t="s">
        <v>16</v>
      </c>
      <c r="H2665" s="8">
        <v>7323515.4500000002</v>
      </c>
      <c r="I2665" s="8">
        <v>5052787.82</v>
      </c>
      <c r="J2665" s="1">
        <f>IF(COUNTIF($C$4:C2665,C2665)=1,1,0)</f>
        <v>1</v>
      </c>
      <c r="K2665" s="1">
        <f t="shared" si="41"/>
        <v>2021</v>
      </c>
    </row>
    <row r="2666" spans="2:11" x14ac:dyDescent="0.45">
      <c r="B2666" s="1" t="s">
        <v>11</v>
      </c>
      <c r="C2666" s="1" t="s">
        <v>2656</v>
      </c>
      <c r="D2666" s="7">
        <v>45578</v>
      </c>
      <c r="E2666" s="7">
        <v>45585</v>
      </c>
      <c r="F2666" s="7">
        <v>45646</v>
      </c>
      <c r="G2666" s="1" t="s">
        <v>16</v>
      </c>
      <c r="H2666" s="8">
        <v>1238603.1100000001</v>
      </c>
      <c r="I2666" s="8">
        <v>811194.64</v>
      </c>
      <c r="J2666" s="1">
        <f>IF(COUNTIF($C$4:C2666,C2666)=1,1,0)</f>
        <v>1</v>
      </c>
      <c r="K2666" s="1">
        <f t="shared" si="41"/>
        <v>2024</v>
      </c>
    </row>
    <row r="2667" spans="2:11" x14ac:dyDescent="0.45">
      <c r="B2667" s="1" t="s">
        <v>11</v>
      </c>
      <c r="C2667" s="1" t="s">
        <v>2657</v>
      </c>
      <c r="D2667" s="7">
        <v>44312</v>
      </c>
      <c r="E2667" s="7">
        <v>44335</v>
      </c>
      <c r="F2667" s="7">
        <v>44428</v>
      </c>
      <c r="G2667" s="1" t="s">
        <v>20</v>
      </c>
      <c r="H2667" s="8">
        <v>65315140.390000001</v>
      </c>
      <c r="I2667" s="8">
        <v>51951933.140000001</v>
      </c>
      <c r="J2667" s="1">
        <f>IF(COUNTIF($C$4:C2667,C2667)=1,1,0)</f>
        <v>1</v>
      </c>
      <c r="K2667" s="1">
        <f t="shared" si="41"/>
        <v>2021</v>
      </c>
    </row>
    <row r="2668" spans="2:11" x14ac:dyDescent="0.45">
      <c r="B2668" s="1" t="s">
        <v>11</v>
      </c>
      <c r="C2668" s="1" t="s">
        <v>2658</v>
      </c>
      <c r="D2668" s="7">
        <v>44941</v>
      </c>
      <c r="E2668" s="7">
        <v>44947</v>
      </c>
      <c r="F2668" s="7">
        <v>44970</v>
      </c>
      <c r="G2668" s="1" t="s">
        <v>20</v>
      </c>
      <c r="H2668" s="8">
        <v>94900547.530000001</v>
      </c>
      <c r="I2668" s="8">
        <v>58459190.810000002</v>
      </c>
      <c r="J2668" s="1">
        <f>IF(COUNTIF($C$4:C2668,C2668)=1,1,0)</f>
        <v>1</v>
      </c>
      <c r="K2668" s="1">
        <f t="shared" si="41"/>
        <v>2023</v>
      </c>
    </row>
    <row r="2669" spans="2:11" x14ac:dyDescent="0.45">
      <c r="B2669" s="1" t="s">
        <v>11</v>
      </c>
      <c r="C2669" s="1" t="s">
        <v>2659</v>
      </c>
      <c r="D2669" s="7">
        <v>44505</v>
      </c>
      <c r="E2669" s="7">
        <v>44517</v>
      </c>
      <c r="F2669" s="7">
        <v>44668</v>
      </c>
      <c r="G2669" s="1" t="s">
        <v>18</v>
      </c>
      <c r="H2669" s="8">
        <v>8831971.1699999999</v>
      </c>
      <c r="I2669" s="8">
        <v>6111757.1100000003</v>
      </c>
      <c r="J2669" s="1">
        <f>IF(COUNTIF($C$4:C2669,C2669)=1,1,0)</f>
        <v>1</v>
      </c>
      <c r="K2669" s="1">
        <f t="shared" si="41"/>
        <v>2021</v>
      </c>
    </row>
    <row r="2670" spans="2:11" x14ac:dyDescent="0.45">
      <c r="B2670" s="1" t="s">
        <v>11</v>
      </c>
      <c r="C2670" s="1" t="s">
        <v>2660</v>
      </c>
      <c r="D2670" s="7">
        <v>43665</v>
      </c>
      <c r="E2670" s="7">
        <v>43693</v>
      </c>
      <c r="F2670" s="7">
        <v>43799</v>
      </c>
      <c r="G2670" s="1" t="s">
        <v>13</v>
      </c>
      <c r="H2670" s="8">
        <v>374281.68</v>
      </c>
      <c r="I2670" s="8">
        <v>285049.14</v>
      </c>
      <c r="J2670" s="1">
        <f>IF(COUNTIF($C$4:C2670,C2670)=1,1,0)</f>
        <v>1</v>
      </c>
      <c r="K2670" s="1">
        <f t="shared" si="41"/>
        <v>2019</v>
      </c>
    </row>
    <row r="2671" spans="2:11" x14ac:dyDescent="0.45">
      <c r="B2671" s="1" t="s">
        <v>11</v>
      </c>
      <c r="C2671" s="1" t="s">
        <v>2661</v>
      </c>
      <c r="D2671" s="7">
        <v>43204</v>
      </c>
      <c r="E2671" s="7">
        <v>43211</v>
      </c>
      <c r="F2671" s="7">
        <v>43306</v>
      </c>
      <c r="G2671" s="1" t="s">
        <v>13</v>
      </c>
      <c r="H2671" s="8">
        <v>747740.08</v>
      </c>
      <c r="I2671" s="8">
        <v>488814.22</v>
      </c>
      <c r="J2671" s="1">
        <f>IF(COUNTIF($C$4:C2671,C2671)=1,1,0)</f>
        <v>1</v>
      </c>
      <c r="K2671" s="1">
        <f t="shared" si="41"/>
        <v>2018</v>
      </c>
    </row>
    <row r="2672" spans="2:11" x14ac:dyDescent="0.45">
      <c r="B2672" s="1" t="s">
        <v>11</v>
      </c>
      <c r="C2672" s="1" t="s">
        <v>2662</v>
      </c>
      <c r="D2672" s="7">
        <v>43750</v>
      </c>
      <c r="E2672" s="7">
        <v>43757</v>
      </c>
      <c r="F2672" s="7">
        <v>43901</v>
      </c>
      <c r="G2672" s="1" t="s">
        <v>20</v>
      </c>
      <c r="H2672" s="8">
        <v>133409.19</v>
      </c>
      <c r="I2672" s="8">
        <v>99439.59</v>
      </c>
      <c r="J2672" s="1">
        <f>IF(COUNTIF($C$4:C2672,C2672)=1,1,0)</f>
        <v>1</v>
      </c>
      <c r="K2672" s="1">
        <f t="shared" si="41"/>
        <v>2019</v>
      </c>
    </row>
    <row r="2673" spans="2:11" x14ac:dyDescent="0.45">
      <c r="B2673" s="1" t="s">
        <v>11</v>
      </c>
      <c r="C2673" s="1" t="s">
        <v>2663</v>
      </c>
      <c r="D2673" s="7">
        <v>43237</v>
      </c>
      <c r="E2673" s="7">
        <v>43260</v>
      </c>
      <c r="F2673" s="7">
        <v>43480</v>
      </c>
      <c r="G2673" s="1" t="s">
        <v>20</v>
      </c>
      <c r="H2673" s="8">
        <v>83591198.510000005</v>
      </c>
      <c r="I2673" s="8">
        <v>42707378.32</v>
      </c>
      <c r="J2673" s="1">
        <f>IF(COUNTIF($C$4:C2673,C2673)=1,1,0)</f>
        <v>1</v>
      </c>
      <c r="K2673" s="1">
        <f t="shared" si="41"/>
        <v>2018</v>
      </c>
    </row>
    <row r="2674" spans="2:11" x14ac:dyDescent="0.45">
      <c r="B2674" s="1" t="s">
        <v>11</v>
      </c>
      <c r="C2674" s="1" t="s">
        <v>2664</v>
      </c>
      <c r="D2674" s="7">
        <v>43537</v>
      </c>
      <c r="E2674" s="7">
        <v>43540</v>
      </c>
      <c r="F2674" s="7">
        <v>43604</v>
      </c>
      <c r="G2674" s="1" t="s">
        <v>41</v>
      </c>
      <c r="H2674" s="8">
        <v>840464.5</v>
      </c>
      <c r="I2674" s="8">
        <v>541318.15</v>
      </c>
      <c r="J2674" s="1">
        <f>IF(COUNTIF($C$4:C2674,C2674)=1,1,0)</f>
        <v>1</v>
      </c>
      <c r="K2674" s="1">
        <f t="shared" si="41"/>
        <v>2019</v>
      </c>
    </row>
    <row r="2675" spans="2:11" x14ac:dyDescent="0.45">
      <c r="B2675" s="1" t="s">
        <v>11</v>
      </c>
      <c r="C2675" s="1" t="s">
        <v>2665</v>
      </c>
      <c r="D2675" s="7">
        <v>46089</v>
      </c>
      <c r="E2675" s="7">
        <v>46116</v>
      </c>
      <c r="F2675" s="7">
        <v>46344</v>
      </c>
      <c r="G2675" s="1" t="s">
        <v>18</v>
      </c>
      <c r="H2675" s="8">
        <v>3852146.39</v>
      </c>
      <c r="I2675" s="8">
        <v>2741677.68</v>
      </c>
      <c r="J2675" s="1">
        <f>IF(COUNTIF($C$4:C2675,C2675)=1,1,0)</f>
        <v>1</v>
      </c>
      <c r="K2675" s="1">
        <f t="shared" si="41"/>
        <v>2026</v>
      </c>
    </row>
    <row r="2676" spans="2:11" x14ac:dyDescent="0.45">
      <c r="B2676" s="1" t="s">
        <v>11</v>
      </c>
      <c r="C2676" s="1" t="s">
        <v>2666</v>
      </c>
      <c r="D2676" s="7">
        <v>44524</v>
      </c>
      <c r="E2676" s="7">
        <v>44545</v>
      </c>
      <c r="F2676" s="7">
        <v>44653</v>
      </c>
      <c r="G2676" s="1" t="s">
        <v>44</v>
      </c>
      <c r="H2676" s="8">
        <v>84746262.049999997</v>
      </c>
      <c r="I2676" s="8">
        <v>61251374.689999998</v>
      </c>
      <c r="J2676" s="1">
        <f>IF(COUNTIF($C$4:C2676,C2676)=1,1,0)</f>
        <v>1</v>
      </c>
      <c r="K2676" s="1">
        <f t="shared" si="41"/>
        <v>2021</v>
      </c>
    </row>
    <row r="2677" spans="2:11" x14ac:dyDescent="0.45">
      <c r="B2677" s="1" t="s">
        <v>11</v>
      </c>
      <c r="C2677" s="1" t="s">
        <v>2667</v>
      </c>
      <c r="D2677" s="7">
        <v>45238</v>
      </c>
      <c r="E2677" s="7">
        <v>45242</v>
      </c>
      <c r="F2677" s="7">
        <v>45433</v>
      </c>
      <c r="G2677" s="1" t="s">
        <v>38</v>
      </c>
      <c r="H2677" s="8">
        <v>692806.66</v>
      </c>
      <c r="I2677" s="8">
        <v>486619.05</v>
      </c>
      <c r="J2677" s="1">
        <f>IF(COUNTIF($C$4:C2677,C2677)=1,1,0)</f>
        <v>1</v>
      </c>
      <c r="K2677" s="1">
        <f t="shared" si="41"/>
        <v>2023</v>
      </c>
    </row>
    <row r="2678" spans="2:11" x14ac:dyDescent="0.45">
      <c r="B2678" s="1" t="s">
        <v>11</v>
      </c>
      <c r="C2678" s="1" t="s">
        <v>2668</v>
      </c>
      <c r="D2678" s="7">
        <v>45220</v>
      </c>
      <c r="E2678" s="7">
        <v>45246</v>
      </c>
      <c r="F2678" s="7">
        <v>45413</v>
      </c>
      <c r="G2678" s="1" t="s">
        <v>38</v>
      </c>
      <c r="H2678" s="8">
        <v>749345.37</v>
      </c>
      <c r="I2678" s="8">
        <v>596165.53</v>
      </c>
      <c r="J2678" s="1">
        <f>IF(COUNTIF($C$4:C2678,C2678)=1,1,0)</f>
        <v>1</v>
      </c>
      <c r="K2678" s="1">
        <f t="shared" si="41"/>
        <v>2023</v>
      </c>
    </row>
    <row r="2679" spans="2:11" x14ac:dyDescent="0.45">
      <c r="B2679" s="1" t="s">
        <v>11</v>
      </c>
      <c r="C2679" s="1" t="s">
        <v>2669</v>
      </c>
      <c r="D2679" s="7">
        <v>44826</v>
      </c>
      <c r="E2679" s="7">
        <v>44826</v>
      </c>
      <c r="F2679" s="7">
        <v>45023</v>
      </c>
      <c r="G2679" s="1" t="s">
        <v>13</v>
      </c>
      <c r="H2679" s="8">
        <v>530929.43000000005</v>
      </c>
      <c r="I2679" s="8">
        <v>432879.7</v>
      </c>
      <c r="J2679" s="1">
        <f>IF(COUNTIF($C$4:C2679,C2679)=1,1,0)</f>
        <v>1</v>
      </c>
      <c r="K2679" s="1">
        <f t="shared" si="41"/>
        <v>2022</v>
      </c>
    </row>
    <row r="2680" spans="2:11" x14ac:dyDescent="0.45">
      <c r="B2680" s="1" t="s">
        <v>11</v>
      </c>
      <c r="C2680" s="1" t="s">
        <v>2670</v>
      </c>
      <c r="D2680" s="7">
        <v>43468</v>
      </c>
      <c r="E2680" s="7">
        <v>43490</v>
      </c>
      <c r="F2680" s="7">
        <v>43524</v>
      </c>
      <c r="G2680" s="1" t="s">
        <v>38</v>
      </c>
      <c r="H2680" s="8">
        <v>1377470.74</v>
      </c>
      <c r="I2680" s="8">
        <v>1162445.76</v>
      </c>
      <c r="J2680" s="1">
        <f>IF(COUNTIF($C$4:C2680,C2680)=1,1,0)</f>
        <v>1</v>
      </c>
      <c r="K2680" s="1">
        <f t="shared" si="41"/>
        <v>2019</v>
      </c>
    </row>
    <row r="2681" spans="2:11" x14ac:dyDescent="0.45">
      <c r="B2681" s="1" t="s">
        <v>11</v>
      </c>
      <c r="C2681" s="1" t="s">
        <v>2671</v>
      </c>
      <c r="D2681" s="7">
        <v>45828</v>
      </c>
      <c r="E2681" s="7">
        <v>45848</v>
      </c>
      <c r="F2681" s="7">
        <v>46024</v>
      </c>
      <c r="G2681" s="1" t="s">
        <v>212</v>
      </c>
      <c r="H2681" s="8">
        <v>60340271.200000003</v>
      </c>
      <c r="I2681" s="8">
        <v>31437524.649999999</v>
      </c>
      <c r="J2681" s="1">
        <f>IF(COUNTIF($C$4:C2681,C2681)=1,1,0)</f>
        <v>1</v>
      </c>
      <c r="K2681" s="1">
        <f t="shared" si="41"/>
        <v>2025</v>
      </c>
    </row>
    <row r="2682" spans="2:11" x14ac:dyDescent="0.45">
      <c r="B2682" s="1" t="s">
        <v>11</v>
      </c>
      <c r="C2682" s="1" t="s">
        <v>2672</v>
      </c>
      <c r="D2682" s="7">
        <v>44544</v>
      </c>
      <c r="E2682" s="7">
        <v>44547</v>
      </c>
      <c r="F2682" s="7">
        <v>44665</v>
      </c>
      <c r="G2682" s="1" t="s">
        <v>18</v>
      </c>
      <c r="H2682" s="8">
        <v>23006159.030000001</v>
      </c>
      <c r="I2682" s="8">
        <v>15323895.359999999</v>
      </c>
      <c r="J2682" s="1">
        <f>IF(COUNTIF($C$4:C2682,C2682)=1,1,0)</f>
        <v>1</v>
      </c>
      <c r="K2682" s="1">
        <f t="shared" si="41"/>
        <v>2021</v>
      </c>
    </row>
    <row r="2683" spans="2:11" x14ac:dyDescent="0.45">
      <c r="B2683" s="1" t="s">
        <v>11</v>
      </c>
      <c r="C2683" s="1" t="s">
        <v>2673</v>
      </c>
      <c r="D2683" s="7">
        <v>45242</v>
      </c>
      <c r="E2683" s="7">
        <v>45270</v>
      </c>
      <c r="F2683" s="7">
        <v>45482</v>
      </c>
      <c r="G2683" s="1" t="s">
        <v>13</v>
      </c>
      <c r="H2683" s="8">
        <v>893665.13</v>
      </c>
      <c r="I2683" s="8">
        <v>699651.83</v>
      </c>
      <c r="J2683" s="1">
        <f>IF(COUNTIF($C$4:C2683,C2683)=1,1,0)</f>
        <v>1</v>
      </c>
      <c r="K2683" s="1">
        <f t="shared" si="41"/>
        <v>2023</v>
      </c>
    </row>
    <row r="2684" spans="2:11" x14ac:dyDescent="0.45">
      <c r="B2684" s="1" t="s">
        <v>11</v>
      </c>
      <c r="C2684" s="1" t="s">
        <v>2674</v>
      </c>
      <c r="D2684" s="7">
        <v>44722</v>
      </c>
      <c r="E2684" s="7">
        <v>44738</v>
      </c>
      <c r="F2684" s="7">
        <v>44764</v>
      </c>
      <c r="G2684" s="1" t="s">
        <v>20</v>
      </c>
      <c r="H2684" s="8">
        <v>284248796.5</v>
      </c>
      <c r="I2684" s="8">
        <v>162068406.06</v>
      </c>
      <c r="J2684" s="1">
        <f>IF(COUNTIF($C$4:C2684,C2684)=1,1,0)</f>
        <v>1</v>
      </c>
      <c r="K2684" s="1">
        <f t="shared" si="41"/>
        <v>2022</v>
      </c>
    </row>
    <row r="2685" spans="2:11" x14ac:dyDescent="0.45">
      <c r="B2685" s="1" t="s">
        <v>11</v>
      </c>
      <c r="C2685" s="1" t="s">
        <v>2675</v>
      </c>
      <c r="D2685" s="7">
        <v>45780</v>
      </c>
      <c r="E2685" s="7">
        <v>45798</v>
      </c>
      <c r="F2685" s="7">
        <v>45959</v>
      </c>
      <c r="G2685" s="1" t="s">
        <v>41</v>
      </c>
      <c r="H2685" s="8">
        <v>1194675.33</v>
      </c>
      <c r="I2685" s="8">
        <v>785611.66</v>
      </c>
      <c r="J2685" s="1">
        <f>IF(COUNTIF($C$4:C2685,C2685)=1,1,0)</f>
        <v>1</v>
      </c>
      <c r="K2685" s="1">
        <f t="shared" si="41"/>
        <v>2025</v>
      </c>
    </row>
    <row r="2686" spans="2:11" x14ac:dyDescent="0.45">
      <c r="B2686" s="1" t="s">
        <v>11</v>
      </c>
      <c r="C2686" s="1" t="s">
        <v>2676</v>
      </c>
      <c r="D2686" s="7">
        <v>44388</v>
      </c>
      <c r="E2686" s="7">
        <v>44398</v>
      </c>
      <c r="F2686" s="7">
        <v>44545</v>
      </c>
      <c r="G2686" s="1" t="s">
        <v>38</v>
      </c>
      <c r="H2686" s="8">
        <v>683912.33</v>
      </c>
      <c r="I2686" s="8">
        <v>523383.05</v>
      </c>
      <c r="J2686" s="1">
        <f>IF(COUNTIF($C$4:C2686,C2686)=1,1,0)</f>
        <v>1</v>
      </c>
      <c r="K2686" s="1">
        <f t="shared" si="41"/>
        <v>2021</v>
      </c>
    </row>
    <row r="2687" spans="2:11" x14ac:dyDescent="0.45">
      <c r="B2687" s="1" t="s">
        <v>11</v>
      </c>
      <c r="C2687" s="1" t="s">
        <v>2677</v>
      </c>
      <c r="D2687" s="7">
        <v>44230</v>
      </c>
      <c r="E2687" s="7">
        <v>44231</v>
      </c>
      <c r="F2687" s="7">
        <v>44381</v>
      </c>
      <c r="G2687" s="1" t="s">
        <v>18</v>
      </c>
      <c r="H2687" s="8">
        <v>2069245.27</v>
      </c>
      <c r="I2687" s="8">
        <v>1855768.92</v>
      </c>
      <c r="J2687" s="1">
        <f>IF(COUNTIF($C$4:C2687,C2687)=1,1,0)</f>
        <v>1</v>
      </c>
      <c r="K2687" s="1">
        <f t="shared" si="41"/>
        <v>2021</v>
      </c>
    </row>
    <row r="2688" spans="2:11" x14ac:dyDescent="0.45">
      <c r="B2688" s="1" t="s">
        <v>11</v>
      </c>
      <c r="C2688" s="1" t="s">
        <v>2678</v>
      </c>
      <c r="D2688" s="7">
        <v>45971</v>
      </c>
      <c r="E2688" s="7">
        <v>45999</v>
      </c>
      <c r="F2688" s="7">
        <v>46160</v>
      </c>
      <c r="G2688" s="1" t="s">
        <v>16</v>
      </c>
      <c r="H2688" s="8">
        <v>7515167.3099999996</v>
      </c>
      <c r="I2688" s="8">
        <v>5478150.6799999997</v>
      </c>
      <c r="J2688" s="1">
        <f>IF(COUNTIF($C$4:C2688,C2688)=1,1,0)</f>
        <v>1</v>
      </c>
      <c r="K2688" s="1">
        <f t="shared" si="41"/>
        <v>2025</v>
      </c>
    </row>
    <row r="2689" spans="2:11" x14ac:dyDescent="0.45">
      <c r="B2689" s="1" t="s">
        <v>11</v>
      </c>
      <c r="C2689" s="1" t="s">
        <v>2679</v>
      </c>
      <c r="D2689" s="7">
        <v>43716</v>
      </c>
      <c r="E2689" s="7">
        <v>43724</v>
      </c>
      <c r="F2689" s="7">
        <v>43853</v>
      </c>
      <c r="G2689" s="1" t="s">
        <v>22</v>
      </c>
      <c r="H2689" s="8">
        <v>183596924</v>
      </c>
      <c r="I2689" s="8">
        <v>74280864.790000007</v>
      </c>
      <c r="J2689" s="1">
        <f>IF(COUNTIF($C$4:C2689,C2689)=1,1,0)</f>
        <v>1</v>
      </c>
      <c r="K2689" s="1">
        <f t="shared" si="41"/>
        <v>2019</v>
      </c>
    </row>
    <row r="2690" spans="2:11" x14ac:dyDescent="0.45">
      <c r="B2690" s="1" t="s">
        <v>11</v>
      </c>
      <c r="C2690" s="1" t="s">
        <v>2680</v>
      </c>
      <c r="D2690" s="7">
        <v>45978</v>
      </c>
      <c r="E2690" s="7">
        <v>45985</v>
      </c>
      <c r="F2690" s="7">
        <v>46089</v>
      </c>
      <c r="G2690" s="1" t="s">
        <v>20</v>
      </c>
      <c r="H2690" s="8">
        <v>10799808.32</v>
      </c>
      <c r="I2690" s="8">
        <v>3065374.67</v>
      </c>
      <c r="J2690" s="1">
        <f>IF(COUNTIF($C$4:C2690,C2690)=1,1,0)</f>
        <v>1</v>
      </c>
      <c r="K2690" s="1">
        <f t="shared" si="41"/>
        <v>2025</v>
      </c>
    </row>
    <row r="2691" spans="2:11" x14ac:dyDescent="0.45">
      <c r="B2691" s="1" t="s">
        <v>11</v>
      </c>
      <c r="C2691" s="1" t="s">
        <v>2681</v>
      </c>
      <c r="D2691" s="7">
        <v>44053</v>
      </c>
      <c r="E2691" s="7">
        <v>44068</v>
      </c>
      <c r="F2691" s="7">
        <v>44140</v>
      </c>
      <c r="G2691" s="1" t="s">
        <v>13</v>
      </c>
      <c r="H2691" s="8">
        <v>105668.03</v>
      </c>
      <c r="I2691" s="8">
        <v>74943.600000000006</v>
      </c>
      <c r="J2691" s="1">
        <f>IF(COUNTIF($C$4:C2691,C2691)=1,1,0)</f>
        <v>1</v>
      </c>
      <c r="K2691" s="1">
        <f t="shared" si="41"/>
        <v>2020</v>
      </c>
    </row>
    <row r="2692" spans="2:11" x14ac:dyDescent="0.45">
      <c r="B2692" s="1" t="s">
        <v>11</v>
      </c>
      <c r="C2692" s="1" t="s">
        <v>2682</v>
      </c>
      <c r="D2692" s="7">
        <v>45231</v>
      </c>
      <c r="E2692" s="7">
        <v>45237</v>
      </c>
      <c r="F2692" s="7">
        <v>45246</v>
      </c>
      <c r="G2692" s="1" t="s">
        <v>13</v>
      </c>
      <c r="H2692" s="8">
        <v>1273490.3600000001</v>
      </c>
      <c r="I2692" s="8">
        <v>1086620.75</v>
      </c>
      <c r="J2692" s="1">
        <f>IF(COUNTIF($C$4:C2692,C2692)=1,1,0)</f>
        <v>1</v>
      </c>
      <c r="K2692" s="1">
        <f t="shared" si="41"/>
        <v>2023</v>
      </c>
    </row>
    <row r="2693" spans="2:11" x14ac:dyDescent="0.45">
      <c r="B2693" s="1" t="s">
        <v>11</v>
      </c>
      <c r="C2693" s="1" t="s">
        <v>2683</v>
      </c>
      <c r="D2693" s="7">
        <v>43949</v>
      </c>
      <c r="E2693" s="7">
        <v>43971</v>
      </c>
      <c r="F2693" s="7">
        <v>44049</v>
      </c>
      <c r="G2693" s="1" t="s">
        <v>13</v>
      </c>
      <c r="H2693" s="8">
        <v>243481.03</v>
      </c>
      <c r="I2693" s="8">
        <v>178111.23</v>
      </c>
      <c r="J2693" s="1">
        <f>IF(COUNTIF($C$4:C2693,C2693)=1,1,0)</f>
        <v>1</v>
      </c>
      <c r="K2693" s="1">
        <f t="shared" ref="K2693:K2756" si="42">YEAR(D2693)</f>
        <v>2020</v>
      </c>
    </row>
    <row r="2694" spans="2:11" x14ac:dyDescent="0.45">
      <c r="B2694" s="1" t="s">
        <v>11</v>
      </c>
      <c r="C2694" s="1" t="s">
        <v>2684</v>
      </c>
      <c r="D2694" s="7">
        <v>45861</v>
      </c>
      <c r="E2694" s="7">
        <v>45876</v>
      </c>
      <c r="F2694" s="7">
        <v>45943</v>
      </c>
      <c r="G2694" s="1" t="s">
        <v>13</v>
      </c>
      <c r="H2694" s="8">
        <v>109256.35</v>
      </c>
      <c r="I2694" s="8">
        <v>88705.22</v>
      </c>
      <c r="J2694" s="1">
        <f>IF(COUNTIF($C$4:C2694,C2694)=1,1,0)</f>
        <v>1</v>
      </c>
      <c r="K2694" s="1">
        <f t="shared" si="42"/>
        <v>2025</v>
      </c>
    </row>
    <row r="2695" spans="2:11" x14ac:dyDescent="0.45">
      <c r="B2695" s="1" t="s">
        <v>11</v>
      </c>
      <c r="C2695" s="1" t="s">
        <v>2685</v>
      </c>
      <c r="D2695" s="7">
        <v>44416</v>
      </c>
      <c r="E2695" s="7">
        <v>44420</v>
      </c>
      <c r="F2695" s="7">
        <v>44451</v>
      </c>
      <c r="G2695" s="1" t="s">
        <v>18</v>
      </c>
      <c r="H2695" s="8">
        <v>256680.57</v>
      </c>
      <c r="I2695" s="8">
        <v>206316.05</v>
      </c>
      <c r="J2695" s="1">
        <f>IF(COUNTIF($C$4:C2695,C2695)=1,1,0)</f>
        <v>1</v>
      </c>
      <c r="K2695" s="1">
        <f t="shared" si="42"/>
        <v>2021</v>
      </c>
    </row>
    <row r="2696" spans="2:11" x14ac:dyDescent="0.45">
      <c r="B2696" s="1" t="s">
        <v>11</v>
      </c>
      <c r="C2696" s="1" t="s">
        <v>2686</v>
      </c>
      <c r="D2696" s="7">
        <v>44992</v>
      </c>
      <c r="E2696" s="7">
        <v>45011</v>
      </c>
      <c r="F2696" s="7">
        <v>45062</v>
      </c>
      <c r="G2696" s="1" t="s">
        <v>18</v>
      </c>
      <c r="H2696" s="8">
        <v>11123896.67</v>
      </c>
      <c r="I2696" s="8">
        <v>8296660.8499999996</v>
      </c>
      <c r="J2696" s="1">
        <f>IF(COUNTIF($C$4:C2696,C2696)=1,1,0)</f>
        <v>1</v>
      </c>
      <c r="K2696" s="1">
        <f t="shared" si="42"/>
        <v>2023</v>
      </c>
    </row>
    <row r="2697" spans="2:11" x14ac:dyDescent="0.45">
      <c r="B2697" s="1" t="s">
        <v>11</v>
      </c>
      <c r="C2697" s="1" t="s">
        <v>2687</v>
      </c>
      <c r="D2697" s="7">
        <v>44527</v>
      </c>
      <c r="E2697" s="7">
        <v>44533</v>
      </c>
      <c r="F2697" s="7">
        <v>44567</v>
      </c>
      <c r="G2697" s="1" t="s">
        <v>41</v>
      </c>
      <c r="H2697" s="8">
        <v>242540.44</v>
      </c>
      <c r="I2697" s="8">
        <v>199668.19</v>
      </c>
      <c r="J2697" s="1">
        <f>IF(COUNTIF($C$4:C2697,C2697)=1,1,0)</f>
        <v>1</v>
      </c>
      <c r="K2697" s="1">
        <f t="shared" si="42"/>
        <v>2021</v>
      </c>
    </row>
    <row r="2698" spans="2:11" x14ac:dyDescent="0.45">
      <c r="B2698" s="1" t="s">
        <v>11</v>
      </c>
      <c r="C2698" s="1" t="s">
        <v>2688</v>
      </c>
      <c r="D2698" s="7">
        <v>45994</v>
      </c>
      <c r="E2698" s="7">
        <v>46012</v>
      </c>
      <c r="F2698" s="7">
        <v>46063</v>
      </c>
      <c r="G2698" s="1" t="s">
        <v>212</v>
      </c>
      <c r="H2698" s="8">
        <v>30761264.030000001</v>
      </c>
      <c r="I2698" s="8">
        <v>20283002.039999999</v>
      </c>
      <c r="J2698" s="1">
        <f>IF(COUNTIF($C$4:C2698,C2698)=1,1,0)</f>
        <v>1</v>
      </c>
      <c r="K2698" s="1">
        <f t="shared" si="42"/>
        <v>2025</v>
      </c>
    </row>
    <row r="2699" spans="2:11" x14ac:dyDescent="0.45">
      <c r="B2699" s="1" t="s">
        <v>11</v>
      </c>
      <c r="C2699" s="1" t="s">
        <v>2689</v>
      </c>
      <c r="D2699" s="7">
        <v>44401</v>
      </c>
      <c r="E2699" s="7">
        <v>44403</v>
      </c>
      <c r="F2699" s="7">
        <v>44528</v>
      </c>
      <c r="G2699" s="1" t="s">
        <v>41</v>
      </c>
      <c r="H2699" s="8">
        <v>183733.55</v>
      </c>
      <c r="I2699" s="8">
        <v>155622.07</v>
      </c>
      <c r="J2699" s="1">
        <f>IF(COUNTIF($C$4:C2699,C2699)=1,1,0)</f>
        <v>1</v>
      </c>
      <c r="K2699" s="1">
        <f t="shared" si="42"/>
        <v>2021</v>
      </c>
    </row>
    <row r="2700" spans="2:11" x14ac:dyDescent="0.45">
      <c r="B2700" s="1" t="s">
        <v>11</v>
      </c>
      <c r="C2700" s="1" t="s">
        <v>2690</v>
      </c>
      <c r="D2700" s="7">
        <v>44232</v>
      </c>
      <c r="E2700" s="7">
        <v>44245</v>
      </c>
      <c r="F2700" s="7">
        <v>44482</v>
      </c>
      <c r="G2700" s="1" t="s">
        <v>44</v>
      </c>
      <c r="H2700" s="8">
        <v>5642314.6500000004</v>
      </c>
      <c r="I2700" s="8">
        <v>2628234.5699999998</v>
      </c>
      <c r="J2700" s="1">
        <f>IF(COUNTIF($C$4:C2700,C2700)=1,1,0)</f>
        <v>1</v>
      </c>
      <c r="K2700" s="1">
        <f t="shared" si="42"/>
        <v>2021</v>
      </c>
    </row>
    <row r="2701" spans="2:11" x14ac:dyDescent="0.45">
      <c r="B2701" s="1" t="s">
        <v>11</v>
      </c>
      <c r="C2701" s="1" t="s">
        <v>2691</v>
      </c>
      <c r="D2701" s="7">
        <v>43957</v>
      </c>
      <c r="E2701" s="7">
        <v>43969</v>
      </c>
      <c r="F2701" s="7">
        <v>44053</v>
      </c>
      <c r="G2701" s="1" t="s">
        <v>13</v>
      </c>
      <c r="H2701" s="8">
        <v>194791.62</v>
      </c>
      <c r="I2701" s="8">
        <v>134873.59</v>
      </c>
      <c r="J2701" s="1">
        <f>IF(COUNTIF($C$4:C2701,C2701)=1,1,0)</f>
        <v>1</v>
      </c>
      <c r="K2701" s="1">
        <f t="shared" si="42"/>
        <v>2020</v>
      </c>
    </row>
    <row r="2702" spans="2:11" x14ac:dyDescent="0.45">
      <c r="B2702" s="1" t="s">
        <v>11</v>
      </c>
      <c r="C2702" s="1" t="s">
        <v>2692</v>
      </c>
      <c r="D2702" s="7">
        <v>43480</v>
      </c>
      <c r="E2702" s="7">
        <v>43492</v>
      </c>
      <c r="F2702" s="7">
        <v>43510</v>
      </c>
      <c r="G2702" s="1" t="s">
        <v>41</v>
      </c>
      <c r="H2702" s="8">
        <v>299327.15000000002</v>
      </c>
      <c r="I2702" s="8">
        <v>228950.07</v>
      </c>
      <c r="J2702" s="1">
        <f>IF(COUNTIF($C$4:C2702,C2702)=1,1,0)</f>
        <v>1</v>
      </c>
      <c r="K2702" s="1">
        <f t="shared" si="42"/>
        <v>2019</v>
      </c>
    </row>
    <row r="2703" spans="2:11" x14ac:dyDescent="0.45">
      <c r="B2703" s="1" t="s">
        <v>11</v>
      </c>
      <c r="C2703" s="1" t="s">
        <v>2693</v>
      </c>
      <c r="D2703" s="7">
        <v>44173</v>
      </c>
      <c r="E2703" s="7">
        <v>44199</v>
      </c>
      <c r="F2703" s="7">
        <v>44391</v>
      </c>
      <c r="G2703" s="1" t="s">
        <v>13</v>
      </c>
      <c r="H2703" s="8">
        <v>378358.1</v>
      </c>
      <c r="I2703" s="8">
        <v>315182.39</v>
      </c>
      <c r="J2703" s="1">
        <f>IF(COUNTIF($C$4:C2703,C2703)=1,1,0)</f>
        <v>1</v>
      </c>
      <c r="K2703" s="1">
        <f t="shared" si="42"/>
        <v>2020</v>
      </c>
    </row>
    <row r="2704" spans="2:11" x14ac:dyDescent="0.45">
      <c r="B2704" s="1" t="s">
        <v>11</v>
      </c>
      <c r="C2704" s="1" t="s">
        <v>2694</v>
      </c>
      <c r="D2704" s="7">
        <v>43759</v>
      </c>
      <c r="E2704" s="7">
        <v>43789</v>
      </c>
      <c r="F2704" s="7">
        <v>43927</v>
      </c>
      <c r="G2704" s="1" t="s">
        <v>44</v>
      </c>
      <c r="H2704" s="8">
        <v>18905651.449999999</v>
      </c>
      <c r="I2704" s="8">
        <v>12666687.02</v>
      </c>
      <c r="J2704" s="1">
        <f>IF(COUNTIF($C$4:C2704,C2704)=1,1,0)</f>
        <v>1</v>
      </c>
      <c r="K2704" s="1">
        <f t="shared" si="42"/>
        <v>2019</v>
      </c>
    </row>
    <row r="2705" spans="2:11" x14ac:dyDescent="0.45">
      <c r="B2705" s="1" t="s">
        <v>11</v>
      </c>
      <c r="C2705" s="1" t="s">
        <v>2695</v>
      </c>
      <c r="D2705" s="7">
        <v>46201</v>
      </c>
      <c r="E2705" s="7">
        <v>46216</v>
      </c>
      <c r="F2705" s="7">
        <v>46375</v>
      </c>
      <c r="G2705" s="1" t="s">
        <v>16</v>
      </c>
      <c r="H2705" s="8">
        <v>5312216.34</v>
      </c>
      <c r="I2705" s="8">
        <v>3019638.49</v>
      </c>
      <c r="J2705" s="1">
        <f>IF(COUNTIF($C$4:C2705,C2705)=1,1,0)</f>
        <v>1</v>
      </c>
      <c r="K2705" s="1">
        <f t="shared" si="42"/>
        <v>2026</v>
      </c>
    </row>
    <row r="2706" spans="2:11" x14ac:dyDescent="0.45">
      <c r="B2706" s="1" t="s">
        <v>11</v>
      </c>
      <c r="C2706" s="1" t="s">
        <v>2696</v>
      </c>
      <c r="D2706" s="7">
        <v>43265</v>
      </c>
      <c r="E2706" s="7">
        <v>43281</v>
      </c>
      <c r="F2706" s="7">
        <v>43519</v>
      </c>
      <c r="G2706" s="1" t="s">
        <v>20</v>
      </c>
      <c r="H2706" s="8">
        <v>18243059.030000001</v>
      </c>
      <c r="I2706" s="8">
        <v>10621539.609999999</v>
      </c>
      <c r="J2706" s="1">
        <f>IF(COUNTIF($C$4:C2706,C2706)=1,1,0)</f>
        <v>1</v>
      </c>
      <c r="K2706" s="1">
        <f t="shared" si="42"/>
        <v>2018</v>
      </c>
    </row>
    <row r="2707" spans="2:11" x14ac:dyDescent="0.45">
      <c r="B2707" s="1" t="s">
        <v>11</v>
      </c>
      <c r="C2707" s="1" t="s">
        <v>2697</v>
      </c>
      <c r="D2707" s="7">
        <v>44170</v>
      </c>
      <c r="E2707" s="7">
        <v>44192</v>
      </c>
      <c r="F2707" s="7">
        <v>44387</v>
      </c>
      <c r="G2707" s="1" t="s">
        <v>22</v>
      </c>
      <c r="H2707" s="8">
        <v>5889529.1600000001</v>
      </c>
      <c r="I2707" s="8">
        <v>3502974.8</v>
      </c>
      <c r="J2707" s="1">
        <f>IF(COUNTIF($C$4:C2707,C2707)=1,1,0)</f>
        <v>1</v>
      </c>
      <c r="K2707" s="1">
        <f t="shared" si="42"/>
        <v>2020</v>
      </c>
    </row>
    <row r="2708" spans="2:11" x14ac:dyDescent="0.45">
      <c r="B2708" s="1" t="s">
        <v>11</v>
      </c>
      <c r="C2708" s="1" t="s">
        <v>2698</v>
      </c>
      <c r="D2708" s="7">
        <v>44530</v>
      </c>
      <c r="E2708" s="7">
        <v>44544</v>
      </c>
      <c r="F2708" s="7">
        <v>44721</v>
      </c>
      <c r="G2708" s="1" t="s">
        <v>20</v>
      </c>
      <c r="H2708" s="8">
        <v>1301775.26</v>
      </c>
      <c r="I2708" s="8">
        <v>654712.01</v>
      </c>
      <c r="J2708" s="1">
        <f>IF(COUNTIF($C$4:C2708,C2708)=1,1,0)</f>
        <v>1</v>
      </c>
      <c r="K2708" s="1">
        <f t="shared" si="42"/>
        <v>2021</v>
      </c>
    </row>
    <row r="2709" spans="2:11" x14ac:dyDescent="0.45">
      <c r="B2709" s="1" t="s">
        <v>11</v>
      </c>
      <c r="C2709" s="1" t="s">
        <v>2699</v>
      </c>
      <c r="D2709" s="7">
        <v>44921</v>
      </c>
      <c r="E2709" s="7">
        <v>44930</v>
      </c>
      <c r="F2709" s="7">
        <v>45042</v>
      </c>
      <c r="G2709" s="1" t="s">
        <v>41</v>
      </c>
      <c r="H2709" s="8">
        <v>168894.75</v>
      </c>
      <c r="I2709" s="8">
        <v>108285.75</v>
      </c>
      <c r="J2709" s="1">
        <f>IF(COUNTIF($C$4:C2709,C2709)=1,1,0)</f>
        <v>1</v>
      </c>
      <c r="K2709" s="1">
        <f t="shared" si="42"/>
        <v>2022</v>
      </c>
    </row>
    <row r="2710" spans="2:11" x14ac:dyDescent="0.45">
      <c r="B2710" s="1" t="s">
        <v>11</v>
      </c>
      <c r="C2710" s="1" t="s">
        <v>2700</v>
      </c>
      <c r="D2710" s="7">
        <v>43148</v>
      </c>
      <c r="E2710" s="7">
        <v>43168</v>
      </c>
      <c r="F2710" s="7">
        <v>43335</v>
      </c>
      <c r="G2710" s="1" t="s">
        <v>41</v>
      </c>
      <c r="H2710" s="8">
        <v>85818.58</v>
      </c>
      <c r="I2710" s="8">
        <v>61656.03</v>
      </c>
      <c r="J2710" s="1">
        <f>IF(COUNTIF($C$4:C2710,C2710)=1,1,0)</f>
        <v>1</v>
      </c>
      <c r="K2710" s="1">
        <f t="shared" si="42"/>
        <v>2018</v>
      </c>
    </row>
    <row r="2711" spans="2:11" x14ac:dyDescent="0.45">
      <c r="B2711" s="1" t="s">
        <v>11</v>
      </c>
      <c r="C2711" s="1" t="s">
        <v>2701</v>
      </c>
      <c r="D2711" s="7">
        <v>44362</v>
      </c>
      <c r="E2711" s="7">
        <v>44376</v>
      </c>
      <c r="F2711" s="7">
        <v>44547</v>
      </c>
      <c r="G2711" s="1" t="s">
        <v>44</v>
      </c>
      <c r="H2711" s="8">
        <v>251247595.87</v>
      </c>
      <c r="I2711" s="8">
        <v>137310822.65000001</v>
      </c>
      <c r="J2711" s="1">
        <f>IF(COUNTIF($C$4:C2711,C2711)=1,1,0)</f>
        <v>1</v>
      </c>
      <c r="K2711" s="1">
        <f t="shared" si="42"/>
        <v>2021</v>
      </c>
    </row>
    <row r="2712" spans="2:11" x14ac:dyDescent="0.45">
      <c r="B2712" s="1" t="s">
        <v>11</v>
      </c>
      <c r="C2712" s="1" t="s">
        <v>2702</v>
      </c>
      <c r="D2712" s="7">
        <v>45776</v>
      </c>
      <c r="E2712" s="7">
        <v>45779</v>
      </c>
      <c r="F2712" s="7">
        <v>45955</v>
      </c>
      <c r="G2712" s="1" t="s">
        <v>22</v>
      </c>
      <c r="H2712" s="8">
        <v>4761917.2</v>
      </c>
      <c r="I2712" s="8">
        <v>2458222.96</v>
      </c>
      <c r="J2712" s="1">
        <f>IF(COUNTIF($C$4:C2712,C2712)=1,1,0)</f>
        <v>1</v>
      </c>
      <c r="K2712" s="1">
        <f t="shared" si="42"/>
        <v>2025</v>
      </c>
    </row>
    <row r="2713" spans="2:11" x14ac:dyDescent="0.45">
      <c r="B2713" s="1" t="s">
        <v>11</v>
      </c>
      <c r="C2713" s="1" t="s">
        <v>2703</v>
      </c>
      <c r="D2713" s="7">
        <v>44434</v>
      </c>
      <c r="E2713" s="7">
        <v>44464</v>
      </c>
      <c r="F2713" s="7">
        <v>44492</v>
      </c>
      <c r="G2713" s="1" t="s">
        <v>20</v>
      </c>
      <c r="H2713" s="8">
        <v>256539.96</v>
      </c>
      <c r="I2713" s="8">
        <v>189667.52</v>
      </c>
      <c r="J2713" s="1">
        <f>IF(COUNTIF($C$4:C2713,C2713)=1,1,0)</f>
        <v>1</v>
      </c>
      <c r="K2713" s="1">
        <f t="shared" si="42"/>
        <v>2021</v>
      </c>
    </row>
    <row r="2714" spans="2:11" x14ac:dyDescent="0.45">
      <c r="B2714" s="1" t="s">
        <v>11</v>
      </c>
      <c r="C2714" s="1" t="s">
        <v>2704</v>
      </c>
      <c r="D2714" s="7">
        <v>45261</v>
      </c>
      <c r="E2714" s="7">
        <v>45280</v>
      </c>
      <c r="F2714" s="7">
        <v>45375</v>
      </c>
      <c r="G2714" s="1" t="s">
        <v>44</v>
      </c>
      <c r="H2714" s="8">
        <v>113345255.31</v>
      </c>
      <c r="I2714" s="8">
        <v>47792498.509999998</v>
      </c>
      <c r="J2714" s="1">
        <f>IF(COUNTIF($C$4:C2714,C2714)=1,1,0)</f>
        <v>1</v>
      </c>
      <c r="K2714" s="1">
        <f t="shared" si="42"/>
        <v>2023</v>
      </c>
    </row>
    <row r="2715" spans="2:11" x14ac:dyDescent="0.45">
      <c r="B2715" s="1" t="s">
        <v>11</v>
      </c>
      <c r="C2715" s="1" t="s">
        <v>2705</v>
      </c>
      <c r="D2715" s="7">
        <v>43343</v>
      </c>
      <c r="E2715" s="7">
        <v>43355</v>
      </c>
      <c r="F2715" s="7">
        <v>43397</v>
      </c>
      <c r="G2715" s="1" t="s">
        <v>38</v>
      </c>
      <c r="H2715" s="8">
        <v>233261.38</v>
      </c>
      <c r="I2715" s="8">
        <v>178512.11</v>
      </c>
      <c r="J2715" s="1">
        <f>IF(COUNTIF($C$4:C2715,C2715)=1,1,0)</f>
        <v>1</v>
      </c>
      <c r="K2715" s="1">
        <f t="shared" si="42"/>
        <v>2018</v>
      </c>
    </row>
    <row r="2716" spans="2:11" x14ac:dyDescent="0.45">
      <c r="B2716" s="1" t="s">
        <v>11</v>
      </c>
      <c r="C2716" s="1" t="s">
        <v>2706</v>
      </c>
      <c r="D2716" s="7">
        <v>44821</v>
      </c>
      <c r="E2716" s="7">
        <v>44829</v>
      </c>
      <c r="F2716" s="7">
        <v>44984</v>
      </c>
      <c r="G2716" s="1" t="s">
        <v>38</v>
      </c>
      <c r="H2716" s="8">
        <v>1447104.17</v>
      </c>
      <c r="I2716" s="8">
        <v>1172261.32</v>
      </c>
      <c r="J2716" s="1">
        <f>IF(COUNTIF($C$4:C2716,C2716)=1,1,0)</f>
        <v>1</v>
      </c>
      <c r="K2716" s="1">
        <f t="shared" si="42"/>
        <v>2022</v>
      </c>
    </row>
    <row r="2717" spans="2:11" x14ac:dyDescent="0.45">
      <c r="B2717" s="1" t="s">
        <v>11</v>
      </c>
      <c r="C2717" s="1" t="s">
        <v>2707</v>
      </c>
      <c r="D2717" s="7">
        <v>44703</v>
      </c>
      <c r="E2717" s="7">
        <v>44706</v>
      </c>
      <c r="F2717" s="7">
        <v>44819</v>
      </c>
      <c r="G2717" s="1" t="s">
        <v>41</v>
      </c>
      <c r="H2717" s="8">
        <v>386424.59</v>
      </c>
      <c r="I2717" s="8">
        <v>281626.27</v>
      </c>
      <c r="J2717" s="1">
        <f>IF(COUNTIF($C$4:C2717,C2717)=1,1,0)</f>
        <v>1</v>
      </c>
      <c r="K2717" s="1">
        <f t="shared" si="42"/>
        <v>2022</v>
      </c>
    </row>
    <row r="2718" spans="2:11" x14ac:dyDescent="0.45">
      <c r="B2718" s="1" t="s">
        <v>11</v>
      </c>
      <c r="C2718" s="1" t="s">
        <v>2708</v>
      </c>
      <c r="D2718" s="7">
        <v>43998</v>
      </c>
      <c r="E2718" s="7">
        <v>44026</v>
      </c>
      <c r="F2718" s="7">
        <v>44094</v>
      </c>
      <c r="G2718" s="1" t="s">
        <v>38</v>
      </c>
      <c r="H2718" s="8">
        <v>1392543.71</v>
      </c>
      <c r="I2718" s="8">
        <v>1087663.27</v>
      </c>
      <c r="J2718" s="1">
        <f>IF(COUNTIF($C$4:C2718,C2718)=1,1,0)</f>
        <v>1</v>
      </c>
      <c r="K2718" s="1">
        <f t="shared" si="42"/>
        <v>2020</v>
      </c>
    </row>
    <row r="2719" spans="2:11" x14ac:dyDescent="0.45">
      <c r="B2719" s="1" t="s">
        <v>11</v>
      </c>
      <c r="C2719" s="1" t="s">
        <v>2709</v>
      </c>
      <c r="D2719" s="7">
        <v>45593</v>
      </c>
      <c r="E2719" s="7">
        <v>45596</v>
      </c>
      <c r="F2719" s="7">
        <v>45729</v>
      </c>
      <c r="G2719" s="1" t="s">
        <v>44</v>
      </c>
      <c r="H2719" s="8">
        <v>556727261.21000004</v>
      </c>
      <c r="I2719" s="8">
        <v>369538111.00999999</v>
      </c>
      <c r="J2719" s="1">
        <f>IF(COUNTIF($C$4:C2719,C2719)=1,1,0)</f>
        <v>1</v>
      </c>
      <c r="K2719" s="1">
        <f t="shared" si="42"/>
        <v>2024</v>
      </c>
    </row>
    <row r="2720" spans="2:11" x14ac:dyDescent="0.45">
      <c r="B2720" s="1" t="s">
        <v>11</v>
      </c>
      <c r="C2720" s="1" t="s">
        <v>2710</v>
      </c>
      <c r="D2720" s="7">
        <v>44863</v>
      </c>
      <c r="E2720" s="7">
        <v>44877</v>
      </c>
      <c r="F2720" s="7">
        <v>44906</v>
      </c>
      <c r="G2720" s="1" t="s">
        <v>41</v>
      </c>
      <c r="H2720" s="8">
        <v>548383.44999999995</v>
      </c>
      <c r="I2720" s="8">
        <v>428346.73</v>
      </c>
      <c r="J2720" s="1">
        <f>IF(COUNTIF($C$4:C2720,C2720)=1,1,0)</f>
        <v>1</v>
      </c>
      <c r="K2720" s="1">
        <f t="shared" si="42"/>
        <v>2022</v>
      </c>
    </row>
    <row r="2721" spans="2:11" x14ac:dyDescent="0.45">
      <c r="B2721" s="1" t="s">
        <v>11</v>
      </c>
      <c r="C2721" s="1" t="s">
        <v>2711</v>
      </c>
      <c r="D2721" s="7">
        <v>44750</v>
      </c>
      <c r="E2721" s="7">
        <v>44764</v>
      </c>
      <c r="F2721" s="7">
        <v>44937</v>
      </c>
      <c r="G2721" s="1" t="s">
        <v>38</v>
      </c>
      <c r="H2721" s="8">
        <v>737917.54</v>
      </c>
      <c r="I2721" s="8">
        <v>611080.18999999994</v>
      </c>
      <c r="J2721" s="1">
        <f>IF(COUNTIF($C$4:C2721,C2721)=1,1,0)</f>
        <v>1</v>
      </c>
      <c r="K2721" s="1">
        <f t="shared" si="42"/>
        <v>2022</v>
      </c>
    </row>
    <row r="2722" spans="2:11" x14ac:dyDescent="0.45">
      <c r="B2722" s="1" t="s">
        <v>11</v>
      </c>
      <c r="C2722" s="1" t="s">
        <v>2712</v>
      </c>
      <c r="D2722" s="7">
        <v>44352</v>
      </c>
      <c r="E2722" s="7">
        <v>44371</v>
      </c>
      <c r="F2722" s="7">
        <v>44419</v>
      </c>
      <c r="G2722" s="1" t="s">
        <v>18</v>
      </c>
      <c r="H2722" s="8">
        <v>973050.82</v>
      </c>
      <c r="I2722" s="8">
        <v>741281.87</v>
      </c>
      <c r="J2722" s="1">
        <f>IF(COUNTIF($C$4:C2722,C2722)=1,1,0)</f>
        <v>1</v>
      </c>
      <c r="K2722" s="1">
        <f t="shared" si="42"/>
        <v>2021</v>
      </c>
    </row>
    <row r="2723" spans="2:11" x14ac:dyDescent="0.45">
      <c r="B2723" s="1" t="s">
        <v>11</v>
      </c>
      <c r="C2723" s="1" t="s">
        <v>2554</v>
      </c>
      <c r="D2723" s="7">
        <v>45714</v>
      </c>
      <c r="E2723" s="7">
        <v>45726</v>
      </c>
      <c r="F2723" s="7">
        <v>45877</v>
      </c>
      <c r="G2723" s="1" t="s">
        <v>44</v>
      </c>
      <c r="H2723" s="8">
        <v>12887653.25</v>
      </c>
      <c r="I2723" s="8">
        <v>8370500.2999999998</v>
      </c>
      <c r="J2723" s="1">
        <f>IF(COUNTIF($C$4:C2723,C2723)=1,1,0)</f>
        <v>0</v>
      </c>
      <c r="K2723" s="1">
        <f t="shared" si="42"/>
        <v>2025</v>
      </c>
    </row>
    <row r="2724" spans="2:11" x14ac:dyDescent="0.45">
      <c r="B2724" s="1" t="s">
        <v>11</v>
      </c>
      <c r="C2724" s="1" t="s">
        <v>2713</v>
      </c>
      <c r="D2724" s="7">
        <v>45451</v>
      </c>
      <c r="E2724" s="7">
        <v>45458</v>
      </c>
      <c r="F2724" s="7">
        <v>45488</v>
      </c>
      <c r="G2724" s="1" t="s">
        <v>22</v>
      </c>
      <c r="H2724" s="8">
        <v>4645520.5199999996</v>
      </c>
      <c r="I2724" s="8">
        <v>2891393.26</v>
      </c>
      <c r="J2724" s="1">
        <f>IF(COUNTIF($C$4:C2724,C2724)=1,1,0)</f>
        <v>1</v>
      </c>
      <c r="K2724" s="1">
        <f t="shared" si="42"/>
        <v>2024</v>
      </c>
    </row>
    <row r="2725" spans="2:11" x14ac:dyDescent="0.45">
      <c r="B2725" s="1" t="s">
        <v>11</v>
      </c>
      <c r="C2725" s="1" t="s">
        <v>2714</v>
      </c>
      <c r="D2725" s="7">
        <v>45400</v>
      </c>
      <c r="E2725" s="7">
        <v>45429</v>
      </c>
      <c r="F2725" s="7">
        <v>45445</v>
      </c>
      <c r="G2725" s="1" t="s">
        <v>22</v>
      </c>
      <c r="H2725" s="8">
        <v>27466162.010000002</v>
      </c>
      <c r="I2725" s="8">
        <v>20614636.329999998</v>
      </c>
      <c r="J2725" s="1">
        <f>IF(COUNTIF($C$4:C2725,C2725)=1,1,0)</f>
        <v>1</v>
      </c>
      <c r="K2725" s="1">
        <f t="shared" si="42"/>
        <v>2024</v>
      </c>
    </row>
    <row r="2726" spans="2:11" x14ac:dyDescent="0.45">
      <c r="B2726" s="1" t="s">
        <v>11</v>
      </c>
      <c r="C2726" s="1" t="s">
        <v>2715</v>
      </c>
      <c r="D2726" s="7">
        <v>43558</v>
      </c>
      <c r="E2726" s="7">
        <v>43569</v>
      </c>
      <c r="F2726" s="7">
        <v>43715</v>
      </c>
      <c r="G2726" s="1" t="s">
        <v>18</v>
      </c>
      <c r="H2726" s="8">
        <v>7245321.7400000002</v>
      </c>
      <c r="I2726" s="8">
        <v>5941509.2000000002</v>
      </c>
      <c r="J2726" s="1">
        <f>IF(COUNTIF($C$4:C2726,C2726)=1,1,0)</f>
        <v>1</v>
      </c>
      <c r="K2726" s="1">
        <f t="shared" si="42"/>
        <v>2019</v>
      </c>
    </row>
    <row r="2727" spans="2:11" x14ac:dyDescent="0.45">
      <c r="B2727" s="1" t="s">
        <v>11</v>
      </c>
      <c r="C2727" s="1" t="s">
        <v>2716</v>
      </c>
      <c r="D2727" s="7">
        <v>45411</v>
      </c>
      <c r="E2727" s="7">
        <v>45438</v>
      </c>
      <c r="F2727" s="7">
        <v>45463</v>
      </c>
      <c r="G2727" s="1" t="s">
        <v>22</v>
      </c>
      <c r="H2727" s="8">
        <v>28771332.27</v>
      </c>
      <c r="I2727" s="8">
        <v>17698994.07</v>
      </c>
      <c r="J2727" s="1">
        <f>IF(COUNTIF($C$4:C2727,C2727)=1,1,0)</f>
        <v>1</v>
      </c>
      <c r="K2727" s="1">
        <f t="shared" si="42"/>
        <v>2024</v>
      </c>
    </row>
    <row r="2728" spans="2:11" x14ac:dyDescent="0.45">
      <c r="B2728" s="1" t="s">
        <v>11</v>
      </c>
      <c r="C2728" s="1" t="s">
        <v>2554</v>
      </c>
      <c r="D2728" s="7">
        <v>45350</v>
      </c>
      <c r="E2728" s="7">
        <v>45364</v>
      </c>
      <c r="F2728" s="7">
        <v>45596</v>
      </c>
      <c r="G2728" s="1" t="s">
        <v>44</v>
      </c>
      <c r="H2728" s="8">
        <v>63478682.43</v>
      </c>
      <c r="I2728" s="8">
        <v>40514985.039999999</v>
      </c>
      <c r="J2728" s="1">
        <f>IF(COUNTIF($C$4:C2728,C2728)=1,1,0)</f>
        <v>0</v>
      </c>
      <c r="K2728" s="1">
        <f t="shared" si="42"/>
        <v>2024</v>
      </c>
    </row>
    <row r="2729" spans="2:11" x14ac:dyDescent="0.45">
      <c r="B2729" s="1" t="s">
        <v>11</v>
      </c>
      <c r="C2729" s="1" t="s">
        <v>2717</v>
      </c>
      <c r="D2729" s="7">
        <v>43520</v>
      </c>
      <c r="E2729" s="7">
        <v>43524</v>
      </c>
      <c r="F2729" s="7">
        <v>43744</v>
      </c>
      <c r="G2729" s="1" t="s">
        <v>22</v>
      </c>
      <c r="H2729" s="8">
        <v>22166682.690000001</v>
      </c>
      <c r="I2729" s="8">
        <v>10587132.289999999</v>
      </c>
      <c r="J2729" s="1">
        <f>IF(COUNTIF($C$4:C2729,C2729)=1,1,0)</f>
        <v>1</v>
      </c>
      <c r="K2729" s="1">
        <f t="shared" si="42"/>
        <v>2019</v>
      </c>
    </row>
    <row r="2730" spans="2:11" x14ac:dyDescent="0.45">
      <c r="B2730" s="1" t="s">
        <v>11</v>
      </c>
      <c r="C2730" s="1" t="s">
        <v>2554</v>
      </c>
      <c r="D2730" s="7">
        <v>43431</v>
      </c>
      <c r="E2730" s="7">
        <v>43444</v>
      </c>
      <c r="F2730" s="7">
        <v>43666</v>
      </c>
      <c r="G2730" s="1" t="s">
        <v>44</v>
      </c>
      <c r="H2730" s="8">
        <v>137801993.65000001</v>
      </c>
      <c r="I2730" s="8">
        <v>85551427.079999998</v>
      </c>
      <c r="J2730" s="1">
        <f>IF(COUNTIF($C$4:C2730,C2730)=1,1,0)</f>
        <v>0</v>
      </c>
      <c r="K2730" s="1">
        <f t="shared" si="42"/>
        <v>2018</v>
      </c>
    </row>
    <row r="2731" spans="2:11" x14ac:dyDescent="0.45">
      <c r="B2731" s="1" t="s">
        <v>11</v>
      </c>
      <c r="C2731" s="1" t="s">
        <v>2718</v>
      </c>
      <c r="D2731" s="7">
        <v>44789</v>
      </c>
      <c r="E2731" s="7">
        <v>44797</v>
      </c>
      <c r="F2731" s="7">
        <v>44877</v>
      </c>
      <c r="G2731" s="1" t="s">
        <v>20</v>
      </c>
      <c r="H2731" s="8">
        <v>389785.76</v>
      </c>
      <c r="I2731" s="8">
        <v>277366.58</v>
      </c>
      <c r="J2731" s="1">
        <f>IF(COUNTIF($C$4:C2731,C2731)=1,1,0)</f>
        <v>1</v>
      </c>
      <c r="K2731" s="1">
        <f t="shared" si="42"/>
        <v>2022</v>
      </c>
    </row>
    <row r="2732" spans="2:11" x14ac:dyDescent="0.45">
      <c r="B2732" s="1" t="s">
        <v>11</v>
      </c>
      <c r="C2732" s="1" t="s">
        <v>2719</v>
      </c>
      <c r="D2732" s="7">
        <v>44018</v>
      </c>
      <c r="E2732" s="7">
        <v>44023</v>
      </c>
      <c r="F2732" s="7">
        <v>44059</v>
      </c>
      <c r="G2732" s="1" t="s">
        <v>212</v>
      </c>
      <c r="H2732" s="8">
        <v>46621587.710000001</v>
      </c>
      <c r="I2732" s="8">
        <v>25028335.789999999</v>
      </c>
      <c r="J2732" s="1">
        <f>IF(COUNTIF($C$4:C2732,C2732)=1,1,0)</f>
        <v>1</v>
      </c>
      <c r="K2732" s="1">
        <f t="shared" si="42"/>
        <v>2020</v>
      </c>
    </row>
    <row r="2733" spans="2:11" x14ac:dyDescent="0.45">
      <c r="B2733" s="1" t="s">
        <v>11</v>
      </c>
      <c r="C2733" s="1" t="s">
        <v>2720</v>
      </c>
      <c r="D2733" s="7">
        <v>44843</v>
      </c>
      <c r="E2733" s="7">
        <v>44862</v>
      </c>
      <c r="F2733" s="7">
        <v>44950</v>
      </c>
      <c r="G2733" s="1" t="s">
        <v>1348</v>
      </c>
      <c r="H2733" s="8">
        <v>28331424.399999999</v>
      </c>
      <c r="I2733" s="8">
        <v>15952645.4</v>
      </c>
      <c r="J2733" s="1">
        <f>IF(COUNTIF($C$4:C2733,C2733)=1,1,0)</f>
        <v>1</v>
      </c>
      <c r="K2733" s="1">
        <f t="shared" si="42"/>
        <v>2022</v>
      </c>
    </row>
    <row r="2734" spans="2:11" x14ac:dyDescent="0.45">
      <c r="B2734" s="1" t="s">
        <v>11</v>
      </c>
      <c r="C2734" s="1" t="s">
        <v>2721</v>
      </c>
      <c r="D2734" s="7">
        <v>43935</v>
      </c>
      <c r="E2734" s="7">
        <v>43962</v>
      </c>
      <c r="F2734" s="7">
        <v>44048</v>
      </c>
      <c r="G2734" s="1" t="s">
        <v>44</v>
      </c>
      <c r="H2734" s="8">
        <v>134094134.5</v>
      </c>
      <c r="I2734" s="8">
        <v>100470547.29000001</v>
      </c>
      <c r="J2734" s="1">
        <f>IF(COUNTIF($C$4:C2734,C2734)=1,1,0)</f>
        <v>1</v>
      </c>
      <c r="K2734" s="1">
        <f t="shared" si="42"/>
        <v>2020</v>
      </c>
    </row>
    <row r="2735" spans="2:11" x14ac:dyDescent="0.45">
      <c r="B2735" s="1" t="s">
        <v>11</v>
      </c>
      <c r="C2735" s="1" t="s">
        <v>2722</v>
      </c>
      <c r="D2735" s="7">
        <v>44193</v>
      </c>
      <c r="E2735" s="7">
        <v>44197</v>
      </c>
      <c r="F2735" s="7">
        <v>44429</v>
      </c>
      <c r="G2735" s="1" t="s">
        <v>22</v>
      </c>
      <c r="H2735" s="8">
        <v>17274081.219999999</v>
      </c>
      <c r="I2735" s="8">
        <v>10119891.68</v>
      </c>
      <c r="J2735" s="1">
        <f>IF(COUNTIF($C$4:C2735,C2735)=1,1,0)</f>
        <v>1</v>
      </c>
      <c r="K2735" s="1">
        <f t="shared" si="42"/>
        <v>2020</v>
      </c>
    </row>
    <row r="2736" spans="2:11" x14ac:dyDescent="0.45">
      <c r="B2736" s="1" t="s">
        <v>11</v>
      </c>
      <c r="C2736" s="1" t="s">
        <v>2723</v>
      </c>
      <c r="D2736" s="7">
        <v>43451</v>
      </c>
      <c r="E2736" s="7">
        <v>43470</v>
      </c>
      <c r="F2736" s="7">
        <v>43533</v>
      </c>
      <c r="G2736" s="1" t="s">
        <v>13</v>
      </c>
      <c r="H2736" s="8">
        <v>490548.2</v>
      </c>
      <c r="I2736" s="8">
        <v>363098.5</v>
      </c>
      <c r="J2736" s="1">
        <f>IF(COUNTIF($C$4:C2736,C2736)=1,1,0)</f>
        <v>1</v>
      </c>
      <c r="K2736" s="1">
        <f t="shared" si="42"/>
        <v>2018</v>
      </c>
    </row>
    <row r="2737" spans="2:11" x14ac:dyDescent="0.45">
      <c r="B2737" s="1" t="s">
        <v>11</v>
      </c>
      <c r="C2737" s="1" t="s">
        <v>2724</v>
      </c>
      <c r="D2737" s="7">
        <v>44707</v>
      </c>
      <c r="E2737" s="7">
        <v>44725</v>
      </c>
      <c r="F2737" s="7">
        <v>44870</v>
      </c>
      <c r="G2737" s="1" t="s">
        <v>38</v>
      </c>
      <c r="H2737" s="8">
        <v>339803.79</v>
      </c>
      <c r="I2737" s="8">
        <v>267728.07</v>
      </c>
      <c r="J2737" s="1">
        <f>IF(COUNTIF($C$4:C2737,C2737)=1,1,0)</f>
        <v>1</v>
      </c>
      <c r="K2737" s="1">
        <f t="shared" si="42"/>
        <v>2022</v>
      </c>
    </row>
    <row r="2738" spans="2:11" x14ac:dyDescent="0.45">
      <c r="B2738" s="1" t="s">
        <v>11</v>
      </c>
      <c r="C2738" s="1" t="s">
        <v>2725</v>
      </c>
      <c r="D2738" s="7">
        <v>43573</v>
      </c>
      <c r="E2738" s="7">
        <v>43603</v>
      </c>
      <c r="F2738" s="7">
        <v>43681</v>
      </c>
      <c r="G2738" s="1" t="s">
        <v>44</v>
      </c>
      <c r="H2738" s="8">
        <v>88987002.900000006</v>
      </c>
      <c r="I2738" s="8">
        <v>63009923.25</v>
      </c>
      <c r="J2738" s="1">
        <f>IF(COUNTIF($C$4:C2738,C2738)=1,1,0)</f>
        <v>1</v>
      </c>
      <c r="K2738" s="1">
        <f t="shared" si="42"/>
        <v>2019</v>
      </c>
    </row>
    <row r="2739" spans="2:11" x14ac:dyDescent="0.45">
      <c r="B2739" s="1" t="s">
        <v>11</v>
      </c>
      <c r="C2739" s="1" t="s">
        <v>2726</v>
      </c>
      <c r="D2739" s="7">
        <v>45813</v>
      </c>
      <c r="E2739" s="7">
        <v>45814</v>
      </c>
      <c r="F2739" s="7">
        <v>45969</v>
      </c>
      <c r="G2739" s="1" t="s">
        <v>16</v>
      </c>
      <c r="H2739" s="8">
        <v>1138881.98</v>
      </c>
      <c r="I2739" s="8">
        <v>782243.61</v>
      </c>
      <c r="J2739" s="1">
        <f>IF(COUNTIF($C$4:C2739,C2739)=1,1,0)</f>
        <v>1</v>
      </c>
      <c r="K2739" s="1">
        <f t="shared" si="42"/>
        <v>2025</v>
      </c>
    </row>
    <row r="2740" spans="2:11" x14ac:dyDescent="0.45">
      <c r="B2740" s="1" t="s">
        <v>11</v>
      </c>
      <c r="C2740" s="1" t="s">
        <v>2727</v>
      </c>
      <c r="D2740" s="7">
        <v>44114</v>
      </c>
      <c r="E2740" s="7">
        <v>44132</v>
      </c>
      <c r="F2740" s="7">
        <v>44232</v>
      </c>
      <c r="G2740" s="1" t="s">
        <v>20</v>
      </c>
      <c r="H2740" s="8">
        <v>936183.35</v>
      </c>
      <c r="I2740" s="8">
        <v>557576.76</v>
      </c>
      <c r="J2740" s="1">
        <f>IF(COUNTIF($C$4:C2740,C2740)=1,1,0)</f>
        <v>1</v>
      </c>
      <c r="K2740" s="1">
        <f t="shared" si="42"/>
        <v>2020</v>
      </c>
    </row>
    <row r="2741" spans="2:11" x14ac:dyDescent="0.45">
      <c r="B2741" s="1" t="s">
        <v>11</v>
      </c>
      <c r="C2741" s="1" t="s">
        <v>2728</v>
      </c>
      <c r="D2741" s="7">
        <v>43984</v>
      </c>
      <c r="E2741" s="7">
        <v>44013</v>
      </c>
      <c r="F2741" s="7">
        <v>44220</v>
      </c>
      <c r="G2741" s="1" t="s">
        <v>38</v>
      </c>
      <c r="H2741" s="8">
        <v>229368.74</v>
      </c>
      <c r="I2741" s="8">
        <v>170588.46</v>
      </c>
      <c r="J2741" s="1">
        <f>IF(COUNTIF($C$4:C2741,C2741)=1,1,0)</f>
        <v>1</v>
      </c>
      <c r="K2741" s="1">
        <f t="shared" si="42"/>
        <v>2020</v>
      </c>
    </row>
    <row r="2742" spans="2:11" x14ac:dyDescent="0.45">
      <c r="B2742" s="1" t="s">
        <v>11</v>
      </c>
      <c r="C2742" s="1" t="s">
        <v>2729</v>
      </c>
      <c r="D2742" s="7">
        <v>46159</v>
      </c>
      <c r="E2742" s="7">
        <v>46169</v>
      </c>
      <c r="F2742" s="7">
        <v>46252</v>
      </c>
      <c r="G2742" s="1" t="s">
        <v>41</v>
      </c>
      <c r="H2742" s="8">
        <v>46406.21</v>
      </c>
      <c r="I2742" s="8">
        <v>38343.14</v>
      </c>
      <c r="J2742" s="1">
        <f>IF(COUNTIF($C$4:C2742,C2742)=1,1,0)</f>
        <v>1</v>
      </c>
      <c r="K2742" s="1">
        <f t="shared" si="42"/>
        <v>2026</v>
      </c>
    </row>
    <row r="2743" spans="2:11" x14ac:dyDescent="0.45">
      <c r="B2743" s="1" t="s">
        <v>11</v>
      </c>
      <c r="C2743" s="1" t="s">
        <v>2730</v>
      </c>
      <c r="D2743" s="7">
        <v>44995</v>
      </c>
      <c r="E2743" s="7">
        <v>45005</v>
      </c>
      <c r="F2743" s="7">
        <v>45125</v>
      </c>
      <c r="G2743" s="1" t="s">
        <v>13</v>
      </c>
      <c r="H2743" s="8">
        <v>579040.4</v>
      </c>
      <c r="I2743" s="8">
        <v>416052.13</v>
      </c>
      <c r="J2743" s="1">
        <f>IF(COUNTIF($C$4:C2743,C2743)=1,1,0)</f>
        <v>1</v>
      </c>
      <c r="K2743" s="1">
        <f t="shared" si="42"/>
        <v>2023</v>
      </c>
    </row>
    <row r="2744" spans="2:11" x14ac:dyDescent="0.45">
      <c r="B2744" s="1" t="s">
        <v>11</v>
      </c>
      <c r="C2744" s="1" t="s">
        <v>2731</v>
      </c>
      <c r="D2744" s="7">
        <v>44756</v>
      </c>
      <c r="E2744" s="7">
        <v>44778</v>
      </c>
      <c r="F2744" s="7">
        <v>44954</v>
      </c>
      <c r="G2744" s="1" t="s">
        <v>41</v>
      </c>
      <c r="H2744" s="8">
        <v>131677.76999999999</v>
      </c>
      <c r="I2744" s="8">
        <v>96706.12</v>
      </c>
      <c r="J2744" s="1">
        <f>IF(COUNTIF($C$4:C2744,C2744)=1,1,0)</f>
        <v>1</v>
      </c>
      <c r="K2744" s="1">
        <f t="shared" si="42"/>
        <v>2022</v>
      </c>
    </row>
    <row r="2745" spans="2:11" x14ac:dyDescent="0.45">
      <c r="B2745" s="1" t="s">
        <v>11</v>
      </c>
      <c r="C2745" s="1" t="s">
        <v>2732</v>
      </c>
      <c r="D2745" s="7">
        <v>45384</v>
      </c>
      <c r="E2745" s="7">
        <v>45386</v>
      </c>
      <c r="F2745" s="7">
        <v>45438</v>
      </c>
      <c r="G2745" s="1" t="s">
        <v>18</v>
      </c>
      <c r="H2745" s="8">
        <v>1838198.13</v>
      </c>
      <c r="I2745" s="8">
        <v>1595397.61</v>
      </c>
      <c r="J2745" s="1">
        <f>IF(COUNTIF($C$4:C2745,C2745)=1,1,0)</f>
        <v>1</v>
      </c>
      <c r="K2745" s="1">
        <f t="shared" si="42"/>
        <v>2024</v>
      </c>
    </row>
    <row r="2746" spans="2:11" x14ac:dyDescent="0.45">
      <c r="B2746" s="1" t="s">
        <v>11</v>
      </c>
      <c r="C2746" s="1" t="s">
        <v>2733</v>
      </c>
      <c r="D2746" s="7">
        <v>43944</v>
      </c>
      <c r="E2746" s="7">
        <v>43951</v>
      </c>
      <c r="F2746" s="7">
        <v>44014</v>
      </c>
      <c r="G2746" s="1" t="s">
        <v>22</v>
      </c>
      <c r="H2746" s="8">
        <v>5523892.04</v>
      </c>
      <c r="I2746" s="8">
        <v>2930585.18</v>
      </c>
      <c r="J2746" s="1">
        <f>IF(COUNTIF($C$4:C2746,C2746)=1,1,0)</f>
        <v>1</v>
      </c>
      <c r="K2746" s="1">
        <f t="shared" si="42"/>
        <v>2020</v>
      </c>
    </row>
    <row r="2747" spans="2:11" x14ac:dyDescent="0.45">
      <c r="B2747" s="1" t="s">
        <v>11</v>
      </c>
      <c r="C2747" s="1" t="s">
        <v>2734</v>
      </c>
      <c r="D2747" s="7">
        <v>45265</v>
      </c>
      <c r="E2747" s="7">
        <v>45294</v>
      </c>
      <c r="F2747" s="7">
        <v>45421</v>
      </c>
      <c r="G2747" s="1" t="s">
        <v>212</v>
      </c>
      <c r="H2747" s="8">
        <v>31890761.140000001</v>
      </c>
      <c r="I2747" s="8">
        <v>11271010.210000001</v>
      </c>
      <c r="J2747" s="1">
        <f>IF(COUNTIF($C$4:C2747,C2747)=1,1,0)</f>
        <v>1</v>
      </c>
      <c r="K2747" s="1">
        <f t="shared" si="42"/>
        <v>2023</v>
      </c>
    </row>
    <row r="2748" spans="2:11" x14ac:dyDescent="0.45">
      <c r="B2748" s="1" t="s">
        <v>11</v>
      </c>
      <c r="C2748" s="1" t="s">
        <v>2735</v>
      </c>
      <c r="D2748" s="7">
        <v>45781</v>
      </c>
      <c r="E2748" s="7">
        <v>45805</v>
      </c>
      <c r="F2748" s="7">
        <v>45830</v>
      </c>
      <c r="G2748" s="1" t="s">
        <v>1348</v>
      </c>
      <c r="H2748" s="8">
        <v>149023763.84999999</v>
      </c>
      <c r="I2748" s="8">
        <v>105166076.38</v>
      </c>
      <c r="J2748" s="1">
        <f>IF(COUNTIF($C$4:C2748,C2748)=1,1,0)</f>
        <v>1</v>
      </c>
      <c r="K2748" s="1">
        <f t="shared" si="42"/>
        <v>2025</v>
      </c>
    </row>
    <row r="2749" spans="2:11" x14ac:dyDescent="0.45">
      <c r="B2749" s="1" t="s">
        <v>11</v>
      </c>
      <c r="C2749" s="1" t="s">
        <v>2736</v>
      </c>
      <c r="D2749" s="7">
        <v>44373</v>
      </c>
      <c r="E2749" s="7">
        <v>44396</v>
      </c>
      <c r="F2749" s="7">
        <v>44596</v>
      </c>
      <c r="G2749" s="1" t="s">
        <v>18</v>
      </c>
      <c r="H2749" s="8">
        <v>9850763.9499999993</v>
      </c>
      <c r="I2749" s="8">
        <v>7479533.6100000003</v>
      </c>
      <c r="J2749" s="1">
        <f>IF(COUNTIF($C$4:C2749,C2749)=1,1,0)</f>
        <v>1</v>
      </c>
      <c r="K2749" s="1">
        <f t="shared" si="42"/>
        <v>2021</v>
      </c>
    </row>
    <row r="2750" spans="2:11" x14ac:dyDescent="0.45">
      <c r="B2750" s="1" t="s">
        <v>11</v>
      </c>
      <c r="C2750" s="1" t="s">
        <v>2737</v>
      </c>
      <c r="D2750" s="7">
        <v>44876</v>
      </c>
      <c r="E2750" s="7">
        <v>44884</v>
      </c>
      <c r="F2750" s="7">
        <v>45117</v>
      </c>
      <c r="G2750" s="1" t="s">
        <v>1348</v>
      </c>
      <c r="H2750" s="8">
        <v>121212846.84999999</v>
      </c>
      <c r="I2750" s="8">
        <v>84763638.599999994</v>
      </c>
      <c r="J2750" s="1">
        <f>IF(COUNTIF($C$4:C2750,C2750)=1,1,0)</f>
        <v>1</v>
      </c>
      <c r="K2750" s="1">
        <f t="shared" si="42"/>
        <v>2022</v>
      </c>
    </row>
    <row r="2751" spans="2:11" x14ac:dyDescent="0.45">
      <c r="B2751" s="1" t="s">
        <v>11</v>
      </c>
      <c r="C2751" s="1" t="s">
        <v>2738</v>
      </c>
      <c r="D2751" s="7">
        <v>44206</v>
      </c>
      <c r="E2751" s="7">
        <v>44208</v>
      </c>
      <c r="F2751" s="7">
        <v>44372</v>
      </c>
      <c r="G2751" s="1" t="s">
        <v>44</v>
      </c>
      <c r="H2751" s="8">
        <v>69976230.420000002</v>
      </c>
      <c r="I2751" s="8">
        <v>42902180.609999999</v>
      </c>
      <c r="J2751" s="1">
        <f>IF(COUNTIF($C$4:C2751,C2751)=1,1,0)</f>
        <v>1</v>
      </c>
      <c r="K2751" s="1">
        <f t="shared" si="42"/>
        <v>2021</v>
      </c>
    </row>
    <row r="2752" spans="2:11" x14ac:dyDescent="0.45">
      <c r="B2752" s="1" t="s">
        <v>11</v>
      </c>
      <c r="C2752" s="1" t="s">
        <v>2739</v>
      </c>
      <c r="D2752" s="7">
        <v>46039</v>
      </c>
      <c r="E2752" s="7">
        <v>46044</v>
      </c>
      <c r="F2752" s="7">
        <v>46281</v>
      </c>
      <c r="G2752" s="1" t="s">
        <v>44</v>
      </c>
      <c r="H2752" s="8">
        <v>56989724.82</v>
      </c>
      <c r="I2752" s="8">
        <v>22671472.59</v>
      </c>
      <c r="J2752" s="1">
        <f>IF(COUNTIF($C$4:C2752,C2752)=1,1,0)</f>
        <v>1</v>
      </c>
      <c r="K2752" s="1">
        <f t="shared" si="42"/>
        <v>2026</v>
      </c>
    </row>
    <row r="2753" spans="2:11" x14ac:dyDescent="0.45">
      <c r="B2753" s="1" t="s">
        <v>11</v>
      </c>
      <c r="C2753" s="1" t="s">
        <v>2740</v>
      </c>
      <c r="D2753" s="7">
        <v>43655</v>
      </c>
      <c r="E2753" s="7">
        <v>43674</v>
      </c>
      <c r="F2753" s="7">
        <v>43891</v>
      </c>
      <c r="G2753" s="1" t="s">
        <v>38</v>
      </c>
      <c r="H2753" s="8">
        <v>81135.63</v>
      </c>
      <c r="I2753" s="8">
        <v>58081.66</v>
      </c>
      <c r="J2753" s="1">
        <f>IF(COUNTIF($C$4:C2753,C2753)=1,1,0)</f>
        <v>1</v>
      </c>
      <c r="K2753" s="1">
        <f t="shared" si="42"/>
        <v>2019</v>
      </c>
    </row>
    <row r="2754" spans="2:11" x14ac:dyDescent="0.45">
      <c r="B2754" s="1" t="s">
        <v>11</v>
      </c>
      <c r="C2754" s="1" t="s">
        <v>2741</v>
      </c>
      <c r="D2754" s="7">
        <v>43206</v>
      </c>
      <c r="E2754" s="7">
        <v>43220</v>
      </c>
      <c r="F2754" s="7">
        <v>43363</v>
      </c>
      <c r="G2754" s="1" t="s">
        <v>41</v>
      </c>
      <c r="H2754" s="8">
        <v>648633.38</v>
      </c>
      <c r="I2754" s="8">
        <v>536465.80000000005</v>
      </c>
      <c r="J2754" s="1">
        <f>IF(COUNTIF($C$4:C2754,C2754)=1,1,0)</f>
        <v>1</v>
      </c>
      <c r="K2754" s="1">
        <f t="shared" si="42"/>
        <v>2018</v>
      </c>
    </row>
    <row r="2755" spans="2:11" x14ac:dyDescent="0.45">
      <c r="B2755" s="1" t="s">
        <v>11</v>
      </c>
      <c r="C2755" s="1" t="s">
        <v>2742</v>
      </c>
      <c r="D2755" s="7">
        <v>44291</v>
      </c>
      <c r="E2755" s="7">
        <v>44321</v>
      </c>
      <c r="F2755" s="7">
        <v>44469</v>
      </c>
      <c r="G2755" s="1" t="s">
        <v>20</v>
      </c>
      <c r="H2755" s="8">
        <v>2465351.8199999998</v>
      </c>
      <c r="I2755" s="8">
        <v>1790652.63</v>
      </c>
      <c r="J2755" s="1">
        <f>IF(COUNTIF($C$4:C2755,C2755)=1,1,0)</f>
        <v>1</v>
      </c>
      <c r="K2755" s="1">
        <f t="shared" si="42"/>
        <v>2021</v>
      </c>
    </row>
    <row r="2756" spans="2:11" x14ac:dyDescent="0.45">
      <c r="B2756" s="1" t="s">
        <v>11</v>
      </c>
      <c r="C2756" s="1" t="s">
        <v>2743</v>
      </c>
      <c r="D2756" s="7">
        <v>43976</v>
      </c>
      <c r="E2756" s="7">
        <v>43982</v>
      </c>
      <c r="F2756" s="7">
        <v>44150</v>
      </c>
      <c r="G2756" s="1" t="s">
        <v>212</v>
      </c>
      <c r="H2756" s="8">
        <v>15522628.74</v>
      </c>
      <c r="I2756" s="8">
        <v>8041532.3200000003</v>
      </c>
      <c r="J2756" s="1">
        <f>IF(COUNTIF($C$4:C2756,C2756)=1,1,0)</f>
        <v>1</v>
      </c>
      <c r="K2756" s="1">
        <f t="shared" si="42"/>
        <v>2020</v>
      </c>
    </row>
    <row r="2757" spans="2:11" x14ac:dyDescent="0.45">
      <c r="B2757" s="1" t="s">
        <v>11</v>
      </c>
      <c r="C2757" s="1" t="s">
        <v>2744</v>
      </c>
      <c r="D2757" s="7">
        <v>44093</v>
      </c>
      <c r="E2757" s="7">
        <v>44120</v>
      </c>
      <c r="F2757" s="7">
        <v>44291</v>
      </c>
      <c r="G2757" s="1" t="s">
        <v>13</v>
      </c>
      <c r="H2757" s="8">
        <v>1202227.02</v>
      </c>
      <c r="I2757" s="8">
        <v>939577.88</v>
      </c>
      <c r="J2757" s="1">
        <f>IF(COUNTIF($C$4:C2757,C2757)=1,1,0)</f>
        <v>1</v>
      </c>
      <c r="K2757" s="1">
        <f t="shared" ref="K2757:K2820" si="43">YEAR(D2757)</f>
        <v>2020</v>
      </c>
    </row>
    <row r="2758" spans="2:11" x14ac:dyDescent="0.45">
      <c r="B2758" s="1" t="s">
        <v>11</v>
      </c>
      <c r="C2758" s="1" t="s">
        <v>2745</v>
      </c>
      <c r="D2758" s="7">
        <v>45484</v>
      </c>
      <c r="E2758" s="7">
        <v>45485</v>
      </c>
      <c r="F2758" s="7">
        <v>45633</v>
      </c>
      <c r="G2758" s="1" t="s">
        <v>20</v>
      </c>
      <c r="H2758" s="8">
        <v>348843.25</v>
      </c>
      <c r="I2758" s="8">
        <v>239119.69</v>
      </c>
      <c r="J2758" s="1">
        <f>IF(COUNTIF($C$4:C2758,C2758)=1,1,0)</f>
        <v>1</v>
      </c>
      <c r="K2758" s="1">
        <f t="shared" si="43"/>
        <v>2024</v>
      </c>
    </row>
    <row r="2759" spans="2:11" x14ac:dyDescent="0.45">
      <c r="B2759" s="1" t="s">
        <v>11</v>
      </c>
      <c r="C2759" s="1" t="s">
        <v>2746</v>
      </c>
      <c r="D2759" s="7">
        <v>45116</v>
      </c>
      <c r="E2759" s="7">
        <v>45129</v>
      </c>
      <c r="F2759" s="7">
        <v>45224</v>
      </c>
      <c r="G2759" s="1" t="s">
        <v>44</v>
      </c>
      <c r="H2759" s="8">
        <v>254211384.22</v>
      </c>
      <c r="I2759" s="8">
        <v>160463741.44</v>
      </c>
      <c r="J2759" s="1">
        <f>IF(COUNTIF($C$4:C2759,C2759)=1,1,0)</f>
        <v>1</v>
      </c>
      <c r="K2759" s="1">
        <f t="shared" si="43"/>
        <v>2023</v>
      </c>
    </row>
    <row r="2760" spans="2:11" x14ac:dyDescent="0.45">
      <c r="B2760" s="1" t="s">
        <v>11</v>
      </c>
      <c r="C2760" s="1" t="s">
        <v>2747</v>
      </c>
      <c r="D2760" s="7">
        <v>45611</v>
      </c>
      <c r="E2760" s="7">
        <v>45618</v>
      </c>
      <c r="F2760" s="7">
        <v>45660</v>
      </c>
      <c r="G2760" s="1" t="s">
        <v>20</v>
      </c>
      <c r="H2760" s="8">
        <v>2313535.59</v>
      </c>
      <c r="I2760" s="8">
        <v>1437794.09</v>
      </c>
      <c r="J2760" s="1">
        <f>IF(COUNTIF($C$4:C2760,C2760)=1,1,0)</f>
        <v>1</v>
      </c>
      <c r="K2760" s="1">
        <f t="shared" si="43"/>
        <v>2024</v>
      </c>
    </row>
    <row r="2761" spans="2:11" x14ac:dyDescent="0.45">
      <c r="B2761" s="1" t="s">
        <v>11</v>
      </c>
      <c r="C2761" s="1" t="s">
        <v>2748</v>
      </c>
      <c r="D2761" s="7">
        <v>44735</v>
      </c>
      <c r="E2761" s="7">
        <v>44758</v>
      </c>
      <c r="F2761" s="7">
        <v>44862</v>
      </c>
      <c r="G2761" s="1" t="s">
        <v>18</v>
      </c>
      <c r="H2761" s="8">
        <v>7407312.5499999998</v>
      </c>
      <c r="I2761" s="8">
        <v>5871341.4100000001</v>
      </c>
      <c r="J2761" s="1">
        <f>IF(COUNTIF($C$4:C2761,C2761)=1,1,0)</f>
        <v>1</v>
      </c>
      <c r="K2761" s="1">
        <f t="shared" si="43"/>
        <v>2022</v>
      </c>
    </row>
    <row r="2762" spans="2:11" x14ac:dyDescent="0.45">
      <c r="B2762" s="1" t="s">
        <v>11</v>
      </c>
      <c r="C2762" s="1" t="s">
        <v>2749</v>
      </c>
      <c r="D2762" s="7">
        <v>44114</v>
      </c>
      <c r="E2762" s="7">
        <v>44135</v>
      </c>
      <c r="F2762" s="7">
        <v>44324</v>
      </c>
      <c r="G2762" s="1" t="s">
        <v>1348</v>
      </c>
      <c r="H2762" s="8">
        <v>15432656.689999999</v>
      </c>
      <c r="I2762" s="8">
        <v>12433612.710000001</v>
      </c>
      <c r="J2762" s="1">
        <f>IF(COUNTIF($C$4:C2762,C2762)=1,1,0)</f>
        <v>1</v>
      </c>
      <c r="K2762" s="1">
        <f t="shared" si="43"/>
        <v>2020</v>
      </c>
    </row>
    <row r="2763" spans="2:11" x14ac:dyDescent="0.45">
      <c r="B2763" s="1" t="s">
        <v>11</v>
      </c>
      <c r="C2763" s="1" t="s">
        <v>2750</v>
      </c>
      <c r="D2763" s="7">
        <v>44123</v>
      </c>
      <c r="E2763" s="7">
        <v>44137</v>
      </c>
      <c r="F2763" s="7">
        <v>44205</v>
      </c>
      <c r="G2763" s="1" t="s">
        <v>16</v>
      </c>
      <c r="H2763" s="8">
        <v>2208575.09</v>
      </c>
      <c r="I2763" s="8">
        <v>1567351.6</v>
      </c>
      <c r="J2763" s="1">
        <f>IF(COUNTIF($C$4:C2763,C2763)=1,1,0)</f>
        <v>1</v>
      </c>
      <c r="K2763" s="1">
        <f t="shared" si="43"/>
        <v>2020</v>
      </c>
    </row>
    <row r="2764" spans="2:11" x14ac:dyDescent="0.45">
      <c r="B2764" s="1" t="s">
        <v>11</v>
      </c>
      <c r="C2764" s="1" t="s">
        <v>2751</v>
      </c>
      <c r="D2764" s="7">
        <v>44585</v>
      </c>
      <c r="E2764" s="7">
        <v>44601</v>
      </c>
      <c r="F2764" s="7">
        <v>44762</v>
      </c>
      <c r="G2764" s="1" t="s">
        <v>20</v>
      </c>
      <c r="H2764" s="8">
        <v>821469.47</v>
      </c>
      <c r="I2764" s="8">
        <v>505202.13</v>
      </c>
      <c r="J2764" s="1">
        <f>IF(COUNTIF($C$4:C2764,C2764)=1,1,0)</f>
        <v>1</v>
      </c>
      <c r="K2764" s="1">
        <f t="shared" si="43"/>
        <v>2022</v>
      </c>
    </row>
    <row r="2765" spans="2:11" x14ac:dyDescent="0.45">
      <c r="B2765" s="1" t="s">
        <v>11</v>
      </c>
      <c r="C2765" s="1" t="s">
        <v>2752</v>
      </c>
      <c r="D2765" s="7">
        <v>43635</v>
      </c>
      <c r="E2765" s="7">
        <v>43641</v>
      </c>
      <c r="F2765" s="7">
        <v>43657</v>
      </c>
      <c r="G2765" s="1" t="s">
        <v>44</v>
      </c>
      <c r="H2765" s="8">
        <v>114093964.88</v>
      </c>
      <c r="I2765" s="8">
        <v>63061042.380000003</v>
      </c>
      <c r="J2765" s="1">
        <f>IF(COUNTIF($C$4:C2765,C2765)=1,1,0)</f>
        <v>1</v>
      </c>
      <c r="K2765" s="1">
        <f t="shared" si="43"/>
        <v>2019</v>
      </c>
    </row>
    <row r="2766" spans="2:11" x14ac:dyDescent="0.45">
      <c r="B2766" s="1" t="s">
        <v>11</v>
      </c>
      <c r="C2766" s="1" t="s">
        <v>2753</v>
      </c>
      <c r="D2766" s="7">
        <v>43814</v>
      </c>
      <c r="E2766" s="7">
        <v>43835</v>
      </c>
      <c r="F2766" s="7">
        <v>43981</v>
      </c>
      <c r="G2766" s="1" t="s">
        <v>44</v>
      </c>
      <c r="H2766" s="8">
        <v>247180071.62</v>
      </c>
      <c r="I2766" s="8">
        <v>138724484.90000001</v>
      </c>
      <c r="J2766" s="1">
        <f>IF(COUNTIF($C$4:C2766,C2766)=1,1,0)</f>
        <v>1</v>
      </c>
      <c r="K2766" s="1">
        <f t="shared" si="43"/>
        <v>2019</v>
      </c>
    </row>
    <row r="2767" spans="2:11" x14ac:dyDescent="0.45">
      <c r="B2767" s="1" t="s">
        <v>11</v>
      </c>
      <c r="C2767" s="1" t="s">
        <v>2754</v>
      </c>
      <c r="D2767" s="7">
        <v>44231</v>
      </c>
      <c r="E2767" s="7">
        <v>44254</v>
      </c>
      <c r="F2767" s="7">
        <v>44450</v>
      </c>
      <c r="G2767" s="1" t="s">
        <v>212</v>
      </c>
      <c r="H2767" s="8">
        <v>27586350.57</v>
      </c>
      <c r="I2767" s="8">
        <v>16401863.17</v>
      </c>
      <c r="J2767" s="1">
        <f>IF(COUNTIF($C$4:C2767,C2767)=1,1,0)</f>
        <v>1</v>
      </c>
      <c r="K2767" s="1">
        <f t="shared" si="43"/>
        <v>2021</v>
      </c>
    </row>
    <row r="2768" spans="2:11" x14ac:dyDescent="0.45">
      <c r="B2768" s="1" t="s">
        <v>11</v>
      </c>
      <c r="C2768" s="1" t="s">
        <v>2755</v>
      </c>
      <c r="D2768" s="7">
        <v>45037</v>
      </c>
      <c r="E2768" s="7">
        <v>45045</v>
      </c>
      <c r="F2768" s="7">
        <v>45090</v>
      </c>
      <c r="G2768" s="1" t="s">
        <v>13</v>
      </c>
      <c r="H2768" s="8">
        <v>993854.53</v>
      </c>
      <c r="I2768" s="8">
        <v>868633.99</v>
      </c>
      <c r="J2768" s="1">
        <f>IF(COUNTIF($C$4:C2768,C2768)=1,1,0)</f>
        <v>1</v>
      </c>
      <c r="K2768" s="1">
        <f t="shared" si="43"/>
        <v>2023</v>
      </c>
    </row>
    <row r="2769" spans="2:11" x14ac:dyDescent="0.45">
      <c r="B2769" s="1" t="s">
        <v>11</v>
      </c>
      <c r="C2769" s="1" t="s">
        <v>2756</v>
      </c>
      <c r="D2769" s="7">
        <v>44367</v>
      </c>
      <c r="E2769" s="7">
        <v>44377</v>
      </c>
      <c r="F2769" s="7">
        <v>44396</v>
      </c>
      <c r="G2769" s="1" t="s">
        <v>212</v>
      </c>
      <c r="H2769" s="8">
        <v>4215474.9000000004</v>
      </c>
      <c r="I2769" s="8">
        <v>2596370.77</v>
      </c>
      <c r="J2769" s="1">
        <f>IF(COUNTIF($C$4:C2769,C2769)=1,1,0)</f>
        <v>1</v>
      </c>
      <c r="K2769" s="1">
        <f t="shared" si="43"/>
        <v>2021</v>
      </c>
    </row>
    <row r="2770" spans="2:11" x14ac:dyDescent="0.45">
      <c r="B2770" s="1" t="s">
        <v>11</v>
      </c>
      <c r="C2770" s="1" t="s">
        <v>2757</v>
      </c>
      <c r="D2770" s="7">
        <v>44350</v>
      </c>
      <c r="E2770" s="7">
        <v>44364</v>
      </c>
      <c r="F2770" s="7">
        <v>44454</v>
      </c>
      <c r="G2770" s="1" t="s">
        <v>41</v>
      </c>
      <c r="H2770" s="8">
        <v>166271.17000000001</v>
      </c>
      <c r="I2770" s="8">
        <v>127585.78</v>
      </c>
      <c r="J2770" s="1">
        <f>IF(COUNTIF($C$4:C2770,C2770)=1,1,0)</f>
        <v>1</v>
      </c>
      <c r="K2770" s="1">
        <f t="shared" si="43"/>
        <v>2021</v>
      </c>
    </row>
    <row r="2771" spans="2:11" x14ac:dyDescent="0.45">
      <c r="B2771" s="1" t="s">
        <v>11</v>
      </c>
      <c r="C2771" s="1" t="s">
        <v>2758</v>
      </c>
      <c r="D2771" s="7">
        <v>44649</v>
      </c>
      <c r="E2771" s="7">
        <v>44650</v>
      </c>
      <c r="F2771" s="7">
        <v>44805</v>
      </c>
      <c r="G2771" s="1" t="s">
        <v>212</v>
      </c>
      <c r="H2771" s="8">
        <v>50188891.619999997</v>
      </c>
      <c r="I2771" s="8">
        <v>30649605.719999999</v>
      </c>
      <c r="J2771" s="1">
        <f>IF(COUNTIF($C$4:C2771,C2771)=1,1,0)</f>
        <v>1</v>
      </c>
      <c r="K2771" s="1">
        <f t="shared" si="43"/>
        <v>2022</v>
      </c>
    </row>
    <row r="2772" spans="2:11" x14ac:dyDescent="0.45">
      <c r="B2772" s="1" t="s">
        <v>11</v>
      </c>
      <c r="C2772" s="1" t="s">
        <v>2759</v>
      </c>
      <c r="D2772" s="7">
        <v>45921</v>
      </c>
      <c r="E2772" s="7">
        <v>45933</v>
      </c>
      <c r="F2772" s="7">
        <v>46038</v>
      </c>
      <c r="G2772" s="1" t="s">
        <v>1348</v>
      </c>
      <c r="H2772" s="8">
        <v>191819541.87</v>
      </c>
      <c r="I2772" s="8">
        <v>103373856.84999999</v>
      </c>
      <c r="J2772" s="1">
        <f>IF(COUNTIF($C$4:C2772,C2772)=1,1,0)</f>
        <v>1</v>
      </c>
      <c r="K2772" s="1">
        <f t="shared" si="43"/>
        <v>2025</v>
      </c>
    </row>
    <row r="2773" spans="2:11" x14ac:dyDescent="0.45">
      <c r="B2773" s="1" t="s">
        <v>11</v>
      </c>
      <c r="C2773" s="1" t="s">
        <v>2760</v>
      </c>
      <c r="D2773" s="7">
        <v>43823</v>
      </c>
      <c r="E2773" s="7">
        <v>43830</v>
      </c>
      <c r="F2773" s="7">
        <v>44028</v>
      </c>
      <c r="G2773" s="1" t="s">
        <v>22</v>
      </c>
      <c r="H2773" s="8">
        <v>15668595.85</v>
      </c>
      <c r="I2773" s="8">
        <v>9360510.4499999993</v>
      </c>
      <c r="J2773" s="1">
        <f>IF(COUNTIF($C$4:C2773,C2773)=1,1,0)</f>
        <v>1</v>
      </c>
      <c r="K2773" s="1">
        <f t="shared" si="43"/>
        <v>2019</v>
      </c>
    </row>
    <row r="2774" spans="2:11" x14ac:dyDescent="0.45">
      <c r="B2774" s="1" t="s">
        <v>11</v>
      </c>
      <c r="C2774" s="1" t="s">
        <v>2761</v>
      </c>
      <c r="D2774" s="7">
        <v>44240</v>
      </c>
      <c r="E2774" s="7">
        <v>44244</v>
      </c>
      <c r="F2774" s="7">
        <v>44265</v>
      </c>
      <c r="G2774" s="1" t="s">
        <v>1348</v>
      </c>
      <c r="H2774" s="8">
        <v>76986037.840000004</v>
      </c>
      <c r="I2774" s="8">
        <v>42725935.130000003</v>
      </c>
      <c r="J2774" s="1">
        <f>IF(COUNTIF($C$4:C2774,C2774)=1,1,0)</f>
        <v>1</v>
      </c>
      <c r="K2774" s="1">
        <f t="shared" si="43"/>
        <v>2021</v>
      </c>
    </row>
    <row r="2775" spans="2:11" x14ac:dyDescent="0.45">
      <c r="B2775" s="1" t="s">
        <v>11</v>
      </c>
      <c r="C2775" s="1" t="s">
        <v>2762</v>
      </c>
      <c r="D2775" s="7">
        <v>45938</v>
      </c>
      <c r="E2775" s="7">
        <v>45955</v>
      </c>
      <c r="F2775" s="7">
        <v>45983</v>
      </c>
      <c r="G2775" s="1" t="s">
        <v>44</v>
      </c>
      <c r="H2775" s="8">
        <v>45222451.520000003</v>
      </c>
      <c r="I2775" s="8">
        <v>26026936.73</v>
      </c>
      <c r="J2775" s="1">
        <f>IF(COUNTIF($C$4:C2775,C2775)=1,1,0)</f>
        <v>1</v>
      </c>
      <c r="K2775" s="1">
        <f t="shared" si="43"/>
        <v>2025</v>
      </c>
    </row>
    <row r="2776" spans="2:11" x14ac:dyDescent="0.45">
      <c r="B2776" s="1" t="s">
        <v>11</v>
      </c>
      <c r="C2776" s="1" t="s">
        <v>2763</v>
      </c>
      <c r="D2776" s="7">
        <v>45629</v>
      </c>
      <c r="E2776" s="7">
        <v>45637</v>
      </c>
      <c r="F2776" s="7">
        <v>45834</v>
      </c>
      <c r="G2776" s="1" t="s">
        <v>13</v>
      </c>
      <c r="H2776" s="8">
        <v>253520.36</v>
      </c>
      <c r="I2776" s="8">
        <v>203896.28</v>
      </c>
      <c r="J2776" s="1">
        <f>IF(COUNTIF($C$4:C2776,C2776)=1,1,0)</f>
        <v>1</v>
      </c>
      <c r="K2776" s="1">
        <f t="shared" si="43"/>
        <v>2024</v>
      </c>
    </row>
    <row r="2777" spans="2:11" x14ac:dyDescent="0.45">
      <c r="B2777" s="1" t="s">
        <v>11</v>
      </c>
      <c r="C2777" s="1" t="s">
        <v>2764</v>
      </c>
      <c r="D2777" s="7">
        <v>44253</v>
      </c>
      <c r="E2777" s="7">
        <v>44281</v>
      </c>
      <c r="F2777" s="7">
        <v>44318</v>
      </c>
      <c r="G2777" s="1" t="s">
        <v>1348</v>
      </c>
      <c r="H2777" s="8">
        <v>53223452.039999999</v>
      </c>
      <c r="I2777" s="8">
        <v>21558031.010000002</v>
      </c>
      <c r="J2777" s="1">
        <f>IF(COUNTIF($C$4:C2777,C2777)=1,1,0)</f>
        <v>1</v>
      </c>
      <c r="K2777" s="1">
        <f t="shared" si="43"/>
        <v>2021</v>
      </c>
    </row>
    <row r="2778" spans="2:11" x14ac:dyDescent="0.45">
      <c r="B2778" s="1" t="s">
        <v>11</v>
      </c>
      <c r="C2778" s="1" t="s">
        <v>2765</v>
      </c>
      <c r="D2778" s="7">
        <v>44463</v>
      </c>
      <c r="E2778" s="7">
        <v>44466</v>
      </c>
      <c r="F2778" s="7">
        <v>44672</v>
      </c>
      <c r="G2778" s="1" t="s">
        <v>20</v>
      </c>
      <c r="H2778" s="8">
        <v>293387.53000000003</v>
      </c>
      <c r="I2778" s="8">
        <v>160149.39000000001</v>
      </c>
      <c r="J2778" s="1">
        <f>IF(COUNTIF($C$4:C2778,C2778)=1,1,0)</f>
        <v>1</v>
      </c>
      <c r="K2778" s="1">
        <f t="shared" si="43"/>
        <v>2021</v>
      </c>
    </row>
    <row r="2779" spans="2:11" x14ac:dyDescent="0.45">
      <c r="B2779" s="1" t="s">
        <v>11</v>
      </c>
      <c r="C2779" s="1" t="s">
        <v>2766</v>
      </c>
      <c r="D2779" s="7">
        <v>45074</v>
      </c>
      <c r="E2779" s="7">
        <v>45074</v>
      </c>
      <c r="F2779" s="7">
        <v>45128</v>
      </c>
      <c r="G2779" s="1" t="s">
        <v>38</v>
      </c>
      <c r="H2779" s="8">
        <v>755445.59</v>
      </c>
      <c r="I2779" s="8">
        <v>532560.38</v>
      </c>
      <c r="J2779" s="1">
        <f>IF(COUNTIF($C$4:C2779,C2779)=1,1,0)</f>
        <v>1</v>
      </c>
      <c r="K2779" s="1">
        <f t="shared" si="43"/>
        <v>2023</v>
      </c>
    </row>
    <row r="2780" spans="2:11" x14ac:dyDescent="0.45">
      <c r="B2780" s="1" t="s">
        <v>11</v>
      </c>
      <c r="C2780" s="1" t="s">
        <v>2767</v>
      </c>
      <c r="D2780" s="7">
        <v>45196</v>
      </c>
      <c r="E2780" s="7">
        <v>45212</v>
      </c>
      <c r="F2780" s="7">
        <v>45311</v>
      </c>
      <c r="G2780" s="1" t="s">
        <v>1348</v>
      </c>
      <c r="H2780" s="8">
        <v>7154946.3700000001</v>
      </c>
      <c r="I2780" s="8">
        <v>4239856.1500000004</v>
      </c>
      <c r="J2780" s="1">
        <f>IF(COUNTIF($C$4:C2780,C2780)=1,1,0)</f>
        <v>1</v>
      </c>
      <c r="K2780" s="1">
        <f t="shared" si="43"/>
        <v>2023</v>
      </c>
    </row>
    <row r="2781" spans="2:11" x14ac:dyDescent="0.45">
      <c r="B2781" s="1" t="s">
        <v>11</v>
      </c>
      <c r="C2781" s="1" t="s">
        <v>2768</v>
      </c>
      <c r="D2781" s="7">
        <v>45052</v>
      </c>
      <c r="E2781" s="7">
        <v>45060</v>
      </c>
      <c r="F2781" s="7">
        <v>45124</v>
      </c>
      <c r="G2781" s="1" t="s">
        <v>16</v>
      </c>
      <c r="H2781" s="8">
        <v>5528470.79</v>
      </c>
      <c r="I2781" s="8">
        <v>3334410.1</v>
      </c>
      <c r="J2781" s="1">
        <f>IF(COUNTIF($C$4:C2781,C2781)=1,1,0)</f>
        <v>1</v>
      </c>
      <c r="K2781" s="1">
        <f t="shared" si="43"/>
        <v>2023</v>
      </c>
    </row>
    <row r="2782" spans="2:11" x14ac:dyDescent="0.45">
      <c r="B2782" s="1" t="s">
        <v>11</v>
      </c>
      <c r="C2782" s="1" t="s">
        <v>1854</v>
      </c>
      <c r="D2782" s="7">
        <v>43558</v>
      </c>
      <c r="E2782" s="7">
        <v>43572</v>
      </c>
      <c r="F2782" s="7">
        <v>43674</v>
      </c>
      <c r="G2782" s="1" t="s">
        <v>18</v>
      </c>
      <c r="H2782" s="8">
        <v>796025.78</v>
      </c>
      <c r="I2782" s="8">
        <v>574534.56999999995</v>
      </c>
      <c r="J2782" s="1">
        <f>IF(COUNTIF($C$4:C2782,C2782)=1,1,0)</f>
        <v>0</v>
      </c>
      <c r="K2782" s="1">
        <f t="shared" si="43"/>
        <v>2019</v>
      </c>
    </row>
    <row r="2783" spans="2:11" x14ac:dyDescent="0.45">
      <c r="B2783" s="1" t="s">
        <v>11</v>
      </c>
      <c r="C2783" s="1" t="s">
        <v>2769</v>
      </c>
      <c r="D2783" s="7">
        <v>45709</v>
      </c>
      <c r="E2783" s="7">
        <v>45739</v>
      </c>
      <c r="F2783" s="7">
        <v>45786</v>
      </c>
      <c r="G2783" s="1" t="s">
        <v>38</v>
      </c>
      <c r="H2783" s="8">
        <v>74098.179999999993</v>
      </c>
      <c r="I2783" s="8">
        <v>51474.06</v>
      </c>
      <c r="J2783" s="1">
        <f>IF(COUNTIF($C$4:C2783,C2783)=1,1,0)</f>
        <v>1</v>
      </c>
      <c r="K2783" s="1">
        <f t="shared" si="43"/>
        <v>2025</v>
      </c>
    </row>
    <row r="2784" spans="2:11" x14ac:dyDescent="0.45">
      <c r="B2784" s="1" t="s">
        <v>11</v>
      </c>
      <c r="C2784" s="1" t="s">
        <v>2770</v>
      </c>
      <c r="D2784" s="7">
        <v>46214</v>
      </c>
      <c r="E2784" s="7">
        <v>46226</v>
      </c>
      <c r="F2784" s="7">
        <v>46460</v>
      </c>
      <c r="G2784" s="1" t="s">
        <v>44</v>
      </c>
      <c r="H2784" s="8">
        <v>14879793.85</v>
      </c>
      <c r="I2784" s="8">
        <v>9665170.5800000001</v>
      </c>
      <c r="J2784" s="1">
        <f>IF(COUNTIF($C$4:C2784,C2784)=1,1,0)</f>
        <v>1</v>
      </c>
      <c r="K2784" s="1">
        <f t="shared" si="43"/>
        <v>2026</v>
      </c>
    </row>
    <row r="2785" spans="2:11" x14ac:dyDescent="0.45">
      <c r="B2785" s="1" t="s">
        <v>11</v>
      </c>
      <c r="C2785" s="1" t="s">
        <v>2771</v>
      </c>
      <c r="D2785" s="7">
        <v>44559</v>
      </c>
      <c r="E2785" s="7">
        <v>44573</v>
      </c>
      <c r="F2785" s="7">
        <v>44697</v>
      </c>
      <c r="G2785" s="1" t="s">
        <v>44</v>
      </c>
      <c r="H2785" s="8">
        <v>42162381.270000003</v>
      </c>
      <c r="I2785" s="8">
        <v>25647147.5</v>
      </c>
      <c r="J2785" s="1">
        <f>IF(COUNTIF($C$4:C2785,C2785)=1,1,0)</f>
        <v>1</v>
      </c>
      <c r="K2785" s="1">
        <f t="shared" si="43"/>
        <v>2021</v>
      </c>
    </row>
    <row r="2786" spans="2:11" x14ac:dyDescent="0.45">
      <c r="B2786" s="1" t="s">
        <v>11</v>
      </c>
      <c r="C2786" s="1" t="s">
        <v>2772</v>
      </c>
      <c r="D2786" s="7">
        <v>45896</v>
      </c>
      <c r="E2786" s="7">
        <v>45909</v>
      </c>
      <c r="F2786" s="7">
        <v>45966</v>
      </c>
      <c r="G2786" s="1" t="s">
        <v>212</v>
      </c>
      <c r="H2786" s="8">
        <v>41410422.170000002</v>
      </c>
      <c r="I2786" s="8">
        <v>18770102.850000001</v>
      </c>
      <c r="J2786" s="1">
        <f>IF(COUNTIF($C$4:C2786,C2786)=1,1,0)</f>
        <v>1</v>
      </c>
      <c r="K2786" s="1">
        <f t="shared" si="43"/>
        <v>2025</v>
      </c>
    </row>
    <row r="2787" spans="2:11" x14ac:dyDescent="0.45">
      <c r="B2787" s="1" t="s">
        <v>11</v>
      </c>
      <c r="C2787" s="1" t="s">
        <v>2773</v>
      </c>
      <c r="D2787" s="7">
        <v>44655</v>
      </c>
      <c r="E2787" s="7">
        <v>44683</v>
      </c>
      <c r="F2787" s="7">
        <v>44734</v>
      </c>
      <c r="G2787" s="1" t="s">
        <v>16</v>
      </c>
      <c r="H2787" s="8">
        <v>2398436.62</v>
      </c>
      <c r="I2787" s="8">
        <v>1567950.27</v>
      </c>
      <c r="J2787" s="1">
        <f>IF(COUNTIF($C$4:C2787,C2787)=1,1,0)</f>
        <v>1</v>
      </c>
      <c r="K2787" s="1">
        <f t="shared" si="43"/>
        <v>2022</v>
      </c>
    </row>
    <row r="2788" spans="2:11" x14ac:dyDescent="0.45">
      <c r="B2788" s="1" t="s">
        <v>11</v>
      </c>
      <c r="C2788" s="1" t="s">
        <v>2774</v>
      </c>
      <c r="D2788" s="7">
        <v>45677</v>
      </c>
      <c r="E2788" s="7">
        <v>45688</v>
      </c>
      <c r="F2788" s="7">
        <v>45711</v>
      </c>
      <c r="G2788" s="1" t="s">
        <v>18</v>
      </c>
      <c r="H2788" s="8">
        <v>4113446.06</v>
      </c>
      <c r="I2788" s="8">
        <v>3010117.86</v>
      </c>
      <c r="J2788" s="1">
        <f>IF(COUNTIF($C$4:C2788,C2788)=1,1,0)</f>
        <v>1</v>
      </c>
      <c r="K2788" s="1">
        <f t="shared" si="43"/>
        <v>2025</v>
      </c>
    </row>
    <row r="2789" spans="2:11" x14ac:dyDescent="0.45">
      <c r="B2789" s="1" t="s">
        <v>11</v>
      </c>
      <c r="C2789" s="1" t="s">
        <v>2775</v>
      </c>
      <c r="D2789" s="7">
        <v>43533</v>
      </c>
      <c r="E2789" s="7">
        <v>43536</v>
      </c>
      <c r="F2789" s="7">
        <v>43749</v>
      </c>
      <c r="G2789" s="1" t="s">
        <v>13</v>
      </c>
      <c r="H2789" s="8">
        <v>1319199.0900000001</v>
      </c>
      <c r="I2789" s="8">
        <v>936102.01</v>
      </c>
      <c r="J2789" s="1">
        <f>IF(COUNTIF($C$4:C2789,C2789)=1,1,0)</f>
        <v>1</v>
      </c>
      <c r="K2789" s="1">
        <f t="shared" si="43"/>
        <v>2019</v>
      </c>
    </row>
    <row r="2790" spans="2:11" x14ac:dyDescent="0.45">
      <c r="B2790" s="1" t="s">
        <v>11</v>
      </c>
      <c r="C2790" s="1" t="s">
        <v>2776</v>
      </c>
      <c r="D2790" s="7">
        <v>44275</v>
      </c>
      <c r="E2790" s="7">
        <v>44300</v>
      </c>
      <c r="F2790" s="7">
        <v>44505</v>
      </c>
      <c r="G2790" s="1" t="s">
        <v>22</v>
      </c>
      <c r="H2790" s="8">
        <v>19287470.77</v>
      </c>
      <c r="I2790" s="8">
        <v>9769903.0399999991</v>
      </c>
      <c r="J2790" s="1">
        <f>IF(COUNTIF($C$4:C2790,C2790)=1,1,0)</f>
        <v>1</v>
      </c>
      <c r="K2790" s="1">
        <f t="shared" si="43"/>
        <v>2021</v>
      </c>
    </row>
    <row r="2791" spans="2:11" x14ac:dyDescent="0.45">
      <c r="B2791" s="1" t="s">
        <v>11</v>
      </c>
      <c r="C2791" s="1" t="s">
        <v>2777</v>
      </c>
      <c r="D2791" s="7">
        <v>43337</v>
      </c>
      <c r="E2791" s="7">
        <v>43337</v>
      </c>
      <c r="F2791" s="7">
        <v>43478</v>
      </c>
      <c r="G2791" s="1" t="s">
        <v>1348</v>
      </c>
      <c r="H2791" s="8">
        <v>299956228.97000003</v>
      </c>
      <c r="I2791" s="8">
        <v>174696194.86000001</v>
      </c>
      <c r="J2791" s="1">
        <f>IF(COUNTIF($C$4:C2791,C2791)=1,1,0)</f>
        <v>1</v>
      </c>
      <c r="K2791" s="1">
        <f t="shared" si="43"/>
        <v>2018</v>
      </c>
    </row>
    <row r="2792" spans="2:11" x14ac:dyDescent="0.45">
      <c r="B2792" s="1" t="s">
        <v>11</v>
      </c>
      <c r="C2792" s="1" t="s">
        <v>2778</v>
      </c>
      <c r="D2792" s="7">
        <v>44705</v>
      </c>
      <c r="E2792" s="7">
        <v>44732</v>
      </c>
      <c r="F2792" s="7">
        <v>44810</v>
      </c>
      <c r="G2792" s="1" t="s">
        <v>13</v>
      </c>
      <c r="H2792" s="8">
        <v>175637.36</v>
      </c>
      <c r="I2792" s="8">
        <v>150902.57999999999</v>
      </c>
      <c r="J2792" s="1">
        <f>IF(COUNTIF($C$4:C2792,C2792)=1,1,0)</f>
        <v>1</v>
      </c>
      <c r="K2792" s="1">
        <f t="shared" si="43"/>
        <v>2022</v>
      </c>
    </row>
    <row r="2793" spans="2:11" x14ac:dyDescent="0.45">
      <c r="B2793" s="1" t="s">
        <v>11</v>
      </c>
      <c r="C2793" s="1" t="s">
        <v>2779</v>
      </c>
      <c r="D2793" s="7">
        <v>45311</v>
      </c>
      <c r="E2793" s="7">
        <v>45325</v>
      </c>
      <c r="F2793" s="7">
        <v>45512</v>
      </c>
      <c r="G2793" s="1" t="s">
        <v>20</v>
      </c>
      <c r="H2793" s="8">
        <v>149650.66</v>
      </c>
      <c r="I2793" s="8">
        <v>75362.34</v>
      </c>
      <c r="J2793" s="1">
        <f>IF(COUNTIF($C$4:C2793,C2793)=1,1,0)</f>
        <v>1</v>
      </c>
      <c r="K2793" s="1">
        <f t="shared" si="43"/>
        <v>2024</v>
      </c>
    </row>
    <row r="2794" spans="2:11" x14ac:dyDescent="0.45">
      <c r="B2794" s="1" t="s">
        <v>11</v>
      </c>
      <c r="C2794" s="1" t="s">
        <v>2780</v>
      </c>
      <c r="D2794" s="7">
        <v>43741</v>
      </c>
      <c r="E2794" s="7">
        <v>43743</v>
      </c>
      <c r="F2794" s="7">
        <v>43872</v>
      </c>
      <c r="G2794" s="1" t="s">
        <v>16</v>
      </c>
      <c r="H2794" s="8">
        <v>1377866.73</v>
      </c>
      <c r="I2794" s="8">
        <v>1047129.23</v>
      </c>
      <c r="J2794" s="1">
        <f>IF(COUNTIF($C$4:C2794,C2794)=1,1,0)</f>
        <v>1</v>
      </c>
      <c r="K2794" s="1">
        <f t="shared" si="43"/>
        <v>2019</v>
      </c>
    </row>
    <row r="2795" spans="2:11" x14ac:dyDescent="0.45">
      <c r="B2795" s="1" t="s">
        <v>11</v>
      </c>
      <c r="C2795" s="1" t="s">
        <v>2781</v>
      </c>
      <c r="D2795" s="7">
        <v>43388</v>
      </c>
      <c r="E2795" s="7">
        <v>43416</v>
      </c>
      <c r="F2795" s="7">
        <v>43488</v>
      </c>
      <c r="G2795" s="1" t="s">
        <v>38</v>
      </c>
      <c r="H2795" s="8">
        <v>105708.53</v>
      </c>
      <c r="I2795" s="8">
        <v>87834.83</v>
      </c>
      <c r="J2795" s="1">
        <f>IF(COUNTIF($C$4:C2795,C2795)=1,1,0)</f>
        <v>1</v>
      </c>
      <c r="K2795" s="1">
        <f t="shared" si="43"/>
        <v>2018</v>
      </c>
    </row>
    <row r="2796" spans="2:11" x14ac:dyDescent="0.45">
      <c r="B2796" s="1" t="s">
        <v>11</v>
      </c>
      <c r="C2796" s="1" t="s">
        <v>2782</v>
      </c>
      <c r="D2796" s="7">
        <v>43397</v>
      </c>
      <c r="E2796" s="7">
        <v>43414</v>
      </c>
      <c r="F2796" s="7">
        <v>43475</v>
      </c>
      <c r="G2796" s="1" t="s">
        <v>38</v>
      </c>
      <c r="H2796" s="8">
        <v>1051316.3899999999</v>
      </c>
      <c r="I2796" s="8">
        <v>772520.65</v>
      </c>
      <c r="J2796" s="1">
        <f>IF(COUNTIF($C$4:C2796,C2796)=1,1,0)</f>
        <v>1</v>
      </c>
      <c r="K2796" s="1">
        <f t="shared" si="43"/>
        <v>2018</v>
      </c>
    </row>
    <row r="2797" spans="2:11" x14ac:dyDescent="0.45">
      <c r="B2797" s="1" t="s">
        <v>11</v>
      </c>
      <c r="C2797" s="1" t="s">
        <v>2783</v>
      </c>
      <c r="D2797" s="7">
        <v>45140</v>
      </c>
      <c r="E2797" s="7">
        <v>45159</v>
      </c>
      <c r="F2797" s="7">
        <v>45271</v>
      </c>
      <c r="G2797" s="1" t="s">
        <v>16</v>
      </c>
      <c r="H2797" s="8">
        <v>2000271.48</v>
      </c>
      <c r="I2797" s="8">
        <v>1363151.84</v>
      </c>
      <c r="J2797" s="1">
        <f>IF(COUNTIF($C$4:C2797,C2797)=1,1,0)</f>
        <v>1</v>
      </c>
      <c r="K2797" s="1">
        <f t="shared" si="43"/>
        <v>2023</v>
      </c>
    </row>
    <row r="2798" spans="2:11" x14ac:dyDescent="0.45">
      <c r="B2798" s="1" t="s">
        <v>11</v>
      </c>
      <c r="C2798" s="1" t="s">
        <v>2784</v>
      </c>
      <c r="D2798" s="7">
        <v>44672</v>
      </c>
      <c r="E2798" s="7">
        <v>44689</v>
      </c>
      <c r="F2798" s="7">
        <v>44719</v>
      </c>
      <c r="G2798" s="1" t="s">
        <v>20</v>
      </c>
      <c r="H2798" s="8">
        <v>2722325.16</v>
      </c>
      <c r="I2798" s="8">
        <v>1825918.33</v>
      </c>
      <c r="J2798" s="1">
        <f>IF(COUNTIF($C$4:C2798,C2798)=1,1,0)</f>
        <v>1</v>
      </c>
      <c r="K2798" s="1">
        <f t="shared" si="43"/>
        <v>2022</v>
      </c>
    </row>
    <row r="2799" spans="2:11" x14ac:dyDescent="0.45">
      <c r="B2799" s="1" t="s">
        <v>11</v>
      </c>
      <c r="C2799" s="1" t="s">
        <v>2785</v>
      </c>
      <c r="D2799" s="7">
        <v>43424</v>
      </c>
      <c r="E2799" s="7">
        <v>43451</v>
      </c>
      <c r="F2799" s="7">
        <v>43469</v>
      </c>
      <c r="G2799" s="1" t="s">
        <v>16</v>
      </c>
      <c r="H2799" s="8">
        <v>16697429.960000001</v>
      </c>
      <c r="I2799" s="8">
        <v>10574411.59</v>
      </c>
      <c r="J2799" s="1">
        <f>IF(COUNTIF($C$4:C2799,C2799)=1,1,0)</f>
        <v>1</v>
      </c>
      <c r="K2799" s="1">
        <f t="shared" si="43"/>
        <v>2018</v>
      </c>
    </row>
    <row r="2800" spans="2:11" x14ac:dyDescent="0.45">
      <c r="B2800" s="1" t="s">
        <v>11</v>
      </c>
      <c r="C2800" s="1" t="s">
        <v>2786</v>
      </c>
      <c r="D2800" s="7">
        <v>46123</v>
      </c>
      <c r="E2800" s="7">
        <v>46140</v>
      </c>
      <c r="F2800" s="7">
        <v>46197</v>
      </c>
      <c r="G2800" s="1" t="s">
        <v>41</v>
      </c>
      <c r="H2800" s="8">
        <v>76950.92</v>
      </c>
      <c r="I2800" s="8">
        <v>59354.69</v>
      </c>
      <c r="J2800" s="1">
        <f>IF(COUNTIF($C$4:C2800,C2800)=1,1,0)</f>
        <v>1</v>
      </c>
      <c r="K2800" s="1">
        <f t="shared" si="43"/>
        <v>2026</v>
      </c>
    </row>
    <row r="2801" spans="2:11" x14ac:dyDescent="0.45">
      <c r="B2801" s="1" t="s">
        <v>11</v>
      </c>
      <c r="C2801" s="1" t="s">
        <v>2787</v>
      </c>
      <c r="D2801" s="7">
        <v>46278</v>
      </c>
      <c r="E2801" s="7">
        <v>46307</v>
      </c>
      <c r="F2801" s="7">
        <v>46522</v>
      </c>
      <c r="G2801" s="1" t="s">
        <v>22</v>
      </c>
      <c r="H2801" s="8">
        <v>1358523.22</v>
      </c>
      <c r="I2801" s="8">
        <v>804136.04</v>
      </c>
      <c r="J2801" s="1">
        <f>IF(COUNTIF($C$4:C2801,C2801)=1,1,0)</f>
        <v>1</v>
      </c>
      <c r="K2801" s="1">
        <f t="shared" si="43"/>
        <v>2026</v>
      </c>
    </row>
    <row r="2802" spans="2:11" x14ac:dyDescent="0.45">
      <c r="B2802" s="1" t="s">
        <v>11</v>
      </c>
      <c r="C2802" s="1" t="s">
        <v>2788</v>
      </c>
      <c r="D2802" s="7">
        <v>43934</v>
      </c>
      <c r="E2802" s="7">
        <v>43962</v>
      </c>
      <c r="F2802" s="7">
        <v>44006</v>
      </c>
      <c r="G2802" s="1" t="s">
        <v>13</v>
      </c>
      <c r="H2802" s="8">
        <v>1952065.77</v>
      </c>
      <c r="I2802" s="8">
        <v>1404507.83</v>
      </c>
      <c r="J2802" s="1">
        <f>IF(COUNTIF($C$4:C2802,C2802)=1,1,0)</f>
        <v>1</v>
      </c>
      <c r="K2802" s="1">
        <f t="shared" si="43"/>
        <v>2020</v>
      </c>
    </row>
    <row r="2803" spans="2:11" x14ac:dyDescent="0.45">
      <c r="B2803" s="1" t="s">
        <v>11</v>
      </c>
      <c r="C2803" s="1" t="s">
        <v>2789</v>
      </c>
      <c r="D2803" s="7">
        <v>44496</v>
      </c>
      <c r="E2803" s="7">
        <v>44506</v>
      </c>
      <c r="F2803" s="7">
        <v>44610</v>
      </c>
      <c r="G2803" s="1" t="s">
        <v>41</v>
      </c>
      <c r="H2803" s="8">
        <v>127811.09</v>
      </c>
      <c r="I2803" s="8">
        <v>93176.87</v>
      </c>
      <c r="J2803" s="1">
        <f>IF(COUNTIF($C$4:C2803,C2803)=1,1,0)</f>
        <v>1</v>
      </c>
      <c r="K2803" s="1">
        <f t="shared" si="43"/>
        <v>2021</v>
      </c>
    </row>
    <row r="2804" spans="2:11" x14ac:dyDescent="0.45">
      <c r="B2804" s="1" t="s">
        <v>11</v>
      </c>
      <c r="C2804" s="1" t="s">
        <v>2790</v>
      </c>
      <c r="D2804" s="7">
        <v>45142</v>
      </c>
      <c r="E2804" s="7">
        <v>45151</v>
      </c>
      <c r="F2804" s="7">
        <v>45268</v>
      </c>
      <c r="G2804" s="1" t="s">
        <v>1348</v>
      </c>
      <c r="H2804" s="8">
        <v>90588870.689999998</v>
      </c>
      <c r="I2804" s="8">
        <v>52991433.579999998</v>
      </c>
      <c r="J2804" s="1">
        <f>IF(COUNTIF($C$4:C2804,C2804)=1,1,0)</f>
        <v>1</v>
      </c>
      <c r="K2804" s="1">
        <f t="shared" si="43"/>
        <v>2023</v>
      </c>
    </row>
    <row r="2805" spans="2:11" x14ac:dyDescent="0.45">
      <c r="B2805" s="1" t="s">
        <v>11</v>
      </c>
      <c r="C2805" s="1" t="s">
        <v>2791</v>
      </c>
      <c r="D2805" s="7">
        <v>45434</v>
      </c>
      <c r="E2805" s="7">
        <v>45451</v>
      </c>
      <c r="F2805" s="7">
        <v>45501</v>
      </c>
      <c r="G2805" s="1" t="s">
        <v>22</v>
      </c>
      <c r="H2805" s="8">
        <v>25041294.34</v>
      </c>
      <c r="I2805" s="8">
        <v>11538466.109999999</v>
      </c>
      <c r="J2805" s="1">
        <f>IF(COUNTIF($C$4:C2805,C2805)=1,1,0)</f>
        <v>1</v>
      </c>
      <c r="K2805" s="1">
        <f t="shared" si="43"/>
        <v>2024</v>
      </c>
    </row>
    <row r="2806" spans="2:11" x14ac:dyDescent="0.45">
      <c r="B2806" s="1" t="s">
        <v>11</v>
      </c>
      <c r="C2806" s="1" t="s">
        <v>2792</v>
      </c>
      <c r="D2806" s="7">
        <v>43686</v>
      </c>
      <c r="E2806" s="7">
        <v>43693</v>
      </c>
      <c r="F2806" s="7">
        <v>43917</v>
      </c>
      <c r="G2806" s="1" t="s">
        <v>20</v>
      </c>
      <c r="H2806" s="8">
        <v>851834.26</v>
      </c>
      <c r="I2806" s="8">
        <v>582094.18000000005</v>
      </c>
      <c r="J2806" s="1">
        <f>IF(COUNTIF($C$4:C2806,C2806)=1,1,0)</f>
        <v>1</v>
      </c>
      <c r="K2806" s="1">
        <f t="shared" si="43"/>
        <v>2019</v>
      </c>
    </row>
    <row r="2807" spans="2:11" x14ac:dyDescent="0.45">
      <c r="B2807" s="1" t="s">
        <v>11</v>
      </c>
      <c r="C2807" s="1" t="s">
        <v>2793</v>
      </c>
      <c r="D2807" s="7">
        <v>44409</v>
      </c>
      <c r="E2807" s="7">
        <v>44436</v>
      </c>
      <c r="F2807" s="7">
        <v>44658</v>
      </c>
      <c r="G2807" s="1" t="s">
        <v>20</v>
      </c>
      <c r="H2807" s="8">
        <v>1232429.75</v>
      </c>
      <c r="I2807" s="8">
        <v>687538.02</v>
      </c>
      <c r="J2807" s="1">
        <f>IF(COUNTIF($C$4:C2807,C2807)=1,1,0)</f>
        <v>1</v>
      </c>
      <c r="K2807" s="1">
        <f t="shared" si="43"/>
        <v>2021</v>
      </c>
    </row>
    <row r="2808" spans="2:11" x14ac:dyDescent="0.45">
      <c r="B2808" s="1" t="s">
        <v>11</v>
      </c>
      <c r="C2808" s="1" t="s">
        <v>2794</v>
      </c>
      <c r="D2808" s="7">
        <v>44833</v>
      </c>
      <c r="E2808" s="7">
        <v>44862</v>
      </c>
      <c r="F2808" s="7">
        <v>44997</v>
      </c>
      <c r="G2808" s="1" t="s">
        <v>16</v>
      </c>
      <c r="H2808" s="8">
        <v>2429229.9700000002</v>
      </c>
      <c r="I2808" s="8">
        <v>1375929.61</v>
      </c>
      <c r="J2808" s="1">
        <f>IF(COUNTIF($C$4:C2808,C2808)=1,1,0)</f>
        <v>1</v>
      </c>
      <c r="K2808" s="1">
        <f t="shared" si="43"/>
        <v>2022</v>
      </c>
    </row>
    <row r="2809" spans="2:11" x14ac:dyDescent="0.45">
      <c r="B2809" s="1" t="s">
        <v>11</v>
      </c>
      <c r="C2809" s="1" t="s">
        <v>2795</v>
      </c>
      <c r="D2809" s="7">
        <v>46088</v>
      </c>
      <c r="E2809" s="7">
        <v>46099</v>
      </c>
      <c r="F2809" s="7">
        <v>46315</v>
      </c>
      <c r="G2809" s="1" t="s">
        <v>20</v>
      </c>
      <c r="H2809" s="8">
        <v>3112963.47</v>
      </c>
      <c r="I2809" s="8">
        <v>2201262.2400000002</v>
      </c>
      <c r="J2809" s="1">
        <f>IF(COUNTIF($C$4:C2809,C2809)=1,1,0)</f>
        <v>1</v>
      </c>
      <c r="K2809" s="1">
        <f t="shared" si="43"/>
        <v>2026</v>
      </c>
    </row>
    <row r="2810" spans="2:11" x14ac:dyDescent="0.45">
      <c r="B2810" s="1" t="s">
        <v>11</v>
      </c>
      <c r="C2810" s="1" t="s">
        <v>2796</v>
      </c>
      <c r="D2810" s="7">
        <v>44695</v>
      </c>
      <c r="E2810" s="7">
        <v>44700</v>
      </c>
      <c r="F2810" s="7">
        <v>44827</v>
      </c>
      <c r="G2810" s="1" t="s">
        <v>44</v>
      </c>
      <c r="H2810" s="8">
        <v>24279269.859999999</v>
      </c>
      <c r="I2810" s="8">
        <v>10374458.85</v>
      </c>
      <c r="J2810" s="1">
        <f>IF(COUNTIF($C$4:C2810,C2810)=1,1,0)</f>
        <v>1</v>
      </c>
      <c r="K2810" s="1">
        <f t="shared" si="43"/>
        <v>2022</v>
      </c>
    </row>
    <row r="2811" spans="2:11" x14ac:dyDescent="0.45">
      <c r="B2811" s="1" t="s">
        <v>11</v>
      </c>
      <c r="C2811" s="1" t="s">
        <v>2797</v>
      </c>
      <c r="D2811" s="7">
        <v>44431</v>
      </c>
      <c r="E2811" s="7">
        <v>44441</v>
      </c>
      <c r="F2811" s="7">
        <v>44605</v>
      </c>
      <c r="G2811" s="1" t="s">
        <v>1348</v>
      </c>
      <c r="H2811" s="8">
        <v>25421112.620000001</v>
      </c>
      <c r="I2811" s="8">
        <v>20874375.739999998</v>
      </c>
      <c r="J2811" s="1">
        <f>IF(COUNTIF($C$4:C2811,C2811)=1,1,0)</f>
        <v>1</v>
      </c>
      <c r="K2811" s="1">
        <f t="shared" si="43"/>
        <v>2021</v>
      </c>
    </row>
    <row r="2812" spans="2:11" x14ac:dyDescent="0.45">
      <c r="B2812" s="1" t="s">
        <v>11</v>
      </c>
      <c r="C2812" s="1" t="s">
        <v>2798</v>
      </c>
      <c r="D2812" s="7">
        <v>46127</v>
      </c>
      <c r="E2812" s="7">
        <v>46155</v>
      </c>
      <c r="F2812" s="7">
        <v>46323</v>
      </c>
      <c r="G2812" s="1" t="s">
        <v>38</v>
      </c>
      <c r="H2812" s="8">
        <v>1045653.12</v>
      </c>
      <c r="I2812" s="8">
        <v>874179.67</v>
      </c>
      <c r="J2812" s="1">
        <f>IF(COUNTIF($C$4:C2812,C2812)=1,1,0)</f>
        <v>1</v>
      </c>
      <c r="K2812" s="1">
        <f t="shared" si="43"/>
        <v>2026</v>
      </c>
    </row>
    <row r="2813" spans="2:11" x14ac:dyDescent="0.45">
      <c r="B2813" s="1" t="s">
        <v>11</v>
      </c>
      <c r="C2813" s="1" t="s">
        <v>2799</v>
      </c>
      <c r="D2813" s="7">
        <v>44618</v>
      </c>
      <c r="E2813" s="7">
        <v>44618</v>
      </c>
      <c r="F2813" s="7">
        <v>44764</v>
      </c>
      <c r="G2813" s="1" t="s">
        <v>18</v>
      </c>
      <c r="H2813" s="8">
        <v>594061.22</v>
      </c>
      <c r="I2813" s="8">
        <v>376967.25</v>
      </c>
      <c r="J2813" s="1">
        <f>IF(COUNTIF($C$4:C2813,C2813)=1,1,0)</f>
        <v>1</v>
      </c>
      <c r="K2813" s="1">
        <f t="shared" si="43"/>
        <v>2022</v>
      </c>
    </row>
    <row r="2814" spans="2:11" x14ac:dyDescent="0.45">
      <c r="B2814" s="1" t="s">
        <v>11</v>
      </c>
      <c r="C2814" s="1" t="s">
        <v>2800</v>
      </c>
      <c r="D2814" s="7">
        <v>45771</v>
      </c>
      <c r="E2814" s="7">
        <v>45791</v>
      </c>
      <c r="F2814" s="7">
        <v>45917</v>
      </c>
      <c r="G2814" s="1" t="s">
        <v>22</v>
      </c>
      <c r="H2814" s="8">
        <v>5246176.24</v>
      </c>
      <c r="I2814" s="8">
        <v>3942445.86</v>
      </c>
      <c r="J2814" s="1">
        <f>IF(COUNTIF($C$4:C2814,C2814)=1,1,0)</f>
        <v>1</v>
      </c>
      <c r="K2814" s="1">
        <f t="shared" si="43"/>
        <v>2025</v>
      </c>
    </row>
    <row r="2815" spans="2:11" x14ac:dyDescent="0.45">
      <c r="B2815" s="1" t="s">
        <v>11</v>
      </c>
      <c r="C2815" s="1" t="s">
        <v>2801</v>
      </c>
      <c r="D2815" s="7">
        <v>45629</v>
      </c>
      <c r="E2815" s="7">
        <v>45647</v>
      </c>
      <c r="F2815" s="7">
        <v>45829</v>
      </c>
      <c r="G2815" s="1" t="s">
        <v>18</v>
      </c>
      <c r="H2815" s="8">
        <v>2014140.93</v>
      </c>
      <c r="I2815" s="8">
        <v>1549382.8</v>
      </c>
      <c r="J2815" s="1">
        <f>IF(COUNTIF($C$4:C2815,C2815)=1,1,0)</f>
        <v>1</v>
      </c>
      <c r="K2815" s="1">
        <f t="shared" si="43"/>
        <v>2024</v>
      </c>
    </row>
    <row r="2816" spans="2:11" x14ac:dyDescent="0.45">
      <c r="B2816" s="1" t="s">
        <v>11</v>
      </c>
      <c r="C2816" s="1" t="s">
        <v>2802</v>
      </c>
      <c r="D2816" s="7">
        <v>44248</v>
      </c>
      <c r="E2816" s="7">
        <v>44273</v>
      </c>
      <c r="F2816" s="7">
        <v>44284</v>
      </c>
      <c r="G2816" s="1" t="s">
        <v>13</v>
      </c>
      <c r="H2816" s="8">
        <v>737674.48</v>
      </c>
      <c r="I2816" s="8">
        <v>626645.34</v>
      </c>
      <c r="J2816" s="1">
        <f>IF(COUNTIF($C$4:C2816,C2816)=1,1,0)</f>
        <v>1</v>
      </c>
      <c r="K2816" s="1">
        <f t="shared" si="43"/>
        <v>2021</v>
      </c>
    </row>
    <row r="2817" spans="2:11" x14ac:dyDescent="0.45">
      <c r="B2817" s="1" t="s">
        <v>11</v>
      </c>
      <c r="C2817" s="1" t="s">
        <v>2803</v>
      </c>
      <c r="D2817" s="7">
        <v>45812</v>
      </c>
      <c r="E2817" s="7">
        <v>45813</v>
      </c>
      <c r="F2817" s="7">
        <v>46049</v>
      </c>
      <c r="G2817" s="1" t="s">
        <v>13</v>
      </c>
      <c r="H2817" s="8">
        <v>648564.13</v>
      </c>
      <c r="I2817" s="8">
        <v>453120.94</v>
      </c>
      <c r="J2817" s="1">
        <f>IF(COUNTIF($C$4:C2817,C2817)=1,1,0)</f>
        <v>1</v>
      </c>
      <c r="K2817" s="1">
        <f t="shared" si="43"/>
        <v>2025</v>
      </c>
    </row>
    <row r="2818" spans="2:11" x14ac:dyDescent="0.45">
      <c r="B2818" s="1" t="s">
        <v>11</v>
      </c>
      <c r="C2818" s="1" t="s">
        <v>2804</v>
      </c>
      <c r="D2818" s="7">
        <v>45092</v>
      </c>
      <c r="E2818" s="7">
        <v>45092</v>
      </c>
      <c r="F2818" s="7">
        <v>45189</v>
      </c>
      <c r="G2818" s="1" t="s">
        <v>18</v>
      </c>
      <c r="H2818" s="8">
        <v>346035.20000000001</v>
      </c>
      <c r="I2818" s="8">
        <v>248819.04</v>
      </c>
      <c r="J2818" s="1">
        <f>IF(COUNTIF($C$4:C2818,C2818)=1,1,0)</f>
        <v>1</v>
      </c>
      <c r="K2818" s="1">
        <f t="shared" si="43"/>
        <v>2023</v>
      </c>
    </row>
    <row r="2819" spans="2:11" x14ac:dyDescent="0.45">
      <c r="B2819" s="1" t="s">
        <v>11</v>
      </c>
      <c r="C2819" s="1" t="s">
        <v>2805</v>
      </c>
      <c r="D2819" s="7">
        <v>44851</v>
      </c>
      <c r="E2819" s="7">
        <v>44861</v>
      </c>
      <c r="F2819" s="7">
        <v>44917</v>
      </c>
      <c r="G2819" s="1" t="s">
        <v>41</v>
      </c>
      <c r="H2819" s="8">
        <v>210110.89</v>
      </c>
      <c r="I2819" s="8">
        <v>175341.48</v>
      </c>
      <c r="J2819" s="1">
        <f>IF(COUNTIF($C$4:C2819,C2819)=1,1,0)</f>
        <v>1</v>
      </c>
      <c r="K2819" s="1">
        <f t="shared" si="43"/>
        <v>2022</v>
      </c>
    </row>
    <row r="2820" spans="2:11" x14ac:dyDescent="0.45">
      <c r="B2820" s="1" t="s">
        <v>11</v>
      </c>
      <c r="C2820" s="1" t="s">
        <v>2806</v>
      </c>
      <c r="D2820" s="7">
        <v>46114</v>
      </c>
      <c r="E2820" s="7">
        <v>46135</v>
      </c>
      <c r="F2820" s="7">
        <v>46143</v>
      </c>
      <c r="G2820" s="1" t="s">
        <v>18</v>
      </c>
      <c r="H2820" s="8">
        <v>14902319.02</v>
      </c>
      <c r="I2820" s="8">
        <v>11922740.119999999</v>
      </c>
      <c r="J2820" s="1">
        <f>IF(COUNTIF($C$4:C2820,C2820)=1,1,0)</f>
        <v>1</v>
      </c>
      <c r="K2820" s="1">
        <f t="shared" si="43"/>
        <v>2026</v>
      </c>
    </row>
    <row r="2821" spans="2:11" x14ac:dyDescent="0.45">
      <c r="B2821" s="1" t="s">
        <v>11</v>
      </c>
      <c r="C2821" s="1" t="s">
        <v>2807</v>
      </c>
      <c r="D2821" s="7">
        <v>44512</v>
      </c>
      <c r="E2821" s="7">
        <v>44523</v>
      </c>
      <c r="F2821" s="7">
        <v>44670</v>
      </c>
      <c r="G2821" s="1" t="s">
        <v>18</v>
      </c>
      <c r="H2821" s="8">
        <v>1045255.51</v>
      </c>
      <c r="I2821" s="8">
        <v>782286.06</v>
      </c>
      <c r="J2821" s="1">
        <f>IF(COUNTIF($C$4:C2821,C2821)=1,1,0)</f>
        <v>1</v>
      </c>
      <c r="K2821" s="1">
        <f t="shared" ref="K2821:K2884" si="44">YEAR(D2821)</f>
        <v>2021</v>
      </c>
    </row>
    <row r="2822" spans="2:11" x14ac:dyDescent="0.45">
      <c r="B2822" s="1" t="s">
        <v>11</v>
      </c>
      <c r="C2822" s="1" t="s">
        <v>2808</v>
      </c>
      <c r="D2822" s="7">
        <v>43689</v>
      </c>
      <c r="E2822" s="7">
        <v>43710</v>
      </c>
      <c r="F2822" s="7">
        <v>43926</v>
      </c>
      <c r="G2822" s="1" t="s">
        <v>16</v>
      </c>
      <c r="H2822" s="8">
        <v>4835030.26</v>
      </c>
      <c r="I2822" s="8">
        <v>3472453.15</v>
      </c>
      <c r="J2822" s="1">
        <f>IF(COUNTIF($C$4:C2822,C2822)=1,1,0)</f>
        <v>1</v>
      </c>
      <c r="K2822" s="1">
        <f t="shared" si="44"/>
        <v>2019</v>
      </c>
    </row>
    <row r="2823" spans="2:11" x14ac:dyDescent="0.45">
      <c r="B2823" s="1" t="s">
        <v>11</v>
      </c>
      <c r="C2823" s="1" t="s">
        <v>2809</v>
      </c>
      <c r="D2823" s="7">
        <v>44779</v>
      </c>
      <c r="E2823" s="7">
        <v>44799</v>
      </c>
      <c r="F2823" s="7">
        <v>44992</v>
      </c>
      <c r="G2823" s="1" t="s">
        <v>16</v>
      </c>
      <c r="H2823" s="8">
        <v>536049.89</v>
      </c>
      <c r="I2823" s="8">
        <v>235225.57</v>
      </c>
      <c r="J2823" s="1">
        <f>IF(COUNTIF($C$4:C2823,C2823)=1,1,0)</f>
        <v>1</v>
      </c>
      <c r="K2823" s="1">
        <f t="shared" si="44"/>
        <v>2022</v>
      </c>
    </row>
    <row r="2824" spans="2:11" x14ac:dyDescent="0.45">
      <c r="B2824" s="1" t="s">
        <v>11</v>
      </c>
      <c r="C2824" s="1" t="s">
        <v>2810</v>
      </c>
      <c r="D2824" s="7">
        <v>46232</v>
      </c>
      <c r="E2824" s="7">
        <v>46257</v>
      </c>
      <c r="F2824" s="7">
        <v>46491</v>
      </c>
      <c r="G2824" s="1" t="s">
        <v>20</v>
      </c>
      <c r="H2824" s="8">
        <v>893551.83</v>
      </c>
      <c r="I2824" s="8">
        <v>640444.27</v>
      </c>
      <c r="J2824" s="1">
        <f>IF(COUNTIF($C$4:C2824,C2824)=1,1,0)</f>
        <v>1</v>
      </c>
      <c r="K2824" s="1">
        <f t="shared" si="44"/>
        <v>2026</v>
      </c>
    </row>
    <row r="2825" spans="2:11" x14ac:dyDescent="0.45">
      <c r="B2825" s="1" t="s">
        <v>11</v>
      </c>
      <c r="C2825" s="1" t="s">
        <v>2811</v>
      </c>
      <c r="D2825" s="7">
        <v>43839</v>
      </c>
      <c r="E2825" s="7">
        <v>43852</v>
      </c>
      <c r="F2825" s="7">
        <v>43958</v>
      </c>
      <c r="G2825" s="1" t="s">
        <v>22</v>
      </c>
      <c r="H2825" s="8">
        <v>39761746.329999998</v>
      </c>
      <c r="I2825" s="8">
        <v>18199870.91</v>
      </c>
      <c r="J2825" s="1">
        <f>IF(COUNTIF($C$4:C2825,C2825)=1,1,0)</f>
        <v>1</v>
      </c>
      <c r="K2825" s="1">
        <f t="shared" si="44"/>
        <v>2020</v>
      </c>
    </row>
    <row r="2826" spans="2:11" x14ac:dyDescent="0.45">
      <c r="B2826" s="1" t="s">
        <v>11</v>
      </c>
      <c r="C2826" s="1" t="s">
        <v>2812</v>
      </c>
      <c r="D2826" s="7">
        <v>43415</v>
      </c>
      <c r="E2826" s="7">
        <v>43440</v>
      </c>
      <c r="F2826" s="7">
        <v>43661</v>
      </c>
      <c r="G2826" s="1" t="s">
        <v>16</v>
      </c>
      <c r="H2826" s="8">
        <v>1222816.1299999999</v>
      </c>
      <c r="I2826" s="8">
        <v>836253.91</v>
      </c>
      <c r="J2826" s="1">
        <f>IF(COUNTIF($C$4:C2826,C2826)=1,1,0)</f>
        <v>1</v>
      </c>
      <c r="K2826" s="1">
        <f t="shared" si="44"/>
        <v>2018</v>
      </c>
    </row>
    <row r="2827" spans="2:11" x14ac:dyDescent="0.45">
      <c r="B2827" s="1" t="s">
        <v>11</v>
      </c>
      <c r="C2827" s="1" t="s">
        <v>2813</v>
      </c>
      <c r="D2827" s="7">
        <v>44726</v>
      </c>
      <c r="E2827" s="7">
        <v>44755</v>
      </c>
      <c r="F2827" s="7">
        <v>44920</v>
      </c>
      <c r="G2827" s="1" t="s">
        <v>20</v>
      </c>
      <c r="H2827" s="8">
        <v>361827.82</v>
      </c>
      <c r="I2827" s="8">
        <v>253893.43</v>
      </c>
      <c r="J2827" s="1">
        <f>IF(COUNTIF($C$4:C2827,C2827)=1,1,0)</f>
        <v>1</v>
      </c>
      <c r="K2827" s="1">
        <f t="shared" si="44"/>
        <v>2022</v>
      </c>
    </row>
    <row r="2828" spans="2:11" x14ac:dyDescent="0.45">
      <c r="B2828" s="1" t="s">
        <v>11</v>
      </c>
      <c r="C2828" s="1" t="s">
        <v>2814</v>
      </c>
      <c r="D2828" s="7">
        <v>45429</v>
      </c>
      <c r="E2828" s="7">
        <v>45445</v>
      </c>
      <c r="F2828" s="7">
        <v>45490</v>
      </c>
      <c r="G2828" s="1" t="s">
        <v>22</v>
      </c>
      <c r="H2828" s="8">
        <v>7464266.3499999996</v>
      </c>
      <c r="I2828" s="8">
        <v>4740235.21</v>
      </c>
      <c r="J2828" s="1">
        <f>IF(COUNTIF($C$4:C2828,C2828)=1,1,0)</f>
        <v>1</v>
      </c>
      <c r="K2828" s="1">
        <f t="shared" si="44"/>
        <v>2024</v>
      </c>
    </row>
    <row r="2829" spans="2:11" x14ac:dyDescent="0.45">
      <c r="B2829" s="1" t="s">
        <v>11</v>
      </c>
      <c r="C2829" s="1" t="s">
        <v>2815</v>
      </c>
      <c r="D2829" s="7">
        <v>43837</v>
      </c>
      <c r="E2829" s="7">
        <v>43864</v>
      </c>
      <c r="F2829" s="7">
        <v>43895</v>
      </c>
      <c r="G2829" s="1" t="s">
        <v>13</v>
      </c>
      <c r="H2829" s="8">
        <v>279360.03000000003</v>
      </c>
      <c r="I2829" s="8">
        <v>215031.7</v>
      </c>
      <c r="J2829" s="1">
        <f>IF(COUNTIF($C$4:C2829,C2829)=1,1,0)</f>
        <v>1</v>
      </c>
      <c r="K2829" s="1">
        <f t="shared" si="44"/>
        <v>2020</v>
      </c>
    </row>
    <row r="2830" spans="2:11" x14ac:dyDescent="0.45">
      <c r="B2830" s="1" t="s">
        <v>11</v>
      </c>
      <c r="C2830" s="1" t="s">
        <v>2816</v>
      </c>
      <c r="D2830" s="7">
        <v>45846</v>
      </c>
      <c r="E2830" s="7">
        <v>45847</v>
      </c>
      <c r="F2830" s="7">
        <v>46038</v>
      </c>
      <c r="G2830" s="1" t="s">
        <v>212</v>
      </c>
      <c r="H2830" s="8">
        <v>55554768.770000003</v>
      </c>
      <c r="I2830" s="8">
        <v>31484299.449999999</v>
      </c>
      <c r="J2830" s="1">
        <f>IF(COUNTIF($C$4:C2830,C2830)=1,1,0)</f>
        <v>1</v>
      </c>
      <c r="K2830" s="1">
        <f t="shared" si="44"/>
        <v>2025</v>
      </c>
    </row>
    <row r="2831" spans="2:11" x14ac:dyDescent="0.45">
      <c r="B2831" s="1" t="s">
        <v>11</v>
      </c>
      <c r="C2831" s="1" t="s">
        <v>2817</v>
      </c>
      <c r="D2831" s="7">
        <v>44877</v>
      </c>
      <c r="E2831" s="7">
        <v>44879</v>
      </c>
      <c r="F2831" s="7">
        <v>45029</v>
      </c>
      <c r="G2831" s="1" t="s">
        <v>20</v>
      </c>
      <c r="H2831" s="8">
        <v>885925.93</v>
      </c>
      <c r="I2831" s="8">
        <v>659142.46</v>
      </c>
      <c r="J2831" s="1">
        <f>IF(COUNTIF($C$4:C2831,C2831)=1,1,0)</f>
        <v>1</v>
      </c>
      <c r="K2831" s="1">
        <f t="shared" si="44"/>
        <v>2022</v>
      </c>
    </row>
    <row r="2832" spans="2:11" x14ac:dyDescent="0.45">
      <c r="B2832" s="1" t="s">
        <v>11</v>
      </c>
      <c r="C2832" s="1" t="s">
        <v>2818</v>
      </c>
      <c r="D2832" s="7">
        <v>43934</v>
      </c>
      <c r="E2832" s="7">
        <v>43962</v>
      </c>
      <c r="F2832" s="7">
        <v>44079</v>
      </c>
      <c r="G2832" s="1" t="s">
        <v>22</v>
      </c>
      <c r="H2832" s="8">
        <v>23880737.07</v>
      </c>
      <c r="I2832" s="8">
        <v>8197601.2800000003</v>
      </c>
      <c r="J2832" s="1">
        <f>IF(COUNTIF($C$4:C2832,C2832)=1,1,0)</f>
        <v>1</v>
      </c>
      <c r="K2832" s="1">
        <f t="shared" si="44"/>
        <v>2020</v>
      </c>
    </row>
    <row r="2833" spans="2:11" x14ac:dyDescent="0.45">
      <c r="B2833" s="1" t="s">
        <v>11</v>
      </c>
      <c r="C2833" s="1" t="s">
        <v>2819</v>
      </c>
      <c r="D2833" s="7">
        <v>45215</v>
      </c>
      <c r="E2833" s="7">
        <v>45240</v>
      </c>
      <c r="F2833" s="7">
        <v>45337</v>
      </c>
      <c r="G2833" s="1" t="s">
        <v>44</v>
      </c>
      <c r="H2833" s="8">
        <v>38616065.140000001</v>
      </c>
      <c r="I2833" s="8">
        <v>20283104.59</v>
      </c>
      <c r="J2833" s="1">
        <f>IF(COUNTIF($C$4:C2833,C2833)=1,1,0)</f>
        <v>1</v>
      </c>
      <c r="K2833" s="1">
        <f t="shared" si="44"/>
        <v>2023</v>
      </c>
    </row>
    <row r="2834" spans="2:11" x14ac:dyDescent="0.45">
      <c r="B2834" s="1" t="s">
        <v>11</v>
      </c>
      <c r="C2834" s="1" t="s">
        <v>2820</v>
      </c>
      <c r="D2834" s="7">
        <v>43442</v>
      </c>
      <c r="E2834" s="7">
        <v>43466</v>
      </c>
      <c r="F2834" s="7">
        <v>43702</v>
      </c>
      <c r="G2834" s="1" t="s">
        <v>16</v>
      </c>
      <c r="H2834" s="8">
        <v>2510925.21</v>
      </c>
      <c r="I2834" s="8">
        <v>1761482.09</v>
      </c>
      <c r="J2834" s="1">
        <f>IF(COUNTIF($C$4:C2834,C2834)=1,1,0)</f>
        <v>1</v>
      </c>
      <c r="K2834" s="1">
        <f t="shared" si="44"/>
        <v>2018</v>
      </c>
    </row>
    <row r="2835" spans="2:11" x14ac:dyDescent="0.45">
      <c r="B2835" s="1" t="s">
        <v>11</v>
      </c>
      <c r="C2835" s="1" t="s">
        <v>2821</v>
      </c>
      <c r="D2835" s="7">
        <v>44630</v>
      </c>
      <c r="E2835" s="7">
        <v>44642</v>
      </c>
      <c r="F2835" s="7">
        <v>44709</v>
      </c>
      <c r="G2835" s="1" t="s">
        <v>20</v>
      </c>
      <c r="H2835" s="8">
        <v>1477641.41</v>
      </c>
      <c r="I2835" s="8">
        <v>683479.94</v>
      </c>
      <c r="J2835" s="1">
        <f>IF(COUNTIF($C$4:C2835,C2835)=1,1,0)</f>
        <v>1</v>
      </c>
      <c r="K2835" s="1">
        <f t="shared" si="44"/>
        <v>2022</v>
      </c>
    </row>
    <row r="2836" spans="2:11" x14ac:dyDescent="0.45">
      <c r="B2836" s="1" t="s">
        <v>11</v>
      </c>
      <c r="C2836" s="1" t="s">
        <v>2822</v>
      </c>
      <c r="D2836" s="7">
        <v>43815</v>
      </c>
      <c r="E2836" s="7">
        <v>43825</v>
      </c>
      <c r="F2836" s="7">
        <v>43965</v>
      </c>
      <c r="G2836" s="1" t="s">
        <v>16</v>
      </c>
      <c r="H2836" s="8">
        <v>2861161.77</v>
      </c>
      <c r="I2836" s="8">
        <v>1724918.15</v>
      </c>
      <c r="J2836" s="1">
        <f>IF(COUNTIF($C$4:C2836,C2836)=1,1,0)</f>
        <v>1</v>
      </c>
      <c r="K2836" s="1">
        <f t="shared" si="44"/>
        <v>2019</v>
      </c>
    </row>
    <row r="2837" spans="2:11" x14ac:dyDescent="0.45">
      <c r="B2837" s="1" t="s">
        <v>11</v>
      </c>
      <c r="C2837" s="1" t="s">
        <v>2823</v>
      </c>
      <c r="D2837" s="7">
        <v>45402</v>
      </c>
      <c r="E2837" s="7">
        <v>45406</v>
      </c>
      <c r="F2837" s="7">
        <v>45556</v>
      </c>
      <c r="G2837" s="1" t="s">
        <v>20</v>
      </c>
      <c r="H2837" s="8">
        <v>2146108.39</v>
      </c>
      <c r="I2837" s="8">
        <v>1594674.4</v>
      </c>
      <c r="J2837" s="1">
        <f>IF(COUNTIF($C$4:C2837,C2837)=1,1,0)</f>
        <v>1</v>
      </c>
      <c r="K2837" s="1">
        <f t="shared" si="44"/>
        <v>2024</v>
      </c>
    </row>
    <row r="2838" spans="2:11" x14ac:dyDescent="0.45">
      <c r="B2838" s="1" t="s">
        <v>11</v>
      </c>
      <c r="C2838" s="1" t="s">
        <v>2824</v>
      </c>
      <c r="D2838" s="7">
        <v>43690</v>
      </c>
      <c r="E2838" s="7">
        <v>43704</v>
      </c>
      <c r="F2838" s="7">
        <v>43911</v>
      </c>
      <c r="G2838" s="1" t="s">
        <v>22</v>
      </c>
      <c r="H2838" s="8">
        <v>4596303.96</v>
      </c>
      <c r="I2838" s="8">
        <v>2573444.33</v>
      </c>
      <c r="J2838" s="1">
        <f>IF(COUNTIF($C$4:C2838,C2838)=1,1,0)</f>
        <v>1</v>
      </c>
      <c r="K2838" s="1">
        <f t="shared" si="44"/>
        <v>2019</v>
      </c>
    </row>
    <row r="2839" spans="2:11" x14ac:dyDescent="0.45">
      <c r="B2839" s="1" t="s">
        <v>11</v>
      </c>
      <c r="C2839" s="1" t="s">
        <v>2825</v>
      </c>
      <c r="D2839" s="7">
        <v>43203</v>
      </c>
      <c r="E2839" s="7">
        <v>43215</v>
      </c>
      <c r="F2839" s="7">
        <v>43269</v>
      </c>
      <c r="G2839" s="1" t="s">
        <v>22</v>
      </c>
      <c r="H2839" s="8">
        <v>22856171.780000001</v>
      </c>
      <c r="I2839" s="8">
        <v>16339951.439999999</v>
      </c>
      <c r="J2839" s="1">
        <f>IF(COUNTIF($C$4:C2839,C2839)=1,1,0)</f>
        <v>1</v>
      </c>
      <c r="K2839" s="1">
        <f t="shared" si="44"/>
        <v>2018</v>
      </c>
    </row>
    <row r="2840" spans="2:11" x14ac:dyDescent="0.45">
      <c r="B2840" s="1" t="s">
        <v>11</v>
      </c>
      <c r="C2840" s="1" t="s">
        <v>2826</v>
      </c>
      <c r="D2840" s="7">
        <v>44554</v>
      </c>
      <c r="E2840" s="7">
        <v>44566</v>
      </c>
      <c r="F2840" s="7">
        <v>44699</v>
      </c>
      <c r="G2840" s="1" t="s">
        <v>41</v>
      </c>
      <c r="H2840" s="8">
        <v>453299.29</v>
      </c>
      <c r="I2840" s="8">
        <v>378203.43</v>
      </c>
      <c r="J2840" s="1">
        <f>IF(COUNTIF($C$4:C2840,C2840)=1,1,0)</f>
        <v>1</v>
      </c>
      <c r="K2840" s="1">
        <f t="shared" si="44"/>
        <v>2021</v>
      </c>
    </row>
    <row r="2841" spans="2:11" x14ac:dyDescent="0.45">
      <c r="B2841" s="1" t="s">
        <v>11</v>
      </c>
      <c r="C2841" s="1" t="s">
        <v>2827</v>
      </c>
      <c r="D2841" s="7">
        <v>45174</v>
      </c>
      <c r="E2841" s="7">
        <v>45189</v>
      </c>
      <c r="F2841" s="7">
        <v>45236</v>
      </c>
      <c r="G2841" s="1" t="s">
        <v>38</v>
      </c>
      <c r="H2841" s="8">
        <v>707980.22</v>
      </c>
      <c r="I2841" s="8">
        <v>554085.37</v>
      </c>
      <c r="J2841" s="1">
        <f>IF(COUNTIF($C$4:C2841,C2841)=1,1,0)</f>
        <v>1</v>
      </c>
      <c r="K2841" s="1">
        <f t="shared" si="44"/>
        <v>2023</v>
      </c>
    </row>
    <row r="2842" spans="2:11" x14ac:dyDescent="0.45">
      <c r="B2842" s="1" t="s">
        <v>11</v>
      </c>
      <c r="C2842" s="1" t="s">
        <v>2828</v>
      </c>
      <c r="D2842" s="7">
        <v>45570</v>
      </c>
      <c r="E2842" s="7">
        <v>45582</v>
      </c>
      <c r="F2842" s="7">
        <v>45740</v>
      </c>
      <c r="G2842" s="1" t="s">
        <v>212</v>
      </c>
      <c r="H2842" s="8">
        <v>17129756.199999999</v>
      </c>
      <c r="I2842" s="8">
        <v>6992858.8799999999</v>
      </c>
      <c r="J2842" s="1">
        <f>IF(COUNTIF($C$4:C2842,C2842)=1,1,0)</f>
        <v>1</v>
      </c>
      <c r="K2842" s="1">
        <f t="shared" si="44"/>
        <v>2024</v>
      </c>
    </row>
    <row r="2843" spans="2:11" x14ac:dyDescent="0.45">
      <c r="B2843" s="1" t="s">
        <v>11</v>
      </c>
      <c r="C2843" s="1" t="s">
        <v>2829</v>
      </c>
      <c r="D2843" s="7">
        <v>46017</v>
      </c>
      <c r="E2843" s="7">
        <v>46018</v>
      </c>
      <c r="F2843" s="7">
        <v>46079</v>
      </c>
      <c r="G2843" s="1" t="s">
        <v>13</v>
      </c>
      <c r="H2843" s="8">
        <v>126432.04</v>
      </c>
      <c r="I2843" s="8">
        <v>97997.67</v>
      </c>
      <c r="J2843" s="1">
        <f>IF(COUNTIF($C$4:C2843,C2843)=1,1,0)</f>
        <v>1</v>
      </c>
      <c r="K2843" s="1">
        <f t="shared" si="44"/>
        <v>2025</v>
      </c>
    </row>
    <row r="2844" spans="2:11" x14ac:dyDescent="0.45">
      <c r="B2844" s="1" t="s">
        <v>11</v>
      </c>
      <c r="C2844" s="1" t="s">
        <v>2830</v>
      </c>
      <c r="D2844" s="7">
        <v>45789</v>
      </c>
      <c r="E2844" s="7">
        <v>45810</v>
      </c>
      <c r="F2844" s="7">
        <v>45976</v>
      </c>
      <c r="G2844" s="1" t="s">
        <v>41</v>
      </c>
      <c r="H2844" s="8">
        <v>356748.18</v>
      </c>
      <c r="I2844" s="8">
        <v>304325.53000000003</v>
      </c>
      <c r="J2844" s="1">
        <f>IF(COUNTIF($C$4:C2844,C2844)=1,1,0)</f>
        <v>1</v>
      </c>
      <c r="K2844" s="1">
        <f t="shared" si="44"/>
        <v>2025</v>
      </c>
    </row>
    <row r="2845" spans="2:11" x14ac:dyDescent="0.45">
      <c r="B2845" s="1" t="s">
        <v>11</v>
      </c>
      <c r="C2845" s="1" t="s">
        <v>2831</v>
      </c>
      <c r="D2845" s="7">
        <v>45522</v>
      </c>
      <c r="E2845" s="7">
        <v>45528</v>
      </c>
      <c r="F2845" s="7">
        <v>45588</v>
      </c>
      <c r="G2845" s="1" t="s">
        <v>20</v>
      </c>
      <c r="H2845" s="8">
        <v>1046835.63</v>
      </c>
      <c r="I2845" s="8">
        <v>570845.31999999995</v>
      </c>
      <c r="J2845" s="1">
        <f>IF(COUNTIF($C$4:C2845,C2845)=1,1,0)</f>
        <v>1</v>
      </c>
      <c r="K2845" s="1">
        <f t="shared" si="44"/>
        <v>2024</v>
      </c>
    </row>
    <row r="2846" spans="2:11" x14ac:dyDescent="0.45">
      <c r="B2846" s="1" t="s">
        <v>11</v>
      </c>
      <c r="C2846" s="1" t="s">
        <v>2832</v>
      </c>
      <c r="D2846" s="7">
        <v>44351</v>
      </c>
      <c r="E2846" s="7">
        <v>44380</v>
      </c>
      <c r="F2846" s="7">
        <v>44510</v>
      </c>
      <c r="G2846" s="1" t="s">
        <v>16</v>
      </c>
      <c r="H2846" s="8">
        <v>1707777.2</v>
      </c>
      <c r="I2846" s="8">
        <v>1008064.42</v>
      </c>
      <c r="J2846" s="1">
        <f>IF(COUNTIF($C$4:C2846,C2846)=1,1,0)</f>
        <v>1</v>
      </c>
      <c r="K2846" s="1">
        <f t="shared" si="44"/>
        <v>2021</v>
      </c>
    </row>
    <row r="2847" spans="2:11" x14ac:dyDescent="0.45">
      <c r="B2847" s="1" t="s">
        <v>11</v>
      </c>
      <c r="C2847" s="1" t="s">
        <v>2833</v>
      </c>
      <c r="D2847" s="7">
        <v>45387</v>
      </c>
      <c r="E2847" s="7">
        <v>45397</v>
      </c>
      <c r="F2847" s="7">
        <v>45423</v>
      </c>
      <c r="G2847" s="1" t="s">
        <v>1348</v>
      </c>
      <c r="H2847" s="8">
        <v>33888011.5</v>
      </c>
      <c r="I2847" s="8">
        <v>22016784.52</v>
      </c>
      <c r="J2847" s="1">
        <f>IF(COUNTIF($C$4:C2847,C2847)=1,1,0)</f>
        <v>1</v>
      </c>
      <c r="K2847" s="1">
        <f t="shared" si="44"/>
        <v>2024</v>
      </c>
    </row>
    <row r="2848" spans="2:11" x14ac:dyDescent="0.45">
      <c r="B2848" s="1" t="s">
        <v>11</v>
      </c>
      <c r="C2848" s="1" t="s">
        <v>2834</v>
      </c>
      <c r="D2848" s="7">
        <v>44041</v>
      </c>
      <c r="E2848" s="7">
        <v>44058</v>
      </c>
      <c r="F2848" s="7">
        <v>44163</v>
      </c>
      <c r="G2848" s="1" t="s">
        <v>22</v>
      </c>
      <c r="H2848" s="8">
        <v>10868753.99</v>
      </c>
      <c r="I2848" s="8">
        <v>4025767.43</v>
      </c>
      <c r="J2848" s="1">
        <f>IF(COUNTIF($C$4:C2848,C2848)=1,1,0)</f>
        <v>1</v>
      </c>
      <c r="K2848" s="1">
        <f t="shared" si="44"/>
        <v>2020</v>
      </c>
    </row>
    <row r="2849" spans="2:11" x14ac:dyDescent="0.45">
      <c r="B2849" s="1" t="s">
        <v>11</v>
      </c>
      <c r="C2849" s="1" t="s">
        <v>2835</v>
      </c>
      <c r="D2849" s="7">
        <v>44646</v>
      </c>
      <c r="E2849" s="7">
        <v>44653</v>
      </c>
      <c r="F2849" s="7">
        <v>44765</v>
      </c>
      <c r="G2849" s="1" t="s">
        <v>20</v>
      </c>
      <c r="H2849" s="8">
        <v>1012685.04</v>
      </c>
      <c r="I2849" s="8">
        <v>750395.92</v>
      </c>
      <c r="J2849" s="1">
        <f>IF(COUNTIF($C$4:C2849,C2849)=1,1,0)</f>
        <v>1</v>
      </c>
      <c r="K2849" s="1">
        <f t="shared" si="44"/>
        <v>2022</v>
      </c>
    </row>
    <row r="2850" spans="2:11" x14ac:dyDescent="0.45">
      <c r="B2850" s="1" t="s">
        <v>11</v>
      </c>
      <c r="C2850" s="1" t="s">
        <v>2836</v>
      </c>
      <c r="D2850" s="7">
        <v>44072</v>
      </c>
      <c r="E2850" s="7">
        <v>44099</v>
      </c>
      <c r="F2850" s="7">
        <v>44147</v>
      </c>
      <c r="G2850" s="1" t="s">
        <v>20</v>
      </c>
      <c r="H2850" s="8">
        <v>405289.56</v>
      </c>
      <c r="I2850" s="8">
        <v>304289.90000000002</v>
      </c>
      <c r="J2850" s="1">
        <f>IF(COUNTIF($C$4:C2850,C2850)=1,1,0)</f>
        <v>1</v>
      </c>
      <c r="K2850" s="1">
        <f t="shared" si="44"/>
        <v>2020</v>
      </c>
    </row>
    <row r="2851" spans="2:11" x14ac:dyDescent="0.45">
      <c r="B2851" s="1" t="s">
        <v>11</v>
      </c>
      <c r="C2851" s="1" t="s">
        <v>2837</v>
      </c>
      <c r="D2851" s="7">
        <v>45594</v>
      </c>
      <c r="E2851" s="7">
        <v>45613</v>
      </c>
      <c r="F2851" s="7">
        <v>45710</v>
      </c>
      <c r="G2851" s="1" t="s">
        <v>13</v>
      </c>
      <c r="H2851" s="8">
        <v>907247.42</v>
      </c>
      <c r="I2851" s="8">
        <v>627734.5</v>
      </c>
      <c r="J2851" s="1">
        <f>IF(COUNTIF($C$4:C2851,C2851)=1,1,0)</f>
        <v>1</v>
      </c>
      <c r="K2851" s="1">
        <f t="shared" si="44"/>
        <v>2024</v>
      </c>
    </row>
    <row r="2852" spans="2:11" x14ac:dyDescent="0.45">
      <c r="B2852" s="1" t="s">
        <v>11</v>
      </c>
      <c r="C2852" s="1" t="s">
        <v>2838</v>
      </c>
      <c r="D2852" s="7">
        <v>44033</v>
      </c>
      <c r="E2852" s="7">
        <v>44045</v>
      </c>
      <c r="F2852" s="7">
        <v>44240</v>
      </c>
      <c r="G2852" s="1" t="s">
        <v>41</v>
      </c>
      <c r="H2852" s="8">
        <v>588744.27</v>
      </c>
      <c r="I2852" s="8">
        <v>382829.51</v>
      </c>
      <c r="J2852" s="1">
        <f>IF(COUNTIF($C$4:C2852,C2852)=1,1,0)</f>
        <v>1</v>
      </c>
      <c r="K2852" s="1">
        <f t="shared" si="44"/>
        <v>2020</v>
      </c>
    </row>
    <row r="2853" spans="2:11" x14ac:dyDescent="0.45">
      <c r="B2853" s="1" t="s">
        <v>11</v>
      </c>
      <c r="C2853" s="1" t="s">
        <v>2839</v>
      </c>
      <c r="D2853" s="7">
        <v>44210</v>
      </c>
      <c r="E2853" s="7">
        <v>44228</v>
      </c>
      <c r="F2853" s="7">
        <v>44303</v>
      </c>
      <c r="G2853" s="1" t="s">
        <v>41</v>
      </c>
      <c r="H2853" s="8">
        <v>312345.58</v>
      </c>
      <c r="I2853" s="8">
        <v>232178.87</v>
      </c>
      <c r="J2853" s="1">
        <f>IF(COUNTIF($C$4:C2853,C2853)=1,1,0)</f>
        <v>1</v>
      </c>
      <c r="K2853" s="1">
        <f t="shared" si="44"/>
        <v>2021</v>
      </c>
    </row>
    <row r="2854" spans="2:11" x14ac:dyDescent="0.45">
      <c r="B2854" s="1" t="s">
        <v>11</v>
      </c>
      <c r="C2854" s="1" t="s">
        <v>2840</v>
      </c>
      <c r="D2854" s="7">
        <v>43229</v>
      </c>
      <c r="E2854" s="7">
        <v>43256</v>
      </c>
      <c r="F2854" s="7">
        <v>43299</v>
      </c>
      <c r="G2854" s="1" t="s">
        <v>212</v>
      </c>
      <c r="H2854" s="8">
        <v>54257063.509999998</v>
      </c>
      <c r="I2854" s="8">
        <v>33042758.57</v>
      </c>
      <c r="J2854" s="1">
        <f>IF(COUNTIF($C$4:C2854,C2854)=1,1,0)</f>
        <v>1</v>
      </c>
      <c r="K2854" s="1">
        <f t="shared" si="44"/>
        <v>2018</v>
      </c>
    </row>
    <row r="2855" spans="2:11" x14ac:dyDescent="0.45">
      <c r="B2855" s="1" t="s">
        <v>11</v>
      </c>
      <c r="C2855" s="1" t="s">
        <v>2841</v>
      </c>
      <c r="D2855" s="7">
        <v>46002</v>
      </c>
      <c r="E2855" s="7">
        <v>46027</v>
      </c>
      <c r="F2855" s="7">
        <v>46235</v>
      </c>
      <c r="G2855" s="1" t="s">
        <v>18</v>
      </c>
      <c r="H2855" s="8">
        <v>2073707.38</v>
      </c>
      <c r="I2855" s="8">
        <v>1440046.83</v>
      </c>
      <c r="J2855" s="1">
        <f>IF(COUNTIF($C$4:C2855,C2855)=1,1,0)</f>
        <v>1</v>
      </c>
      <c r="K2855" s="1">
        <f t="shared" si="44"/>
        <v>2025</v>
      </c>
    </row>
    <row r="2856" spans="2:11" x14ac:dyDescent="0.45">
      <c r="B2856" s="1" t="s">
        <v>11</v>
      </c>
      <c r="C2856" s="1" t="s">
        <v>2842</v>
      </c>
      <c r="D2856" s="7">
        <v>45073</v>
      </c>
      <c r="E2856" s="7">
        <v>45099</v>
      </c>
      <c r="F2856" s="7">
        <v>45284</v>
      </c>
      <c r="G2856" s="1" t="s">
        <v>212</v>
      </c>
      <c r="H2856" s="8">
        <v>45011348.710000001</v>
      </c>
      <c r="I2856" s="8">
        <v>27989678.73</v>
      </c>
      <c r="J2856" s="1">
        <f>IF(COUNTIF($C$4:C2856,C2856)=1,1,0)</f>
        <v>1</v>
      </c>
      <c r="K2856" s="1">
        <f t="shared" si="44"/>
        <v>2023</v>
      </c>
    </row>
    <row r="2857" spans="2:11" x14ac:dyDescent="0.45">
      <c r="B2857" s="1" t="s">
        <v>11</v>
      </c>
      <c r="C2857" s="1" t="s">
        <v>2843</v>
      </c>
      <c r="D2857" s="7">
        <v>43510</v>
      </c>
      <c r="E2857" s="7">
        <v>43525</v>
      </c>
      <c r="F2857" s="7">
        <v>43721</v>
      </c>
      <c r="G2857" s="1" t="s">
        <v>44</v>
      </c>
      <c r="H2857" s="8">
        <v>60223864.950000003</v>
      </c>
      <c r="I2857" s="8">
        <v>42415580.100000001</v>
      </c>
      <c r="J2857" s="1">
        <f>IF(COUNTIF($C$4:C2857,C2857)=1,1,0)</f>
        <v>1</v>
      </c>
      <c r="K2857" s="1">
        <f t="shared" si="44"/>
        <v>2019</v>
      </c>
    </row>
    <row r="2858" spans="2:11" x14ac:dyDescent="0.45">
      <c r="B2858" s="1" t="s">
        <v>11</v>
      </c>
      <c r="C2858" s="1" t="s">
        <v>2844</v>
      </c>
      <c r="D2858" s="7">
        <v>45875</v>
      </c>
      <c r="E2858" s="7">
        <v>45885</v>
      </c>
      <c r="F2858" s="7">
        <v>45996</v>
      </c>
      <c r="G2858" s="1" t="s">
        <v>212</v>
      </c>
      <c r="H2858" s="8">
        <v>4501208.5</v>
      </c>
      <c r="I2858" s="8">
        <v>2973056.15</v>
      </c>
      <c r="J2858" s="1">
        <f>IF(COUNTIF($C$4:C2858,C2858)=1,1,0)</f>
        <v>1</v>
      </c>
      <c r="K2858" s="1">
        <f t="shared" si="44"/>
        <v>2025</v>
      </c>
    </row>
    <row r="2859" spans="2:11" x14ac:dyDescent="0.45">
      <c r="B2859" s="1" t="s">
        <v>11</v>
      </c>
      <c r="C2859" s="1" t="s">
        <v>2845</v>
      </c>
      <c r="D2859" s="7">
        <v>43889</v>
      </c>
      <c r="E2859" s="7">
        <v>43901</v>
      </c>
      <c r="F2859" s="7">
        <v>43921</v>
      </c>
      <c r="G2859" s="1" t="s">
        <v>44</v>
      </c>
      <c r="H2859" s="8">
        <v>125203241.47</v>
      </c>
      <c r="I2859" s="8">
        <v>81017444.780000001</v>
      </c>
      <c r="J2859" s="1">
        <f>IF(COUNTIF($C$4:C2859,C2859)=1,1,0)</f>
        <v>1</v>
      </c>
      <c r="K2859" s="1">
        <f t="shared" si="44"/>
        <v>2020</v>
      </c>
    </row>
    <row r="2860" spans="2:11" x14ac:dyDescent="0.45">
      <c r="B2860" s="1" t="s">
        <v>11</v>
      </c>
      <c r="C2860" s="1" t="s">
        <v>2846</v>
      </c>
      <c r="D2860" s="7">
        <v>45089</v>
      </c>
      <c r="E2860" s="7">
        <v>45097</v>
      </c>
      <c r="F2860" s="7">
        <v>45326</v>
      </c>
      <c r="G2860" s="1" t="s">
        <v>18</v>
      </c>
      <c r="H2860" s="8">
        <v>1826000.22</v>
      </c>
      <c r="I2860" s="8">
        <v>1267799.8999999999</v>
      </c>
      <c r="J2860" s="1">
        <f>IF(COUNTIF($C$4:C2860,C2860)=1,1,0)</f>
        <v>1</v>
      </c>
      <c r="K2860" s="1">
        <f t="shared" si="44"/>
        <v>2023</v>
      </c>
    </row>
    <row r="2861" spans="2:11" x14ac:dyDescent="0.45">
      <c r="B2861" s="1" t="s">
        <v>11</v>
      </c>
      <c r="C2861" s="1" t="s">
        <v>2847</v>
      </c>
      <c r="D2861" s="7">
        <v>44912</v>
      </c>
      <c r="E2861" s="7">
        <v>44918</v>
      </c>
      <c r="F2861" s="7">
        <v>44931</v>
      </c>
      <c r="G2861" s="1" t="s">
        <v>212</v>
      </c>
      <c r="H2861" s="8">
        <v>13427544.91</v>
      </c>
      <c r="I2861" s="8">
        <v>8677624.75</v>
      </c>
      <c r="J2861" s="1">
        <f>IF(COUNTIF($C$4:C2861,C2861)=1,1,0)</f>
        <v>1</v>
      </c>
      <c r="K2861" s="1">
        <f t="shared" si="44"/>
        <v>2022</v>
      </c>
    </row>
    <row r="2862" spans="2:11" x14ac:dyDescent="0.45">
      <c r="B2862" s="1" t="s">
        <v>11</v>
      </c>
      <c r="C2862" s="1" t="s">
        <v>2848</v>
      </c>
      <c r="D2862" s="7">
        <v>44675</v>
      </c>
      <c r="E2862" s="7">
        <v>44700</v>
      </c>
      <c r="F2862" s="7">
        <v>44777</v>
      </c>
      <c r="G2862" s="1" t="s">
        <v>38</v>
      </c>
      <c r="H2862" s="8">
        <v>1549721.64</v>
      </c>
      <c r="I2862" s="8">
        <v>1052545.3</v>
      </c>
      <c r="J2862" s="1">
        <f>IF(COUNTIF($C$4:C2862,C2862)=1,1,0)</f>
        <v>1</v>
      </c>
      <c r="K2862" s="1">
        <f t="shared" si="44"/>
        <v>2022</v>
      </c>
    </row>
    <row r="2863" spans="2:11" x14ac:dyDescent="0.45">
      <c r="B2863" s="1" t="s">
        <v>11</v>
      </c>
      <c r="C2863" s="1" t="s">
        <v>2849</v>
      </c>
      <c r="D2863" s="7">
        <v>45778</v>
      </c>
      <c r="E2863" s="7">
        <v>45803</v>
      </c>
      <c r="F2863" s="7">
        <v>45818</v>
      </c>
      <c r="G2863" s="1" t="s">
        <v>41</v>
      </c>
      <c r="H2863" s="8">
        <v>816055.89</v>
      </c>
      <c r="I2863" s="8">
        <v>646436.67000000004</v>
      </c>
      <c r="J2863" s="1">
        <f>IF(COUNTIF($C$4:C2863,C2863)=1,1,0)</f>
        <v>1</v>
      </c>
      <c r="K2863" s="1">
        <f t="shared" si="44"/>
        <v>2025</v>
      </c>
    </row>
    <row r="2864" spans="2:11" x14ac:dyDescent="0.45">
      <c r="B2864" s="1" t="s">
        <v>11</v>
      </c>
      <c r="C2864" s="1" t="s">
        <v>2850</v>
      </c>
      <c r="D2864" s="7">
        <v>44993</v>
      </c>
      <c r="E2864" s="7">
        <v>45003</v>
      </c>
      <c r="F2864" s="7">
        <v>45176</v>
      </c>
      <c r="G2864" s="1" t="s">
        <v>20</v>
      </c>
      <c r="H2864" s="8">
        <v>1069183.6599999999</v>
      </c>
      <c r="I2864" s="8">
        <v>753903.37</v>
      </c>
      <c r="J2864" s="1">
        <f>IF(COUNTIF($C$4:C2864,C2864)=1,1,0)</f>
        <v>1</v>
      </c>
      <c r="K2864" s="1">
        <f t="shared" si="44"/>
        <v>2023</v>
      </c>
    </row>
    <row r="2865" spans="2:11" x14ac:dyDescent="0.45">
      <c r="B2865" s="1" t="s">
        <v>11</v>
      </c>
      <c r="C2865" s="1" t="s">
        <v>2851</v>
      </c>
      <c r="D2865" s="7">
        <v>43672</v>
      </c>
      <c r="E2865" s="7">
        <v>43698</v>
      </c>
      <c r="F2865" s="7">
        <v>43708</v>
      </c>
      <c r="G2865" s="1" t="s">
        <v>22</v>
      </c>
      <c r="H2865" s="8">
        <v>41195338.439999998</v>
      </c>
      <c r="I2865" s="8">
        <v>12867692.67</v>
      </c>
      <c r="J2865" s="1">
        <f>IF(COUNTIF($C$4:C2865,C2865)=1,1,0)</f>
        <v>1</v>
      </c>
      <c r="K2865" s="1">
        <f t="shared" si="44"/>
        <v>2019</v>
      </c>
    </row>
    <row r="2866" spans="2:11" x14ac:dyDescent="0.45">
      <c r="B2866" s="1" t="s">
        <v>11</v>
      </c>
      <c r="C2866" s="1" t="s">
        <v>2852</v>
      </c>
      <c r="D2866" s="7">
        <v>45419</v>
      </c>
      <c r="E2866" s="7">
        <v>45440</v>
      </c>
      <c r="F2866" s="7">
        <v>45597</v>
      </c>
      <c r="G2866" s="1" t="s">
        <v>13</v>
      </c>
      <c r="H2866" s="8">
        <v>260664.4</v>
      </c>
      <c r="I2866" s="8">
        <v>210367.05</v>
      </c>
      <c r="J2866" s="1">
        <f>IF(COUNTIF($C$4:C2866,C2866)=1,1,0)</f>
        <v>1</v>
      </c>
      <c r="K2866" s="1">
        <f t="shared" si="44"/>
        <v>2024</v>
      </c>
    </row>
    <row r="2867" spans="2:11" x14ac:dyDescent="0.45">
      <c r="B2867" s="1" t="s">
        <v>11</v>
      </c>
      <c r="C2867" s="1" t="s">
        <v>2853</v>
      </c>
      <c r="D2867" s="7">
        <v>43622</v>
      </c>
      <c r="E2867" s="7">
        <v>43640</v>
      </c>
      <c r="F2867" s="7">
        <v>43662</v>
      </c>
      <c r="G2867" s="1" t="s">
        <v>41</v>
      </c>
      <c r="H2867" s="8">
        <v>301579.23</v>
      </c>
      <c r="I2867" s="8">
        <v>204196.81</v>
      </c>
      <c r="J2867" s="1">
        <f>IF(COUNTIF($C$4:C2867,C2867)=1,1,0)</f>
        <v>1</v>
      </c>
      <c r="K2867" s="1">
        <f t="shared" si="44"/>
        <v>2019</v>
      </c>
    </row>
    <row r="2868" spans="2:11" x14ac:dyDescent="0.45">
      <c r="B2868" s="1" t="s">
        <v>11</v>
      </c>
      <c r="C2868" s="1" t="s">
        <v>2854</v>
      </c>
      <c r="D2868" s="7">
        <v>45371</v>
      </c>
      <c r="E2868" s="7">
        <v>45393</v>
      </c>
      <c r="F2868" s="7">
        <v>45422</v>
      </c>
      <c r="G2868" s="1" t="s">
        <v>13</v>
      </c>
      <c r="H2868" s="8">
        <v>322928.7</v>
      </c>
      <c r="I2868" s="8">
        <v>213426.15</v>
      </c>
      <c r="J2868" s="1">
        <f>IF(COUNTIF($C$4:C2868,C2868)=1,1,0)</f>
        <v>1</v>
      </c>
      <c r="K2868" s="1">
        <f t="shared" si="44"/>
        <v>2024</v>
      </c>
    </row>
    <row r="2869" spans="2:11" x14ac:dyDescent="0.45">
      <c r="B2869" s="1" t="s">
        <v>11</v>
      </c>
      <c r="C2869" s="1" t="s">
        <v>1854</v>
      </c>
      <c r="D2869" s="7">
        <v>45806</v>
      </c>
      <c r="E2869" s="7">
        <v>45808</v>
      </c>
      <c r="F2869" s="7">
        <v>45950</v>
      </c>
      <c r="G2869" s="1" t="s">
        <v>18</v>
      </c>
      <c r="H2869" s="8">
        <v>2117193.7000000002</v>
      </c>
      <c r="I2869" s="8">
        <v>1816031.94</v>
      </c>
      <c r="J2869" s="1">
        <f>IF(COUNTIF($C$4:C2869,C2869)=1,1,0)</f>
        <v>0</v>
      </c>
      <c r="K2869" s="1">
        <f t="shared" si="44"/>
        <v>2025</v>
      </c>
    </row>
    <row r="2870" spans="2:11" x14ac:dyDescent="0.45">
      <c r="B2870" s="1" t="s">
        <v>11</v>
      </c>
      <c r="C2870" s="1" t="s">
        <v>2855</v>
      </c>
      <c r="D2870" s="7">
        <v>44838</v>
      </c>
      <c r="E2870" s="7">
        <v>44858</v>
      </c>
      <c r="F2870" s="7">
        <v>45012</v>
      </c>
      <c r="G2870" s="1" t="s">
        <v>212</v>
      </c>
      <c r="H2870" s="8">
        <v>25622941.66</v>
      </c>
      <c r="I2870" s="8">
        <v>14645131.890000001</v>
      </c>
      <c r="J2870" s="1">
        <f>IF(COUNTIF($C$4:C2870,C2870)=1,1,0)</f>
        <v>1</v>
      </c>
      <c r="K2870" s="1">
        <f t="shared" si="44"/>
        <v>2022</v>
      </c>
    </row>
    <row r="2871" spans="2:11" x14ac:dyDescent="0.45">
      <c r="B2871" s="1" t="s">
        <v>11</v>
      </c>
      <c r="C2871" s="1" t="s">
        <v>2856</v>
      </c>
      <c r="D2871" s="7">
        <v>45831</v>
      </c>
      <c r="E2871" s="7">
        <v>45842</v>
      </c>
      <c r="F2871" s="7">
        <v>45992</v>
      </c>
      <c r="G2871" s="1" t="s">
        <v>38</v>
      </c>
      <c r="H2871" s="8">
        <v>733776.09</v>
      </c>
      <c r="I2871" s="8">
        <v>598351.5</v>
      </c>
      <c r="J2871" s="1">
        <f>IF(COUNTIF($C$4:C2871,C2871)=1,1,0)</f>
        <v>1</v>
      </c>
      <c r="K2871" s="1">
        <f t="shared" si="44"/>
        <v>2025</v>
      </c>
    </row>
    <row r="2872" spans="2:11" x14ac:dyDescent="0.45">
      <c r="B2872" s="1" t="s">
        <v>11</v>
      </c>
      <c r="C2872" s="1" t="s">
        <v>2857</v>
      </c>
      <c r="D2872" s="7">
        <v>44843</v>
      </c>
      <c r="E2872" s="7">
        <v>44857</v>
      </c>
      <c r="F2872" s="7">
        <v>44994</v>
      </c>
      <c r="G2872" s="1" t="s">
        <v>16</v>
      </c>
      <c r="H2872" s="8">
        <v>9579795.3599999994</v>
      </c>
      <c r="I2872" s="8">
        <v>7520742.3600000003</v>
      </c>
      <c r="J2872" s="1">
        <f>IF(COUNTIF($C$4:C2872,C2872)=1,1,0)</f>
        <v>1</v>
      </c>
      <c r="K2872" s="1">
        <f t="shared" si="44"/>
        <v>2022</v>
      </c>
    </row>
    <row r="2873" spans="2:11" x14ac:dyDescent="0.45">
      <c r="B2873" s="1" t="s">
        <v>11</v>
      </c>
      <c r="C2873" s="1" t="s">
        <v>2858</v>
      </c>
      <c r="D2873" s="7">
        <v>43510</v>
      </c>
      <c r="E2873" s="7">
        <v>43521</v>
      </c>
      <c r="F2873" s="7">
        <v>43618</v>
      </c>
      <c r="G2873" s="1" t="s">
        <v>212</v>
      </c>
      <c r="H2873" s="8">
        <v>17922443.25</v>
      </c>
      <c r="I2873" s="8">
        <v>9232698.1799999997</v>
      </c>
      <c r="J2873" s="1">
        <f>IF(COUNTIF($C$4:C2873,C2873)=1,1,0)</f>
        <v>1</v>
      </c>
      <c r="K2873" s="1">
        <f t="shared" si="44"/>
        <v>2019</v>
      </c>
    </row>
    <row r="2874" spans="2:11" x14ac:dyDescent="0.45">
      <c r="B2874" s="1" t="s">
        <v>11</v>
      </c>
      <c r="C2874" s="1" t="s">
        <v>2859</v>
      </c>
      <c r="D2874" s="7">
        <v>45219</v>
      </c>
      <c r="E2874" s="7">
        <v>45233</v>
      </c>
      <c r="F2874" s="7">
        <v>45398</v>
      </c>
      <c r="G2874" s="1" t="s">
        <v>41</v>
      </c>
      <c r="H2874" s="8">
        <v>308365.74</v>
      </c>
      <c r="I2874" s="8">
        <v>222497.85</v>
      </c>
      <c r="J2874" s="1">
        <f>IF(COUNTIF($C$4:C2874,C2874)=1,1,0)</f>
        <v>1</v>
      </c>
      <c r="K2874" s="1">
        <f t="shared" si="44"/>
        <v>2023</v>
      </c>
    </row>
    <row r="2875" spans="2:11" x14ac:dyDescent="0.45">
      <c r="B2875" s="1" t="s">
        <v>11</v>
      </c>
      <c r="C2875" s="1" t="s">
        <v>2860</v>
      </c>
      <c r="D2875" s="7">
        <v>45722</v>
      </c>
      <c r="E2875" s="7">
        <v>45740</v>
      </c>
      <c r="F2875" s="7">
        <v>45791</v>
      </c>
      <c r="G2875" s="1" t="s">
        <v>18</v>
      </c>
      <c r="H2875" s="8">
        <v>3323372.65</v>
      </c>
      <c r="I2875" s="8">
        <v>2545413.79</v>
      </c>
      <c r="J2875" s="1">
        <f>IF(COUNTIF($C$4:C2875,C2875)=1,1,0)</f>
        <v>1</v>
      </c>
      <c r="K2875" s="1">
        <f t="shared" si="44"/>
        <v>2025</v>
      </c>
    </row>
    <row r="2876" spans="2:11" x14ac:dyDescent="0.45">
      <c r="B2876" s="1" t="s">
        <v>11</v>
      </c>
      <c r="C2876" s="1" t="s">
        <v>2861</v>
      </c>
      <c r="D2876" s="7">
        <v>43380</v>
      </c>
      <c r="E2876" s="7">
        <v>43396</v>
      </c>
      <c r="F2876" s="7">
        <v>43509</v>
      </c>
      <c r="G2876" s="1" t="s">
        <v>1348</v>
      </c>
      <c r="H2876" s="8">
        <v>5746362.4199999999</v>
      </c>
      <c r="I2876" s="8">
        <v>2110368.02</v>
      </c>
      <c r="J2876" s="1">
        <f>IF(COUNTIF($C$4:C2876,C2876)=1,1,0)</f>
        <v>1</v>
      </c>
      <c r="K2876" s="1">
        <f t="shared" si="44"/>
        <v>2018</v>
      </c>
    </row>
    <row r="2877" spans="2:11" x14ac:dyDescent="0.45">
      <c r="B2877" s="1" t="s">
        <v>11</v>
      </c>
      <c r="C2877" s="1" t="s">
        <v>2862</v>
      </c>
      <c r="D2877" s="7">
        <v>43942</v>
      </c>
      <c r="E2877" s="7">
        <v>43943</v>
      </c>
      <c r="F2877" s="7">
        <v>44070</v>
      </c>
      <c r="G2877" s="1" t="s">
        <v>13</v>
      </c>
      <c r="H2877" s="8">
        <v>946504.8</v>
      </c>
      <c r="I2877" s="8">
        <v>688657.06</v>
      </c>
      <c r="J2877" s="1">
        <f>IF(COUNTIF($C$4:C2877,C2877)=1,1,0)</f>
        <v>1</v>
      </c>
      <c r="K2877" s="1">
        <f t="shared" si="44"/>
        <v>2020</v>
      </c>
    </row>
    <row r="2878" spans="2:11" x14ac:dyDescent="0.45">
      <c r="B2878" s="1" t="s">
        <v>11</v>
      </c>
      <c r="C2878" s="1" t="s">
        <v>2863</v>
      </c>
      <c r="D2878" s="7">
        <v>45765</v>
      </c>
      <c r="E2878" s="7">
        <v>45780</v>
      </c>
      <c r="F2878" s="7">
        <v>45877</v>
      </c>
      <c r="G2878" s="1" t="s">
        <v>16</v>
      </c>
      <c r="H2878" s="8">
        <v>3015234.1</v>
      </c>
      <c r="I2878" s="8">
        <v>1987631.01</v>
      </c>
      <c r="J2878" s="1">
        <f>IF(COUNTIF($C$4:C2878,C2878)=1,1,0)</f>
        <v>1</v>
      </c>
      <c r="K2878" s="1">
        <f t="shared" si="44"/>
        <v>2025</v>
      </c>
    </row>
    <row r="2879" spans="2:11" x14ac:dyDescent="0.45">
      <c r="B2879" s="1" t="s">
        <v>11</v>
      </c>
      <c r="C2879" s="1" t="s">
        <v>2864</v>
      </c>
      <c r="D2879" s="7">
        <v>44699</v>
      </c>
      <c r="E2879" s="7">
        <v>44716</v>
      </c>
      <c r="F2879" s="7">
        <v>44781</v>
      </c>
      <c r="G2879" s="1" t="s">
        <v>41</v>
      </c>
      <c r="H2879" s="8">
        <v>464075.75</v>
      </c>
      <c r="I2879" s="8">
        <v>321122.59000000003</v>
      </c>
      <c r="J2879" s="1">
        <f>IF(COUNTIF($C$4:C2879,C2879)=1,1,0)</f>
        <v>1</v>
      </c>
      <c r="K2879" s="1">
        <f t="shared" si="44"/>
        <v>2022</v>
      </c>
    </row>
    <row r="2880" spans="2:11" x14ac:dyDescent="0.45">
      <c r="B2880" s="1" t="s">
        <v>11</v>
      </c>
      <c r="C2880" s="1" t="s">
        <v>2865</v>
      </c>
      <c r="D2880" s="7">
        <v>43504</v>
      </c>
      <c r="E2880" s="7">
        <v>43527</v>
      </c>
      <c r="F2880" s="7">
        <v>43756</v>
      </c>
      <c r="G2880" s="1" t="s">
        <v>41</v>
      </c>
      <c r="H2880" s="8">
        <v>620843.84</v>
      </c>
      <c r="I2880" s="8">
        <v>491224.95</v>
      </c>
      <c r="J2880" s="1">
        <f>IF(COUNTIF($C$4:C2880,C2880)=1,1,0)</f>
        <v>1</v>
      </c>
      <c r="K2880" s="1">
        <f t="shared" si="44"/>
        <v>2019</v>
      </c>
    </row>
    <row r="2881" spans="2:11" x14ac:dyDescent="0.45">
      <c r="B2881" s="1" t="s">
        <v>11</v>
      </c>
      <c r="C2881" s="1" t="s">
        <v>2866</v>
      </c>
      <c r="D2881" s="7">
        <v>44457</v>
      </c>
      <c r="E2881" s="7">
        <v>44482</v>
      </c>
      <c r="F2881" s="7">
        <v>44523</v>
      </c>
      <c r="G2881" s="1" t="s">
        <v>22</v>
      </c>
      <c r="H2881" s="8">
        <v>5308251.25</v>
      </c>
      <c r="I2881" s="8">
        <v>3357494.45</v>
      </c>
      <c r="J2881" s="1">
        <f>IF(COUNTIF($C$4:C2881,C2881)=1,1,0)</f>
        <v>1</v>
      </c>
      <c r="K2881" s="1">
        <f t="shared" si="44"/>
        <v>2021</v>
      </c>
    </row>
    <row r="2882" spans="2:11" x14ac:dyDescent="0.45">
      <c r="B2882" s="1" t="s">
        <v>11</v>
      </c>
      <c r="C2882" s="1" t="s">
        <v>2867</v>
      </c>
      <c r="D2882" s="7">
        <v>43827</v>
      </c>
      <c r="E2882" s="7">
        <v>43830</v>
      </c>
      <c r="F2882" s="7">
        <v>43869</v>
      </c>
      <c r="G2882" s="1" t="s">
        <v>1348</v>
      </c>
      <c r="H2882" s="8">
        <v>146350621.94999999</v>
      </c>
      <c r="I2882" s="8">
        <v>87443745.810000002</v>
      </c>
      <c r="J2882" s="1">
        <f>IF(COUNTIF($C$4:C2882,C2882)=1,1,0)</f>
        <v>1</v>
      </c>
      <c r="K2882" s="1">
        <f t="shared" si="44"/>
        <v>2019</v>
      </c>
    </row>
    <row r="2883" spans="2:11" x14ac:dyDescent="0.45">
      <c r="B2883" s="1" t="s">
        <v>11</v>
      </c>
      <c r="C2883" s="1" t="s">
        <v>2868</v>
      </c>
      <c r="D2883" s="7">
        <v>44564</v>
      </c>
      <c r="E2883" s="7">
        <v>44593</v>
      </c>
      <c r="F2883" s="7">
        <v>44712</v>
      </c>
      <c r="G2883" s="1" t="s">
        <v>1348</v>
      </c>
      <c r="H2883" s="8">
        <v>8053669.7400000002</v>
      </c>
      <c r="I2883" s="8">
        <v>5118446.4000000004</v>
      </c>
      <c r="J2883" s="1">
        <f>IF(COUNTIF($C$4:C2883,C2883)=1,1,0)</f>
        <v>1</v>
      </c>
      <c r="K2883" s="1">
        <f t="shared" si="44"/>
        <v>2022</v>
      </c>
    </row>
    <row r="2884" spans="2:11" x14ac:dyDescent="0.45">
      <c r="B2884" s="1" t="s">
        <v>11</v>
      </c>
      <c r="C2884" s="1" t="s">
        <v>2869</v>
      </c>
      <c r="D2884" s="7">
        <v>43609</v>
      </c>
      <c r="E2884" s="7">
        <v>43636</v>
      </c>
      <c r="F2884" s="7">
        <v>43786</v>
      </c>
      <c r="G2884" s="1" t="s">
        <v>20</v>
      </c>
      <c r="H2884" s="8">
        <v>562674.59</v>
      </c>
      <c r="I2884" s="8">
        <v>371083.08</v>
      </c>
      <c r="J2884" s="1">
        <f>IF(COUNTIF($C$4:C2884,C2884)=1,1,0)</f>
        <v>1</v>
      </c>
      <c r="K2884" s="1">
        <f t="shared" si="44"/>
        <v>2019</v>
      </c>
    </row>
    <row r="2885" spans="2:11" x14ac:dyDescent="0.45">
      <c r="B2885" s="1" t="s">
        <v>11</v>
      </c>
      <c r="C2885" s="1" t="s">
        <v>2870</v>
      </c>
      <c r="D2885" s="7">
        <v>44933</v>
      </c>
      <c r="E2885" s="7">
        <v>44955</v>
      </c>
      <c r="F2885" s="7">
        <v>45174</v>
      </c>
      <c r="G2885" s="1" t="s">
        <v>38</v>
      </c>
      <c r="H2885" s="8">
        <v>71755.7</v>
      </c>
      <c r="I2885" s="8">
        <v>50273.26</v>
      </c>
      <c r="J2885" s="1">
        <f>IF(COUNTIF($C$4:C2885,C2885)=1,1,0)</f>
        <v>1</v>
      </c>
      <c r="K2885" s="1">
        <f t="shared" ref="K2885:K2948" si="45">YEAR(D2885)</f>
        <v>2023</v>
      </c>
    </row>
    <row r="2886" spans="2:11" x14ac:dyDescent="0.45">
      <c r="B2886" s="1" t="s">
        <v>11</v>
      </c>
      <c r="C2886" s="1" t="s">
        <v>2871</v>
      </c>
      <c r="D2886" s="7">
        <v>44311</v>
      </c>
      <c r="E2886" s="7">
        <v>44323</v>
      </c>
      <c r="F2886" s="7">
        <v>44404</v>
      </c>
      <c r="G2886" s="1" t="s">
        <v>1348</v>
      </c>
      <c r="H2886" s="8">
        <v>16007037.42</v>
      </c>
      <c r="I2886" s="8">
        <v>9403936.6500000004</v>
      </c>
      <c r="J2886" s="1">
        <f>IF(COUNTIF($C$4:C2886,C2886)=1,1,0)</f>
        <v>1</v>
      </c>
      <c r="K2886" s="1">
        <f t="shared" si="45"/>
        <v>2021</v>
      </c>
    </row>
    <row r="2887" spans="2:11" x14ac:dyDescent="0.45">
      <c r="B2887" s="1" t="s">
        <v>11</v>
      </c>
      <c r="C2887" s="1" t="s">
        <v>2872</v>
      </c>
      <c r="D2887" s="7">
        <v>43837</v>
      </c>
      <c r="E2887" s="7">
        <v>43844</v>
      </c>
      <c r="F2887" s="7">
        <v>43872</v>
      </c>
      <c r="G2887" s="1" t="s">
        <v>20</v>
      </c>
      <c r="H2887" s="8">
        <v>1792179.32</v>
      </c>
      <c r="I2887" s="8">
        <v>1417555.82</v>
      </c>
      <c r="J2887" s="1">
        <f>IF(COUNTIF($C$4:C2887,C2887)=1,1,0)</f>
        <v>1</v>
      </c>
      <c r="K2887" s="1">
        <f t="shared" si="45"/>
        <v>2020</v>
      </c>
    </row>
    <row r="2888" spans="2:11" x14ac:dyDescent="0.45">
      <c r="B2888" s="1" t="s">
        <v>11</v>
      </c>
      <c r="C2888" s="1" t="s">
        <v>2873</v>
      </c>
      <c r="D2888" s="7">
        <v>45892</v>
      </c>
      <c r="E2888" s="7">
        <v>45909</v>
      </c>
      <c r="F2888" s="7">
        <v>46027</v>
      </c>
      <c r="G2888" s="1" t="s">
        <v>38</v>
      </c>
      <c r="H2888" s="8">
        <v>682693.06</v>
      </c>
      <c r="I2888" s="8">
        <v>430695.94</v>
      </c>
      <c r="J2888" s="1">
        <f>IF(COUNTIF($C$4:C2888,C2888)=1,1,0)</f>
        <v>1</v>
      </c>
      <c r="K2888" s="1">
        <f t="shared" si="45"/>
        <v>2025</v>
      </c>
    </row>
    <row r="2889" spans="2:11" x14ac:dyDescent="0.45">
      <c r="B2889" s="1" t="s">
        <v>11</v>
      </c>
      <c r="C2889" s="1" t="s">
        <v>2874</v>
      </c>
      <c r="D2889" s="7">
        <v>45175</v>
      </c>
      <c r="E2889" s="7">
        <v>45187</v>
      </c>
      <c r="F2889" s="7">
        <v>45382</v>
      </c>
      <c r="G2889" s="1" t="s">
        <v>13</v>
      </c>
      <c r="H2889" s="8">
        <v>906860.2</v>
      </c>
      <c r="I2889" s="8">
        <v>631393.31999999995</v>
      </c>
      <c r="J2889" s="1">
        <f>IF(COUNTIF($C$4:C2889,C2889)=1,1,0)</f>
        <v>1</v>
      </c>
      <c r="K2889" s="1">
        <f t="shared" si="45"/>
        <v>2023</v>
      </c>
    </row>
    <row r="2890" spans="2:11" x14ac:dyDescent="0.45">
      <c r="B2890" s="1" t="s">
        <v>11</v>
      </c>
      <c r="C2890" s="1" t="s">
        <v>2875</v>
      </c>
      <c r="D2890" s="7">
        <v>44451</v>
      </c>
      <c r="E2890" s="7">
        <v>44453</v>
      </c>
      <c r="F2890" s="7">
        <v>44473</v>
      </c>
      <c r="G2890" s="1" t="s">
        <v>13</v>
      </c>
      <c r="H2890" s="8">
        <v>257904.17</v>
      </c>
      <c r="I2890" s="8">
        <v>201996.69</v>
      </c>
      <c r="J2890" s="1">
        <f>IF(COUNTIF($C$4:C2890,C2890)=1,1,0)</f>
        <v>1</v>
      </c>
      <c r="K2890" s="1">
        <f t="shared" si="45"/>
        <v>2021</v>
      </c>
    </row>
    <row r="2891" spans="2:11" x14ac:dyDescent="0.45">
      <c r="B2891" s="1" t="s">
        <v>11</v>
      </c>
      <c r="C2891" s="1" t="s">
        <v>2876</v>
      </c>
      <c r="D2891" s="7">
        <v>45809</v>
      </c>
      <c r="E2891" s="7">
        <v>45823</v>
      </c>
      <c r="F2891" s="7">
        <v>45915</v>
      </c>
      <c r="G2891" s="1" t="s">
        <v>22</v>
      </c>
      <c r="H2891" s="8">
        <v>4870799.5599999996</v>
      </c>
      <c r="I2891" s="8">
        <v>3506489.55</v>
      </c>
      <c r="J2891" s="1">
        <f>IF(COUNTIF($C$4:C2891,C2891)=1,1,0)</f>
        <v>1</v>
      </c>
      <c r="K2891" s="1">
        <f t="shared" si="45"/>
        <v>2025</v>
      </c>
    </row>
    <row r="2892" spans="2:11" x14ac:dyDescent="0.45">
      <c r="B2892" s="1" t="s">
        <v>11</v>
      </c>
      <c r="C2892" s="1" t="s">
        <v>2877</v>
      </c>
      <c r="D2892" s="7">
        <v>44813</v>
      </c>
      <c r="E2892" s="7">
        <v>44841</v>
      </c>
      <c r="F2892" s="7">
        <v>45034</v>
      </c>
      <c r="G2892" s="1" t="s">
        <v>212</v>
      </c>
      <c r="H2892" s="8">
        <v>36964805.600000001</v>
      </c>
      <c r="I2892" s="8">
        <v>16608278.16</v>
      </c>
      <c r="J2892" s="1">
        <f>IF(COUNTIF($C$4:C2892,C2892)=1,1,0)</f>
        <v>1</v>
      </c>
      <c r="K2892" s="1">
        <f t="shared" si="45"/>
        <v>2022</v>
      </c>
    </row>
    <row r="2893" spans="2:11" x14ac:dyDescent="0.45">
      <c r="B2893" s="1" t="s">
        <v>11</v>
      </c>
      <c r="C2893" s="1" t="s">
        <v>2878</v>
      </c>
      <c r="D2893" s="7">
        <v>44582</v>
      </c>
      <c r="E2893" s="7">
        <v>44605</v>
      </c>
      <c r="F2893" s="7">
        <v>44754</v>
      </c>
      <c r="G2893" s="1" t="s">
        <v>16</v>
      </c>
      <c r="H2893" s="8">
        <v>2382511.31</v>
      </c>
      <c r="I2893" s="8">
        <v>1735846.26</v>
      </c>
      <c r="J2893" s="1">
        <f>IF(COUNTIF($C$4:C2893,C2893)=1,1,0)</f>
        <v>1</v>
      </c>
      <c r="K2893" s="1">
        <f t="shared" si="45"/>
        <v>2022</v>
      </c>
    </row>
    <row r="2894" spans="2:11" x14ac:dyDescent="0.45">
      <c r="B2894" s="1" t="s">
        <v>11</v>
      </c>
      <c r="C2894" s="1" t="s">
        <v>2879</v>
      </c>
      <c r="D2894" s="7">
        <v>43399</v>
      </c>
      <c r="E2894" s="7">
        <v>43408</v>
      </c>
      <c r="F2894" s="7">
        <v>43600</v>
      </c>
      <c r="G2894" s="1" t="s">
        <v>18</v>
      </c>
      <c r="H2894" s="8">
        <v>1285970.1100000001</v>
      </c>
      <c r="I2894" s="8">
        <v>854188.04</v>
      </c>
      <c r="J2894" s="1">
        <f>IF(COUNTIF($C$4:C2894,C2894)=1,1,0)</f>
        <v>1</v>
      </c>
      <c r="K2894" s="1">
        <f t="shared" si="45"/>
        <v>2018</v>
      </c>
    </row>
    <row r="2895" spans="2:11" x14ac:dyDescent="0.45">
      <c r="B2895" s="1" t="s">
        <v>11</v>
      </c>
      <c r="C2895" s="1" t="s">
        <v>2880</v>
      </c>
      <c r="D2895" s="7">
        <v>44473</v>
      </c>
      <c r="E2895" s="7">
        <v>44499</v>
      </c>
      <c r="F2895" s="7">
        <v>44625</v>
      </c>
      <c r="G2895" s="1" t="s">
        <v>212</v>
      </c>
      <c r="H2895" s="8">
        <v>8398591.1600000001</v>
      </c>
      <c r="I2895" s="8">
        <v>4891548.8899999997</v>
      </c>
      <c r="J2895" s="1">
        <f>IF(COUNTIF($C$4:C2895,C2895)=1,1,0)</f>
        <v>1</v>
      </c>
      <c r="K2895" s="1">
        <f t="shared" si="45"/>
        <v>2021</v>
      </c>
    </row>
    <row r="2896" spans="2:11" x14ac:dyDescent="0.45">
      <c r="B2896" s="1" t="s">
        <v>11</v>
      </c>
      <c r="C2896" s="1" t="s">
        <v>2881</v>
      </c>
      <c r="D2896" s="7">
        <v>44208</v>
      </c>
      <c r="E2896" s="7">
        <v>44218</v>
      </c>
      <c r="F2896" s="7">
        <v>44308</v>
      </c>
      <c r="G2896" s="1" t="s">
        <v>1348</v>
      </c>
      <c r="H2896" s="8">
        <v>138030434.78</v>
      </c>
      <c r="I2896" s="8">
        <v>60744367.939999998</v>
      </c>
      <c r="J2896" s="1">
        <f>IF(COUNTIF($C$4:C2896,C2896)=1,1,0)</f>
        <v>1</v>
      </c>
      <c r="K2896" s="1">
        <f t="shared" si="45"/>
        <v>2021</v>
      </c>
    </row>
    <row r="2897" spans="2:11" x14ac:dyDescent="0.45">
      <c r="B2897" s="1" t="s">
        <v>11</v>
      </c>
      <c r="C2897" s="1" t="s">
        <v>2882</v>
      </c>
      <c r="D2897" s="7">
        <v>43503</v>
      </c>
      <c r="E2897" s="7">
        <v>43533</v>
      </c>
      <c r="F2897" s="7">
        <v>43750</v>
      </c>
      <c r="G2897" s="1" t="s">
        <v>13</v>
      </c>
      <c r="H2897" s="8">
        <v>187349.22</v>
      </c>
      <c r="I2897" s="8">
        <v>138505.01999999999</v>
      </c>
      <c r="J2897" s="1">
        <f>IF(COUNTIF($C$4:C2897,C2897)=1,1,0)</f>
        <v>1</v>
      </c>
      <c r="K2897" s="1">
        <f t="shared" si="45"/>
        <v>2019</v>
      </c>
    </row>
    <row r="2898" spans="2:11" x14ac:dyDescent="0.45">
      <c r="B2898" s="1" t="s">
        <v>11</v>
      </c>
      <c r="C2898" s="1" t="s">
        <v>2883</v>
      </c>
      <c r="D2898" s="7">
        <v>45283</v>
      </c>
      <c r="E2898" s="7">
        <v>45290</v>
      </c>
      <c r="F2898" s="7">
        <v>45493</v>
      </c>
      <c r="G2898" s="1" t="s">
        <v>41</v>
      </c>
      <c r="H2898" s="8">
        <v>20404.509999999998</v>
      </c>
      <c r="I2898" s="8">
        <v>14058.62</v>
      </c>
      <c r="J2898" s="1">
        <f>IF(COUNTIF($C$4:C2898,C2898)=1,1,0)</f>
        <v>1</v>
      </c>
      <c r="K2898" s="1">
        <f t="shared" si="45"/>
        <v>2023</v>
      </c>
    </row>
    <row r="2899" spans="2:11" x14ac:dyDescent="0.45">
      <c r="B2899" s="1" t="s">
        <v>11</v>
      </c>
      <c r="C2899" s="1" t="s">
        <v>2884</v>
      </c>
      <c r="D2899" s="7">
        <v>44053</v>
      </c>
      <c r="E2899" s="7">
        <v>44064</v>
      </c>
      <c r="F2899" s="7">
        <v>44103</v>
      </c>
      <c r="G2899" s="1" t="s">
        <v>38</v>
      </c>
      <c r="H2899" s="8">
        <v>1959842.06</v>
      </c>
      <c r="I2899" s="8">
        <v>1430301.89</v>
      </c>
      <c r="J2899" s="1">
        <f>IF(COUNTIF($C$4:C2899,C2899)=1,1,0)</f>
        <v>1</v>
      </c>
      <c r="K2899" s="1">
        <f t="shared" si="45"/>
        <v>2020</v>
      </c>
    </row>
    <row r="2900" spans="2:11" x14ac:dyDescent="0.45">
      <c r="B2900" s="1" t="s">
        <v>11</v>
      </c>
      <c r="C2900" s="1" t="s">
        <v>2885</v>
      </c>
      <c r="D2900" s="7">
        <v>44431</v>
      </c>
      <c r="E2900" s="7">
        <v>44457</v>
      </c>
      <c r="F2900" s="7">
        <v>44535</v>
      </c>
      <c r="G2900" s="1" t="s">
        <v>38</v>
      </c>
      <c r="H2900" s="8">
        <v>1134825.6100000001</v>
      </c>
      <c r="I2900" s="8">
        <v>810696.89</v>
      </c>
      <c r="J2900" s="1">
        <f>IF(COUNTIF($C$4:C2900,C2900)=1,1,0)</f>
        <v>1</v>
      </c>
      <c r="K2900" s="1">
        <f t="shared" si="45"/>
        <v>2021</v>
      </c>
    </row>
    <row r="2901" spans="2:11" x14ac:dyDescent="0.45">
      <c r="B2901" s="1" t="s">
        <v>11</v>
      </c>
      <c r="C2901" s="1" t="s">
        <v>2886</v>
      </c>
      <c r="D2901" s="7">
        <v>44362</v>
      </c>
      <c r="E2901" s="7">
        <v>44366</v>
      </c>
      <c r="F2901" s="7">
        <v>44499</v>
      </c>
      <c r="G2901" s="1" t="s">
        <v>1348</v>
      </c>
      <c r="H2901" s="8">
        <v>48350822.310000002</v>
      </c>
      <c r="I2901" s="8">
        <v>38102424.060000002</v>
      </c>
      <c r="J2901" s="1">
        <f>IF(COUNTIF($C$4:C2901,C2901)=1,1,0)</f>
        <v>1</v>
      </c>
      <c r="K2901" s="1">
        <f t="shared" si="45"/>
        <v>2021</v>
      </c>
    </row>
    <row r="2902" spans="2:11" x14ac:dyDescent="0.45">
      <c r="B2902" s="1" t="s">
        <v>11</v>
      </c>
      <c r="C2902" s="1" t="s">
        <v>2887</v>
      </c>
      <c r="D2902" s="7">
        <v>45715</v>
      </c>
      <c r="E2902" s="7">
        <v>45737</v>
      </c>
      <c r="F2902" s="7">
        <v>45924</v>
      </c>
      <c r="G2902" s="1" t="s">
        <v>20</v>
      </c>
      <c r="H2902" s="8">
        <v>768864.03</v>
      </c>
      <c r="I2902" s="8">
        <v>597822.78</v>
      </c>
      <c r="J2902" s="1">
        <f>IF(COUNTIF($C$4:C2902,C2902)=1,1,0)</f>
        <v>1</v>
      </c>
      <c r="K2902" s="1">
        <f t="shared" si="45"/>
        <v>2025</v>
      </c>
    </row>
    <row r="2903" spans="2:11" x14ac:dyDescent="0.45">
      <c r="B2903" s="1" t="s">
        <v>11</v>
      </c>
      <c r="C2903" s="1" t="s">
        <v>2888</v>
      </c>
      <c r="D2903" s="7">
        <v>43261</v>
      </c>
      <c r="E2903" s="7">
        <v>43271</v>
      </c>
      <c r="F2903" s="7">
        <v>43349</v>
      </c>
      <c r="G2903" s="1" t="s">
        <v>44</v>
      </c>
      <c r="H2903" s="8">
        <v>333742116.98000002</v>
      </c>
      <c r="I2903" s="8">
        <v>127035590.86</v>
      </c>
      <c r="J2903" s="1">
        <f>IF(COUNTIF($C$4:C2903,C2903)=1,1,0)</f>
        <v>1</v>
      </c>
      <c r="K2903" s="1">
        <f t="shared" si="45"/>
        <v>2018</v>
      </c>
    </row>
    <row r="2904" spans="2:11" x14ac:dyDescent="0.45">
      <c r="B2904" s="1" t="s">
        <v>11</v>
      </c>
      <c r="C2904" s="1" t="s">
        <v>2889</v>
      </c>
      <c r="D2904" s="7">
        <v>45117</v>
      </c>
      <c r="E2904" s="7">
        <v>45123</v>
      </c>
      <c r="F2904" s="7">
        <v>45229</v>
      </c>
      <c r="G2904" s="1" t="s">
        <v>212</v>
      </c>
      <c r="H2904" s="8">
        <v>31051003.039999999</v>
      </c>
      <c r="I2904" s="8">
        <v>16480668.01</v>
      </c>
      <c r="J2904" s="1">
        <f>IF(COUNTIF($C$4:C2904,C2904)=1,1,0)</f>
        <v>1</v>
      </c>
      <c r="K2904" s="1">
        <f t="shared" si="45"/>
        <v>2023</v>
      </c>
    </row>
    <row r="2905" spans="2:11" x14ac:dyDescent="0.45">
      <c r="B2905" s="1" t="s">
        <v>11</v>
      </c>
      <c r="C2905" s="1" t="s">
        <v>2890</v>
      </c>
      <c r="D2905" s="7">
        <v>45091</v>
      </c>
      <c r="E2905" s="7">
        <v>45121</v>
      </c>
      <c r="F2905" s="7">
        <v>45131</v>
      </c>
      <c r="G2905" s="1" t="s">
        <v>13</v>
      </c>
      <c r="H2905" s="8">
        <v>1127546.02</v>
      </c>
      <c r="I2905" s="8">
        <v>981275.71</v>
      </c>
      <c r="J2905" s="1">
        <f>IF(COUNTIF($C$4:C2905,C2905)=1,1,0)</f>
        <v>1</v>
      </c>
      <c r="K2905" s="1">
        <f t="shared" si="45"/>
        <v>2023</v>
      </c>
    </row>
    <row r="2906" spans="2:11" x14ac:dyDescent="0.45">
      <c r="B2906" s="1" t="s">
        <v>11</v>
      </c>
      <c r="C2906" s="1" t="s">
        <v>2891</v>
      </c>
      <c r="D2906" s="7">
        <v>44423</v>
      </c>
      <c r="E2906" s="7">
        <v>44450</v>
      </c>
      <c r="F2906" s="7">
        <v>44604</v>
      </c>
      <c r="G2906" s="1" t="s">
        <v>1348</v>
      </c>
      <c r="H2906" s="8">
        <v>17234681.75</v>
      </c>
      <c r="I2906" s="8">
        <v>6773328.9699999997</v>
      </c>
      <c r="J2906" s="1">
        <f>IF(COUNTIF($C$4:C2906,C2906)=1,1,0)</f>
        <v>1</v>
      </c>
      <c r="K2906" s="1">
        <f t="shared" si="45"/>
        <v>2021</v>
      </c>
    </row>
    <row r="2907" spans="2:11" x14ac:dyDescent="0.45">
      <c r="B2907" s="1" t="s">
        <v>11</v>
      </c>
      <c r="C2907" s="1" t="s">
        <v>2892</v>
      </c>
      <c r="D2907" s="7">
        <v>45458</v>
      </c>
      <c r="E2907" s="7">
        <v>45461</v>
      </c>
      <c r="F2907" s="7">
        <v>45554</v>
      </c>
      <c r="G2907" s="1" t="s">
        <v>1348</v>
      </c>
      <c r="H2907" s="8">
        <v>99050818.969999999</v>
      </c>
      <c r="I2907" s="8">
        <v>40571527.079999998</v>
      </c>
      <c r="J2907" s="1">
        <f>IF(COUNTIF($C$4:C2907,C2907)=1,1,0)</f>
        <v>1</v>
      </c>
      <c r="K2907" s="1">
        <f t="shared" si="45"/>
        <v>2024</v>
      </c>
    </row>
    <row r="2908" spans="2:11" x14ac:dyDescent="0.45">
      <c r="B2908" s="1" t="s">
        <v>11</v>
      </c>
      <c r="C2908" s="1" t="s">
        <v>2893</v>
      </c>
      <c r="D2908" s="7">
        <v>43528</v>
      </c>
      <c r="E2908" s="7">
        <v>43529</v>
      </c>
      <c r="F2908" s="7">
        <v>43724</v>
      </c>
      <c r="G2908" s="1" t="s">
        <v>13</v>
      </c>
      <c r="H2908" s="8">
        <v>464213.44</v>
      </c>
      <c r="I2908" s="8">
        <v>327536.18</v>
      </c>
      <c r="J2908" s="1">
        <f>IF(COUNTIF($C$4:C2908,C2908)=1,1,0)</f>
        <v>1</v>
      </c>
      <c r="K2908" s="1">
        <f t="shared" si="45"/>
        <v>2019</v>
      </c>
    </row>
    <row r="2909" spans="2:11" x14ac:dyDescent="0.45">
      <c r="B2909" s="1" t="s">
        <v>11</v>
      </c>
      <c r="C2909" s="1" t="s">
        <v>2894</v>
      </c>
      <c r="D2909" s="7">
        <v>45794</v>
      </c>
      <c r="E2909" s="7">
        <v>45799</v>
      </c>
      <c r="F2909" s="7">
        <v>45827</v>
      </c>
      <c r="G2909" s="1" t="s">
        <v>212</v>
      </c>
      <c r="H2909" s="8">
        <v>9651858.4900000002</v>
      </c>
      <c r="I2909" s="8">
        <v>3321968.37</v>
      </c>
      <c r="J2909" s="1">
        <f>IF(COUNTIF($C$4:C2909,C2909)=1,1,0)</f>
        <v>1</v>
      </c>
      <c r="K2909" s="1">
        <f t="shared" si="45"/>
        <v>2025</v>
      </c>
    </row>
    <row r="2910" spans="2:11" x14ac:dyDescent="0.45">
      <c r="B2910" s="1" t="s">
        <v>11</v>
      </c>
      <c r="C2910" s="1" t="s">
        <v>2895</v>
      </c>
      <c r="D2910" s="7">
        <v>44563</v>
      </c>
      <c r="E2910" s="7">
        <v>44579</v>
      </c>
      <c r="F2910" s="7">
        <v>44703</v>
      </c>
      <c r="G2910" s="1" t="s">
        <v>16</v>
      </c>
      <c r="H2910" s="8">
        <v>1349515.56</v>
      </c>
      <c r="I2910" s="8">
        <v>1043128.83</v>
      </c>
      <c r="J2910" s="1">
        <f>IF(COUNTIF($C$4:C2910,C2910)=1,1,0)</f>
        <v>1</v>
      </c>
      <c r="K2910" s="1">
        <f t="shared" si="45"/>
        <v>2022</v>
      </c>
    </row>
    <row r="2911" spans="2:11" x14ac:dyDescent="0.45">
      <c r="B2911" s="1" t="s">
        <v>11</v>
      </c>
      <c r="C2911" s="1" t="s">
        <v>2896</v>
      </c>
      <c r="D2911" s="7">
        <v>45631</v>
      </c>
      <c r="E2911" s="7">
        <v>45641</v>
      </c>
      <c r="F2911" s="7">
        <v>45749</v>
      </c>
      <c r="G2911" s="1" t="s">
        <v>13</v>
      </c>
      <c r="H2911" s="8">
        <v>230060.48</v>
      </c>
      <c r="I2911" s="8">
        <v>183370.02</v>
      </c>
      <c r="J2911" s="1">
        <f>IF(COUNTIF($C$4:C2911,C2911)=1,1,0)</f>
        <v>1</v>
      </c>
      <c r="K2911" s="1">
        <f t="shared" si="45"/>
        <v>2024</v>
      </c>
    </row>
    <row r="2912" spans="2:11" x14ac:dyDescent="0.45">
      <c r="B2912" s="1" t="s">
        <v>11</v>
      </c>
      <c r="C2912" s="1" t="s">
        <v>2897</v>
      </c>
      <c r="D2912" s="7">
        <v>43754</v>
      </c>
      <c r="E2912" s="7">
        <v>43769</v>
      </c>
      <c r="F2912" s="7">
        <v>43908</v>
      </c>
      <c r="G2912" s="1" t="s">
        <v>20</v>
      </c>
      <c r="H2912" s="8">
        <v>2607615.71</v>
      </c>
      <c r="I2912" s="8">
        <v>1878192.54</v>
      </c>
      <c r="J2912" s="1">
        <f>IF(COUNTIF($C$4:C2912,C2912)=1,1,0)</f>
        <v>1</v>
      </c>
      <c r="K2912" s="1">
        <f t="shared" si="45"/>
        <v>2019</v>
      </c>
    </row>
    <row r="2913" spans="2:11" x14ac:dyDescent="0.45">
      <c r="B2913" s="1" t="s">
        <v>11</v>
      </c>
      <c r="C2913" s="1" t="s">
        <v>2898</v>
      </c>
      <c r="D2913" s="7">
        <v>44513</v>
      </c>
      <c r="E2913" s="7">
        <v>44520</v>
      </c>
      <c r="F2913" s="7">
        <v>44640</v>
      </c>
      <c r="G2913" s="1" t="s">
        <v>212</v>
      </c>
      <c r="H2913" s="8">
        <v>30460642.390000001</v>
      </c>
      <c r="I2913" s="8">
        <v>16794023.25</v>
      </c>
      <c r="J2913" s="1">
        <f>IF(COUNTIF($C$4:C2913,C2913)=1,1,0)</f>
        <v>1</v>
      </c>
      <c r="K2913" s="1">
        <f t="shared" si="45"/>
        <v>2021</v>
      </c>
    </row>
    <row r="2914" spans="2:11" x14ac:dyDescent="0.45">
      <c r="B2914" s="1" t="s">
        <v>11</v>
      </c>
      <c r="C2914" s="1" t="s">
        <v>2899</v>
      </c>
      <c r="D2914" s="7">
        <v>44390</v>
      </c>
      <c r="E2914" s="7">
        <v>44399</v>
      </c>
      <c r="F2914" s="7">
        <v>44497</v>
      </c>
      <c r="G2914" s="1" t="s">
        <v>22</v>
      </c>
      <c r="H2914" s="8">
        <v>8098313.29</v>
      </c>
      <c r="I2914" s="8">
        <v>4350996.0199999996</v>
      </c>
      <c r="J2914" s="1">
        <f>IF(COUNTIF($C$4:C2914,C2914)=1,1,0)</f>
        <v>1</v>
      </c>
      <c r="K2914" s="1">
        <f t="shared" si="45"/>
        <v>2021</v>
      </c>
    </row>
    <row r="2915" spans="2:11" x14ac:dyDescent="0.45">
      <c r="B2915" s="1" t="s">
        <v>11</v>
      </c>
      <c r="C2915" s="1" t="s">
        <v>2900</v>
      </c>
      <c r="D2915" s="7">
        <v>44633</v>
      </c>
      <c r="E2915" s="7">
        <v>44644</v>
      </c>
      <c r="F2915" s="7">
        <v>44792</v>
      </c>
      <c r="G2915" s="1" t="s">
        <v>13</v>
      </c>
      <c r="H2915" s="8">
        <v>91072.98</v>
      </c>
      <c r="I2915" s="8">
        <v>70506.649999999994</v>
      </c>
      <c r="J2915" s="1">
        <f>IF(COUNTIF($C$4:C2915,C2915)=1,1,0)</f>
        <v>1</v>
      </c>
      <c r="K2915" s="1">
        <f t="shared" si="45"/>
        <v>2022</v>
      </c>
    </row>
    <row r="2916" spans="2:11" x14ac:dyDescent="0.45">
      <c r="B2916" s="1" t="s">
        <v>11</v>
      </c>
      <c r="C2916" s="1" t="s">
        <v>2901</v>
      </c>
      <c r="D2916" s="7">
        <v>43774</v>
      </c>
      <c r="E2916" s="7">
        <v>43778</v>
      </c>
      <c r="F2916" s="7">
        <v>43956</v>
      </c>
      <c r="G2916" s="1" t="s">
        <v>38</v>
      </c>
      <c r="H2916" s="8">
        <v>518435.85</v>
      </c>
      <c r="I2916" s="8">
        <v>374761.83</v>
      </c>
      <c r="J2916" s="1">
        <f>IF(COUNTIF($C$4:C2916,C2916)=1,1,0)</f>
        <v>1</v>
      </c>
      <c r="K2916" s="1">
        <f t="shared" si="45"/>
        <v>2019</v>
      </c>
    </row>
    <row r="2917" spans="2:11" x14ac:dyDescent="0.45">
      <c r="B2917" s="1" t="s">
        <v>11</v>
      </c>
      <c r="C2917" s="1" t="s">
        <v>2902</v>
      </c>
      <c r="D2917" s="7">
        <v>45815</v>
      </c>
      <c r="E2917" s="7">
        <v>45817</v>
      </c>
      <c r="F2917" s="7">
        <v>45832</v>
      </c>
      <c r="G2917" s="1" t="s">
        <v>16</v>
      </c>
      <c r="H2917" s="8">
        <v>1617183.37</v>
      </c>
      <c r="I2917" s="8">
        <v>926311.93</v>
      </c>
      <c r="J2917" s="1">
        <f>IF(COUNTIF($C$4:C2917,C2917)=1,1,0)</f>
        <v>1</v>
      </c>
      <c r="K2917" s="1">
        <f t="shared" si="45"/>
        <v>2025</v>
      </c>
    </row>
    <row r="2918" spans="2:11" x14ac:dyDescent="0.45">
      <c r="B2918" s="1" t="s">
        <v>11</v>
      </c>
      <c r="C2918" s="1" t="s">
        <v>2903</v>
      </c>
      <c r="D2918" s="7">
        <v>44004</v>
      </c>
      <c r="E2918" s="7">
        <v>44016</v>
      </c>
      <c r="F2918" s="7">
        <v>44179</v>
      </c>
      <c r="G2918" s="1" t="s">
        <v>38</v>
      </c>
      <c r="H2918" s="8">
        <v>317827.31</v>
      </c>
      <c r="I2918" s="8">
        <v>252054.67</v>
      </c>
      <c r="J2918" s="1">
        <f>IF(COUNTIF($C$4:C2918,C2918)=1,1,0)</f>
        <v>1</v>
      </c>
      <c r="K2918" s="1">
        <f t="shared" si="45"/>
        <v>2020</v>
      </c>
    </row>
    <row r="2919" spans="2:11" x14ac:dyDescent="0.45">
      <c r="B2919" s="1" t="s">
        <v>11</v>
      </c>
      <c r="C2919" s="1" t="s">
        <v>2904</v>
      </c>
      <c r="D2919" s="7">
        <v>45811</v>
      </c>
      <c r="E2919" s="7">
        <v>45816</v>
      </c>
      <c r="F2919" s="7">
        <v>46043</v>
      </c>
      <c r="G2919" s="1" t="s">
        <v>18</v>
      </c>
      <c r="H2919" s="8">
        <v>3437393.08</v>
      </c>
      <c r="I2919" s="8">
        <v>2310078.66</v>
      </c>
      <c r="J2919" s="1">
        <f>IF(COUNTIF($C$4:C2919,C2919)=1,1,0)</f>
        <v>1</v>
      </c>
      <c r="K2919" s="1">
        <f t="shared" si="45"/>
        <v>2025</v>
      </c>
    </row>
    <row r="2920" spans="2:11" x14ac:dyDescent="0.45">
      <c r="B2920" s="1" t="s">
        <v>11</v>
      </c>
      <c r="C2920" s="1" t="s">
        <v>2905</v>
      </c>
      <c r="D2920" s="7">
        <v>43391</v>
      </c>
      <c r="E2920" s="7">
        <v>43394</v>
      </c>
      <c r="F2920" s="7">
        <v>43541</v>
      </c>
      <c r="G2920" s="1" t="s">
        <v>44</v>
      </c>
      <c r="H2920" s="8">
        <v>254690603.56999999</v>
      </c>
      <c r="I2920" s="8">
        <v>122788219.45999999</v>
      </c>
      <c r="J2920" s="1">
        <f>IF(COUNTIF($C$4:C2920,C2920)=1,1,0)</f>
        <v>1</v>
      </c>
      <c r="K2920" s="1">
        <f t="shared" si="45"/>
        <v>2018</v>
      </c>
    </row>
    <row r="2921" spans="2:11" x14ac:dyDescent="0.45">
      <c r="B2921" s="1" t="s">
        <v>11</v>
      </c>
      <c r="C2921" s="1" t="s">
        <v>2906</v>
      </c>
      <c r="D2921" s="7">
        <v>45860</v>
      </c>
      <c r="E2921" s="7">
        <v>45877</v>
      </c>
      <c r="F2921" s="7">
        <v>45940</v>
      </c>
      <c r="G2921" s="1" t="s">
        <v>13</v>
      </c>
      <c r="H2921" s="8">
        <v>226264.56</v>
      </c>
      <c r="I2921" s="8">
        <v>176960.02</v>
      </c>
      <c r="J2921" s="1">
        <f>IF(COUNTIF($C$4:C2921,C2921)=1,1,0)</f>
        <v>1</v>
      </c>
      <c r="K2921" s="1">
        <f t="shared" si="45"/>
        <v>2025</v>
      </c>
    </row>
    <row r="2922" spans="2:11" x14ac:dyDescent="0.45">
      <c r="B2922" s="1" t="s">
        <v>11</v>
      </c>
      <c r="C2922" s="1" t="s">
        <v>2907</v>
      </c>
      <c r="D2922" s="7">
        <v>46093</v>
      </c>
      <c r="E2922" s="7">
        <v>46097</v>
      </c>
      <c r="F2922" s="7">
        <v>46112</v>
      </c>
      <c r="G2922" s="1" t="s">
        <v>18</v>
      </c>
      <c r="H2922" s="8">
        <v>17493830.989999998</v>
      </c>
      <c r="I2922" s="8">
        <v>13349928.48</v>
      </c>
      <c r="J2922" s="1">
        <f>IF(COUNTIF($C$4:C2922,C2922)=1,1,0)</f>
        <v>1</v>
      </c>
      <c r="K2922" s="1">
        <f t="shared" si="45"/>
        <v>2026</v>
      </c>
    </row>
    <row r="2923" spans="2:11" x14ac:dyDescent="0.45">
      <c r="B2923" s="1" t="s">
        <v>11</v>
      </c>
      <c r="C2923" s="1" t="s">
        <v>2908</v>
      </c>
      <c r="D2923" s="7">
        <v>44431</v>
      </c>
      <c r="E2923" s="7">
        <v>44443</v>
      </c>
      <c r="F2923" s="7">
        <v>44570</v>
      </c>
      <c r="G2923" s="1" t="s">
        <v>16</v>
      </c>
      <c r="H2923" s="8">
        <v>351857.53</v>
      </c>
      <c r="I2923" s="8">
        <v>217376.85</v>
      </c>
      <c r="J2923" s="1">
        <f>IF(COUNTIF($C$4:C2923,C2923)=1,1,0)</f>
        <v>1</v>
      </c>
      <c r="K2923" s="1">
        <f t="shared" si="45"/>
        <v>2021</v>
      </c>
    </row>
    <row r="2924" spans="2:11" x14ac:dyDescent="0.45">
      <c r="B2924" s="1" t="s">
        <v>11</v>
      </c>
      <c r="C2924" s="1" t="s">
        <v>2909</v>
      </c>
      <c r="D2924" s="7">
        <v>43900</v>
      </c>
      <c r="E2924" s="7">
        <v>43929</v>
      </c>
      <c r="F2924" s="7">
        <v>44091</v>
      </c>
      <c r="G2924" s="1" t="s">
        <v>13</v>
      </c>
      <c r="H2924" s="8">
        <v>258429.03</v>
      </c>
      <c r="I2924" s="8">
        <v>209256.63</v>
      </c>
      <c r="J2924" s="1">
        <f>IF(COUNTIF($C$4:C2924,C2924)=1,1,0)</f>
        <v>1</v>
      </c>
      <c r="K2924" s="1">
        <f t="shared" si="45"/>
        <v>2020</v>
      </c>
    </row>
    <row r="2925" spans="2:11" x14ac:dyDescent="0.45">
      <c r="B2925" s="1" t="s">
        <v>11</v>
      </c>
      <c r="C2925" s="1" t="s">
        <v>2910</v>
      </c>
      <c r="D2925" s="7">
        <v>44875</v>
      </c>
      <c r="E2925" s="7">
        <v>44901</v>
      </c>
      <c r="F2925" s="7">
        <v>44946</v>
      </c>
      <c r="G2925" s="1" t="s">
        <v>16</v>
      </c>
      <c r="H2925" s="8">
        <v>7609337.3099999996</v>
      </c>
      <c r="I2925" s="8">
        <v>4991540.5999999996</v>
      </c>
      <c r="J2925" s="1">
        <f>IF(COUNTIF($C$4:C2925,C2925)=1,1,0)</f>
        <v>1</v>
      </c>
      <c r="K2925" s="1">
        <f t="shared" si="45"/>
        <v>2022</v>
      </c>
    </row>
    <row r="2926" spans="2:11" x14ac:dyDescent="0.45">
      <c r="B2926" s="1" t="s">
        <v>11</v>
      </c>
      <c r="C2926" s="1" t="s">
        <v>2911</v>
      </c>
      <c r="D2926" s="7">
        <v>44251</v>
      </c>
      <c r="E2926" s="7">
        <v>44251</v>
      </c>
      <c r="F2926" s="7">
        <v>44446</v>
      </c>
      <c r="G2926" s="1" t="s">
        <v>22</v>
      </c>
      <c r="H2926" s="8">
        <v>3147698.33</v>
      </c>
      <c r="I2926" s="8">
        <v>2204490.1800000002</v>
      </c>
      <c r="J2926" s="1">
        <f>IF(COUNTIF($C$4:C2926,C2926)=1,1,0)</f>
        <v>1</v>
      </c>
      <c r="K2926" s="1">
        <f t="shared" si="45"/>
        <v>2021</v>
      </c>
    </row>
    <row r="2927" spans="2:11" x14ac:dyDescent="0.45">
      <c r="B2927" s="1" t="s">
        <v>11</v>
      </c>
      <c r="C2927" s="1" t="s">
        <v>2912</v>
      </c>
      <c r="D2927" s="7">
        <v>43855</v>
      </c>
      <c r="E2927" s="7">
        <v>43856</v>
      </c>
      <c r="F2927" s="7">
        <v>44088</v>
      </c>
      <c r="G2927" s="1" t="s">
        <v>212</v>
      </c>
      <c r="H2927" s="8">
        <v>15192727.380000001</v>
      </c>
      <c r="I2927" s="8">
        <v>8386804.5899999999</v>
      </c>
      <c r="J2927" s="1">
        <f>IF(COUNTIF($C$4:C2927,C2927)=1,1,0)</f>
        <v>1</v>
      </c>
      <c r="K2927" s="1">
        <f t="shared" si="45"/>
        <v>2020</v>
      </c>
    </row>
    <row r="2928" spans="2:11" x14ac:dyDescent="0.45">
      <c r="B2928" s="1" t="s">
        <v>11</v>
      </c>
      <c r="C2928" s="1" t="s">
        <v>2913</v>
      </c>
      <c r="D2928" s="7">
        <v>45273</v>
      </c>
      <c r="E2928" s="7">
        <v>45280</v>
      </c>
      <c r="F2928" s="7">
        <v>45359</v>
      </c>
      <c r="G2928" s="1" t="s">
        <v>38</v>
      </c>
      <c r="H2928" s="8">
        <v>649460.71</v>
      </c>
      <c r="I2928" s="8">
        <v>564327.63</v>
      </c>
      <c r="J2928" s="1">
        <f>IF(COUNTIF($C$4:C2928,C2928)=1,1,0)</f>
        <v>1</v>
      </c>
      <c r="K2928" s="1">
        <f t="shared" si="45"/>
        <v>2023</v>
      </c>
    </row>
    <row r="2929" spans="2:11" x14ac:dyDescent="0.45">
      <c r="B2929" s="1" t="s">
        <v>11</v>
      </c>
      <c r="C2929" s="1" t="s">
        <v>2914</v>
      </c>
      <c r="D2929" s="7">
        <v>44908</v>
      </c>
      <c r="E2929" s="7">
        <v>44913</v>
      </c>
      <c r="F2929" s="7">
        <v>45014</v>
      </c>
      <c r="G2929" s="1" t="s">
        <v>41</v>
      </c>
      <c r="H2929" s="8">
        <v>454991.54</v>
      </c>
      <c r="I2929" s="8">
        <v>368461.86</v>
      </c>
      <c r="J2929" s="1">
        <f>IF(COUNTIF($C$4:C2929,C2929)=1,1,0)</f>
        <v>1</v>
      </c>
      <c r="K2929" s="1">
        <f t="shared" si="45"/>
        <v>2022</v>
      </c>
    </row>
    <row r="2930" spans="2:11" x14ac:dyDescent="0.45">
      <c r="B2930" s="1" t="s">
        <v>11</v>
      </c>
      <c r="C2930" s="1" t="s">
        <v>2915</v>
      </c>
      <c r="D2930" s="7">
        <v>44681</v>
      </c>
      <c r="E2930" s="7">
        <v>44688</v>
      </c>
      <c r="F2930" s="7">
        <v>44781</v>
      </c>
      <c r="G2930" s="1" t="s">
        <v>22</v>
      </c>
      <c r="H2930" s="8">
        <v>81714760.700000003</v>
      </c>
      <c r="I2930" s="8">
        <v>43792548.210000001</v>
      </c>
      <c r="J2930" s="1">
        <f>IF(COUNTIF($C$4:C2930,C2930)=1,1,0)</f>
        <v>1</v>
      </c>
      <c r="K2930" s="1">
        <f t="shared" si="45"/>
        <v>2022</v>
      </c>
    </row>
    <row r="2931" spans="2:11" x14ac:dyDescent="0.45">
      <c r="B2931" s="1" t="s">
        <v>11</v>
      </c>
      <c r="C2931" s="1" t="s">
        <v>2916</v>
      </c>
      <c r="D2931" s="7">
        <v>43457</v>
      </c>
      <c r="E2931" s="7">
        <v>43485</v>
      </c>
      <c r="F2931" s="7">
        <v>43537</v>
      </c>
      <c r="G2931" s="1" t="s">
        <v>16</v>
      </c>
      <c r="H2931" s="8">
        <v>1415807.55</v>
      </c>
      <c r="I2931" s="8">
        <v>1051342.8500000001</v>
      </c>
      <c r="J2931" s="1">
        <f>IF(COUNTIF($C$4:C2931,C2931)=1,1,0)</f>
        <v>1</v>
      </c>
      <c r="K2931" s="1">
        <f t="shared" si="45"/>
        <v>2018</v>
      </c>
    </row>
    <row r="2932" spans="2:11" x14ac:dyDescent="0.45">
      <c r="B2932" s="1" t="s">
        <v>11</v>
      </c>
      <c r="C2932" s="1" t="s">
        <v>2917</v>
      </c>
      <c r="D2932" s="7">
        <v>43723</v>
      </c>
      <c r="E2932" s="7">
        <v>43727</v>
      </c>
      <c r="F2932" s="7">
        <v>43813</v>
      </c>
      <c r="G2932" s="1" t="s">
        <v>1348</v>
      </c>
      <c r="H2932" s="8">
        <v>22741672.850000001</v>
      </c>
      <c r="I2932" s="8">
        <v>10996007.9</v>
      </c>
      <c r="J2932" s="1">
        <f>IF(COUNTIF($C$4:C2932,C2932)=1,1,0)</f>
        <v>1</v>
      </c>
      <c r="K2932" s="1">
        <f t="shared" si="45"/>
        <v>2019</v>
      </c>
    </row>
    <row r="2933" spans="2:11" x14ac:dyDescent="0.45">
      <c r="B2933" s="1" t="s">
        <v>11</v>
      </c>
      <c r="C2933" s="1" t="s">
        <v>2918</v>
      </c>
      <c r="D2933" s="7">
        <v>43927</v>
      </c>
      <c r="E2933" s="7">
        <v>43939</v>
      </c>
      <c r="F2933" s="7">
        <v>44171</v>
      </c>
      <c r="G2933" s="1" t="s">
        <v>38</v>
      </c>
      <c r="H2933" s="8">
        <v>604293.06000000006</v>
      </c>
      <c r="I2933" s="8">
        <v>508599.16</v>
      </c>
      <c r="J2933" s="1">
        <f>IF(COUNTIF($C$4:C2933,C2933)=1,1,0)</f>
        <v>1</v>
      </c>
      <c r="K2933" s="1">
        <f t="shared" si="45"/>
        <v>2020</v>
      </c>
    </row>
    <row r="2934" spans="2:11" x14ac:dyDescent="0.45">
      <c r="B2934" s="1" t="s">
        <v>11</v>
      </c>
      <c r="C2934" s="1" t="s">
        <v>2919</v>
      </c>
      <c r="D2934" s="7">
        <v>43641</v>
      </c>
      <c r="E2934" s="7">
        <v>43650</v>
      </c>
      <c r="F2934" s="7">
        <v>43797</v>
      </c>
      <c r="G2934" s="1" t="s">
        <v>212</v>
      </c>
      <c r="H2934" s="8">
        <v>68066352.700000003</v>
      </c>
      <c r="I2934" s="8">
        <v>48824703.969999999</v>
      </c>
      <c r="J2934" s="1">
        <f>IF(COUNTIF($C$4:C2934,C2934)=1,1,0)</f>
        <v>1</v>
      </c>
      <c r="K2934" s="1">
        <f t="shared" si="45"/>
        <v>2019</v>
      </c>
    </row>
    <row r="2935" spans="2:11" x14ac:dyDescent="0.45">
      <c r="B2935" s="1" t="s">
        <v>11</v>
      </c>
      <c r="C2935" s="1" t="s">
        <v>2920</v>
      </c>
      <c r="D2935" s="7">
        <v>44895</v>
      </c>
      <c r="E2935" s="7">
        <v>44919</v>
      </c>
      <c r="F2935" s="7">
        <v>45027</v>
      </c>
      <c r="G2935" s="1" t="s">
        <v>38</v>
      </c>
      <c r="H2935" s="8">
        <v>191074.95</v>
      </c>
      <c r="I2935" s="8">
        <v>130317.39</v>
      </c>
      <c r="J2935" s="1">
        <f>IF(COUNTIF($C$4:C2935,C2935)=1,1,0)</f>
        <v>1</v>
      </c>
      <c r="K2935" s="1">
        <f t="shared" si="45"/>
        <v>2022</v>
      </c>
    </row>
    <row r="2936" spans="2:11" x14ac:dyDescent="0.45">
      <c r="B2936" s="1" t="s">
        <v>11</v>
      </c>
      <c r="C2936" s="1" t="s">
        <v>2921</v>
      </c>
      <c r="D2936" s="7">
        <v>44113</v>
      </c>
      <c r="E2936" s="7">
        <v>44125</v>
      </c>
      <c r="F2936" s="7">
        <v>44292</v>
      </c>
      <c r="G2936" s="1" t="s">
        <v>16</v>
      </c>
      <c r="H2936" s="8">
        <v>305958.84000000003</v>
      </c>
      <c r="I2936" s="8">
        <v>207738.71</v>
      </c>
      <c r="J2936" s="1">
        <f>IF(COUNTIF($C$4:C2936,C2936)=1,1,0)</f>
        <v>1</v>
      </c>
      <c r="K2936" s="1">
        <f t="shared" si="45"/>
        <v>2020</v>
      </c>
    </row>
    <row r="2937" spans="2:11" x14ac:dyDescent="0.45">
      <c r="B2937" s="1" t="s">
        <v>11</v>
      </c>
      <c r="C2937" s="1" t="s">
        <v>2922</v>
      </c>
      <c r="D2937" s="7">
        <v>45351</v>
      </c>
      <c r="E2937" s="7">
        <v>45378</v>
      </c>
      <c r="F2937" s="7">
        <v>45398</v>
      </c>
      <c r="G2937" s="1" t="s">
        <v>20</v>
      </c>
      <c r="H2937" s="8">
        <v>1498911.19</v>
      </c>
      <c r="I2937" s="8">
        <v>1013311.48</v>
      </c>
      <c r="J2937" s="1">
        <f>IF(COUNTIF($C$4:C2937,C2937)=1,1,0)</f>
        <v>1</v>
      </c>
      <c r="K2937" s="1">
        <f t="shared" si="45"/>
        <v>2024</v>
      </c>
    </row>
    <row r="2938" spans="2:11" x14ac:dyDescent="0.45">
      <c r="B2938" s="1" t="s">
        <v>11</v>
      </c>
      <c r="C2938" s="1" t="s">
        <v>2923</v>
      </c>
      <c r="D2938" s="7">
        <v>44351</v>
      </c>
      <c r="E2938" s="7">
        <v>44361</v>
      </c>
      <c r="F2938" s="7">
        <v>44449</v>
      </c>
      <c r="G2938" s="1" t="s">
        <v>44</v>
      </c>
      <c r="H2938" s="8">
        <v>58825166.939999998</v>
      </c>
      <c r="I2938" s="8">
        <v>35121242.649999999</v>
      </c>
      <c r="J2938" s="1">
        <f>IF(COUNTIF($C$4:C2938,C2938)=1,1,0)</f>
        <v>1</v>
      </c>
      <c r="K2938" s="1">
        <f t="shared" si="45"/>
        <v>2021</v>
      </c>
    </row>
    <row r="2939" spans="2:11" x14ac:dyDescent="0.45">
      <c r="B2939" s="1" t="s">
        <v>11</v>
      </c>
      <c r="C2939" s="1" t="s">
        <v>2924</v>
      </c>
      <c r="D2939" s="7">
        <v>45707</v>
      </c>
      <c r="E2939" s="7">
        <v>45720</v>
      </c>
      <c r="F2939" s="7">
        <v>45860</v>
      </c>
      <c r="G2939" s="1" t="s">
        <v>44</v>
      </c>
      <c r="H2939" s="8">
        <v>203436440.84</v>
      </c>
      <c r="I2939" s="8">
        <v>156227909.18000001</v>
      </c>
      <c r="J2939" s="1">
        <f>IF(COUNTIF($C$4:C2939,C2939)=1,1,0)</f>
        <v>1</v>
      </c>
      <c r="K2939" s="1">
        <f t="shared" si="45"/>
        <v>2025</v>
      </c>
    </row>
    <row r="2940" spans="2:11" x14ac:dyDescent="0.45">
      <c r="B2940" s="1" t="s">
        <v>11</v>
      </c>
      <c r="C2940" s="1" t="s">
        <v>2925</v>
      </c>
      <c r="D2940" s="7">
        <v>45901</v>
      </c>
      <c r="E2940" s="7">
        <v>45918</v>
      </c>
      <c r="F2940" s="7">
        <v>46086</v>
      </c>
      <c r="G2940" s="1" t="s">
        <v>16</v>
      </c>
      <c r="H2940" s="8">
        <v>1867287.36</v>
      </c>
      <c r="I2940" s="8">
        <v>1483802.14</v>
      </c>
      <c r="J2940" s="1">
        <f>IF(COUNTIF($C$4:C2940,C2940)=1,1,0)</f>
        <v>1</v>
      </c>
      <c r="K2940" s="1">
        <f t="shared" si="45"/>
        <v>2025</v>
      </c>
    </row>
    <row r="2941" spans="2:11" x14ac:dyDescent="0.45">
      <c r="B2941" s="1" t="s">
        <v>11</v>
      </c>
      <c r="C2941" s="1" t="s">
        <v>2926</v>
      </c>
      <c r="D2941" s="7">
        <v>44448</v>
      </c>
      <c r="E2941" s="7">
        <v>44472</v>
      </c>
      <c r="F2941" s="7">
        <v>44611</v>
      </c>
      <c r="G2941" s="1" t="s">
        <v>18</v>
      </c>
      <c r="H2941" s="8">
        <v>9502337.2300000004</v>
      </c>
      <c r="I2941" s="8">
        <v>6497218.46</v>
      </c>
      <c r="J2941" s="1">
        <f>IF(COUNTIF($C$4:C2941,C2941)=1,1,0)</f>
        <v>1</v>
      </c>
      <c r="K2941" s="1">
        <f t="shared" si="45"/>
        <v>2021</v>
      </c>
    </row>
    <row r="2942" spans="2:11" x14ac:dyDescent="0.45">
      <c r="B2942" s="1" t="s">
        <v>11</v>
      </c>
      <c r="C2942" s="1" t="s">
        <v>2927</v>
      </c>
      <c r="D2942" s="7">
        <v>44694</v>
      </c>
      <c r="E2942" s="7">
        <v>44695</v>
      </c>
      <c r="F2942" s="7">
        <v>44716</v>
      </c>
      <c r="G2942" s="1" t="s">
        <v>44</v>
      </c>
      <c r="H2942" s="8">
        <v>17805549.809999999</v>
      </c>
      <c r="I2942" s="8">
        <v>6376460.4100000001</v>
      </c>
      <c r="J2942" s="1">
        <f>IF(COUNTIF($C$4:C2942,C2942)=1,1,0)</f>
        <v>1</v>
      </c>
      <c r="K2942" s="1">
        <f t="shared" si="45"/>
        <v>2022</v>
      </c>
    </row>
    <row r="2943" spans="2:11" x14ac:dyDescent="0.45">
      <c r="B2943" s="1" t="s">
        <v>11</v>
      </c>
      <c r="C2943" s="1" t="s">
        <v>2928</v>
      </c>
      <c r="D2943" s="7">
        <v>43623</v>
      </c>
      <c r="E2943" s="7">
        <v>43625</v>
      </c>
      <c r="F2943" s="7">
        <v>43688</v>
      </c>
      <c r="G2943" s="1" t="s">
        <v>22</v>
      </c>
      <c r="H2943" s="8">
        <v>13850605.73</v>
      </c>
      <c r="I2943" s="8">
        <v>9379556</v>
      </c>
      <c r="J2943" s="1">
        <f>IF(COUNTIF($C$4:C2943,C2943)=1,1,0)</f>
        <v>1</v>
      </c>
      <c r="K2943" s="1">
        <f t="shared" si="45"/>
        <v>2019</v>
      </c>
    </row>
    <row r="2944" spans="2:11" x14ac:dyDescent="0.45">
      <c r="B2944" s="1" t="s">
        <v>11</v>
      </c>
      <c r="C2944" s="1" t="s">
        <v>2929</v>
      </c>
      <c r="D2944" s="7">
        <v>45634</v>
      </c>
      <c r="E2944" s="7">
        <v>45648</v>
      </c>
      <c r="F2944" s="7">
        <v>45842</v>
      </c>
      <c r="G2944" s="1" t="s">
        <v>20</v>
      </c>
      <c r="H2944" s="8">
        <v>848196.52</v>
      </c>
      <c r="I2944" s="8">
        <v>496068.43</v>
      </c>
      <c r="J2944" s="1">
        <f>IF(COUNTIF($C$4:C2944,C2944)=1,1,0)</f>
        <v>1</v>
      </c>
      <c r="K2944" s="1">
        <f t="shared" si="45"/>
        <v>2024</v>
      </c>
    </row>
    <row r="2945" spans="2:11" x14ac:dyDescent="0.45">
      <c r="B2945" s="1" t="s">
        <v>11</v>
      </c>
      <c r="C2945" s="1" t="s">
        <v>2930</v>
      </c>
      <c r="D2945" s="7">
        <v>46151</v>
      </c>
      <c r="E2945" s="7">
        <v>46155</v>
      </c>
      <c r="F2945" s="7">
        <v>46340</v>
      </c>
      <c r="G2945" s="1" t="s">
        <v>20</v>
      </c>
      <c r="H2945" s="8">
        <v>1273294.04</v>
      </c>
      <c r="I2945" s="8">
        <v>675166.32</v>
      </c>
      <c r="J2945" s="1">
        <f>IF(COUNTIF($C$4:C2945,C2945)=1,1,0)</f>
        <v>1</v>
      </c>
      <c r="K2945" s="1">
        <f t="shared" si="45"/>
        <v>2026</v>
      </c>
    </row>
    <row r="2946" spans="2:11" x14ac:dyDescent="0.45">
      <c r="B2946" s="1" t="s">
        <v>11</v>
      </c>
      <c r="C2946" s="1" t="s">
        <v>2931</v>
      </c>
      <c r="D2946" s="7">
        <v>45372</v>
      </c>
      <c r="E2946" s="7">
        <v>45393</v>
      </c>
      <c r="F2946" s="7">
        <v>45462</v>
      </c>
      <c r="G2946" s="1" t="s">
        <v>212</v>
      </c>
      <c r="H2946" s="8">
        <v>4325401.0999999996</v>
      </c>
      <c r="I2946" s="8">
        <v>2069560.3200000001</v>
      </c>
      <c r="J2946" s="1">
        <f>IF(COUNTIF($C$4:C2946,C2946)=1,1,0)</f>
        <v>1</v>
      </c>
      <c r="K2946" s="1">
        <f t="shared" si="45"/>
        <v>2024</v>
      </c>
    </row>
    <row r="2947" spans="2:11" x14ac:dyDescent="0.45">
      <c r="B2947" s="1" t="s">
        <v>11</v>
      </c>
      <c r="C2947" s="1" t="s">
        <v>2932</v>
      </c>
      <c r="D2947" s="7">
        <v>45340</v>
      </c>
      <c r="E2947" s="7">
        <v>45350</v>
      </c>
      <c r="F2947" s="7">
        <v>45515</v>
      </c>
      <c r="G2947" s="1" t="s">
        <v>212</v>
      </c>
      <c r="H2947" s="8">
        <v>12872248.039999999</v>
      </c>
      <c r="I2947" s="8">
        <v>7180877.3700000001</v>
      </c>
      <c r="J2947" s="1">
        <f>IF(COUNTIF($C$4:C2947,C2947)=1,1,0)</f>
        <v>1</v>
      </c>
      <c r="K2947" s="1">
        <f t="shared" si="45"/>
        <v>2024</v>
      </c>
    </row>
    <row r="2948" spans="2:11" x14ac:dyDescent="0.45">
      <c r="B2948" s="1" t="s">
        <v>11</v>
      </c>
      <c r="C2948" s="1" t="s">
        <v>2933</v>
      </c>
      <c r="D2948" s="7">
        <v>46139</v>
      </c>
      <c r="E2948" s="7">
        <v>46139</v>
      </c>
      <c r="F2948" s="7">
        <v>46219</v>
      </c>
      <c r="G2948" s="1" t="s">
        <v>41</v>
      </c>
      <c r="H2948" s="8">
        <v>532579.17000000004</v>
      </c>
      <c r="I2948" s="8">
        <v>370920.54</v>
      </c>
      <c r="J2948" s="1">
        <f>IF(COUNTIF($C$4:C2948,C2948)=1,1,0)</f>
        <v>1</v>
      </c>
      <c r="K2948" s="1">
        <f t="shared" si="45"/>
        <v>2026</v>
      </c>
    </row>
    <row r="2949" spans="2:11" x14ac:dyDescent="0.45">
      <c r="B2949" s="1" t="s">
        <v>11</v>
      </c>
      <c r="C2949" s="1" t="s">
        <v>2934</v>
      </c>
      <c r="D2949" s="7">
        <v>44463</v>
      </c>
      <c r="E2949" s="7">
        <v>44479</v>
      </c>
      <c r="F2949" s="7">
        <v>44628</v>
      </c>
      <c r="G2949" s="1" t="s">
        <v>13</v>
      </c>
      <c r="H2949" s="8">
        <v>2461233.1</v>
      </c>
      <c r="I2949" s="8">
        <v>2071030.36</v>
      </c>
      <c r="J2949" s="1">
        <f>IF(COUNTIF($C$4:C2949,C2949)=1,1,0)</f>
        <v>1</v>
      </c>
      <c r="K2949" s="1">
        <f t="shared" ref="K2949:K3012" si="46">YEAR(D2949)</f>
        <v>2021</v>
      </c>
    </row>
    <row r="2950" spans="2:11" x14ac:dyDescent="0.45">
      <c r="B2950" s="1" t="s">
        <v>11</v>
      </c>
      <c r="C2950" s="1" t="s">
        <v>2935</v>
      </c>
      <c r="D2950" s="7">
        <v>44227</v>
      </c>
      <c r="E2950" s="7">
        <v>44233</v>
      </c>
      <c r="F2950" s="7">
        <v>44420</v>
      </c>
      <c r="G2950" s="1" t="s">
        <v>41</v>
      </c>
      <c r="H2950" s="8">
        <v>334292.84999999998</v>
      </c>
      <c r="I2950" s="8">
        <v>263976.34999999998</v>
      </c>
      <c r="J2950" s="1">
        <f>IF(COUNTIF($C$4:C2950,C2950)=1,1,0)</f>
        <v>1</v>
      </c>
      <c r="K2950" s="1">
        <f t="shared" si="46"/>
        <v>2021</v>
      </c>
    </row>
    <row r="2951" spans="2:11" x14ac:dyDescent="0.45">
      <c r="B2951" s="1" t="s">
        <v>11</v>
      </c>
      <c r="C2951" s="1" t="s">
        <v>2936</v>
      </c>
      <c r="D2951" s="7">
        <v>45356</v>
      </c>
      <c r="E2951" s="7">
        <v>45374</v>
      </c>
      <c r="F2951" s="7">
        <v>45598</v>
      </c>
      <c r="G2951" s="1" t="s">
        <v>16</v>
      </c>
      <c r="H2951" s="8">
        <v>1096360.6399999999</v>
      </c>
      <c r="I2951" s="8">
        <v>664809.29</v>
      </c>
      <c r="J2951" s="1">
        <f>IF(COUNTIF($C$4:C2951,C2951)=1,1,0)</f>
        <v>1</v>
      </c>
      <c r="K2951" s="1">
        <f t="shared" si="46"/>
        <v>2024</v>
      </c>
    </row>
    <row r="2952" spans="2:11" x14ac:dyDescent="0.45">
      <c r="B2952" s="1" t="s">
        <v>11</v>
      </c>
      <c r="C2952" s="1" t="s">
        <v>2937</v>
      </c>
      <c r="D2952" s="7">
        <v>44947</v>
      </c>
      <c r="E2952" s="7">
        <v>44954</v>
      </c>
      <c r="F2952" s="7">
        <v>45182</v>
      </c>
      <c r="G2952" s="1" t="s">
        <v>38</v>
      </c>
      <c r="H2952" s="8">
        <v>445214.44</v>
      </c>
      <c r="I2952" s="8">
        <v>301357.68</v>
      </c>
      <c r="J2952" s="1">
        <f>IF(COUNTIF($C$4:C2952,C2952)=1,1,0)</f>
        <v>1</v>
      </c>
      <c r="K2952" s="1">
        <f t="shared" si="46"/>
        <v>2023</v>
      </c>
    </row>
    <row r="2953" spans="2:11" x14ac:dyDescent="0.45">
      <c r="B2953" s="1" t="s">
        <v>11</v>
      </c>
      <c r="C2953" s="1" t="s">
        <v>2938</v>
      </c>
      <c r="D2953" s="7">
        <v>45390</v>
      </c>
      <c r="E2953" s="7">
        <v>45416</v>
      </c>
      <c r="F2953" s="7">
        <v>45552</v>
      </c>
      <c r="G2953" s="1" t="s">
        <v>13</v>
      </c>
      <c r="H2953" s="8">
        <v>379164.11</v>
      </c>
      <c r="I2953" s="8">
        <v>311538.36</v>
      </c>
      <c r="J2953" s="1">
        <f>IF(COUNTIF($C$4:C2953,C2953)=1,1,0)</f>
        <v>1</v>
      </c>
      <c r="K2953" s="1">
        <f t="shared" si="46"/>
        <v>2024</v>
      </c>
    </row>
    <row r="2954" spans="2:11" x14ac:dyDescent="0.45">
      <c r="B2954" s="1" t="s">
        <v>11</v>
      </c>
      <c r="C2954" s="1" t="s">
        <v>2939</v>
      </c>
      <c r="D2954" s="7">
        <v>43341</v>
      </c>
      <c r="E2954" s="7">
        <v>43360</v>
      </c>
      <c r="F2954" s="7">
        <v>43503</v>
      </c>
      <c r="G2954" s="1" t="s">
        <v>20</v>
      </c>
      <c r="H2954" s="8">
        <v>349754871.85000002</v>
      </c>
      <c r="I2954" s="8">
        <v>247639700.80000001</v>
      </c>
      <c r="J2954" s="1">
        <f>IF(COUNTIF($C$4:C2954,C2954)=1,1,0)</f>
        <v>1</v>
      </c>
      <c r="K2954" s="1">
        <f t="shared" si="46"/>
        <v>2018</v>
      </c>
    </row>
    <row r="2955" spans="2:11" x14ac:dyDescent="0.45">
      <c r="B2955" s="1" t="s">
        <v>11</v>
      </c>
      <c r="C2955" s="1" t="s">
        <v>2940</v>
      </c>
      <c r="D2955" s="7">
        <v>45347</v>
      </c>
      <c r="E2955" s="7">
        <v>45370</v>
      </c>
      <c r="F2955" s="7">
        <v>45544</v>
      </c>
      <c r="G2955" s="1" t="s">
        <v>16</v>
      </c>
      <c r="H2955" s="8">
        <v>2471446.17</v>
      </c>
      <c r="I2955" s="8">
        <v>1941329.09</v>
      </c>
      <c r="J2955" s="1">
        <f>IF(COUNTIF($C$4:C2955,C2955)=1,1,0)</f>
        <v>1</v>
      </c>
      <c r="K2955" s="1">
        <f t="shared" si="46"/>
        <v>2024</v>
      </c>
    </row>
    <row r="2956" spans="2:11" x14ac:dyDescent="0.45">
      <c r="B2956" s="1" t="s">
        <v>11</v>
      </c>
      <c r="C2956" s="1" t="s">
        <v>2941</v>
      </c>
      <c r="D2956" s="7">
        <v>45363</v>
      </c>
      <c r="E2956" s="7">
        <v>45389</v>
      </c>
      <c r="F2956" s="7">
        <v>45594</v>
      </c>
      <c r="G2956" s="1" t="s">
        <v>41</v>
      </c>
      <c r="H2956" s="8">
        <v>109238.59</v>
      </c>
      <c r="I2956" s="8">
        <v>81265.89</v>
      </c>
      <c r="J2956" s="1">
        <f>IF(COUNTIF($C$4:C2956,C2956)=1,1,0)</f>
        <v>1</v>
      </c>
      <c r="K2956" s="1">
        <f t="shared" si="46"/>
        <v>2024</v>
      </c>
    </row>
    <row r="2957" spans="2:11" x14ac:dyDescent="0.45">
      <c r="B2957" s="1" t="s">
        <v>11</v>
      </c>
      <c r="C2957" s="1" t="s">
        <v>2942</v>
      </c>
      <c r="D2957" s="7">
        <v>44595</v>
      </c>
      <c r="E2957" s="7">
        <v>44595</v>
      </c>
      <c r="F2957" s="7">
        <v>44633</v>
      </c>
      <c r="G2957" s="1" t="s">
        <v>41</v>
      </c>
      <c r="H2957" s="8">
        <v>387430.76</v>
      </c>
      <c r="I2957" s="8">
        <v>271306.21999999997</v>
      </c>
      <c r="J2957" s="1">
        <f>IF(COUNTIF($C$4:C2957,C2957)=1,1,0)</f>
        <v>1</v>
      </c>
      <c r="K2957" s="1">
        <f t="shared" si="46"/>
        <v>2022</v>
      </c>
    </row>
    <row r="2958" spans="2:11" x14ac:dyDescent="0.45">
      <c r="B2958" s="1" t="s">
        <v>11</v>
      </c>
      <c r="C2958" s="1" t="s">
        <v>2943</v>
      </c>
      <c r="D2958" s="7">
        <v>45625</v>
      </c>
      <c r="E2958" s="7">
        <v>45629</v>
      </c>
      <c r="F2958" s="7">
        <v>45756</v>
      </c>
      <c r="G2958" s="1" t="s">
        <v>41</v>
      </c>
      <c r="H2958" s="8">
        <v>146446.13</v>
      </c>
      <c r="I2958" s="8">
        <v>115946.04</v>
      </c>
      <c r="J2958" s="1">
        <f>IF(COUNTIF($C$4:C2958,C2958)=1,1,0)</f>
        <v>1</v>
      </c>
      <c r="K2958" s="1">
        <f t="shared" si="46"/>
        <v>2024</v>
      </c>
    </row>
    <row r="2959" spans="2:11" x14ac:dyDescent="0.45">
      <c r="B2959" s="1" t="s">
        <v>11</v>
      </c>
      <c r="C2959" s="1" t="s">
        <v>2944</v>
      </c>
      <c r="D2959" s="7">
        <v>45257</v>
      </c>
      <c r="E2959" s="7">
        <v>45260</v>
      </c>
      <c r="F2959" s="7">
        <v>45406</v>
      </c>
      <c r="G2959" s="1" t="s">
        <v>18</v>
      </c>
      <c r="H2959" s="8">
        <v>16379292.18</v>
      </c>
      <c r="I2959" s="8">
        <v>11855118.25</v>
      </c>
      <c r="J2959" s="1">
        <f>IF(COUNTIF($C$4:C2959,C2959)=1,1,0)</f>
        <v>1</v>
      </c>
      <c r="K2959" s="1">
        <f t="shared" si="46"/>
        <v>2023</v>
      </c>
    </row>
    <row r="2960" spans="2:11" x14ac:dyDescent="0.45">
      <c r="B2960" s="1" t="s">
        <v>11</v>
      </c>
      <c r="C2960" s="1" t="s">
        <v>2945</v>
      </c>
      <c r="D2960" s="7">
        <v>43840</v>
      </c>
      <c r="E2960" s="7">
        <v>43867</v>
      </c>
      <c r="F2960" s="7">
        <v>44066</v>
      </c>
      <c r="G2960" s="1" t="s">
        <v>16</v>
      </c>
      <c r="H2960" s="8">
        <v>4138203.02</v>
      </c>
      <c r="I2960" s="8">
        <v>2504458.0099999998</v>
      </c>
      <c r="J2960" s="1">
        <f>IF(COUNTIF($C$4:C2960,C2960)=1,1,0)</f>
        <v>1</v>
      </c>
      <c r="K2960" s="1">
        <f t="shared" si="46"/>
        <v>2020</v>
      </c>
    </row>
    <row r="2961" spans="2:11" x14ac:dyDescent="0.45">
      <c r="B2961" s="1" t="s">
        <v>11</v>
      </c>
      <c r="C2961" s="1" t="s">
        <v>2946</v>
      </c>
      <c r="D2961" s="7">
        <v>45635</v>
      </c>
      <c r="E2961" s="7">
        <v>45661</v>
      </c>
      <c r="F2961" s="7">
        <v>45760</v>
      </c>
      <c r="G2961" s="1" t="s">
        <v>44</v>
      </c>
      <c r="H2961" s="8">
        <v>398539927.80000001</v>
      </c>
      <c r="I2961" s="8">
        <v>253098853.75999999</v>
      </c>
      <c r="J2961" s="1">
        <f>IF(COUNTIF($C$4:C2961,C2961)=1,1,0)</f>
        <v>1</v>
      </c>
      <c r="K2961" s="1">
        <f t="shared" si="46"/>
        <v>2024</v>
      </c>
    </row>
    <row r="2962" spans="2:11" x14ac:dyDescent="0.45">
      <c r="B2962" s="1" t="s">
        <v>11</v>
      </c>
      <c r="C2962" s="1" t="s">
        <v>2947</v>
      </c>
      <c r="D2962" s="7">
        <v>45997</v>
      </c>
      <c r="E2962" s="7">
        <v>46016</v>
      </c>
      <c r="F2962" s="7">
        <v>46086</v>
      </c>
      <c r="G2962" s="1" t="s">
        <v>18</v>
      </c>
      <c r="H2962" s="8">
        <v>1924683.72</v>
      </c>
      <c r="I2962" s="8">
        <v>1601981.16</v>
      </c>
      <c r="J2962" s="1">
        <f>IF(COUNTIF($C$4:C2962,C2962)=1,1,0)</f>
        <v>1</v>
      </c>
      <c r="K2962" s="1">
        <f t="shared" si="46"/>
        <v>2025</v>
      </c>
    </row>
    <row r="2963" spans="2:11" x14ac:dyDescent="0.45">
      <c r="B2963" s="1" t="s">
        <v>11</v>
      </c>
      <c r="C2963" s="1" t="s">
        <v>2948</v>
      </c>
      <c r="D2963" s="7">
        <v>43646</v>
      </c>
      <c r="E2963" s="7">
        <v>43658</v>
      </c>
      <c r="F2963" s="7">
        <v>43845</v>
      </c>
      <c r="G2963" s="1" t="s">
        <v>44</v>
      </c>
      <c r="H2963" s="8">
        <v>202052891.33000001</v>
      </c>
      <c r="I2963" s="8">
        <v>150527346.81999999</v>
      </c>
      <c r="J2963" s="1">
        <f>IF(COUNTIF($C$4:C2963,C2963)=1,1,0)</f>
        <v>1</v>
      </c>
      <c r="K2963" s="1">
        <f t="shared" si="46"/>
        <v>2019</v>
      </c>
    </row>
    <row r="2964" spans="2:11" x14ac:dyDescent="0.45">
      <c r="B2964" s="1" t="s">
        <v>11</v>
      </c>
      <c r="C2964" s="1" t="s">
        <v>2949</v>
      </c>
      <c r="D2964" s="7">
        <v>43867</v>
      </c>
      <c r="E2964" s="7">
        <v>43889</v>
      </c>
      <c r="F2964" s="7">
        <v>44010</v>
      </c>
      <c r="G2964" s="1" t="s">
        <v>13</v>
      </c>
      <c r="H2964" s="8">
        <v>144332.10999999999</v>
      </c>
      <c r="I2964" s="8">
        <v>113595.21</v>
      </c>
      <c r="J2964" s="1">
        <f>IF(COUNTIF($C$4:C2964,C2964)=1,1,0)</f>
        <v>1</v>
      </c>
      <c r="K2964" s="1">
        <f t="shared" si="46"/>
        <v>2020</v>
      </c>
    </row>
    <row r="2965" spans="2:11" x14ac:dyDescent="0.45">
      <c r="B2965" s="1" t="s">
        <v>11</v>
      </c>
      <c r="C2965" s="1" t="s">
        <v>2950</v>
      </c>
      <c r="D2965" s="7">
        <v>45116</v>
      </c>
      <c r="E2965" s="7">
        <v>45136</v>
      </c>
      <c r="F2965" s="7">
        <v>45325</v>
      </c>
      <c r="G2965" s="1" t="s">
        <v>16</v>
      </c>
      <c r="H2965" s="8">
        <v>3321292.71</v>
      </c>
      <c r="I2965" s="8">
        <v>2055411.36</v>
      </c>
      <c r="J2965" s="1">
        <f>IF(COUNTIF($C$4:C2965,C2965)=1,1,0)</f>
        <v>1</v>
      </c>
      <c r="K2965" s="1">
        <f t="shared" si="46"/>
        <v>2023</v>
      </c>
    </row>
    <row r="2966" spans="2:11" x14ac:dyDescent="0.45">
      <c r="B2966" s="1" t="s">
        <v>11</v>
      </c>
      <c r="C2966" s="1" t="s">
        <v>2951</v>
      </c>
      <c r="D2966" s="7">
        <v>43441</v>
      </c>
      <c r="E2966" s="7">
        <v>43444</v>
      </c>
      <c r="F2966" s="7">
        <v>43540</v>
      </c>
      <c r="G2966" s="1" t="s">
        <v>20</v>
      </c>
      <c r="H2966" s="8">
        <v>166249.01999999999</v>
      </c>
      <c r="I2966" s="8">
        <v>105667.71</v>
      </c>
      <c r="J2966" s="1">
        <f>IF(COUNTIF($C$4:C2966,C2966)=1,1,0)</f>
        <v>1</v>
      </c>
      <c r="K2966" s="1">
        <f t="shared" si="46"/>
        <v>2018</v>
      </c>
    </row>
    <row r="2967" spans="2:11" x14ac:dyDescent="0.45">
      <c r="B2967" s="1" t="s">
        <v>11</v>
      </c>
      <c r="C2967" s="1" t="s">
        <v>2952</v>
      </c>
      <c r="D2967" s="7">
        <v>43769</v>
      </c>
      <c r="E2967" s="7">
        <v>43787</v>
      </c>
      <c r="F2967" s="7">
        <v>43807</v>
      </c>
      <c r="G2967" s="1" t="s">
        <v>22</v>
      </c>
      <c r="H2967" s="8">
        <v>9729694.2699999996</v>
      </c>
      <c r="I2967" s="8">
        <v>6925683.9800000004</v>
      </c>
      <c r="J2967" s="1">
        <f>IF(COUNTIF($C$4:C2967,C2967)=1,1,0)</f>
        <v>1</v>
      </c>
      <c r="K2967" s="1">
        <f t="shared" si="46"/>
        <v>2019</v>
      </c>
    </row>
    <row r="2968" spans="2:11" x14ac:dyDescent="0.45">
      <c r="B2968" s="1" t="s">
        <v>11</v>
      </c>
      <c r="C2968" s="1" t="s">
        <v>2953</v>
      </c>
      <c r="D2968" s="7">
        <v>44663</v>
      </c>
      <c r="E2968" s="7">
        <v>44671</v>
      </c>
      <c r="F2968" s="7">
        <v>44869</v>
      </c>
      <c r="G2968" s="1" t="s">
        <v>18</v>
      </c>
      <c r="H2968" s="8">
        <v>2744285.12</v>
      </c>
      <c r="I2968" s="8">
        <v>2067367.92</v>
      </c>
      <c r="J2968" s="1">
        <f>IF(COUNTIF($C$4:C2968,C2968)=1,1,0)</f>
        <v>1</v>
      </c>
      <c r="K2968" s="1">
        <f t="shared" si="46"/>
        <v>2022</v>
      </c>
    </row>
    <row r="2969" spans="2:11" x14ac:dyDescent="0.45">
      <c r="B2969" s="1" t="s">
        <v>11</v>
      </c>
      <c r="C2969" s="1" t="s">
        <v>2954</v>
      </c>
      <c r="D2969" s="7">
        <v>43794</v>
      </c>
      <c r="E2969" s="7">
        <v>43823</v>
      </c>
      <c r="F2969" s="7">
        <v>43864</v>
      </c>
      <c r="G2969" s="1" t="s">
        <v>20</v>
      </c>
      <c r="H2969" s="8">
        <v>222537595</v>
      </c>
      <c r="I2969" s="8">
        <v>104168079.66</v>
      </c>
      <c r="J2969" s="1">
        <f>IF(COUNTIF($C$4:C2969,C2969)=1,1,0)</f>
        <v>1</v>
      </c>
      <c r="K2969" s="1">
        <f t="shared" si="46"/>
        <v>2019</v>
      </c>
    </row>
    <row r="2970" spans="2:11" x14ac:dyDescent="0.45">
      <c r="B2970" s="1" t="s">
        <v>11</v>
      </c>
      <c r="C2970" s="1" t="s">
        <v>2955</v>
      </c>
      <c r="D2970" s="7">
        <v>43348</v>
      </c>
      <c r="E2970" s="7">
        <v>43357</v>
      </c>
      <c r="F2970" s="7">
        <v>43371</v>
      </c>
      <c r="G2970" s="1" t="s">
        <v>20</v>
      </c>
      <c r="H2970" s="8">
        <v>372509.14</v>
      </c>
      <c r="I2970" s="8">
        <v>226523.42</v>
      </c>
      <c r="J2970" s="1">
        <f>IF(COUNTIF($C$4:C2970,C2970)=1,1,0)</f>
        <v>1</v>
      </c>
      <c r="K2970" s="1">
        <f t="shared" si="46"/>
        <v>2018</v>
      </c>
    </row>
    <row r="2971" spans="2:11" x14ac:dyDescent="0.45">
      <c r="B2971" s="1" t="s">
        <v>11</v>
      </c>
      <c r="C2971" s="1" t="s">
        <v>2956</v>
      </c>
      <c r="D2971" s="7">
        <v>44451</v>
      </c>
      <c r="E2971" s="7">
        <v>44477</v>
      </c>
      <c r="F2971" s="7">
        <v>44508</v>
      </c>
      <c r="G2971" s="1" t="s">
        <v>41</v>
      </c>
      <c r="H2971" s="8">
        <v>532964.26</v>
      </c>
      <c r="I2971" s="8">
        <v>439563.51</v>
      </c>
      <c r="J2971" s="1">
        <f>IF(COUNTIF($C$4:C2971,C2971)=1,1,0)</f>
        <v>1</v>
      </c>
      <c r="K2971" s="1">
        <f t="shared" si="46"/>
        <v>2021</v>
      </c>
    </row>
    <row r="2972" spans="2:11" x14ac:dyDescent="0.45">
      <c r="B2972" s="1" t="s">
        <v>11</v>
      </c>
      <c r="C2972" s="1" t="s">
        <v>2957</v>
      </c>
      <c r="D2972" s="7">
        <v>45393</v>
      </c>
      <c r="E2972" s="7">
        <v>45410</v>
      </c>
      <c r="F2972" s="7">
        <v>45498</v>
      </c>
      <c r="G2972" s="1" t="s">
        <v>44</v>
      </c>
      <c r="H2972" s="8">
        <v>268623438.5</v>
      </c>
      <c r="I2972" s="8">
        <v>83567188.540000007</v>
      </c>
      <c r="J2972" s="1">
        <f>IF(COUNTIF($C$4:C2972,C2972)=1,1,0)</f>
        <v>1</v>
      </c>
      <c r="K2972" s="1">
        <f t="shared" si="46"/>
        <v>2024</v>
      </c>
    </row>
    <row r="2973" spans="2:11" x14ac:dyDescent="0.45">
      <c r="B2973" s="1" t="s">
        <v>11</v>
      </c>
      <c r="C2973" s="1" t="s">
        <v>2958</v>
      </c>
      <c r="D2973" s="7">
        <v>45210</v>
      </c>
      <c r="E2973" s="7">
        <v>45231</v>
      </c>
      <c r="F2973" s="7">
        <v>45462</v>
      </c>
      <c r="G2973" s="1" t="s">
        <v>20</v>
      </c>
      <c r="H2973" s="8">
        <v>109697.52</v>
      </c>
      <c r="I2973" s="8">
        <v>74697.94</v>
      </c>
      <c r="J2973" s="1">
        <f>IF(COUNTIF($C$4:C2973,C2973)=1,1,0)</f>
        <v>1</v>
      </c>
      <c r="K2973" s="1">
        <f t="shared" si="46"/>
        <v>2023</v>
      </c>
    </row>
    <row r="2974" spans="2:11" x14ac:dyDescent="0.45">
      <c r="B2974" s="1" t="s">
        <v>11</v>
      </c>
      <c r="C2974" s="1" t="s">
        <v>2959</v>
      </c>
      <c r="D2974" s="7">
        <v>43632</v>
      </c>
      <c r="E2974" s="7">
        <v>43640</v>
      </c>
      <c r="F2974" s="7">
        <v>43875</v>
      </c>
      <c r="G2974" s="1" t="s">
        <v>13</v>
      </c>
      <c r="H2974" s="8">
        <v>122176.87</v>
      </c>
      <c r="I2974" s="8">
        <v>85888.99</v>
      </c>
      <c r="J2974" s="1">
        <f>IF(COUNTIF($C$4:C2974,C2974)=1,1,0)</f>
        <v>1</v>
      </c>
      <c r="K2974" s="1">
        <f t="shared" si="46"/>
        <v>2019</v>
      </c>
    </row>
    <row r="2975" spans="2:11" x14ac:dyDescent="0.45">
      <c r="B2975" s="1" t="s">
        <v>11</v>
      </c>
      <c r="C2975" s="1" t="s">
        <v>2960</v>
      </c>
      <c r="D2975" s="7">
        <v>45044</v>
      </c>
      <c r="E2975" s="7">
        <v>45058</v>
      </c>
      <c r="F2975" s="7">
        <v>45216</v>
      </c>
      <c r="G2975" s="1" t="s">
        <v>20</v>
      </c>
      <c r="H2975" s="8">
        <v>716428.48</v>
      </c>
      <c r="I2975" s="8">
        <v>474819.02</v>
      </c>
      <c r="J2975" s="1">
        <f>IF(COUNTIF($C$4:C2975,C2975)=1,1,0)</f>
        <v>1</v>
      </c>
      <c r="K2975" s="1">
        <f t="shared" si="46"/>
        <v>2023</v>
      </c>
    </row>
    <row r="2976" spans="2:11" x14ac:dyDescent="0.45">
      <c r="B2976" s="1" t="s">
        <v>11</v>
      </c>
      <c r="C2976" s="1" t="s">
        <v>2961</v>
      </c>
      <c r="D2976" s="7">
        <v>45373</v>
      </c>
      <c r="E2976" s="7">
        <v>45380</v>
      </c>
      <c r="F2976" s="7">
        <v>45516</v>
      </c>
      <c r="G2976" s="1" t="s">
        <v>212</v>
      </c>
      <c r="H2976" s="8">
        <v>4085916.05</v>
      </c>
      <c r="I2976" s="8">
        <v>1680723</v>
      </c>
      <c r="J2976" s="1">
        <f>IF(COUNTIF($C$4:C2976,C2976)=1,1,0)</f>
        <v>1</v>
      </c>
      <c r="K2976" s="1">
        <f t="shared" si="46"/>
        <v>2024</v>
      </c>
    </row>
    <row r="2977" spans="2:11" x14ac:dyDescent="0.45">
      <c r="B2977" s="1" t="s">
        <v>11</v>
      </c>
      <c r="C2977" s="1" t="s">
        <v>2962</v>
      </c>
      <c r="D2977" s="7">
        <v>43140</v>
      </c>
      <c r="E2977" s="7">
        <v>43151</v>
      </c>
      <c r="F2977" s="7">
        <v>43217</v>
      </c>
      <c r="G2977" s="1" t="s">
        <v>18</v>
      </c>
      <c r="H2977" s="8">
        <v>5807379.2800000003</v>
      </c>
      <c r="I2977" s="8">
        <v>4640502.29</v>
      </c>
      <c r="J2977" s="1">
        <f>IF(COUNTIF($C$4:C2977,C2977)=1,1,0)</f>
        <v>1</v>
      </c>
      <c r="K2977" s="1">
        <f t="shared" si="46"/>
        <v>2018</v>
      </c>
    </row>
    <row r="2978" spans="2:11" x14ac:dyDescent="0.45">
      <c r="B2978" s="1" t="s">
        <v>11</v>
      </c>
      <c r="C2978" s="1" t="s">
        <v>2963</v>
      </c>
      <c r="D2978" s="7">
        <v>43356</v>
      </c>
      <c r="E2978" s="7">
        <v>43356</v>
      </c>
      <c r="F2978" s="7">
        <v>43522</v>
      </c>
      <c r="G2978" s="1" t="s">
        <v>16</v>
      </c>
      <c r="H2978" s="8">
        <v>520388.29</v>
      </c>
      <c r="I2978" s="8">
        <v>282314.87</v>
      </c>
      <c r="J2978" s="1">
        <f>IF(COUNTIF($C$4:C2978,C2978)=1,1,0)</f>
        <v>1</v>
      </c>
      <c r="K2978" s="1">
        <f t="shared" si="46"/>
        <v>2018</v>
      </c>
    </row>
    <row r="2979" spans="2:11" x14ac:dyDescent="0.45">
      <c r="B2979" s="1" t="s">
        <v>11</v>
      </c>
      <c r="C2979" s="1" t="s">
        <v>2964</v>
      </c>
      <c r="D2979" s="7">
        <v>44056</v>
      </c>
      <c r="E2979" s="7">
        <v>44070</v>
      </c>
      <c r="F2979" s="7">
        <v>44257</v>
      </c>
      <c r="G2979" s="1" t="s">
        <v>38</v>
      </c>
      <c r="H2979" s="8">
        <v>424507.3</v>
      </c>
      <c r="I2979" s="8">
        <v>311096.52</v>
      </c>
      <c r="J2979" s="1">
        <f>IF(COUNTIF($C$4:C2979,C2979)=1,1,0)</f>
        <v>1</v>
      </c>
      <c r="K2979" s="1">
        <f t="shared" si="46"/>
        <v>2020</v>
      </c>
    </row>
    <row r="2980" spans="2:11" x14ac:dyDescent="0.45">
      <c r="B2980" s="1" t="s">
        <v>11</v>
      </c>
      <c r="C2980" s="1" t="s">
        <v>2965</v>
      </c>
      <c r="D2980" s="7">
        <v>45620</v>
      </c>
      <c r="E2980" s="7">
        <v>45627</v>
      </c>
      <c r="F2980" s="7">
        <v>45821</v>
      </c>
      <c r="G2980" s="1" t="s">
        <v>212</v>
      </c>
      <c r="H2980" s="8">
        <v>14266417.27</v>
      </c>
      <c r="I2980" s="8">
        <v>6629410.6500000004</v>
      </c>
      <c r="J2980" s="1">
        <f>IF(COUNTIF($C$4:C2980,C2980)=1,1,0)</f>
        <v>1</v>
      </c>
      <c r="K2980" s="1">
        <f t="shared" si="46"/>
        <v>2024</v>
      </c>
    </row>
    <row r="2981" spans="2:11" x14ac:dyDescent="0.45">
      <c r="B2981" s="1" t="s">
        <v>11</v>
      </c>
      <c r="C2981" s="1" t="s">
        <v>2966</v>
      </c>
      <c r="D2981" s="7">
        <v>45019</v>
      </c>
      <c r="E2981" s="7">
        <v>45032</v>
      </c>
      <c r="F2981" s="7">
        <v>45253</v>
      </c>
      <c r="G2981" s="1" t="s">
        <v>44</v>
      </c>
      <c r="H2981" s="8">
        <v>212440398.78</v>
      </c>
      <c r="I2981" s="8">
        <v>50756172.810000002</v>
      </c>
      <c r="J2981" s="1">
        <f>IF(COUNTIF($C$4:C2981,C2981)=1,1,0)</f>
        <v>1</v>
      </c>
      <c r="K2981" s="1">
        <f t="shared" si="46"/>
        <v>2023</v>
      </c>
    </row>
    <row r="2982" spans="2:11" x14ac:dyDescent="0.45">
      <c r="B2982" s="1" t="s">
        <v>11</v>
      </c>
      <c r="C2982" s="1" t="s">
        <v>2967</v>
      </c>
      <c r="D2982" s="7">
        <v>44713</v>
      </c>
      <c r="E2982" s="7">
        <v>44718</v>
      </c>
      <c r="F2982" s="7">
        <v>44882</v>
      </c>
      <c r="G2982" s="1" t="s">
        <v>13</v>
      </c>
      <c r="H2982" s="8">
        <v>356189.88</v>
      </c>
      <c r="I2982" s="8">
        <v>275573.12</v>
      </c>
      <c r="J2982" s="1">
        <f>IF(COUNTIF($C$4:C2982,C2982)=1,1,0)</f>
        <v>1</v>
      </c>
      <c r="K2982" s="1">
        <f t="shared" si="46"/>
        <v>2022</v>
      </c>
    </row>
    <row r="2983" spans="2:11" x14ac:dyDescent="0.45">
      <c r="B2983" s="1" t="s">
        <v>11</v>
      </c>
      <c r="C2983" s="1" t="s">
        <v>2968</v>
      </c>
      <c r="D2983" s="7">
        <v>45155</v>
      </c>
      <c r="E2983" s="7">
        <v>45171</v>
      </c>
      <c r="F2983" s="7">
        <v>45346</v>
      </c>
      <c r="G2983" s="1" t="s">
        <v>18</v>
      </c>
      <c r="H2983" s="8">
        <v>9981782.2400000002</v>
      </c>
      <c r="I2983" s="8">
        <v>6860735.6900000004</v>
      </c>
      <c r="J2983" s="1">
        <f>IF(COUNTIF($C$4:C2983,C2983)=1,1,0)</f>
        <v>1</v>
      </c>
      <c r="K2983" s="1">
        <f t="shared" si="46"/>
        <v>2023</v>
      </c>
    </row>
    <row r="2984" spans="2:11" x14ac:dyDescent="0.45">
      <c r="B2984" s="1" t="s">
        <v>11</v>
      </c>
      <c r="C2984" s="1" t="s">
        <v>2969</v>
      </c>
      <c r="D2984" s="7">
        <v>43271</v>
      </c>
      <c r="E2984" s="7">
        <v>43290</v>
      </c>
      <c r="F2984" s="7">
        <v>43299</v>
      </c>
      <c r="G2984" s="1" t="s">
        <v>44</v>
      </c>
      <c r="H2984" s="8">
        <v>171373154.84999999</v>
      </c>
      <c r="I2984" s="8">
        <v>88615032.030000001</v>
      </c>
      <c r="J2984" s="1">
        <f>IF(COUNTIF($C$4:C2984,C2984)=1,1,0)</f>
        <v>1</v>
      </c>
      <c r="K2984" s="1">
        <f t="shared" si="46"/>
        <v>2018</v>
      </c>
    </row>
    <row r="2985" spans="2:11" x14ac:dyDescent="0.45">
      <c r="B2985" s="1" t="s">
        <v>11</v>
      </c>
      <c r="C2985" s="1" t="s">
        <v>2970</v>
      </c>
      <c r="D2985" s="7">
        <v>43264</v>
      </c>
      <c r="E2985" s="7">
        <v>43283</v>
      </c>
      <c r="F2985" s="7">
        <v>43468</v>
      </c>
      <c r="G2985" s="1" t="s">
        <v>41</v>
      </c>
      <c r="H2985" s="8">
        <v>569303.98</v>
      </c>
      <c r="I2985" s="8">
        <v>482570.89</v>
      </c>
      <c r="J2985" s="1">
        <f>IF(COUNTIF($C$4:C2985,C2985)=1,1,0)</f>
        <v>1</v>
      </c>
      <c r="K2985" s="1">
        <f t="shared" si="46"/>
        <v>2018</v>
      </c>
    </row>
    <row r="2986" spans="2:11" x14ac:dyDescent="0.45">
      <c r="B2986" s="1" t="s">
        <v>11</v>
      </c>
      <c r="C2986" s="1" t="s">
        <v>2971</v>
      </c>
      <c r="D2986" s="7">
        <v>46195</v>
      </c>
      <c r="E2986" s="7">
        <v>46218</v>
      </c>
      <c r="F2986" s="7">
        <v>46231</v>
      </c>
      <c r="G2986" s="1" t="s">
        <v>38</v>
      </c>
      <c r="H2986" s="8">
        <v>1261119.42</v>
      </c>
      <c r="I2986" s="8">
        <v>944463.56</v>
      </c>
      <c r="J2986" s="1">
        <f>IF(COUNTIF($C$4:C2986,C2986)=1,1,0)</f>
        <v>1</v>
      </c>
      <c r="K2986" s="1">
        <f t="shared" si="46"/>
        <v>2026</v>
      </c>
    </row>
    <row r="2987" spans="2:11" x14ac:dyDescent="0.45">
      <c r="B2987" s="1" t="s">
        <v>11</v>
      </c>
      <c r="C2987" s="1" t="s">
        <v>2972</v>
      </c>
      <c r="D2987" s="7">
        <v>46199</v>
      </c>
      <c r="E2987" s="7">
        <v>46210</v>
      </c>
      <c r="F2987" s="7">
        <v>46295</v>
      </c>
      <c r="G2987" s="1" t="s">
        <v>212</v>
      </c>
      <c r="H2987" s="8">
        <v>38998475.219999999</v>
      </c>
      <c r="I2987" s="8">
        <v>19472026.690000001</v>
      </c>
      <c r="J2987" s="1">
        <f>IF(COUNTIF($C$4:C2987,C2987)=1,1,0)</f>
        <v>1</v>
      </c>
      <c r="K2987" s="1">
        <f t="shared" si="46"/>
        <v>2026</v>
      </c>
    </row>
    <row r="2988" spans="2:11" x14ac:dyDescent="0.45">
      <c r="B2988" s="1" t="s">
        <v>11</v>
      </c>
      <c r="C2988" s="1" t="s">
        <v>2973</v>
      </c>
      <c r="D2988" s="7">
        <v>44489</v>
      </c>
      <c r="E2988" s="7">
        <v>44516</v>
      </c>
      <c r="F2988" s="7">
        <v>44646</v>
      </c>
      <c r="G2988" s="1" t="s">
        <v>13</v>
      </c>
      <c r="H2988" s="8">
        <v>69125.8</v>
      </c>
      <c r="I2988" s="8">
        <v>56376.14</v>
      </c>
      <c r="J2988" s="1">
        <f>IF(COUNTIF($C$4:C2988,C2988)=1,1,0)</f>
        <v>1</v>
      </c>
      <c r="K2988" s="1">
        <f t="shared" si="46"/>
        <v>2021</v>
      </c>
    </row>
    <row r="2989" spans="2:11" x14ac:dyDescent="0.45">
      <c r="B2989" s="1" t="s">
        <v>11</v>
      </c>
      <c r="C2989" s="1" t="s">
        <v>2974</v>
      </c>
      <c r="D2989" s="7">
        <v>44967</v>
      </c>
      <c r="E2989" s="7">
        <v>44983</v>
      </c>
      <c r="F2989" s="7">
        <v>45028</v>
      </c>
      <c r="G2989" s="1" t="s">
        <v>212</v>
      </c>
      <c r="H2989" s="8">
        <v>6337354.1799999997</v>
      </c>
      <c r="I2989" s="8">
        <v>3464236.73</v>
      </c>
      <c r="J2989" s="1">
        <f>IF(COUNTIF($C$4:C2989,C2989)=1,1,0)</f>
        <v>1</v>
      </c>
      <c r="K2989" s="1">
        <f t="shared" si="46"/>
        <v>2023</v>
      </c>
    </row>
    <row r="2990" spans="2:11" x14ac:dyDescent="0.45">
      <c r="B2990" s="1" t="s">
        <v>11</v>
      </c>
      <c r="C2990" s="1" t="s">
        <v>2975</v>
      </c>
      <c r="D2990" s="7">
        <v>46126</v>
      </c>
      <c r="E2990" s="7">
        <v>46142</v>
      </c>
      <c r="F2990" s="7">
        <v>46363</v>
      </c>
      <c r="G2990" s="1" t="s">
        <v>38</v>
      </c>
      <c r="H2990" s="8">
        <v>1154797.8899999999</v>
      </c>
      <c r="I2990" s="8">
        <v>810822.13</v>
      </c>
      <c r="J2990" s="1">
        <f>IF(COUNTIF($C$4:C2990,C2990)=1,1,0)</f>
        <v>1</v>
      </c>
      <c r="K2990" s="1">
        <f t="shared" si="46"/>
        <v>2026</v>
      </c>
    </row>
    <row r="2991" spans="2:11" x14ac:dyDescent="0.45">
      <c r="B2991" s="1" t="s">
        <v>11</v>
      </c>
      <c r="C2991" s="1" t="s">
        <v>2976</v>
      </c>
      <c r="D2991" s="7">
        <v>45766</v>
      </c>
      <c r="E2991" s="7">
        <v>45780</v>
      </c>
      <c r="F2991" s="7">
        <v>45831</v>
      </c>
      <c r="G2991" s="1" t="s">
        <v>41</v>
      </c>
      <c r="H2991" s="8">
        <v>131887.25</v>
      </c>
      <c r="I2991" s="8">
        <v>110856.49</v>
      </c>
      <c r="J2991" s="1">
        <f>IF(COUNTIF($C$4:C2991,C2991)=1,1,0)</f>
        <v>1</v>
      </c>
      <c r="K2991" s="1">
        <f t="shared" si="46"/>
        <v>2025</v>
      </c>
    </row>
    <row r="2992" spans="2:11" x14ac:dyDescent="0.45">
      <c r="B2992" s="1" t="s">
        <v>11</v>
      </c>
      <c r="C2992" s="1" t="s">
        <v>2977</v>
      </c>
      <c r="D2992" s="7">
        <v>43884</v>
      </c>
      <c r="E2992" s="7">
        <v>43914</v>
      </c>
      <c r="F2992" s="7">
        <v>44048</v>
      </c>
      <c r="G2992" s="1" t="s">
        <v>13</v>
      </c>
      <c r="H2992" s="8">
        <v>234898.41</v>
      </c>
      <c r="I2992" s="8">
        <v>171212.32</v>
      </c>
      <c r="J2992" s="1">
        <f>IF(COUNTIF($C$4:C2992,C2992)=1,1,0)</f>
        <v>1</v>
      </c>
      <c r="K2992" s="1">
        <f t="shared" si="46"/>
        <v>2020</v>
      </c>
    </row>
    <row r="2993" spans="2:11" x14ac:dyDescent="0.45">
      <c r="B2993" s="1" t="s">
        <v>11</v>
      </c>
      <c r="C2993" s="1" t="s">
        <v>2978</v>
      </c>
      <c r="D2993" s="7">
        <v>43546</v>
      </c>
      <c r="E2993" s="7">
        <v>43564</v>
      </c>
      <c r="F2993" s="7">
        <v>43788</v>
      </c>
      <c r="G2993" s="1" t="s">
        <v>41</v>
      </c>
      <c r="H2993" s="8">
        <v>339996.61</v>
      </c>
      <c r="I2993" s="8">
        <v>236352.58</v>
      </c>
      <c r="J2993" s="1">
        <f>IF(COUNTIF($C$4:C2993,C2993)=1,1,0)</f>
        <v>1</v>
      </c>
      <c r="K2993" s="1">
        <f t="shared" si="46"/>
        <v>2019</v>
      </c>
    </row>
    <row r="2994" spans="2:11" x14ac:dyDescent="0.45">
      <c r="B2994" s="1" t="s">
        <v>11</v>
      </c>
      <c r="C2994" s="1" t="s">
        <v>2979</v>
      </c>
      <c r="D2994" s="7">
        <v>43198</v>
      </c>
      <c r="E2994" s="7">
        <v>43205</v>
      </c>
      <c r="F2994" s="7">
        <v>43405</v>
      </c>
      <c r="G2994" s="1" t="s">
        <v>41</v>
      </c>
      <c r="H2994" s="8">
        <v>198303.65</v>
      </c>
      <c r="I2994" s="8">
        <v>166537.26999999999</v>
      </c>
      <c r="J2994" s="1">
        <f>IF(COUNTIF($C$4:C2994,C2994)=1,1,0)</f>
        <v>1</v>
      </c>
      <c r="K2994" s="1">
        <f t="shared" si="46"/>
        <v>2018</v>
      </c>
    </row>
    <row r="2995" spans="2:11" x14ac:dyDescent="0.45">
      <c r="B2995" s="1" t="s">
        <v>11</v>
      </c>
      <c r="C2995" s="1" t="s">
        <v>2980</v>
      </c>
      <c r="D2995" s="7">
        <v>45465</v>
      </c>
      <c r="E2995" s="7">
        <v>45477</v>
      </c>
      <c r="F2995" s="7">
        <v>45652</v>
      </c>
      <c r="G2995" s="1" t="s">
        <v>22</v>
      </c>
      <c r="H2995" s="8">
        <v>26825758.109999999</v>
      </c>
      <c r="I2995" s="8">
        <v>17033774.530000001</v>
      </c>
      <c r="J2995" s="1">
        <f>IF(COUNTIF($C$4:C2995,C2995)=1,1,0)</f>
        <v>1</v>
      </c>
      <c r="K2995" s="1">
        <f t="shared" si="46"/>
        <v>2024</v>
      </c>
    </row>
    <row r="2996" spans="2:11" x14ac:dyDescent="0.45">
      <c r="B2996" s="1" t="s">
        <v>11</v>
      </c>
      <c r="C2996" s="1" t="s">
        <v>2981</v>
      </c>
      <c r="D2996" s="7">
        <v>45127</v>
      </c>
      <c r="E2996" s="7">
        <v>45129</v>
      </c>
      <c r="F2996" s="7">
        <v>45136</v>
      </c>
      <c r="G2996" s="1" t="s">
        <v>1348</v>
      </c>
      <c r="H2996" s="8">
        <v>20021780.670000002</v>
      </c>
      <c r="I2996" s="8">
        <v>8482315.7100000009</v>
      </c>
      <c r="J2996" s="1">
        <f>IF(COUNTIF($C$4:C2996,C2996)=1,1,0)</f>
        <v>1</v>
      </c>
      <c r="K2996" s="1">
        <f t="shared" si="46"/>
        <v>2023</v>
      </c>
    </row>
    <row r="2997" spans="2:11" x14ac:dyDescent="0.45">
      <c r="B2997" s="1" t="s">
        <v>11</v>
      </c>
      <c r="C2997" s="1" t="s">
        <v>2982</v>
      </c>
      <c r="D2997" s="7">
        <v>44410</v>
      </c>
      <c r="E2997" s="7">
        <v>44427</v>
      </c>
      <c r="F2997" s="7">
        <v>44489</v>
      </c>
      <c r="G2997" s="1" t="s">
        <v>212</v>
      </c>
      <c r="H2997" s="8">
        <v>185884295.05000001</v>
      </c>
      <c r="I2997" s="8">
        <v>100667406.92</v>
      </c>
      <c r="J2997" s="1">
        <f>IF(COUNTIF($C$4:C2997,C2997)=1,1,0)</f>
        <v>1</v>
      </c>
      <c r="K2997" s="1">
        <f t="shared" si="46"/>
        <v>2021</v>
      </c>
    </row>
    <row r="2998" spans="2:11" x14ac:dyDescent="0.45">
      <c r="B2998" s="1" t="s">
        <v>11</v>
      </c>
      <c r="C2998" s="1" t="s">
        <v>2983</v>
      </c>
      <c r="D2998" s="7">
        <v>43588</v>
      </c>
      <c r="E2998" s="7">
        <v>43592</v>
      </c>
      <c r="F2998" s="7">
        <v>43628</v>
      </c>
      <c r="G2998" s="1" t="s">
        <v>1348</v>
      </c>
      <c r="H2998" s="8">
        <v>8748919.2100000009</v>
      </c>
      <c r="I2998" s="8">
        <v>6283039.79</v>
      </c>
      <c r="J2998" s="1">
        <f>IF(COUNTIF($C$4:C2998,C2998)=1,1,0)</f>
        <v>1</v>
      </c>
      <c r="K2998" s="1">
        <f t="shared" si="46"/>
        <v>2019</v>
      </c>
    </row>
    <row r="2999" spans="2:11" x14ac:dyDescent="0.45">
      <c r="B2999" s="1" t="s">
        <v>11</v>
      </c>
      <c r="C2999" s="1" t="s">
        <v>2984</v>
      </c>
      <c r="D2999" s="7">
        <v>44809</v>
      </c>
      <c r="E2999" s="7">
        <v>44815</v>
      </c>
      <c r="F2999" s="7">
        <v>44981</v>
      </c>
      <c r="G2999" s="1" t="s">
        <v>16</v>
      </c>
      <c r="H2999" s="8">
        <v>3216888.34</v>
      </c>
      <c r="I2999" s="8">
        <v>2175587.2400000002</v>
      </c>
      <c r="J2999" s="1">
        <f>IF(COUNTIF($C$4:C2999,C2999)=1,1,0)</f>
        <v>1</v>
      </c>
      <c r="K2999" s="1">
        <f t="shared" si="46"/>
        <v>2022</v>
      </c>
    </row>
    <row r="3000" spans="2:11" x14ac:dyDescent="0.45">
      <c r="B3000" s="1" t="s">
        <v>11</v>
      </c>
      <c r="C3000" s="1" t="s">
        <v>2985</v>
      </c>
      <c r="D3000" s="7">
        <v>44737</v>
      </c>
      <c r="E3000" s="7">
        <v>44738</v>
      </c>
      <c r="F3000" s="7">
        <v>44923</v>
      </c>
      <c r="G3000" s="1" t="s">
        <v>13</v>
      </c>
      <c r="H3000" s="8">
        <v>1283660.83</v>
      </c>
      <c r="I3000" s="8">
        <v>914451.25</v>
      </c>
      <c r="J3000" s="1">
        <f>IF(COUNTIF($C$4:C3000,C3000)=1,1,0)</f>
        <v>1</v>
      </c>
      <c r="K3000" s="1">
        <f t="shared" si="46"/>
        <v>2022</v>
      </c>
    </row>
    <row r="3001" spans="2:11" x14ac:dyDescent="0.45">
      <c r="B3001" s="1" t="s">
        <v>11</v>
      </c>
      <c r="C3001" s="1" t="s">
        <v>2986</v>
      </c>
      <c r="D3001" s="7">
        <v>45308</v>
      </c>
      <c r="E3001" s="7">
        <v>45332</v>
      </c>
      <c r="F3001" s="7">
        <v>45396</v>
      </c>
      <c r="G3001" s="1" t="s">
        <v>20</v>
      </c>
      <c r="H3001" s="8">
        <v>638614.04</v>
      </c>
      <c r="I3001" s="8">
        <v>409045.83</v>
      </c>
      <c r="J3001" s="1">
        <f>IF(COUNTIF($C$4:C3001,C3001)=1,1,0)</f>
        <v>1</v>
      </c>
      <c r="K3001" s="1">
        <f t="shared" si="46"/>
        <v>2024</v>
      </c>
    </row>
    <row r="3002" spans="2:11" x14ac:dyDescent="0.45">
      <c r="B3002" s="1" t="s">
        <v>11</v>
      </c>
      <c r="C3002" s="1" t="s">
        <v>2987</v>
      </c>
      <c r="D3002" s="7">
        <v>45551</v>
      </c>
      <c r="E3002" s="7">
        <v>45579</v>
      </c>
      <c r="F3002" s="7">
        <v>45785</v>
      </c>
      <c r="G3002" s="1" t="s">
        <v>22</v>
      </c>
      <c r="H3002" s="8">
        <v>2630350</v>
      </c>
      <c r="I3002" s="8">
        <v>1478841.37</v>
      </c>
      <c r="J3002" s="1">
        <f>IF(COUNTIF($C$4:C3002,C3002)=1,1,0)</f>
        <v>1</v>
      </c>
      <c r="K3002" s="1">
        <f t="shared" si="46"/>
        <v>2024</v>
      </c>
    </row>
    <row r="3003" spans="2:11" x14ac:dyDescent="0.45">
      <c r="B3003" s="1" t="s">
        <v>11</v>
      </c>
      <c r="C3003" s="1" t="s">
        <v>2988</v>
      </c>
      <c r="D3003" s="7">
        <v>45395</v>
      </c>
      <c r="E3003" s="7">
        <v>45420</v>
      </c>
      <c r="F3003" s="7">
        <v>45519</v>
      </c>
      <c r="G3003" s="1" t="s">
        <v>22</v>
      </c>
      <c r="H3003" s="8">
        <v>80722955.400000006</v>
      </c>
      <c r="I3003" s="8">
        <v>42207813.909999996</v>
      </c>
      <c r="J3003" s="1">
        <f>IF(COUNTIF($C$4:C3003,C3003)=1,1,0)</f>
        <v>1</v>
      </c>
      <c r="K3003" s="1">
        <f t="shared" si="46"/>
        <v>2024</v>
      </c>
    </row>
    <row r="3004" spans="2:11" x14ac:dyDescent="0.45">
      <c r="B3004" s="1" t="s">
        <v>11</v>
      </c>
      <c r="C3004" s="1" t="s">
        <v>2989</v>
      </c>
      <c r="D3004" s="7">
        <v>44777</v>
      </c>
      <c r="E3004" s="7">
        <v>44783</v>
      </c>
      <c r="F3004" s="7">
        <v>44911</v>
      </c>
      <c r="G3004" s="1" t="s">
        <v>1348</v>
      </c>
      <c r="H3004" s="8">
        <v>105120848.59</v>
      </c>
      <c r="I3004" s="8">
        <v>81791534.730000004</v>
      </c>
      <c r="J3004" s="1">
        <f>IF(COUNTIF($C$4:C3004,C3004)=1,1,0)</f>
        <v>1</v>
      </c>
      <c r="K3004" s="1">
        <f t="shared" si="46"/>
        <v>2022</v>
      </c>
    </row>
    <row r="3005" spans="2:11" x14ac:dyDescent="0.45">
      <c r="B3005" s="1" t="s">
        <v>11</v>
      </c>
      <c r="C3005" s="1" t="s">
        <v>2990</v>
      </c>
      <c r="D3005" s="7">
        <v>44545</v>
      </c>
      <c r="E3005" s="7">
        <v>44571</v>
      </c>
      <c r="F3005" s="7">
        <v>44744</v>
      </c>
      <c r="G3005" s="1" t="s">
        <v>13</v>
      </c>
      <c r="H3005" s="8">
        <v>496182.12</v>
      </c>
      <c r="I3005" s="8">
        <v>370213.22</v>
      </c>
      <c r="J3005" s="1">
        <f>IF(COUNTIF($C$4:C3005,C3005)=1,1,0)</f>
        <v>1</v>
      </c>
      <c r="K3005" s="1">
        <f t="shared" si="46"/>
        <v>2021</v>
      </c>
    </row>
    <row r="3006" spans="2:11" x14ac:dyDescent="0.45">
      <c r="B3006" s="1" t="s">
        <v>11</v>
      </c>
      <c r="C3006" s="1" t="s">
        <v>2991</v>
      </c>
      <c r="D3006" s="7">
        <v>44202</v>
      </c>
      <c r="E3006" s="7">
        <v>44220</v>
      </c>
      <c r="F3006" s="7">
        <v>44384</v>
      </c>
      <c r="G3006" s="1" t="s">
        <v>41</v>
      </c>
      <c r="H3006" s="8">
        <v>90368.95</v>
      </c>
      <c r="I3006" s="8">
        <v>64695.03</v>
      </c>
      <c r="J3006" s="1">
        <f>IF(COUNTIF($C$4:C3006,C3006)=1,1,0)</f>
        <v>1</v>
      </c>
      <c r="K3006" s="1">
        <f t="shared" si="46"/>
        <v>2021</v>
      </c>
    </row>
    <row r="3007" spans="2:11" x14ac:dyDescent="0.45">
      <c r="B3007" s="1" t="s">
        <v>11</v>
      </c>
      <c r="C3007" s="1" t="s">
        <v>2992</v>
      </c>
      <c r="D3007" s="7">
        <v>45423</v>
      </c>
      <c r="E3007" s="7">
        <v>45453</v>
      </c>
      <c r="F3007" s="7">
        <v>45613</v>
      </c>
      <c r="G3007" s="1" t="s">
        <v>22</v>
      </c>
      <c r="H3007" s="8">
        <v>10023254.210000001</v>
      </c>
      <c r="I3007" s="8">
        <v>6560693.8899999997</v>
      </c>
      <c r="J3007" s="1">
        <f>IF(COUNTIF($C$4:C3007,C3007)=1,1,0)</f>
        <v>1</v>
      </c>
      <c r="K3007" s="1">
        <f t="shared" si="46"/>
        <v>2024</v>
      </c>
    </row>
    <row r="3008" spans="2:11" x14ac:dyDescent="0.45">
      <c r="B3008" s="1" t="s">
        <v>11</v>
      </c>
      <c r="C3008" s="1" t="s">
        <v>2993</v>
      </c>
      <c r="D3008" s="7">
        <v>46250</v>
      </c>
      <c r="E3008" s="7">
        <v>46265</v>
      </c>
      <c r="F3008" s="7">
        <v>46331</v>
      </c>
      <c r="G3008" s="1" t="s">
        <v>212</v>
      </c>
      <c r="H3008" s="8">
        <v>15221732.470000001</v>
      </c>
      <c r="I3008" s="8">
        <v>7709532.6399999997</v>
      </c>
      <c r="J3008" s="1">
        <f>IF(COUNTIF($C$4:C3008,C3008)=1,1,0)</f>
        <v>1</v>
      </c>
      <c r="K3008" s="1">
        <f t="shared" si="46"/>
        <v>2026</v>
      </c>
    </row>
    <row r="3009" spans="2:11" x14ac:dyDescent="0.45">
      <c r="B3009" s="1" t="s">
        <v>11</v>
      </c>
      <c r="C3009" s="1" t="s">
        <v>2994</v>
      </c>
      <c r="D3009" s="7">
        <v>44671</v>
      </c>
      <c r="E3009" s="7">
        <v>44689</v>
      </c>
      <c r="F3009" s="7">
        <v>44863</v>
      </c>
      <c r="G3009" s="1" t="s">
        <v>22</v>
      </c>
      <c r="H3009" s="8">
        <v>42426743.719999999</v>
      </c>
      <c r="I3009" s="8">
        <v>31928998.300000001</v>
      </c>
      <c r="J3009" s="1">
        <f>IF(COUNTIF($C$4:C3009,C3009)=1,1,0)</f>
        <v>1</v>
      </c>
      <c r="K3009" s="1">
        <f t="shared" si="46"/>
        <v>2022</v>
      </c>
    </row>
    <row r="3010" spans="2:11" x14ac:dyDescent="0.45">
      <c r="B3010" s="1" t="s">
        <v>11</v>
      </c>
      <c r="C3010" s="1" t="s">
        <v>2995</v>
      </c>
      <c r="D3010" s="7">
        <v>43458</v>
      </c>
      <c r="E3010" s="7">
        <v>43474</v>
      </c>
      <c r="F3010" s="7">
        <v>43596</v>
      </c>
      <c r="G3010" s="1" t="s">
        <v>38</v>
      </c>
      <c r="H3010" s="8">
        <v>471588.04</v>
      </c>
      <c r="I3010" s="8">
        <v>386834.89</v>
      </c>
      <c r="J3010" s="1">
        <f>IF(COUNTIF($C$4:C3010,C3010)=1,1,0)</f>
        <v>1</v>
      </c>
      <c r="K3010" s="1">
        <f t="shared" si="46"/>
        <v>2018</v>
      </c>
    </row>
    <row r="3011" spans="2:11" x14ac:dyDescent="0.45">
      <c r="B3011" s="1" t="s">
        <v>11</v>
      </c>
      <c r="C3011" s="1" t="s">
        <v>2996</v>
      </c>
      <c r="D3011" s="7">
        <v>45287</v>
      </c>
      <c r="E3011" s="7">
        <v>45308</v>
      </c>
      <c r="F3011" s="7">
        <v>45396</v>
      </c>
      <c r="G3011" s="1" t="s">
        <v>212</v>
      </c>
      <c r="H3011" s="8">
        <v>72529417.069999993</v>
      </c>
      <c r="I3011" s="8">
        <v>37561414.659999996</v>
      </c>
      <c r="J3011" s="1">
        <f>IF(COUNTIF($C$4:C3011,C3011)=1,1,0)</f>
        <v>1</v>
      </c>
      <c r="K3011" s="1">
        <f t="shared" si="46"/>
        <v>2023</v>
      </c>
    </row>
    <row r="3012" spans="2:11" x14ac:dyDescent="0.45">
      <c r="B3012" s="1" t="s">
        <v>11</v>
      </c>
      <c r="C3012" s="1" t="s">
        <v>2997</v>
      </c>
      <c r="D3012" s="7">
        <v>43487</v>
      </c>
      <c r="E3012" s="7">
        <v>43488</v>
      </c>
      <c r="F3012" s="7">
        <v>43611</v>
      </c>
      <c r="G3012" s="1" t="s">
        <v>41</v>
      </c>
      <c r="H3012" s="8">
        <v>749817.5</v>
      </c>
      <c r="I3012" s="8">
        <v>538765.66</v>
      </c>
      <c r="J3012" s="1">
        <f>IF(COUNTIF($C$4:C3012,C3012)=1,1,0)</f>
        <v>1</v>
      </c>
      <c r="K3012" s="1">
        <f t="shared" si="46"/>
        <v>2019</v>
      </c>
    </row>
    <row r="3013" spans="2:11" x14ac:dyDescent="0.45">
      <c r="B3013" s="1" t="s">
        <v>11</v>
      </c>
      <c r="C3013" s="1" t="s">
        <v>2998</v>
      </c>
      <c r="D3013" s="7">
        <v>44049</v>
      </c>
      <c r="E3013" s="7">
        <v>44050</v>
      </c>
      <c r="F3013" s="7">
        <v>44167</v>
      </c>
      <c r="G3013" s="1" t="s">
        <v>44</v>
      </c>
      <c r="H3013" s="8">
        <v>10922321.92</v>
      </c>
      <c r="I3013" s="8">
        <v>5765267.0300000003</v>
      </c>
      <c r="J3013" s="1">
        <f>IF(COUNTIF($C$4:C3013,C3013)=1,1,0)</f>
        <v>1</v>
      </c>
      <c r="K3013" s="1">
        <f t="shared" ref="K3013:K3076" si="47">YEAR(D3013)</f>
        <v>2020</v>
      </c>
    </row>
    <row r="3014" spans="2:11" x14ac:dyDescent="0.45">
      <c r="B3014" s="1" t="s">
        <v>11</v>
      </c>
      <c r="C3014" s="1" t="s">
        <v>2999</v>
      </c>
      <c r="D3014" s="7">
        <v>45704</v>
      </c>
      <c r="E3014" s="7">
        <v>45709</v>
      </c>
      <c r="F3014" s="7">
        <v>45854</v>
      </c>
      <c r="G3014" s="1" t="s">
        <v>13</v>
      </c>
      <c r="H3014" s="8">
        <v>539298.62</v>
      </c>
      <c r="I3014" s="8">
        <v>426368.08</v>
      </c>
      <c r="J3014" s="1">
        <f>IF(COUNTIF($C$4:C3014,C3014)=1,1,0)</f>
        <v>1</v>
      </c>
      <c r="K3014" s="1">
        <f t="shared" si="47"/>
        <v>2025</v>
      </c>
    </row>
    <row r="3015" spans="2:11" x14ac:dyDescent="0.45">
      <c r="B3015" s="1" t="s">
        <v>11</v>
      </c>
      <c r="C3015" s="1" t="s">
        <v>3000</v>
      </c>
      <c r="D3015" s="7">
        <v>46128</v>
      </c>
      <c r="E3015" s="7">
        <v>46157</v>
      </c>
      <c r="F3015" s="7">
        <v>46230</v>
      </c>
      <c r="G3015" s="1" t="s">
        <v>41</v>
      </c>
      <c r="H3015" s="8">
        <v>154386.29999999999</v>
      </c>
      <c r="I3015" s="8">
        <v>131105.89000000001</v>
      </c>
      <c r="J3015" s="1">
        <f>IF(COUNTIF($C$4:C3015,C3015)=1,1,0)</f>
        <v>1</v>
      </c>
      <c r="K3015" s="1">
        <f t="shared" si="47"/>
        <v>2026</v>
      </c>
    </row>
    <row r="3016" spans="2:11" x14ac:dyDescent="0.45">
      <c r="B3016" s="1" t="s">
        <v>11</v>
      </c>
      <c r="C3016" s="1" t="s">
        <v>1307</v>
      </c>
      <c r="D3016" s="7">
        <v>44234</v>
      </c>
      <c r="E3016" s="7">
        <v>44234</v>
      </c>
      <c r="F3016" s="7">
        <v>44465</v>
      </c>
      <c r="G3016" s="1" t="s">
        <v>38</v>
      </c>
      <c r="H3016" s="8">
        <v>532870.07999999996</v>
      </c>
      <c r="I3016" s="8">
        <v>430135.66</v>
      </c>
      <c r="J3016" s="1">
        <f>IF(COUNTIF($C$4:C3016,C3016)=1,1,0)</f>
        <v>0</v>
      </c>
      <c r="K3016" s="1">
        <f t="shared" si="47"/>
        <v>2021</v>
      </c>
    </row>
    <row r="3017" spans="2:11" x14ac:dyDescent="0.45">
      <c r="B3017" s="1" t="s">
        <v>11</v>
      </c>
      <c r="C3017" s="1" t="s">
        <v>3001</v>
      </c>
      <c r="D3017" s="7">
        <v>44016</v>
      </c>
      <c r="E3017" s="7">
        <v>44022</v>
      </c>
      <c r="F3017" s="7">
        <v>44042</v>
      </c>
      <c r="G3017" s="1" t="s">
        <v>212</v>
      </c>
      <c r="H3017" s="8">
        <v>9732508.4000000004</v>
      </c>
      <c r="I3017" s="8">
        <v>6724973.0199999996</v>
      </c>
      <c r="J3017" s="1">
        <f>IF(COUNTIF($C$4:C3017,C3017)=1,1,0)</f>
        <v>1</v>
      </c>
      <c r="K3017" s="1">
        <f t="shared" si="47"/>
        <v>2020</v>
      </c>
    </row>
    <row r="3018" spans="2:11" x14ac:dyDescent="0.45">
      <c r="B3018" s="1" t="s">
        <v>11</v>
      </c>
      <c r="C3018" s="1" t="s">
        <v>3002</v>
      </c>
      <c r="D3018" s="7">
        <v>45650</v>
      </c>
      <c r="E3018" s="7">
        <v>45663</v>
      </c>
      <c r="F3018" s="7">
        <v>45790</v>
      </c>
      <c r="G3018" s="1" t="s">
        <v>18</v>
      </c>
      <c r="H3018" s="8">
        <v>2484565.2200000002</v>
      </c>
      <c r="I3018" s="8">
        <v>1941182.7</v>
      </c>
      <c r="J3018" s="1">
        <f>IF(COUNTIF($C$4:C3018,C3018)=1,1,0)</f>
        <v>1</v>
      </c>
      <c r="K3018" s="1">
        <f t="shared" si="47"/>
        <v>2024</v>
      </c>
    </row>
    <row r="3019" spans="2:11" x14ac:dyDescent="0.45">
      <c r="B3019" s="1" t="s">
        <v>11</v>
      </c>
      <c r="C3019" s="1" t="s">
        <v>3003</v>
      </c>
      <c r="D3019" s="7">
        <v>44848</v>
      </c>
      <c r="E3019" s="7">
        <v>44867</v>
      </c>
      <c r="F3019" s="7">
        <v>45051</v>
      </c>
      <c r="G3019" s="1" t="s">
        <v>1348</v>
      </c>
      <c r="H3019" s="8">
        <v>159032377.84999999</v>
      </c>
      <c r="I3019" s="8">
        <v>51292464.270000003</v>
      </c>
      <c r="J3019" s="1">
        <f>IF(COUNTIF($C$4:C3019,C3019)=1,1,0)</f>
        <v>1</v>
      </c>
      <c r="K3019" s="1">
        <f t="shared" si="47"/>
        <v>2022</v>
      </c>
    </row>
    <row r="3020" spans="2:11" x14ac:dyDescent="0.45">
      <c r="B3020" s="1" t="s">
        <v>11</v>
      </c>
      <c r="C3020" s="1" t="s">
        <v>3004</v>
      </c>
      <c r="D3020" s="7">
        <v>45905</v>
      </c>
      <c r="E3020" s="7">
        <v>45927</v>
      </c>
      <c r="F3020" s="7">
        <v>45996</v>
      </c>
      <c r="G3020" s="1" t="s">
        <v>41</v>
      </c>
      <c r="H3020" s="8">
        <v>1850120.6</v>
      </c>
      <c r="I3020" s="8">
        <v>1334376.75</v>
      </c>
      <c r="J3020" s="1">
        <f>IF(COUNTIF($C$4:C3020,C3020)=1,1,0)</f>
        <v>1</v>
      </c>
      <c r="K3020" s="1">
        <f t="shared" si="47"/>
        <v>2025</v>
      </c>
    </row>
    <row r="3021" spans="2:11" x14ac:dyDescent="0.45">
      <c r="B3021" s="1" t="s">
        <v>11</v>
      </c>
      <c r="C3021" s="1" t="s">
        <v>3005</v>
      </c>
      <c r="D3021" s="7">
        <v>46092</v>
      </c>
      <c r="E3021" s="7">
        <v>46112</v>
      </c>
      <c r="F3021" s="7">
        <v>46296</v>
      </c>
      <c r="G3021" s="1" t="s">
        <v>18</v>
      </c>
      <c r="H3021" s="8">
        <v>2537466.27</v>
      </c>
      <c r="I3021" s="8">
        <v>2117350.84</v>
      </c>
      <c r="J3021" s="1">
        <f>IF(COUNTIF($C$4:C3021,C3021)=1,1,0)</f>
        <v>1</v>
      </c>
      <c r="K3021" s="1">
        <f t="shared" si="47"/>
        <v>2026</v>
      </c>
    </row>
    <row r="3022" spans="2:11" x14ac:dyDescent="0.45">
      <c r="B3022" s="1" t="s">
        <v>11</v>
      </c>
      <c r="C3022" s="1" t="s">
        <v>3006</v>
      </c>
      <c r="D3022" s="7">
        <v>45373</v>
      </c>
      <c r="E3022" s="7">
        <v>45398</v>
      </c>
      <c r="F3022" s="7">
        <v>45458</v>
      </c>
      <c r="G3022" s="1" t="s">
        <v>18</v>
      </c>
      <c r="H3022" s="8">
        <v>1453917.85</v>
      </c>
      <c r="I3022" s="8">
        <v>1024169.26</v>
      </c>
      <c r="J3022" s="1">
        <f>IF(COUNTIF($C$4:C3022,C3022)=1,1,0)</f>
        <v>1</v>
      </c>
      <c r="K3022" s="1">
        <f t="shared" si="47"/>
        <v>2024</v>
      </c>
    </row>
    <row r="3023" spans="2:11" x14ac:dyDescent="0.45">
      <c r="B3023" s="1" t="s">
        <v>11</v>
      </c>
      <c r="C3023" s="1" t="s">
        <v>3007</v>
      </c>
      <c r="D3023" s="7">
        <v>43944</v>
      </c>
      <c r="E3023" s="7">
        <v>43967</v>
      </c>
      <c r="F3023" s="7">
        <v>44125</v>
      </c>
      <c r="G3023" s="1" t="s">
        <v>1348</v>
      </c>
      <c r="H3023" s="8">
        <v>47470674.399999999</v>
      </c>
      <c r="I3023" s="8">
        <v>26003233.780000001</v>
      </c>
      <c r="J3023" s="1">
        <f>IF(COUNTIF($C$4:C3023,C3023)=1,1,0)</f>
        <v>1</v>
      </c>
      <c r="K3023" s="1">
        <f t="shared" si="47"/>
        <v>2020</v>
      </c>
    </row>
    <row r="3024" spans="2:11" x14ac:dyDescent="0.45">
      <c r="B3024" s="1" t="s">
        <v>11</v>
      </c>
      <c r="C3024" s="1" t="s">
        <v>3008</v>
      </c>
      <c r="D3024" s="7">
        <v>44337</v>
      </c>
      <c r="E3024" s="7">
        <v>44361</v>
      </c>
      <c r="F3024" s="7">
        <v>44566</v>
      </c>
      <c r="G3024" s="1" t="s">
        <v>20</v>
      </c>
      <c r="H3024" s="8">
        <v>806151.16</v>
      </c>
      <c r="I3024" s="8">
        <v>440216.09</v>
      </c>
      <c r="J3024" s="1">
        <f>IF(COUNTIF($C$4:C3024,C3024)=1,1,0)</f>
        <v>1</v>
      </c>
      <c r="K3024" s="1">
        <f t="shared" si="47"/>
        <v>2021</v>
      </c>
    </row>
    <row r="3025" spans="2:11" x14ac:dyDescent="0.45">
      <c r="B3025" s="1" t="s">
        <v>11</v>
      </c>
      <c r="C3025" s="1" t="s">
        <v>3009</v>
      </c>
      <c r="D3025" s="7">
        <v>44383</v>
      </c>
      <c r="E3025" s="7">
        <v>44391</v>
      </c>
      <c r="F3025" s="7">
        <v>44629</v>
      </c>
      <c r="G3025" s="1" t="s">
        <v>44</v>
      </c>
      <c r="H3025" s="8">
        <v>411552238.25</v>
      </c>
      <c r="I3025" s="8">
        <v>262311217.65000001</v>
      </c>
      <c r="J3025" s="1">
        <f>IF(COUNTIF($C$4:C3025,C3025)=1,1,0)</f>
        <v>1</v>
      </c>
      <c r="K3025" s="1">
        <f t="shared" si="47"/>
        <v>2021</v>
      </c>
    </row>
    <row r="3026" spans="2:11" x14ac:dyDescent="0.45">
      <c r="B3026" s="1" t="s">
        <v>11</v>
      </c>
      <c r="C3026" s="1" t="s">
        <v>3010</v>
      </c>
      <c r="D3026" s="7">
        <v>44971</v>
      </c>
      <c r="E3026" s="7">
        <v>44999</v>
      </c>
      <c r="F3026" s="7">
        <v>45108</v>
      </c>
      <c r="G3026" s="1" t="s">
        <v>212</v>
      </c>
      <c r="H3026" s="8">
        <v>135237792.25999999</v>
      </c>
      <c r="I3026" s="8">
        <v>62770534.460000001</v>
      </c>
      <c r="J3026" s="1">
        <f>IF(COUNTIF($C$4:C3026,C3026)=1,1,0)</f>
        <v>1</v>
      </c>
      <c r="K3026" s="1">
        <f t="shared" si="47"/>
        <v>2023</v>
      </c>
    </row>
    <row r="3027" spans="2:11" x14ac:dyDescent="0.45">
      <c r="B3027" s="1" t="s">
        <v>11</v>
      </c>
      <c r="C3027" s="1" t="s">
        <v>3011</v>
      </c>
      <c r="D3027" s="7">
        <v>44706</v>
      </c>
      <c r="E3027" s="7">
        <v>44729</v>
      </c>
      <c r="F3027" s="7">
        <v>44826</v>
      </c>
      <c r="G3027" s="1" t="s">
        <v>212</v>
      </c>
      <c r="H3027" s="8">
        <v>13549561.34</v>
      </c>
      <c r="I3027" s="8">
        <v>5114266.51</v>
      </c>
      <c r="J3027" s="1">
        <f>IF(COUNTIF($C$4:C3027,C3027)=1,1,0)</f>
        <v>1</v>
      </c>
      <c r="K3027" s="1">
        <f t="shared" si="47"/>
        <v>2022</v>
      </c>
    </row>
    <row r="3028" spans="2:11" x14ac:dyDescent="0.45">
      <c r="B3028" s="1" t="s">
        <v>11</v>
      </c>
      <c r="C3028" s="1" t="s">
        <v>3012</v>
      </c>
      <c r="D3028" s="7">
        <v>43812</v>
      </c>
      <c r="E3028" s="7">
        <v>43816</v>
      </c>
      <c r="F3028" s="7">
        <v>43949</v>
      </c>
      <c r="G3028" s="1" t="s">
        <v>212</v>
      </c>
      <c r="H3028" s="8">
        <v>64772833.5</v>
      </c>
      <c r="I3028" s="8">
        <v>43331264.359999999</v>
      </c>
      <c r="J3028" s="1">
        <f>IF(COUNTIF($C$4:C3028,C3028)=1,1,0)</f>
        <v>1</v>
      </c>
      <c r="K3028" s="1">
        <f t="shared" si="47"/>
        <v>2019</v>
      </c>
    </row>
    <row r="3029" spans="2:11" x14ac:dyDescent="0.45">
      <c r="B3029" s="1" t="s">
        <v>11</v>
      </c>
      <c r="C3029" s="1" t="s">
        <v>3013</v>
      </c>
      <c r="D3029" s="7">
        <v>43660</v>
      </c>
      <c r="E3029" s="7">
        <v>43675</v>
      </c>
      <c r="F3029" s="7">
        <v>43873</v>
      </c>
      <c r="G3029" s="1" t="s">
        <v>13</v>
      </c>
      <c r="H3029" s="8">
        <v>291508.23</v>
      </c>
      <c r="I3029" s="8">
        <v>222857.55</v>
      </c>
      <c r="J3029" s="1">
        <f>IF(COUNTIF($C$4:C3029,C3029)=1,1,0)</f>
        <v>1</v>
      </c>
      <c r="K3029" s="1">
        <f t="shared" si="47"/>
        <v>2019</v>
      </c>
    </row>
    <row r="3030" spans="2:11" x14ac:dyDescent="0.45">
      <c r="B3030" s="1" t="s">
        <v>11</v>
      </c>
      <c r="C3030" s="1" t="s">
        <v>3014</v>
      </c>
      <c r="D3030" s="7">
        <v>44240</v>
      </c>
      <c r="E3030" s="7">
        <v>44261</v>
      </c>
      <c r="F3030" s="7">
        <v>44299</v>
      </c>
      <c r="G3030" s="1" t="s">
        <v>16</v>
      </c>
      <c r="H3030" s="8">
        <v>268603.07</v>
      </c>
      <c r="I3030" s="8">
        <v>182209.04</v>
      </c>
      <c r="J3030" s="1">
        <f>IF(COUNTIF($C$4:C3030,C3030)=1,1,0)</f>
        <v>1</v>
      </c>
      <c r="K3030" s="1">
        <f t="shared" si="47"/>
        <v>2021</v>
      </c>
    </row>
    <row r="3031" spans="2:11" x14ac:dyDescent="0.45">
      <c r="B3031" s="1" t="s">
        <v>11</v>
      </c>
      <c r="C3031" s="1" t="s">
        <v>3015</v>
      </c>
      <c r="D3031" s="7">
        <v>45975</v>
      </c>
      <c r="E3031" s="7">
        <v>45988</v>
      </c>
      <c r="F3031" s="7">
        <v>46105</v>
      </c>
      <c r="G3031" s="1" t="s">
        <v>41</v>
      </c>
      <c r="H3031" s="8">
        <v>322607.52</v>
      </c>
      <c r="I3031" s="8">
        <v>254283.11</v>
      </c>
      <c r="J3031" s="1">
        <f>IF(COUNTIF($C$4:C3031,C3031)=1,1,0)</f>
        <v>1</v>
      </c>
      <c r="K3031" s="1">
        <f t="shared" si="47"/>
        <v>2025</v>
      </c>
    </row>
    <row r="3032" spans="2:11" x14ac:dyDescent="0.45">
      <c r="B3032" s="1" t="s">
        <v>11</v>
      </c>
      <c r="C3032" s="1" t="s">
        <v>3016</v>
      </c>
      <c r="D3032" s="7">
        <v>43389</v>
      </c>
      <c r="E3032" s="7">
        <v>43415</v>
      </c>
      <c r="F3032" s="7">
        <v>43441</v>
      </c>
      <c r="G3032" s="1" t="s">
        <v>1348</v>
      </c>
      <c r="H3032" s="8">
        <v>16786716.460000001</v>
      </c>
      <c r="I3032" s="8">
        <v>6426896.3099999996</v>
      </c>
      <c r="J3032" s="1">
        <f>IF(COUNTIF($C$4:C3032,C3032)=1,1,0)</f>
        <v>1</v>
      </c>
      <c r="K3032" s="1">
        <f t="shared" si="47"/>
        <v>2018</v>
      </c>
    </row>
    <row r="3033" spans="2:11" x14ac:dyDescent="0.45">
      <c r="B3033" s="1" t="s">
        <v>11</v>
      </c>
      <c r="C3033" s="1" t="s">
        <v>3017</v>
      </c>
      <c r="D3033" s="7">
        <v>45933</v>
      </c>
      <c r="E3033" s="7">
        <v>45961</v>
      </c>
      <c r="F3033" s="7">
        <v>46052</v>
      </c>
      <c r="G3033" s="1" t="s">
        <v>41</v>
      </c>
      <c r="H3033" s="8">
        <v>67121.58</v>
      </c>
      <c r="I3033" s="8">
        <v>49472.91</v>
      </c>
      <c r="J3033" s="1">
        <f>IF(COUNTIF($C$4:C3033,C3033)=1,1,0)</f>
        <v>1</v>
      </c>
      <c r="K3033" s="1">
        <f t="shared" si="47"/>
        <v>2025</v>
      </c>
    </row>
    <row r="3034" spans="2:11" x14ac:dyDescent="0.45">
      <c r="B3034" s="1" t="s">
        <v>11</v>
      </c>
      <c r="C3034" s="1" t="s">
        <v>3018</v>
      </c>
      <c r="D3034" s="7">
        <v>44389</v>
      </c>
      <c r="E3034" s="7">
        <v>44404</v>
      </c>
      <c r="F3034" s="7">
        <v>44420</v>
      </c>
      <c r="G3034" s="1" t="s">
        <v>16</v>
      </c>
      <c r="H3034" s="8">
        <v>6237316.6299999999</v>
      </c>
      <c r="I3034" s="8">
        <v>3673190.93</v>
      </c>
      <c r="J3034" s="1">
        <f>IF(COUNTIF($C$4:C3034,C3034)=1,1,0)</f>
        <v>1</v>
      </c>
      <c r="K3034" s="1">
        <f t="shared" si="47"/>
        <v>2021</v>
      </c>
    </row>
    <row r="3035" spans="2:11" x14ac:dyDescent="0.45">
      <c r="B3035" s="1" t="s">
        <v>11</v>
      </c>
      <c r="C3035" s="1" t="s">
        <v>3019</v>
      </c>
      <c r="D3035" s="7">
        <v>44559</v>
      </c>
      <c r="E3035" s="7">
        <v>44577</v>
      </c>
      <c r="F3035" s="7">
        <v>44767</v>
      </c>
      <c r="G3035" s="1" t="s">
        <v>13</v>
      </c>
      <c r="H3035" s="8">
        <v>148648.26</v>
      </c>
      <c r="I3035" s="8">
        <v>128734.76</v>
      </c>
      <c r="J3035" s="1">
        <f>IF(COUNTIF($C$4:C3035,C3035)=1,1,0)</f>
        <v>1</v>
      </c>
      <c r="K3035" s="1">
        <f t="shared" si="47"/>
        <v>2021</v>
      </c>
    </row>
    <row r="3036" spans="2:11" x14ac:dyDescent="0.45">
      <c r="B3036" s="1" t="s">
        <v>11</v>
      </c>
      <c r="C3036" s="1" t="s">
        <v>3020</v>
      </c>
      <c r="D3036" s="7">
        <v>44359</v>
      </c>
      <c r="E3036" s="7">
        <v>44377</v>
      </c>
      <c r="F3036" s="7">
        <v>44603</v>
      </c>
      <c r="G3036" s="1" t="s">
        <v>1348</v>
      </c>
      <c r="H3036" s="8">
        <v>1744607.63</v>
      </c>
      <c r="I3036" s="8">
        <v>804357.63</v>
      </c>
      <c r="J3036" s="1">
        <f>IF(COUNTIF($C$4:C3036,C3036)=1,1,0)</f>
        <v>1</v>
      </c>
      <c r="K3036" s="1">
        <f t="shared" si="47"/>
        <v>2021</v>
      </c>
    </row>
    <row r="3037" spans="2:11" x14ac:dyDescent="0.45">
      <c r="B3037" s="1" t="s">
        <v>11</v>
      </c>
      <c r="C3037" s="1" t="s">
        <v>3021</v>
      </c>
      <c r="D3037" s="7">
        <v>45035</v>
      </c>
      <c r="E3037" s="7">
        <v>45049</v>
      </c>
      <c r="F3037" s="7">
        <v>45251</v>
      </c>
      <c r="G3037" s="1" t="s">
        <v>13</v>
      </c>
      <c r="H3037" s="8">
        <v>1651505.65</v>
      </c>
      <c r="I3037" s="8">
        <v>1060763.03</v>
      </c>
      <c r="J3037" s="1">
        <f>IF(COUNTIF($C$4:C3037,C3037)=1,1,0)</f>
        <v>1</v>
      </c>
      <c r="K3037" s="1">
        <f t="shared" si="47"/>
        <v>2023</v>
      </c>
    </row>
    <row r="3038" spans="2:11" x14ac:dyDescent="0.45">
      <c r="B3038" s="1" t="s">
        <v>11</v>
      </c>
      <c r="C3038" s="1" t="s">
        <v>3022</v>
      </c>
      <c r="D3038" s="7">
        <v>44897</v>
      </c>
      <c r="E3038" s="7">
        <v>44907</v>
      </c>
      <c r="F3038" s="7">
        <v>45136</v>
      </c>
      <c r="G3038" s="1" t="s">
        <v>41</v>
      </c>
      <c r="H3038" s="8">
        <v>1698146.35</v>
      </c>
      <c r="I3038" s="8">
        <v>1196380.76</v>
      </c>
      <c r="J3038" s="1">
        <f>IF(COUNTIF($C$4:C3038,C3038)=1,1,0)</f>
        <v>1</v>
      </c>
      <c r="K3038" s="1">
        <f t="shared" si="47"/>
        <v>2022</v>
      </c>
    </row>
    <row r="3039" spans="2:11" x14ac:dyDescent="0.45">
      <c r="B3039" s="1" t="s">
        <v>11</v>
      </c>
      <c r="C3039" s="1" t="s">
        <v>3023</v>
      </c>
      <c r="D3039" s="7">
        <v>43720</v>
      </c>
      <c r="E3039" s="7">
        <v>43726</v>
      </c>
      <c r="F3039" s="7">
        <v>43937</v>
      </c>
      <c r="G3039" s="1" t="s">
        <v>212</v>
      </c>
      <c r="H3039" s="8">
        <v>9907335.5199999996</v>
      </c>
      <c r="I3039" s="8">
        <v>5712699.1799999997</v>
      </c>
      <c r="J3039" s="1">
        <f>IF(COUNTIF($C$4:C3039,C3039)=1,1,0)</f>
        <v>1</v>
      </c>
      <c r="K3039" s="1">
        <f t="shared" si="47"/>
        <v>2019</v>
      </c>
    </row>
    <row r="3040" spans="2:11" x14ac:dyDescent="0.45">
      <c r="B3040" s="1" t="s">
        <v>11</v>
      </c>
      <c r="C3040" s="1" t="s">
        <v>3024</v>
      </c>
      <c r="D3040" s="7">
        <v>43549</v>
      </c>
      <c r="E3040" s="7">
        <v>43567</v>
      </c>
      <c r="F3040" s="7">
        <v>43714</v>
      </c>
      <c r="G3040" s="1" t="s">
        <v>13</v>
      </c>
      <c r="H3040" s="8">
        <v>371239.02</v>
      </c>
      <c r="I3040" s="8">
        <v>267804.05</v>
      </c>
      <c r="J3040" s="1">
        <f>IF(COUNTIF($C$4:C3040,C3040)=1,1,0)</f>
        <v>1</v>
      </c>
      <c r="K3040" s="1">
        <f t="shared" si="47"/>
        <v>2019</v>
      </c>
    </row>
    <row r="3041" spans="2:11" x14ac:dyDescent="0.45">
      <c r="B3041" s="1" t="s">
        <v>11</v>
      </c>
      <c r="C3041" s="1" t="s">
        <v>3025</v>
      </c>
      <c r="D3041" s="7">
        <v>43928</v>
      </c>
      <c r="E3041" s="7">
        <v>43933</v>
      </c>
      <c r="F3041" s="7">
        <v>43961</v>
      </c>
      <c r="G3041" s="1" t="s">
        <v>20</v>
      </c>
      <c r="H3041" s="8">
        <v>621994.94999999995</v>
      </c>
      <c r="I3041" s="8">
        <v>470254.69</v>
      </c>
      <c r="J3041" s="1">
        <f>IF(COUNTIF($C$4:C3041,C3041)=1,1,0)</f>
        <v>1</v>
      </c>
      <c r="K3041" s="1">
        <f t="shared" si="47"/>
        <v>2020</v>
      </c>
    </row>
    <row r="3042" spans="2:11" x14ac:dyDescent="0.45">
      <c r="B3042" s="1" t="s">
        <v>11</v>
      </c>
      <c r="C3042" s="1" t="s">
        <v>3026</v>
      </c>
      <c r="D3042" s="7">
        <v>45523</v>
      </c>
      <c r="E3042" s="7">
        <v>45541</v>
      </c>
      <c r="F3042" s="7">
        <v>45604</v>
      </c>
      <c r="G3042" s="1" t="s">
        <v>38</v>
      </c>
      <c r="H3042" s="8">
        <v>559788.35</v>
      </c>
      <c r="I3042" s="8">
        <v>424308.81</v>
      </c>
      <c r="J3042" s="1">
        <f>IF(COUNTIF($C$4:C3042,C3042)=1,1,0)</f>
        <v>1</v>
      </c>
      <c r="K3042" s="1">
        <f t="shared" si="47"/>
        <v>2024</v>
      </c>
    </row>
    <row r="3043" spans="2:11" x14ac:dyDescent="0.45">
      <c r="B3043" s="1" t="s">
        <v>11</v>
      </c>
      <c r="C3043" s="1" t="s">
        <v>3027</v>
      </c>
      <c r="D3043" s="7">
        <v>43551</v>
      </c>
      <c r="E3043" s="7">
        <v>43557</v>
      </c>
      <c r="F3043" s="7">
        <v>43755</v>
      </c>
      <c r="G3043" s="1" t="s">
        <v>38</v>
      </c>
      <c r="H3043" s="8">
        <v>858435.01</v>
      </c>
      <c r="I3043" s="8">
        <v>677981.42</v>
      </c>
      <c r="J3043" s="1">
        <f>IF(COUNTIF($C$4:C3043,C3043)=1,1,0)</f>
        <v>1</v>
      </c>
      <c r="K3043" s="1">
        <f t="shared" si="47"/>
        <v>2019</v>
      </c>
    </row>
    <row r="3044" spans="2:11" x14ac:dyDescent="0.45">
      <c r="B3044" s="1" t="s">
        <v>11</v>
      </c>
      <c r="C3044" s="1" t="s">
        <v>3028</v>
      </c>
      <c r="D3044" s="7">
        <v>44898</v>
      </c>
      <c r="E3044" s="7">
        <v>44926</v>
      </c>
      <c r="F3044" s="7">
        <v>45107</v>
      </c>
      <c r="G3044" s="1" t="s">
        <v>16</v>
      </c>
      <c r="H3044" s="8">
        <v>445407.84</v>
      </c>
      <c r="I3044" s="8">
        <v>254484.08</v>
      </c>
      <c r="J3044" s="1">
        <f>IF(COUNTIF($C$4:C3044,C3044)=1,1,0)</f>
        <v>1</v>
      </c>
      <c r="K3044" s="1">
        <f t="shared" si="47"/>
        <v>2022</v>
      </c>
    </row>
    <row r="3045" spans="2:11" x14ac:dyDescent="0.45">
      <c r="B3045" s="1" t="s">
        <v>11</v>
      </c>
      <c r="C3045" s="1" t="s">
        <v>3029</v>
      </c>
      <c r="D3045" s="7">
        <v>43800</v>
      </c>
      <c r="E3045" s="7">
        <v>43821</v>
      </c>
      <c r="F3045" s="7">
        <v>43914</v>
      </c>
      <c r="G3045" s="1" t="s">
        <v>18</v>
      </c>
      <c r="H3045" s="8">
        <v>1112451.28</v>
      </c>
      <c r="I3045" s="8">
        <v>802522.35</v>
      </c>
      <c r="J3045" s="1">
        <f>IF(COUNTIF($C$4:C3045,C3045)=1,1,0)</f>
        <v>1</v>
      </c>
      <c r="K3045" s="1">
        <f t="shared" si="47"/>
        <v>2019</v>
      </c>
    </row>
    <row r="3046" spans="2:11" x14ac:dyDescent="0.45">
      <c r="B3046" s="1" t="s">
        <v>11</v>
      </c>
      <c r="C3046" s="1" t="s">
        <v>3030</v>
      </c>
      <c r="D3046" s="7">
        <v>46175</v>
      </c>
      <c r="E3046" s="7">
        <v>46195</v>
      </c>
      <c r="F3046" s="7">
        <v>46325</v>
      </c>
      <c r="G3046" s="1" t="s">
        <v>44</v>
      </c>
      <c r="H3046" s="8">
        <v>22147064.32</v>
      </c>
      <c r="I3046" s="8">
        <v>15708405.75</v>
      </c>
      <c r="J3046" s="1">
        <f>IF(COUNTIF($C$4:C3046,C3046)=1,1,0)</f>
        <v>1</v>
      </c>
      <c r="K3046" s="1">
        <f t="shared" si="47"/>
        <v>2026</v>
      </c>
    </row>
    <row r="3047" spans="2:11" x14ac:dyDescent="0.45">
      <c r="B3047" s="1" t="s">
        <v>11</v>
      </c>
      <c r="C3047" s="1" t="s">
        <v>3031</v>
      </c>
      <c r="D3047" s="7">
        <v>45017</v>
      </c>
      <c r="E3047" s="7">
        <v>45024</v>
      </c>
      <c r="F3047" s="7">
        <v>45199</v>
      </c>
      <c r="G3047" s="1" t="s">
        <v>41</v>
      </c>
      <c r="H3047" s="8">
        <v>8903.59</v>
      </c>
      <c r="I3047" s="8">
        <v>7968.9</v>
      </c>
      <c r="J3047" s="1">
        <f>IF(COUNTIF($C$4:C3047,C3047)=1,1,0)</f>
        <v>1</v>
      </c>
      <c r="K3047" s="1">
        <f t="shared" si="47"/>
        <v>2023</v>
      </c>
    </row>
    <row r="3048" spans="2:11" x14ac:dyDescent="0.45">
      <c r="B3048" s="1" t="s">
        <v>11</v>
      </c>
      <c r="C3048" s="1" t="s">
        <v>3032</v>
      </c>
      <c r="D3048" s="7">
        <v>44720</v>
      </c>
      <c r="E3048" s="7">
        <v>44738</v>
      </c>
      <c r="F3048" s="7">
        <v>44836</v>
      </c>
      <c r="G3048" s="1" t="s">
        <v>22</v>
      </c>
      <c r="H3048" s="8">
        <v>3238354.65</v>
      </c>
      <c r="I3048" s="8">
        <v>2257858.9700000002</v>
      </c>
      <c r="J3048" s="1">
        <f>IF(COUNTIF($C$4:C3048,C3048)=1,1,0)</f>
        <v>1</v>
      </c>
      <c r="K3048" s="1">
        <f t="shared" si="47"/>
        <v>2022</v>
      </c>
    </row>
    <row r="3049" spans="2:11" x14ac:dyDescent="0.45">
      <c r="B3049" s="1" t="s">
        <v>11</v>
      </c>
      <c r="C3049" s="1" t="s">
        <v>3033</v>
      </c>
      <c r="D3049" s="7">
        <v>44284</v>
      </c>
      <c r="E3049" s="7">
        <v>44309</v>
      </c>
      <c r="F3049" s="7">
        <v>44462</v>
      </c>
      <c r="G3049" s="1" t="s">
        <v>38</v>
      </c>
      <c r="H3049" s="8">
        <v>1151747.48</v>
      </c>
      <c r="I3049" s="8">
        <v>774734.57</v>
      </c>
      <c r="J3049" s="1">
        <f>IF(COUNTIF($C$4:C3049,C3049)=1,1,0)</f>
        <v>1</v>
      </c>
      <c r="K3049" s="1">
        <f t="shared" si="47"/>
        <v>2021</v>
      </c>
    </row>
    <row r="3050" spans="2:11" x14ac:dyDescent="0.45">
      <c r="B3050" s="1" t="s">
        <v>11</v>
      </c>
      <c r="C3050" s="1" t="s">
        <v>3034</v>
      </c>
      <c r="D3050" s="7">
        <v>45415</v>
      </c>
      <c r="E3050" s="7">
        <v>45440</v>
      </c>
      <c r="F3050" s="7">
        <v>45571</v>
      </c>
      <c r="G3050" s="1" t="s">
        <v>41</v>
      </c>
      <c r="H3050" s="8">
        <v>84069.89</v>
      </c>
      <c r="I3050" s="8">
        <v>72313.149999999994</v>
      </c>
      <c r="J3050" s="1">
        <f>IF(COUNTIF($C$4:C3050,C3050)=1,1,0)</f>
        <v>1</v>
      </c>
      <c r="K3050" s="1">
        <f t="shared" si="47"/>
        <v>2024</v>
      </c>
    </row>
    <row r="3051" spans="2:11" x14ac:dyDescent="0.45">
      <c r="B3051" s="1" t="s">
        <v>11</v>
      </c>
      <c r="C3051" s="1" t="s">
        <v>3035</v>
      </c>
      <c r="D3051" s="7">
        <v>44881</v>
      </c>
      <c r="E3051" s="7">
        <v>44886</v>
      </c>
      <c r="F3051" s="7">
        <v>44896</v>
      </c>
      <c r="G3051" s="1" t="s">
        <v>41</v>
      </c>
      <c r="H3051" s="8">
        <v>29181.14</v>
      </c>
      <c r="I3051" s="8">
        <v>25667.01</v>
      </c>
      <c r="J3051" s="1">
        <f>IF(COUNTIF($C$4:C3051,C3051)=1,1,0)</f>
        <v>1</v>
      </c>
      <c r="K3051" s="1">
        <f t="shared" si="47"/>
        <v>2022</v>
      </c>
    </row>
    <row r="3052" spans="2:11" x14ac:dyDescent="0.45">
      <c r="B3052" s="1" t="s">
        <v>11</v>
      </c>
      <c r="C3052" s="1" t="s">
        <v>3036</v>
      </c>
      <c r="D3052" s="7">
        <v>44667</v>
      </c>
      <c r="E3052" s="7">
        <v>44694</v>
      </c>
      <c r="F3052" s="7">
        <v>44754</v>
      </c>
      <c r="G3052" s="1" t="s">
        <v>1348</v>
      </c>
      <c r="H3052" s="8">
        <v>54023837.829999998</v>
      </c>
      <c r="I3052" s="8">
        <v>39373967.100000001</v>
      </c>
      <c r="J3052" s="1">
        <f>IF(COUNTIF($C$4:C3052,C3052)=1,1,0)</f>
        <v>1</v>
      </c>
      <c r="K3052" s="1">
        <f t="shared" si="47"/>
        <v>2022</v>
      </c>
    </row>
    <row r="3053" spans="2:11" x14ac:dyDescent="0.45">
      <c r="B3053" s="1" t="s">
        <v>11</v>
      </c>
      <c r="C3053" s="1" t="s">
        <v>3037</v>
      </c>
      <c r="D3053" s="7">
        <v>44192</v>
      </c>
      <c r="E3053" s="7">
        <v>44201</v>
      </c>
      <c r="F3053" s="7">
        <v>44366</v>
      </c>
      <c r="G3053" s="1" t="s">
        <v>41</v>
      </c>
      <c r="H3053" s="8">
        <v>24532.32</v>
      </c>
      <c r="I3053" s="8">
        <v>18404.689999999999</v>
      </c>
      <c r="J3053" s="1">
        <f>IF(COUNTIF($C$4:C3053,C3053)=1,1,0)</f>
        <v>1</v>
      </c>
      <c r="K3053" s="1">
        <f t="shared" si="47"/>
        <v>2020</v>
      </c>
    </row>
    <row r="3054" spans="2:11" x14ac:dyDescent="0.45">
      <c r="B3054" s="1" t="s">
        <v>11</v>
      </c>
      <c r="C3054" s="1" t="s">
        <v>3038</v>
      </c>
      <c r="D3054" s="7">
        <v>44625</v>
      </c>
      <c r="E3054" s="7">
        <v>44648</v>
      </c>
      <c r="F3054" s="7">
        <v>44667</v>
      </c>
      <c r="G3054" s="1" t="s">
        <v>13</v>
      </c>
      <c r="H3054" s="8">
        <v>217555.62</v>
      </c>
      <c r="I3054" s="8">
        <v>183464.42</v>
      </c>
      <c r="J3054" s="1">
        <f>IF(COUNTIF($C$4:C3054,C3054)=1,1,0)</f>
        <v>1</v>
      </c>
      <c r="K3054" s="1">
        <f t="shared" si="47"/>
        <v>2022</v>
      </c>
    </row>
    <row r="3055" spans="2:11" x14ac:dyDescent="0.45">
      <c r="B3055" s="1" t="s">
        <v>11</v>
      </c>
      <c r="C3055" s="1" t="s">
        <v>3039</v>
      </c>
      <c r="D3055" s="7">
        <v>45116</v>
      </c>
      <c r="E3055" s="7">
        <v>45137</v>
      </c>
      <c r="F3055" s="7">
        <v>45362</v>
      </c>
      <c r="G3055" s="1" t="s">
        <v>44</v>
      </c>
      <c r="H3055" s="8">
        <v>112484910.65000001</v>
      </c>
      <c r="I3055" s="8">
        <v>55100713.490000002</v>
      </c>
      <c r="J3055" s="1">
        <f>IF(COUNTIF($C$4:C3055,C3055)=1,1,0)</f>
        <v>1</v>
      </c>
      <c r="K3055" s="1">
        <f t="shared" si="47"/>
        <v>2023</v>
      </c>
    </row>
    <row r="3056" spans="2:11" x14ac:dyDescent="0.45">
      <c r="B3056" s="1" t="s">
        <v>11</v>
      </c>
      <c r="C3056" s="1" t="s">
        <v>3040</v>
      </c>
      <c r="D3056" s="7">
        <v>43917</v>
      </c>
      <c r="E3056" s="7">
        <v>43937</v>
      </c>
      <c r="F3056" s="7">
        <v>44113</v>
      </c>
      <c r="G3056" s="1" t="s">
        <v>20</v>
      </c>
      <c r="H3056" s="8">
        <v>322181.27</v>
      </c>
      <c r="I3056" s="8">
        <v>206045.05</v>
      </c>
      <c r="J3056" s="1">
        <f>IF(COUNTIF($C$4:C3056,C3056)=1,1,0)</f>
        <v>1</v>
      </c>
      <c r="K3056" s="1">
        <f t="shared" si="47"/>
        <v>2020</v>
      </c>
    </row>
    <row r="3057" spans="2:11" x14ac:dyDescent="0.45">
      <c r="B3057" s="1" t="s">
        <v>11</v>
      </c>
      <c r="C3057" s="1" t="s">
        <v>3041</v>
      </c>
      <c r="D3057" s="7">
        <v>44789</v>
      </c>
      <c r="E3057" s="7">
        <v>44798</v>
      </c>
      <c r="F3057" s="7">
        <v>44819</v>
      </c>
      <c r="G3057" s="1" t="s">
        <v>16</v>
      </c>
      <c r="H3057" s="8">
        <v>3462745.06</v>
      </c>
      <c r="I3057" s="8">
        <v>2023828.74</v>
      </c>
      <c r="J3057" s="1">
        <f>IF(COUNTIF($C$4:C3057,C3057)=1,1,0)</f>
        <v>1</v>
      </c>
      <c r="K3057" s="1">
        <f t="shared" si="47"/>
        <v>2022</v>
      </c>
    </row>
    <row r="3058" spans="2:11" x14ac:dyDescent="0.45">
      <c r="B3058" s="1" t="s">
        <v>11</v>
      </c>
      <c r="C3058" s="1" t="s">
        <v>3042</v>
      </c>
      <c r="D3058" s="7">
        <v>43334</v>
      </c>
      <c r="E3058" s="7">
        <v>43343</v>
      </c>
      <c r="F3058" s="7">
        <v>43560</v>
      </c>
      <c r="G3058" s="1" t="s">
        <v>41</v>
      </c>
      <c r="H3058" s="8">
        <v>1294566.23</v>
      </c>
      <c r="I3058" s="8">
        <v>1021639.34</v>
      </c>
      <c r="J3058" s="1">
        <f>IF(COUNTIF($C$4:C3058,C3058)=1,1,0)</f>
        <v>1</v>
      </c>
      <c r="K3058" s="1">
        <f t="shared" si="47"/>
        <v>2018</v>
      </c>
    </row>
    <row r="3059" spans="2:11" x14ac:dyDescent="0.45">
      <c r="B3059" s="1" t="s">
        <v>11</v>
      </c>
      <c r="C3059" s="1" t="s">
        <v>3043</v>
      </c>
      <c r="D3059" s="7">
        <v>44042</v>
      </c>
      <c r="E3059" s="7">
        <v>44064</v>
      </c>
      <c r="F3059" s="7">
        <v>44095</v>
      </c>
      <c r="G3059" s="1" t="s">
        <v>38</v>
      </c>
      <c r="H3059" s="8">
        <v>572591.80000000005</v>
      </c>
      <c r="I3059" s="8">
        <v>406689.22</v>
      </c>
      <c r="J3059" s="1">
        <f>IF(COUNTIF($C$4:C3059,C3059)=1,1,0)</f>
        <v>1</v>
      </c>
      <c r="K3059" s="1">
        <f t="shared" si="47"/>
        <v>2020</v>
      </c>
    </row>
    <row r="3060" spans="2:11" x14ac:dyDescent="0.45">
      <c r="B3060" s="1" t="s">
        <v>11</v>
      </c>
      <c r="C3060" s="1" t="s">
        <v>3044</v>
      </c>
      <c r="D3060" s="7">
        <v>45441</v>
      </c>
      <c r="E3060" s="7">
        <v>45449</v>
      </c>
      <c r="F3060" s="7">
        <v>45635</v>
      </c>
      <c r="G3060" s="1" t="s">
        <v>18</v>
      </c>
      <c r="H3060" s="8">
        <v>661028.56000000006</v>
      </c>
      <c r="I3060" s="8">
        <v>479452.65</v>
      </c>
      <c r="J3060" s="1">
        <f>IF(COUNTIF($C$4:C3060,C3060)=1,1,0)</f>
        <v>1</v>
      </c>
      <c r="K3060" s="1">
        <f t="shared" si="47"/>
        <v>2024</v>
      </c>
    </row>
    <row r="3061" spans="2:11" x14ac:dyDescent="0.45">
      <c r="B3061" s="1" t="s">
        <v>11</v>
      </c>
      <c r="C3061" s="1" t="s">
        <v>3045</v>
      </c>
      <c r="D3061" s="7">
        <v>45247</v>
      </c>
      <c r="E3061" s="7">
        <v>45277</v>
      </c>
      <c r="F3061" s="7">
        <v>45440</v>
      </c>
      <c r="G3061" s="1" t="s">
        <v>22</v>
      </c>
      <c r="H3061" s="8">
        <v>42511709.990000002</v>
      </c>
      <c r="I3061" s="8">
        <v>22213548.870000001</v>
      </c>
      <c r="J3061" s="1">
        <f>IF(COUNTIF($C$4:C3061,C3061)=1,1,0)</f>
        <v>1</v>
      </c>
      <c r="K3061" s="1">
        <f t="shared" si="47"/>
        <v>2023</v>
      </c>
    </row>
    <row r="3062" spans="2:11" x14ac:dyDescent="0.45">
      <c r="B3062" s="1" t="s">
        <v>11</v>
      </c>
      <c r="C3062" s="1" t="s">
        <v>3046</v>
      </c>
      <c r="D3062" s="7">
        <v>43865</v>
      </c>
      <c r="E3062" s="7">
        <v>43892</v>
      </c>
      <c r="F3062" s="7">
        <v>44127</v>
      </c>
      <c r="G3062" s="1" t="s">
        <v>38</v>
      </c>
      <c r="H3062" s="8">
        <v>424721.58</v>
      </c>
      <c r="I3062" s="8">
        <v>248250.21</v>
      </c>
      <c r="J3062" s="1">
        <f>IF(COUNTIF($C$4:C3062,C3062)=1,1,0)</f>
        <v>1</v>
      </c>
      <c r="K3062" s="1">
        <f t="shared" si="47"/>
        <v>2020</v>
      </c>
    </row>
    <row r="3063" spans="2:11" x14ac:dyDescent="0.45">
      <c r="B3063" s="1" t="s">
        <v>11</v>
      </c>
      <c r="C3063" s="1" t="s">
        <v>3047</v>
      </c>
      <c r="D3063" s="7">
        <v>45801</v>
      </c>
      <c r="E3063" s="7">
        <v>45802</v>
      </c>
      <c r="F3063" s="7">
        <v>45946</v>
      </c>
      <c r="G3063" s="1" t="s">
        <v>20</v>
      </c>
      <c r="H3063" s="8">
        <v>670175.55000000005</v>
      </c>
      <c r="I3063" s="8">
        <v>467988.32</v>
      </c>
      <c r="J3063" s="1">
        <f>IF(COUNTIF($C$4:C3063,C3063)=1,1,0)</f>
        <v>1</v>
      </c>
      <c r="K3063" s="1">
        <f t="shared" si="47"/>
        <v>2025</v>
      </c>
    </row>
    <row r="3064" spans="2:11" x14ac:dyDescent="0.45">
      <c r="B3064" s="1" t="s">
        <v>11</v>
      </c>
      <c r="C3064" s="1" t="s">
        <v>3048</v>
      </c>
      <c r="D3064" s="7">
        <v>44385</v>
      </c>
      <c r="E3064" s="7">
        <v>44406</v>
      </c>
      <c r="F3064" s="7">
        <v>44585</v>
      </c>
      <c r="G3064" s="1" t="s">
        <v>18</v>
      </c>
      <c r="H3064" s="8">
        <v>2172862.5499999998</v>
      </c>
      <c r="I3064" s="8">
        <v>1503601.08</v>
      </c>
      <c r="J3064" s="1">
        <f>IF(COUNTIF($C$4:C3064,C3064)=1,1,0)</f>
        <v>1</v>
      </c>
      <c r="K3064" s="1">
        <f t="shared" si="47"/>
        <v>2021</v>
      </c>
    </row>
    <row r="3065" spans="2:11" x14ac:dyDescent="0.45">
      <c r="B3065" s="1" t="s">
        <v>11</v>
      </c>
      <c r="C3065" s="1" t="s">
        <v>3049</v>
      </c>
      <c r="D3065" s="7">
        <v>43227</v>
      </c>
      <c r="E3065" s="7">
        <v>43251</v>
      </c>
      <c r="F3065" s="7">
        <v>43458</v>
      </c>
      <c r="G3065" s="1" t="s">
        <v>20</v>
      </c>
      <c r="H3065" s="8">
        <v>638167.59</v>
      </c>
      <c r="I3065" s="8">
        <v>345329.45</v>
      </c>
      <c r="J3065" s="1">
        <f>IF(COUNTIF($C$4:C3065,C3065)=1,1,0)</f>
        <v>1</v>
      </c>
      <c r="K3065" s="1">
        <f t="shared" si="47"/>
        <v>2018</v>
      </c>
    </row>
    <row r="3066" spans="2:11" x14ac:dyDescent="0.45">
      <c r="B3066" s="1" t="s">
        <v>11</v>
      </c>
      <c r="C3066" s="1" t="s">
        <v>3050</v>
      </c>
      <c r="D3066" s="7">
        <v>44738</v>
      </c>
      <c r="E3066" s="7">
        <v>44757</v>
      </c>
      <c r="F3066" s="7">
        <v>44966</v>
      </c>
      <c r="G3066" s="1" t="s">
        <v>20</v>
      </c>
      <c r="H3066" s="8">
        <v>390508.07</v>
      </c>
      <c r="I3066" s="8">
        <v>265970.19</v>
      </c>
      <c r="J3066" s="1">
        <f>IF(COUNTIF($C$4:C3066,C3066)=1,1,0)</f>
        <v>1</v>
      </c>
      <c r="K3066" s="1">
        <f t="shared" si="47"/>
        <v>2022</v>
      </c>
    </row>
    <row r="3067" spans="2:11" x14ac:dyDescent="0.45">
      <c r="B3067" s="1" t="s">
        <v>11</v>
      </c>
      <c r="C3067" s="1" t="s">
        <v>3051</v>
      </c>
      <c r="D3067" s="7">
        <v>45857</v>
      </c>
      <c r="E3067" s="7">
        <v>45866</v>
      </c>
      <c r="F3067" s="7">
        <v>46070</v>
      </c>
      <c r="G3067" s="1" t="s">
        <v>1348</v>
      </c>
      <c r="H3067" s="8">
        <v>57649624.960000001</v>
      </c>
      <c r="I3067" s="8">
        <v>22596191.379999999</v>
      </c>
      <c r="J3067" s="1">
        <f>IF(COUNTIF($C$4:C3067,C3067)=1,1,0)</f>
        <v>1</v>
      </c>
      <c r="K3067" s="1">
        <f t="shared" si="47"/>
        <v>2025</v>
      </c>
    </row>
    <row r="3068" spans="2:11" x14ac:dyDescent="0.45">
      <c r="B3068" s="1" t="s">
        <v>11</v>
      </c>
      <c r="C3068" s="1" t="s">
        <v>3052</v>
      </c>
      <c r="D3068" s="7">
        <v>43670</v>
      </c>
      <c r="E3068" s="7">
        <v>43692</v>
      </c>
      <c r="F3068" s="7">
        <v>43728</v>
      </c>
      <c r="G3068" s="1" t="s">
        <v>44</v>
      </c>
      <c r="H3068" s="8">
        <v>62236002.869999997</v>
      </c>
      <c r="I3068" s="8">
        <v>45187122.799999997</v>
      </c>
      <c r="J3068" s="1">
        <f>IF(COUNTIF($C$4:C3068,C3068)=1,1,0)</f>
        <v>1</v>
      </c>
      <c r="K3068" s="1">
        <f t="shared" si="47"/>
        <v>2019</v>
      </c>
    </row>
    <row r="3069" spans="2:11" x14ac:dyDescent="0.45">
      <c r="B3069" s="1" t="s">
        <v>11</v>
      </c>
      <c r="C3069" s="1" t="s">
        <v>3053</v>
      </c>
      <c r="D3069" s="7">
        <v>45899</v>
      </c>
      <c r="E3069" s="7">
        <v>45902</v>
      </c>
      <c r="F3069" s="7">
        <v>46118</v>
      </c>
      <c r="G3069" s="1" t="s">
        <v>1348</v>
      </c>
      <c r="H3069" s="8">
        <v>45339046.039999999</v>
      </c>
      <c r="I3069" s="8">
        <v>32198920.530000001</v>
      </c>
      <c r="J3069" s="1">
        <f>IF(COUNTIF($C$4:C3069,C3069)=1,1,0)</f>
        <v>1</v>
      </c>
      <c r="K3069" s="1">
        <f t="shared" si="47"/>
        <v>2025</v>
      </c>
    </row>
    <row r="3070" spans="2:11" x14ac:dyDescent="0.45">
      <c r="B3070" s="1" t="s">
        <v>11</v>
      </c>
      <c r="C3070" s="1" t="s">
        <v>3054</v>
      </c>
      <c r="D3070" s="7">
        <v>43483</v>
      </c>
      <c r="E3070" s="7">
        <v>43488</v>
      </c>
      <c r="F3070" s="7">
        <v>43573</v>
      </c>
      <c r="G3070" s="1" t="s">
        <v>41</v>
      </c>
      <c r="H3070" s="8">
        <v>399397.63</v>
      </c>
      <c r="I3070" s="8">
        <v>266167.23</v>
      </c>
      <c r="J3070" s="1">
        <f>IF(COUNTIF($C$4:C3070,C3070)=1,1,0)</f>
        <v>1</v>
      </c>
      <c r="K3070" s="1">
        <f t="shared" si="47"/>
        <v>2019</v>
      </c>
    </row>
    <row r="3071" spans="2:11" x14ac:dyDescent="0.45">
      <c r="B3071" s="1" t="s">
        <v>11</v>
      </c>
      <c r="C3071" s="1" t="s">
        <v>3055</v>
      </c>
      <c r="D3071" s="7">
        <v>44424</v>
      </c>
      <c r="E3071" s="7">
        <v>44424</v>
      </c>
      <c r="F3071" s="7">
        <v>44534</v>
      </c>
      <c r="G3071" s="1" t="s">
        <v>38</v>
      </c>
      <c r="H3071" s="8">
        <v>269491.8</v>
      </c>
      <c r="I3071" s="8">
        <v>193473.74</v>
      </c>
      <c r="J3071" s="1">
        <f>IF(COUNTIF($C$4:C3071,C3071)=1,1,0)</f>
        <v>1</v>
      </c>
      <c r="K3071" s="1">
        <f t="shared" si="47"/>
        <v>2021</v>
      </c>
    </row>
    <row r="3072" spans="2:11" x14ac:dyDescent="0.45">
      <c r="B3072" s="1" t="s">
        <v>11</v>
      </c>
      <c r="C3072" s="1" t="s">
        <v>3056</v>
      </c>
      <c r="D3072" s="7">
        <v>45446</v>
      </c>
      <c r="E3072" s="7">
        <v>45475</v>
      </c>
      <c r="F3072" s="7">
        <v>45538</v>
      </c>
      <c r="G3072" s="1" t="s">
        <v>212</v>
      </c>
      <c r="H3072" s="8">
        <v>30230978.93</v>
      </c>
      <c r="I3072" s="8">
        <v>15539948.42</v>
      </c>
      <c r="J3072" s="1">
        <f>IF(COUNTIF($C$4:C3072,C3072)=1,1,0)</f>
        <v>1</v>
      </c>
      <c r="K3072" s="1">
        <f t="shared" si="47"/>
        <v>2024</v>
      </c>
    </row>
    <row r="3073" spans="2:11" x14ac:dyDescent="0.45">
      <c r="B3073" s="1" t="s">
        <v>11</v>
      </c>
      <c r="C3073" s="1" t="s">
        <v>3057</v>
      </c>
      <c r="D3073" s="7">
        <v>44521</v>
      </c>
      <c r="E3073" s="7">
        <v>44537</v>
      </c>
      <c r="F3073" s="7">
        <v>44620</v>
      </c>
      <c r="G3073" s="1" t="s">
        <v>22</v>
      </c>
      <c r="H3073" s="8">
        <v>4963869.6900000004</v>
      </c>
      <c r="I3073" s="8">
        <v>2723928.51</v>
      </c>
      <c r="J3073" s="1">
        <f>IF(COUNTIF($C$4:C3073,C3073)=1,1,0)</f>
        <v>1</v>
      </c>
      <c r="K3073" s="1">
        <f t="shared" si="47"/>
        <v>2021</v>
      </c>
    </row>
    <row r="3074" spans="2:11" x14ac:dyDescent="0.45">
      <c r="B3074" s="1" t="s">
        <v>11</v>
      </c>
      <c r="C3074" s="1" t="s">
        <v>3058</v>
      </c>
      <c r="D3074" s="7">
        <v>43436</v>
      </c>
      <c r="E3074" s="7">
        <v>43462</v>
      </c>
      <c r="F3074" s="7">
        <v>43546</v>
      </c>
      <c r="G3074" s="1" t="s">
        <v>22</v>
      </c>
      <c r="H3074" s="8">
        <v>35114647.350000001</v>
      </c>
      <c r="I3074" s="8">
        <v>25886722.989999998</v>
      </c>
      <c r="J3074" s="1">
        <f>IF(COUNTIF($C$4:C3074,C3074)=1,1,0)</f>
        <v>1</v>
      </c>
      <c r="K3074" s="1">
        <f t="shared" si="47"/>
        <v>2018</v>
      </c>
    </row>
    <row r="3075" spans="2:11" x14ac:dyDescent="0.45">
      <c r="B3075" s="1" t="s">
        <v>11</v>
      </c>
      <c r="C3075" s="1" t="s">
        <v>3059</v>
      </c>
      <c r="D3075" s="7">
        <v>45336</v>
      </c>
      <c r="E3075" s="7">
        <v>45344</v>
      </c>
      <c r="F3075" s="7">
        <v>45472</v>
      </c>
      <c r="G3075" s="1" t="s">
        <v>41</v>
      </c>
      <c r="H3075" s="8">
        <v>1125944.08</v>
      </c>
      <c r="I3075" s="8">
        <v>815841.53</v>
      </c>
      <c r="J3075" s="1">
        <f>IF(COUNTIF($C$4:C3075,C3075)=1,1,0)</f>
        <v>1</v>
      </c>
      <c r="K3075" s="1">
        <f t="shared" si="47"/>
        <v>2024</v>
      </c>
    </row>
    <row r="3076" spans="2:11" x14ac:dyDescent="0.45">
      <c r="B3076" s="1" t="s">
        <v>11</v>
      </c>
      <c r="C3076" s="1" t="s">
        <v>3060</v>
      </c>
      <c r="D3076" s="7">
        <v>45822</v>
      </c>
      <c r="E3076" s="7">
        <v>45844</v>
      </c>
      <c r="F3076" s="7">
        <v>45856</v>
      </c>
      <c r="G3076" s="1" t="s">
        <v>1348</v>
      </c>
      <c r="H3076" s="8">
        <v>17526852.309999999</v>
      </c>
      <c r="I3076" s="8">
        <v>10890508.49</v>
      </c>
      <c r="J3076" s="1">
        <f>IF(COUNTIF($C$4:C3076,C3076)=1,1,0)</f>
        <v>1</v>
      </c>
      <c r="K3076" s="1">
        <f t="shared" si="47"/>
        <v>2025</v>
      </c>
    </row>
    <row r="3077" spans="2:11" x14ac:dyDescent="0.45">
      <c r="B3077" s="1" t="s">
        <v>11</v>
      </c>
      <c r="C3077" s="1" t="s">
        <v>3061</v>
      </c>
      <c r="D3077" s="7">
        <v>44730</v>
      </c>
      <c r="E3077" s="7">
        <v>44730</v>
      </c>
      <c r="F3077" s="7">
        <v>44943</v>
      </c>
      <c r="G3077" s="1" t="s">
        <v>44</v>
      </c>
      <c r="H3077" s="8">
        <v>712067458.35000002</v>
      </c>
      <c r="I3077" s="8">
        <v>437344306.70999998</v>
      </c>
      <c r="J3077" s="1">
        <f>IF(COUNTIF($C$4:C3077,C3077)=1,1,0)</f>
        <v>1</v>
      </c>
      <c r="K3077" s="1">
        <f t="shared" ref="K3077:K3140" si="48">YEAR(D3077)</f>
        <v>2022</v>
      </c>
    </row>
    <row r="3078" spans="2:11" x14ac:dyDescent="0.45">
      <c r="B3078" s="1" t="s">
        <v>11</v>
      </c>
      <c r="C3078" s="1" t="s">
        <v>3062</v>
      </c>
      <c r="D3078" s="7">
        <v>45284</v>
      </c>
      <c r="E3078" s="7">
        <v>45303</v>
      </c>
      <c r="F3078" s="7">
        <v>45519</v>
      </c>
      <c r="G3078" s="1" t="s">
        <v>22</v>
      </c>
      <c r="H3078" s="8">
        <v>137393977.74000001</v>
      </c>
      <c r="I3078" s="8">
        <v>57160261.060000002</v>
      </c>
      <c r="J3078" s="1">
        <f>IF(COUNTIF($C$4:C3078,C3078)=1,1,0)</f>
        <v>1</v>
      </c>
      <c r="K3078" s="1">
        <f t="shared" si="48"/>
        <v>2023</v>
      </c>
    </row>
    <row r="3079" spans="2:11" x14ac:dyDescent="0.45">
      <c r="B3079" s="1" t="s">
        <v>11</v>
      </c>
      <c r="C3079" s="1" t="s">
        <v>3063</v>
      </c>
      <c r="D3079" s="7">
        <v>43683</v>
      </c>
      <c r="E3079" s="7">
        <v>43686</v>
      </c>
      <c r="F3079" s="7">
        <v>43751</v>
      </c>
      <c r="G3079" s="1" t="s">
        <v>20</v>
      </c>
      <c r="H3079" s="8">
        <v>618018.9</v>
      </c>
      <c r="I3079" s="8">
        <v>490382.53</v>
      </c>
      <c r="J3079" s="1">
        <f>IF(COUNTIF($C$4:C3079,C3079)=1,1,0)</f>
        <v>1</v>
      </c>
      <c r="K3079" s="1">
        <f t="shared" si="48"/>
        <v>2019</v>
      </c>
    </row>
    <row r="3080" spans="2:11" x14ac:dyDescent="0.45">
      <c r="B3080" s="1" t="s">
        <v>11</v>
      </c>
      <c r="C3080" s="1" t="s">
        <v>3064</v>
      </c>
      <c r="D3080" s="7">
        <v>43574</v>
      </c>
      <c r="E3080" s="7">
        <v>43588</v>
      </c>
      <c r="F3080" s="7">
        <v>43771</v>
      </c>
      <c r="G3080" s="1" t="s">
        <v>13</v>
      </c>
      <c r="H3080" s="8">
        <v>240534.2</v>
      </c>
      <c r="I3080" s="8">
        <v>155242.13</v>
      </c>
      <c r="J3080" s="1">
        <f>IF(COUNTIF($C$4:C3080,C3080)=1,1,0)</f>
        <v>1</v>
      </c>
      <c r="K3080" s="1">
        <f t="shared" si="48"/>
        <v>2019</v>
      </c>
    </row>
    <row r="3081" spans="2:11" x14ac:dyDescent="0.45">
      <c r="B3081" s="1" t="s">
        <v>11</v>
      </c>
      <c r="C3081" s="1" t="s">
        <v>3065</v>
      </c>
      <c r="D3081" s="7">
        <v>44970</v>
      </c>
      <c r="E3081" s="7">
        <v>44973</v>
      </c>
      <c r="F3081" s="7">
        <v>45087</v>
      </c>
      <c r="G3081" s="1" t="s">
        <v>22</v>
      </c>
      <c r="H3081" s="8">
        <v>12758930.02</v>
      </c>
      <c r="I3081" s="8">
        <v>8632379.9900000002</v>
      </c>
      <c r="J3081" s="1">
        <f>IF(COUNTIF($C$4:C3081,C3081)=1,1,0)</f>
        <v>1</v>
      </c>
      <c r="K3081" s="1">
        <f t="shared" si="48"/>
        <v>2023</v>
      </c>
    </row>
    <row r="3082" spans="2:11" x14ac:dyDescent="0.45">
      <c r="B3082" s="1" t="s">
        <v>11</v>
      </c>
      <c r="C3082" s="1" t="s">
        <v>2645</v>
      </c>
      <c r="D3082" s="7">
        <v>44391</v>
      </c>
      <c r="E3082" s="7">
        <v>44395</v>
      </c>
      <c r="F3082" s="7">
        <v>44614</v>
      </c>
      <c r="G3082" s="1" t="s">
        <v>18</v>
      </c>
      <c r="H3082" s="8">
        <v>1780653.51</v>
      </c>
      <c r="I3082" s="8">
        <v>1337584.99</v>
      </c>
      <c r="J3082" s="1">
        <f>IF(COUNTIF($C$4:C3082,C3082)=1,1,0)</f>
        <v>0</v>
      </c>
      <c r="K3082" s="1">
        <f t="shared" si="48"/>
        <v>2021</v>
      </c>
    </row>
    <row r="3083" spans="2:11" x14ac:dyDescent="0.45">
      <c r="B3083" s="1" t="s">
        <v>11</v>
      </c>
      <c r="C3083" s="1" t="s">
        <v>3066</v>
      </c>
      <c r="D3083" s="7">
        <v>44025</v>
      </c>
      <c r="E3083" s="7">
        <v>44041</v>
      </c>
      <c r="F3083" s="7">
        <v>44249</v>
      </c>
      <c r="G3083" s="1" t="s">
        <v>20</v>
      </c>
      <c r="H3083" s="8">
        <v>1506217.31</v>
      </c>
      <c r="I3083" s="8">
        <v>1077098.2</v>
      </c>
      <c r="J3083" s="1">
        <f>IF(COUNTIF($C$4:C3083,C3083)=1,1,0)</f>
        <v>1</v>
      </c>
      <c r="K3083" s="1">
        <f t="shared" si="48"/>
        <v>2020</v>
      </c>
    </row>
    <row r="3084" spans="2:11" x14ac:dyDescent="0.45">
      <c r="B3084" s="1" t="s">
        <v>11</v>
      </c>
      <c r="C3084" s="1" t="s">
        <v>3067</v>
      </c>
      <c r="D3084" s="7">
        <v>44105</v>
      </c>
      <c r="E3084" s="7">
        <v>44125</v>
      </c>
      <c r="F3084" s="7">
        <v>44231</v>
      </c>
      <c r="G3084" s="1" t="s">
        <v>22</v>
      </c>
      <c r="H3084" s="8">
        <v>939134.56</v>
      </c>
      <c r="I3084" s="8">
        <v>385065.29</v>
      </c>
      <c r="J3084" s="1">
        <f>IF(COUNTIF($C$4:C3084,C3084)=1,1,0)</f>
        <v>1</v>
      </c>
      <c r="K3084" s="1">
        <f t="shared" si="48"/>
        <v>2020</v>
      </c>
    </row>
    <row r="3085" spans="2:11" x14ac:dyDescent="0.45">
      <c r="B3085" s="1" t="s">
        <v>11</v>
      </c>
      <c r="C3085" s="1" t="s">
        <v>102</v>
      </c>
      <c r="D3085" s="7">
        <v>45947</v>
      </c>
      <c r="E3085" s="7">
        <v>45977</v>
      </c>
      <c r="F3085" s="7">
        <v>46056</v>
      </c>
      <c r="G3085" s="1" t="s">
        <v>20</v>
      </c>
      <c r="H3085" s="8">
        <v>977924.53</v>
      </c>
      <c r="I3085" s="8">
        <v>617226.55000000005</v>
      </c>
      <c r="J3085" s="1">
        <f>IF(COUNTIF($C$4:C3085,C3085)=1,1,0)</f>
        <v>0</v>
      </c>
      <c r="K3085" s="1">
        <f t="shared" si="48"/>
        <v>2025</v>
      </c>
    </row>
    <row r="3086" spans="2:11" x14ac:dyDescent="0.45">
      <c r="B3086" s="1" t="s">
        <v>11</v>
      </c>
      <c r="C3086" s="1" t="s">
        <v>3068</v>
      </c>
      <c r="D3086" s="7">
        <v>43918</v>
      </c>
      <c r="E3086" s="7">
        <v>43930</v>
      </c>
      <c r="F3086" s="7">
        <v>44132</v>
      </c>
      <c r="G3086" s="1" t="s">
        <v>16</v>
      </c>
      <c r="H3086" s="8">
        <v>3283710.7</v>
      </c>
      <c r="I3086" s="8">
        <v>2492970.92</v>
      </c>
      <c r="J3086" s="1">
        <f>IF(COUNTIF($C$4:C3086,C3086)=1,1,0)</f>
        <v>1</v>
      </c>
      <c r="K3086" s="1">
        <f t="shared" si="48"/>
        <v>2020</v>
      </c>
    </row>
    <row r="3087" spans="2:11" x14ac:dyDescent="0.45">
      <c r="B3087" s="1" t="s">
        <v>11</v>
      </c>
      <c r="C3087" s="1" t="s">
        <v>3069</v>
      </c>
      <c r="D3087" s="7">
        <v>44004</v>
      </c>
      <c r="E3087" s="7">
        <v>44019</v>
      </c>
      <c r="F3087" s="7">
        <v>44221</v>
      </c>
      <c r="G3087" s="1" t="s">
        <v>22</v>
      </c>
      <c r="H3087" s="8">
        <v>42165517.850000001</v>
      </c>
      <c r="I3087" s="8">
        <v>16982778.800000001</v>
      </c>
      <c r="J3087" s="1">
        <f>IF(COUNTIF($C$4:C3087,C3087)=1,1,0)</f>
        <v>1</v>
      </c>
      <c r="K3087" s="1">
        <f t="shared" si="48"/>
        <v>2020</v>
      </c>
    </row>
    <row r="3088" spans="2:11" x14ac:dyDescent="0.45">
      <c r="B3088" s="1" t="s">
        <v>11</v>
      </c>
      <c r="C3088" s="1" t="s">
        <v>2645</v>
      </c>
      <c r="D3088" s="7">
        <v>44278</v>
      </c>
      <c r="E3088" s="7">
        <v>44290</v>
      </c>
      <c r="F3088" s="7">
        <v>44528</v>
      </c>
      <c r="G3088" s="1" t="s">
        <v>18</v>
      </c>
      <c r="H3088" s="8">
        <v>11513314.189999999</v>
      </c>
      <c r="I3088" s="8">
        <v>8203870.3799999999</v>
      </c>
      <c r="J3088" s="1">
        <f>IF(COUNTIF($C$4:C3088,C3088)=1,1,0)</f>
        <v>0</v>
      </c>
      <c r="K3088" s="1">
        <f t="shared" si="48"/>
        <v>2021</v>
      </c>
    </row>
    <row r="3089" spans="2:11" x14ac:dyDescent="0.45">
      <c r="B3089" s="1" t="s">
        <v>11</v>
      </c>
      <c r="C3089" s="1" t="s">
        <v>3070</v>
      </c>
      <c r="D3089" s="7">
        <v>45359</v>
      </c>
      <c r="E3089" s="7">
        <v>45389</v>
      </c>
      <c r="F3089" s="7">
        <v>45541</v>
      </c>
      <c r="G3089" s="1" t="s">
        <v>212</v>
      </c>
      <c r="H3089" s="8">
        <v>49539053.859999999</v>
      </c>
      <c r="I3089" s="8">
        <v>32848374.800000001</v>
      </c>
      <c r="J3089" s="1">
        <f>IF(COUNTIF($C$4:C3089,C3089)=1,1,0)</f>
        <v>1</v>
      </c>
      <c r="K3089" s="1">
        <f t="shared" si="48"/>
        <v>2024</v>
      </c>
    </row>
    <row r="3090" spans="2:11" x14ac:dyDescent="0.45">
      <c r="B3090" s="1" t="s">
        <v>11</v>
      </c>
      <c r="C3090" s="1" t="s">
        <v>3071</v>
      </c>
      <c r="D3090" s="7">
        <v>43408</v>
      </c>
      <c r="E3090" s="7">
        <v>43411</v>
      </c>
      <c r="F3090" s="7">
        <v>43498</v>
      </c>
      <c r="G3090" s="1" t="s">
        <v>18</v>
      </c>
      <c r="H3090" s="8">
        <v>2264433.48</v>
      </c>
      <c r="I3090" s="8">
        <v>1554539.68</v>
      </c>
      <c r="J3090" s="1">
        <f>IF(COUNTIF($C$4:C3090,C3090)=1,1,0)</f>
        <v>1</v>
      </c>
      <c r="K3090" s="1">
        <f t="shared" si="48"/>
        <v>2018</v>
      </c>
    </row>
    <row r="3091" spans="2:11" x14ac:dyDescent="0.45">
      <c r="B3091" s="1" t="s">
        <v>11</v>
      </c>
      <c r="C3091" s="1" t="s">
        <v>3072</v>
      </c>
      <c r="D3091" s="7">
        <v>43720</v>
      </c>
      <c r="E3091" s="7">
        <v>43749</v>
      </c>
      <c r="F3091" s="7">
        <v>43945</v>
      </c>
      <c r="G3091" s="1" t="s">
        <v>1348</v>
      </c>
      <c r="H3091" s="8">
        <v>71099252.510000005</v>
      </c>
      <c r="I3091" s="8">
        <v>49239968.020000003</v>
      </c>
      <c r="J3091" s="1">
        <f>IF(COUNTIF($C$4:C3091,C3091)=1,1,0)</f>
        <v>1</v>
      </c>
      <c r="K3091" s="1">
        <f t="shared" si="48"/>
        <v>2019</v>
      </c>
    </row>
    <row r="3092" spans="2:11" x14ac:dyDescent="0.45">
      <c r="B3092" s="1" t="s">
        <v>11</v>
      </c>
      <c r="C3092" s="1" t="s">
        <v>1633</v>
      </c>
      <c r="D3092" s="7">
        <v>43580</v>
      </c>
      <c r="E3092" s="7">
        <v>43580</v>
      </c>
      <c r="F3092" s="7">
        <v>43700</v>
      </c>
      <c r="G3092" s="1" t="s">
        <v>41</v>
      </c>
      <c r="H3092" s="8">
        <v>1165136.98</v>
      </c>
      <c r="I3092" s="8">
        <v>779030.08</v>
      </c>
      <c r="J3092" s="1">
        <f>IF(COUNTIF($C$4:C3092,C3092)=1,1,0)</f>
        <v>0</v>
      </c>
      <c r="K3092" s="1">
        <f t="shared" si="48"/>
        <v>2019</v>
      </c>
    </row>
    <row r="3093" spans="2:11" x14ac:dyDescent="0.45">
      <c r="B3093" s="1" t="s">
        <v>11</v>
      </c>
      <c r="C3093" s="1" t="s">
        <v>3073</v>
      </c>
      <c r="D3093" s="7">
        <v>46086</v>
      </c>
      <c r="E3093" s="7">
        <v>46109</v>
      </c>
      <c r="F3093" s="7">
        <v>46323</v>
      </c>
      <c r="G3093" s="1" t="s">
        <v>38</v>
      </c>
      <c r="H3093" s="8">
        <v>1609685.22</v>
      </c>
      <c r="I3093" s="8">
        <v>1365486.09</v>
      </c>
      <c r="J3093" s="1">
        <f>IF(COUNTIF($C$4:C3093,C3093)=1,1,0)</f>
        <v>1</v>
      </c>
      <c r="K3093" s="1">
        <f t="shared" si="48"/>
        <v>2026</v>
      </c>
    </row>
    <row r="3094" spans="2:11" x14ac:dyDescent="0.45">
      <c r="B3094" s="1" t="s">
        <v>11</v>
      </c>
      <c r="C3094" s="1" t="s">
        <v>3074</v>
      </c>
      <c r="D3094" s="7">
        <v>44038</v>
      </c>
      <c r="E3094" s="7">
        <v>44064</v>
      </c>
      <c r="F3094" s="7">
        <v>44294</v>
      </c>
      <c r="G3094" s="1" t="s">
        <v>212</v>
      </c>
      <c r="H3094" s="8">
        <v>28910145.239999998</v>
      </c>
      <c r="I3094" s="8">
        <v>13949904.15</v>
      </c>
      <c r="J3094" s="1">
        <f>IF(COUNTIF($C$4:C3094,C3094)=1,1,0)</f>
        <v>1</v>
      </c>
      <c r="K3094" s="1">
        <f t="shared" si="48"/>
        <v>2020</v>
      </c>
    </row>
    <row r="3095" spans="2:11" x14ac:dyDescent="0.45">
      <c r="B3095" s="1" t="s">
        <v>11</v>
      </c>
      <c r="C3095" s="1" t="s">
        <v>3075</v>
      </c>
      <c r="D3095" s="7">
        <v>43536</v>
      </c>
      <c r="E3095" s="7">
        <v>43536</v>
      </c>
      <c r="F3095" s="7">
        <v>43661</v>
      </c>
      <c r="G3095" s="1" t="s">
        <v>22</v>
      </c>
      <c r="H3095" s="8">
        <v>41200991.189999998</v>
      </c>
      <c r="I3095" s="8">
        <v>18081276.620000001</v>
      </c>
      <c r="J3095" s="1">
        <f>IF(COUNTIF($C$4:C3095,C3095)=1,1,0)</f>
        <v>1</v>
      </c>
      <c r="K3095" s="1">
        <f t="shared" si="48"/>
        <v>2019</v>
      </c>
    </row>
    <row r="3096" spans="2:11" x14ac:dyDescent="0.45">
      <c r="B3096" s="1" t="s">
        <v>11</v>
      </c>
      <c r="C3096" s="1" t="s">
        <v>3076</v>
      </c>
      <c r="D3096" s="7">
        <v>45313</v>
      </c>
      <c r="E3096" s="7">
        <v>45323</v>
      </c>
      <c r="F3096" s="7">
        <v>45481</v>
      </c>
      <c r="G3096" s="1" t="s">
        <v>1348</v>
      </c>
      <c r="H3096" s="8">
        <v>13451149.41</v>
      </c>
      <c r="I3096" s="8">
        <v>8839030.7100000009</v>
      </c>
      <c r="J3096" s="1">
        <f>IF(COUNTIF($C$4:C3096,C3096)=1,1,0)</f>
        <v>1</v>
      </c>
      <c r="K3096" s="1">
        <f t="shared" si="48"/>
        <v>2024</v>
      </c>
    </row>
    <row r="3097" spans="2:11" x14ac:dyDescent="0.45">
      <c r="B3097" s="1" t="s">
        <v>11</v>
      </c>
      <c r="C3097" s="1" t="s">
        <v>3077</v>
      </c>
      <c r="D3097" s="7">
        <v>44457</v>
      </c>
      <c r="E3097" s="7">
        <v>44471</v>
      </c>
      <c r="F3097" s="7">
        <v>44514</v>
      </c>
      <c r="G3097" s="1" t="s">
        <v>22</v>
      </c>
      <c r="H3097" s="8">
        <v>6699402.6399999997</v>
      </c>
      <c r="I3097" s="8">
        <v>2157524.12</v>
      </c>
      <c r="J3097" s="1">
        <f>IF(COUNTIF($C$4:C3097,C3097)=1,1,0)</f>
        <v>1</v>
      </c>
      <c r="K3097" s="1">
        <f t="shared" si="48"/>
        <v>2021</v>
      </c>
    </row>
    <row r="3098" spans="2:11" x14ac:dyDescent="0.45">
      <c r="B3098" s="1" t="s">
        <v>11</v>
      </c>
      <c r="C3098" s="1" t="s">
        <v>3078</v>
      </c>
      <c r="D3098" s="7">
        <v>45827</v>
      </c>
      <c r="E3098" s="7">
        <v>45840</v>
      </c>
      <c r="F3098" s="7">
        <v>46051</v>
      </c>
      <c r="G3098" s="1" t="s">
        <v>41</v>
      </c>
      <c r="H3098" s="8">
        <v>358820.5</v>
      </c>
      <c r="I3098" s="8">
        <v>284333.90000000002</v>
      </c>
      <c r="J3098" s="1">
        <f>IF(COUNTIF($C$4:C3098,C3098)=1,1,0)</f>
        <v>1</v>
      </c>
      <c r="K3098" s="1">
        <f t="shared" si="48"/>
        <v>2025</v>
      </c>
    </row>
    <row r="3099" spans="2:11" x14ac:dyDescent="0.45">
      <c r="B3099" s="1" t="s">
        <v>11</v>
      </c>
      <c r="C3099" s="1" t="s">
        <v>3079</v>
      </c>
      <c r="D3099" s="7">
        <v>43217</v>
      </c>
      <c r="E3099" s="7">
        <v>43234</v>
      </c>
      <c r="F3099" s="7">
        <v>43380</v>
      </c>
      <c r="G3099" s="1" t="s">
        <v>18</v>
      </c>
      <c r="H3099" s="8">
        <v>20018486.32</v>
      </c>
      <c r="I3099" s="8">
        <v>14464202.380000001</v>
      </c>
      <c r="J3099" s="1">
        <f>IF(COUNTIF($C$4:C3099,C3099)=1,1,0)</f>
        <v>1</v>
      </c>
      <c r="K3099" s="1">
        <f t="shared" si="48"/>
        <v>2018</v>
      </c>
    </row>
    <row r="3100" spans="2:11" x14ac:dyDescent="0.45">
      <c r="B3100" s="1" t="s">
        <v>11</v>
      </c>
      <c r="C3100" s="1" t="s">
        <v>3080</v>
      </c>
      <c r="D3100" s="7">
        <v>43311</v>
      </c>
      <c r="E3100" s="7">
        <v>43319</v>
      </c>
      <c r="F3100" s="7">
        <v>43419</v>
      </c>
      <c r="G3100" s="1" t="s">
        <v>18</v>
      </c>
      <c r="H3100" s="8">
        <v>8289544.8700000001</v>
      </c>
      <c r="I3100" s="8">
        <v>6037485.3099999996</v>
      </c>
      <c r="J3100" s="1">
        <f>IF(COUNTIF($C$4:C3100,C3100)=1,1,0)</f>
        <v>1</v>
      </c>
      <c r="K3100" s="1">
        <f t="shared" si="48"/>
        <v>2018</v>
      </c>
    </row>
    <row r="3101" spans="2:11" x14ac:dyDescent="0.45">
      <c r="B3101" s="1" t="s">
        <v>11</v>
      </c>
      <c r="C3101" s="1" t="s">
        <v>3081</v>
      </c>
      <c r="D3101" s="7">
        <v>44895</v>
      </c>
      <c r="E3101" s="7">
        <v>44920</v>
      </c>
      <c r="F3101" s="7">
        <v>45053</v>
      </c>
      <c r="G3101" s="1" t="s">
        <v>44</v>
      </c>
      <c r="H3101" s="8">
        <v>37516226.210000001</v>
      </c>
      <c r="I3101" s="8">
        <v>27483080.73</v>
      </c>
      <c r="J3101" s="1">
        <f>IF(COUNTIF($C$4:C3101,C3101)=1,1,0)</f>
        <v>1</v>
      </c>
      <c r="K3101" s="1">
        <f t="shared" si="48"/>
        <v>2022</v>
      </c>
    </row>
    <row r="3102" spans="2:11" x14ac:dyDescent="0.45">
      <c r="B3102" s="1" t="s">
        <v>11</v>
      </c>
      <c r="C3102" s="1" t="s">
        <v>3082</v>
      </c>
      <c r="D3102" s="7">
        <v>44996</v>
      </c>
      <c r="E3102" s="7">
        <v>45013</v>
      </c>
      <c r="F3102" s="7">
        <v>45233</v>
      </c>
      <c r="G3102" s="1" t="s">
        <v>1348</v>
      </c>
      <c r="H3102" s="8">
        <v>25849895.170000002</v>
      </c>
      <c r="I3102" s="8">
        <v>17577096.73</v>
      </c>
      <c r="J3102" s="1">
        <f>IF(COUNTIF($C$4:C3102,C3102)=1,1,0)</f>
        <v>1</v>
      </c>
      <c r="K3102" s="1">
        <f t="shared" si="48"/>
        <v>2023</v>
      </c>
    </row>
    <row r="3103" spans="2:11" x14ac:dyDescent="0.45">
      <c r="B3103" s="1" t="s">
        <v>11</v>
      </c>
      <c r="C3103" s="1" t="s">
        <v>3083</v>
      </c>
      <c r="D3103" s="7">
        <v>45743</v>
      </c>
      <c r="E3103" s="7">
        <v>45754</v>
      </c>
      <c r="F3103" s="7">
        <v>45768</v>
      </c>
      <c r="G3103" s="1" t="s">
        <v>212</v>
      </c>
      <c r="H3103" s="8">
        <v>45415323.350000001</v>
      </c>
      <c r="I3103" s="8">
        <v>25612705.34</v>
      </c>
      <c r="J3103" s="1">
        <f>IF(COUNTIF($C$4:C3103,C3103)=1,1,0)</f>
        <v>1</v>
      </c>
      <c r="K3103" s="1">
        <f t="shared" si="48"/>
        <v>2025</v>
      </c>
    </row>
    <row r="3104" spans="2:11" x14ac:dyDescent="0.45">
      <c r="B3104" s="1" t="s">
        <v>11</v>
      </c>
      <c r="C3104" s="1" t="s">
        <v>3084</v>
      </c>
      <c r="D3104" s="7">
        <v>44098</v>
      </c>
      <c r="E3104" s="7">
        <v>44112</v>
      </c>
      <c r="F3104" s="7">
        <v>44169</v>
      </c>
      <c r="G3104" s="1" t="s">
        <v>16</v>
      </c>
      <c r="H3104" s="8">
        <v>294033.31</v>
      </c>
      <c r="I3104" s="8">
        <v>191808.48</v>
      </c>
      <c r="J3104" s="1">
        <f>IF(COUNTIF($C$4:C3104,C3104)=1,1,0)</f>
        <v>1</v>
      </c>
      <c r="K3104" s="1">
        <f t="shared" si="48"/>
        <v>2020</v>
      </c>
    </row>
    <row r="3105" spans="2:11" x14ac:dyDescent="0.45">
      <c r="B3105" s="1" t="s">
        <v>11</v>
      </c>
      <c r="C3105" s="1" t="s">
        <v>3085</v>
      </c>
      <c r="D3105" s="7">
        <v>43464</v>
      </c>
      <c r="E3105" s="7">
        <v>43487</v>
      </c>
      <c r="F3105" s="7">
        <v>43662</v>
      </c>
      <c r="G3105" s="1" t="s">
        <v>22</v>
      </c>
      <c r="H3105" s="8">
        <v>25542907.829999998</v>
      </c>
      <c r="I3105" s="8">
        <v>10191301.74</v>
      </c>
      <c r="J3105" s="1">
        <f>IF(COUNTIF($C$4:C3105,C3105)=1,1,0)</f>
        <v>1</v>
      </c>
      <c r="K3105" s="1">
        <f t="shared" si="48"/>
        <v>2018</v>
      </c>
    </row>
    <row r="3106" spans="2:11" x14ac:dyDescent="0.45">
      <c r="B3106" s="1" t="s">
        <v>11</v>
      </c>
      <c r="C3106" s="1" t="s">
        <v>3086</v>
      </c>
      <c r="D3106" s="7">
        <v>44427</v>
      </c>
      <c r="E3106" s="7">
        <v>44428</v>
      </c>
      <c r="F3106" s="7">
        <v>44608</v>
      </c>
      <c r="G3106" s="1" t="s">
        <v>41</v>
      </c>
      <c r="H3106" s="8">
        <v>271351.40999999997</v>
      </c>
      <c r="I3106" s="8">
        <v>228561.19</v>
      </c>
      <c r="J3106" s="1">
        <f>IF(COUNTIF($C$4:C3106,C3106)=1,1,0)</f>
        <v>1</v>
      </c>
      <c r="K3106" s="1">
        <f t="shared" si="48"/>
        <v>2021</v>
      </c>
    </row>
    <row r="3107" spans="2:11" x14ac:dyDescent="0.45">
      <c r="B3107" s="1" t="s">
        <v>11</v>
      </c>
      <c r="C3107" s="1" t="s">
        <v>3087</v>
      </c>
      <c r="D3107" s="7">
        <v>44240</v>
      </c>
      <c r="E3107" s="7">
        <v>44243</v>
      </c>
      <c r="F3107" s="7">
        <v>44250</v>
      </c>
      <c r="G3107" s="1" t="s">
        <v>20</v>
      </c>
      <c r="H3107" s="8">
        <v>3140448.11</v>
      </c>
      <c r="I3107" s="8">
        <v>2297623.3199999998</v>
      </c>
      <c r="J3107" s="1">
        <f>IF(COUNTIF($C$4:C3107,C3107)=1,1,0)</f>
        <v>1</v>
      </c>
      <c r="K3107" s="1">
        <f t="shared" si="48"/>
        <v>2021</v>
      </c>
    </row>
    <row r="3108" spans="2:11" x14ac:dyDescent="0.45">
      <c r="B3108" s="1" t="s">
        <v>11</v>
      </c>
      <c r="C3108" s="1" t="s">
        <v>3088</v>
      </c>
      <c r="D3108" s="7">
        <v>44003</v>
      </c>
      <c r="E3108" s="7">
        <v>44015</v>
      </c>
      <c r="F3108" s="7">
        <v>44052</v>
      </c>
      <c r="G3108" s="1" t="s">
        <v>13</v>
      </c>
      <c r="H3108" s="8">
        <v>784075.19</v>
      </c>
      <c r="I3108" s="8">
        <v>651191.76</v>
      </c>
      <c r="J3108" s="1">
        <f>IF(COUNTIF($C$4:C3108,C3108)=1,1,0)</f>
        <v>1</v>
      </c>
      <c r="K3108" s="1">
        <f t="shared" si="48"/>
        <v>2020</v>
      </c>
    </row>
    <row r="3109" spans="2:11" x14ac:dyDescent="0.45">
      <c r="B3109" s="1" t="s">
        <v>11</v>
      </c>
      <c r="C3109" s="1" t="s">
        <v>3089</v>
      </c>
      <c r="D3109" s="7">
        <v>44540</v>
      </c>
      <c r="E3109" s="7">
        <v>44543</v>
      </c>
      <c r="F3109" s="7">
        <v>44627</v>
      </c>
      <c r="G3109" s="1" t="s">
        <v>13</v>
      </c>
      <c r="H3109" s="8">
        <v>56513.23</v>
      </c>
      <c r="I3109" s="8">
        <v>48197.9</v>
      </c>
      <c r="J3109" s="1">
        <f>IF(COUNTIF($C$4:C3109,C3109)=1,1,0)</f>
        <v>1</v>
      </c>
      <c r="K3109" s="1">
        <f t="shared" si="48"/>
        <v>2021</v>
      </c>
    </row>
    <row r="3110" spans="2:11" x14ac:dyDescent="0.45">
      <c r="B3110" s="1" t="s">
        <v>11</v>
      </c>
      <c r="C3110" s="1" t="s">
        <v>2334</v>
      </c>
      <c r="D3110" s="7">
        <v>44980</v>
      </c>
      <c r="E3110" s="7">
        <v>44996</v>
      </c>
      <c r="F3110" s="7">
        <v>45222</v>
      </c>
      <c r="G3110" s="1" t="s">
        <v>1348</v>
      </c>
      <c r="H3110" s="8">
        <v>13772677.52</v>
      </c>
      <c r="I3110" s="8">
        <v>7454014.7699999996</v>
      </c>
      <c r="J3110" s="1">
        <f>IF(COUNTIF($C$4:C3110,C3110)=1,1,0)</f>
        <v>0</v>
      </c>
      <c r="K3110" s="1">
        <f t="shared" si="48"/>
        <v>2023</v>
      </c>
    </row>
    <row r="3111" spans="2:11" x14ac:dyDescent="0.45">
      <c r="B3111" s="1" t="s">
        <v>11</v>
      </c>
      <c r="C3111" s="1" t="s">
        <v>3090</v>
      </c>
      <c r="D3111" s="7">
        <v>45775</v>
      </c>
      <c r="E3111" s="7">
        <v>45797</v>
      </c>
      <c r="F3111" s="7">
        <v>45917</v>
      </c>
      <c r="G3111" s="1" t="s">
        <v>44</v>
      </c>
      <c r="H3111" s="8">
        <v>32500309.59</v>
      </c>
      <c r="I3111" s="8">
        <v>13261547.33</v>
      </c>
      <c r="J3111" s="1">
        <f>IF(COUNTIF($C$4:C3111,C3111)=1,1,0)</f>
        <v>1</v>
      </c>
      <c r="K3111" s="1">
        <f t="shared" si="48"/>
        <v>2025</v>
      </c>
    </row>
    <row r="3112" spans="2:11" x14ac:dyDescent="0.45">
      <c r="B3112" s="1" t="s">
        <v>11</v>
      </c>
      <c r="C3112" s="1" t="s">
        <v>3091</v>
      </c>
      <c r="D3112" s="7">
        <v>44591</v>
      </c>
      <c r="E3112" s="7">
        <v>44603</v>
      </c>
      <c r="F3112" s="7">
        <v>44728</v>
      </c>
      <c r="G3112" s="1" t="s">
        <v>41</v>
      </c>
      <c r="H3112" s="8">
        <v>26879.31</v>
      </c>
      <c r="I3112" s="8">
        <v>20832.259999999998</v>
      </c>
      <c r="J3112" s="1">
        <f>IF(COUNTIF($C$4:C3112,C3112)=1,1,0)</f>
        <v>1</v>
      </c>
      <c r="K3112" s="1">
        <f t="shared" si="48"/>
        <v>2022</v>
      </c>
    </row>
    <row r="3113" spans="2:11" x14ac:dyDescent="0.45">
      <c r="B3113" s="1" t="s">
        <v>11</v>
      </c>
      <c r="C3113" s="1" t="s">
        <v>3092</v>
      </c>
      <c r="D3113" s="7">
        <v>44999</v>
      </c>
      <c r="E3113" s="7">
        <v>45015</v>
      </c>
      <c r="F3113" s="7">
        <v>45128</v>
      </c>
      <c r="G3113" s="1" t="s">
        <v>1348</v>
      </c>
      <c r="H3113" s="8">
        <v>58971148.280000001</v>
      </c>
      <c r="I3113" s="8">
        <v>42212417.670000002</v>
      </c>
      <c r="J3113" s="1">
        <f>IF(COUNTIF($C$4:C3113,C3113)=1,1,0)</f>
        <v>1</v>
      </c>
      <c r="K3113" s="1">
        <f t="shared" si="48"/>
        <v>2023</v>
      </c>
    </row>
    <row r="3114" spans="2:11" x14ac:dyDescent="0.45">
      <c r="B3114" s="1" t="s">
        <v>11</v>
      </c>
      <c r="C3114" s="1" t="s">
        <v>3093</v>
      </c>
      <c r="D3114" s="7">
        <v>44752</v>
      </c>
      <c r="E3114" s="7">
        <v>44774</v>
      </c>
      <c r="F3114" s="7">
        <v>44947</v>
      </c>
      <c r="G3114" s="1" t="s">
        <v>38</v>
      </c>
      <c r="H3114" s="8">
        <v>1899842.9</v>
      </c>
      <c r="I3114" s="8">
        <v>1295169.44</v>
      </c>
      <c r="J3114" s="1">
        <f>IF(COUNTIF($C$4:C3114,C3114)=1,1,0)</f>
        <v>1</v>
      </c>
      <c r="K3114" s="1">
        <f t="shared" si="48"/>
        <v>2022</v>
      </c>
    </row>
    <row r="3115" spans="2:11" x14ac:dyDescent="0.45">
      <c r="B3115" s="1" t="s">
        <v>11</v>
      </c>
      <c r="C3115" s="1" t="s">
        <v>3094</v>
      </c>
      <c r="D3115" s="7">
        <v>44873</v>
      </c>
      <c r="E3115" s="7">
        <v>44884</v>
      </c>
      <c r="F3115" s="7">
        <v>44899</v>
      </c>
      <c r="G3115" s="1" t="s">
        <v>212</v>
      </c>
      <c r="H3115" s="8">
        <v>12029637.630000001</v>
      </c>
      <c r="I3115" s="8">
        <v>3738253.27</v>
      </c>
      <c r="J3115" s="1">
        <f>IF(COUNTIF($C$4:C3115,C3115)=1,1,0)</f>
        <v>1</v>
      </c>
      <c r="K3115" s="1">
        <f t="shared" si="48"/>
        <v>2022</v>
      </c>
    </row>
    <row r="3116" spans="2:11" x14ac:dyDescent="0.45">
      <c r="B3116" s="1" t="s">
        <v>11</v>
      </c>
      <c r="C3116" s="1" t="s">
        <v>3095</v>
      </c>
      <c r="D3116" s="7">
        <v>43591</v>
      </c>
      <c r="E3116" s="7">
        <v>43591</v>
      </c>
      <c r="F3116" s="7">
        <v>43789</v>
      </c>
      <c r="G3116" s="1" t="s">
        <v>44</v>
      </c>
      <c r="H3116" s="8">
        <v>149594602.81999999</v>
      </c>
      <c r="I3116" s="8">
        <v>51535140.119999997</v>
      </c>
      <c r="J3116" s="1">
        <f>IF(COUNTIF($C$4:C3116,C3116)=1,1,0)</f>
        <v>1</v>
      </c>
      <c r="K3116" s="1">
        <f t="shared" si="48"/>
        <v>2019</v>
      </c>
    </row>
    <row r="3117" spans="2:11" x14ac:dyDescent="0.45">
      <c r="B3117" s="1" t="s">
        <v>11</v>
      </c>
      <c r="C3117" s="1" t="s">
        <v>3096</v>
      </c>
      <c r="D3117" s="7">
        <v>45269</v>
      </c>
      <c r="E3117" s="7">
        <v>45287</v>
      </c>
      <c r="F3117" s="7">
        <v>45418</v>
      </c>
      <c r="G3117" s="1" t="s">
        <v>41</v>
      </c>
      <c r="H3117" s="8">
        <v>91564.28</v>
      </c>
      <c r="I3117" s="8">
        <v>70753.600000000006</v>
      </c>
      <c r="J3117" s="1">
        <f>IF(COUNTIF($C$4:C3117,C3117)=1,1,0)</f>
        <v>1</v>
      </c>
      <c r="K3117" s="1">
        <f t="shared" si="48"/>
        <v>2023</v>
      </c>
    </row>
    <row r="3118" spans="2:11" x14ac:dyDescent="0.45">
      <c r="B3118" s="1" t="s">
        <v>11</v>
      </c>
      <c r="C3118" s="1" t="s">
        <v>3097</v>
      </c>
      <c r="D3118" s="7">
        <v>44781</v>
      </c>
      <c r="E3118" s="7">
        <v>44786</v>
      </c>
      <c r="F3118" s="7">
        <v>44821</v>
      </c>
      <c r="G3118" s="1" t="s">
        <v>212</v>
      </c>
      <c r="H3118" s="8">
        <v>5505587.6500000004</v>
      </c>
      <c r="I3118" s="8">
        <v>3928504.69</v>
      </c>
      <c r="J3118" s="1">
        <f>IF(COUNTIF($C$4:C3118,C3118)=1,1,0)</f>
        <v>1</v>
      </c>
      <c r="K3118" s="1">
        <f t="shared" si="48"/>
        <v>2022</v>
      </c>
    </row>
    <row r="3119" spans="2:11" x14ac:dyDescent="0.45">
      <c r="B3119" s="1" t="s">
        <v>11</v>
      </c>
      <c r="C3119" s="1" t="s">
        <v>3098</v>
      </c>
      <c r="D3119" s="7">
        <v>43901</v>
      </c>
      <c r="E3119" s="7">
        <v>43929</v>
      </c>
      <c r="F3119" s="7">
        <v>44163</v>
      </c>
      <c r="G3119" s="1" t="s">
        <v>22</v>
      </c>
      <c r="H3119" s="8">
        <v>139717879.40000001</v>
      </c>
      <c r="I3119" s="8">
        <v>74806936.329999998</v>
      </c>
      <c r="J3119" s="1">
        <f>IF(COUNTIF($C$4:C3119,C3119)=1,1,0)</f>
        <v>1</v>
      </c>
      <c r="K3119" s="1">
        <f t="shared" si="48"/>
        <v>2020</v>
      </c>
    </row>
    <row r="3120" spans="2:11" x14ac:dyDescent="0.45">
      <c r="B3120" s="1" t="s">
        <v>11</v>
      </c>
      <c r="C3120" s="1" t="s">
        <v>3099</v>
      </c>
      <c r="D3120" s="7">
        <v>45026</v>
      </c>
      <c r="E3120" s="7">
        <v>45039</v>
      </c>
      <c r="F3120" s="7">
        <v>45064</v>
      </c>
      <c r="G3120" s="1" t="s">
        <v>1348</v>
      </c>
      <c r="H3120" s="8">
        <v>103959634.65000001</v>
      </c>
      <c r="I3120" s="8">
        <v>52265471.090000004</v>
      </c>
      <c r="J3120" s="1">
        <f>IF(COUNTIF($C$4:C3120,C3120)=1,1,0)</f>
        <v>1</v>
      </c>
      <c r="K3120" s="1">
        <f t="shared" si="48"/>
        <v>2023</v>
      </c>
    </row>
    <row r="3121" spans="2:11" x14ac:dyDescent="0.45">
      <c r="B3121" s="1" t="s">
        <v>11</v>
      </c>
      <c r="C3121" s="1" t="s">
        <v>3100</v>
      </c>
      <c r="D3121" s="7">
        <v>45808</v>
      </c>
      <c r="E3121" s="7">
        <v>45826</v>
      </c>
      <c r="F3121" s="7">
        <v>45923</v>
      </c>
      <c r="G3121" s="1" t="s">
        <v>20</v>
      </c>
      <c r="H3121" s="8">
        <v>272533.84999999998</v>
      </c>
      <c r="I3121" s="8">
        <v>193797.08</v>
      </c>
      <c r="J3121" s="1">
        <f>IF(COUNTIF($C$4:C3121,C3121)=1,1,0)</f>
        <v>1</v>
      </c>
      <c r="K3121" s="1">
        <f t="shared" si="48"/>
        <v>2025</v>
      </c>
    </row>
    <row r="3122" spans="2:11" x14ac:dyDescent="0.45">
      <c r="B3122" s="1" t="s">
        <v>11</v>
      </c>
      <c r="C3122" s="1" t="s">
        <v>3101</v>
      </c>
      <c r="D3122" s="7">
        <v>46084</v>
      </c>
      <c r="E3122" s="7">
        <v>46103</v>
      </c>
      <c r="F3122" s="7">
        <v>46227</v>
      </c>
      <c r="G3122" s="1" t="s">
        <v>18</v>
      </c>
      <c r="H3122" s="8">
        <v>1527982.77</v>
      </c>
      <c r="I3122" s="8">
        <v>1136698.75</v>
      </c>
      <c r="J3122" s="1">
        <f>IF(COUNTIF($C$4:C3122,C3122)=1,1,0)</f>
        <v>1</v>
      </c>
      <c r="K3122" s="1">
        <f t="shared" si="48"/>
        <v>2026</v>
      </c>
    </row>
    <row r="3123" spans="2:11" x14ac:dyDescent="0.45">
      <c r="B3123" s="1" t="s">
        <v>11</v>
      </c>
      <c r="C3123" s="1" t="s">
        <v>3102</v>
      </c>
      <c r="D3123" s="7">
        <v>44471</v>
      </c>
      <c r="E3123" s="7">
        <v>44489</v>
      </c>
      <c r="F3123" s="7">
        <v>44641</v>
      </c>
      <c r="G3123" s="1" t="s">
        <v>38</v>
      </c>
      <c r="H3123" s="8">
        <v>408688.21</v>
      </c>
      <c r="I3123" s="8">
        <v>318908.59999999998</v>
      </c>
      <c r="J3123" s="1">
        <f>IF(COUNTIF($C$4:C3123,C3123)=1,1,0)</f>
        <v>1</v>
      </c>
      <c r="K3123" s="1">
        <f t="shared" si="48"/>
        <v>2021</v>
      </c>
    </row>
    <row r="3124" spans="2:11" x14ac:dyDescent="0.45">
      <c r="B3124" s="1" t="s">
        <v>11</v>
      </c>
      <c r="C3124" s="1" t="s">
        <v>3103</v>
      </c>
      <c r="D3124" s="7">
        <v>43675</v>
      </c>
      <c r="E3124" s="7">
        <v>43675</v>
      </c>
      <c r="F3124" s="7">
        <v>43901</v>
      </c>
      <c r="G3124" s="1" t="s">
        <v>212</v>
      </c>
      <c r="H3124" s="8">
        <v>6539190.7400000002</v>
      </c>
      <c r="I3124" s="8">
        <v>4010282.93</v>
      </c>
      <c r="J3124" s="1">
        <f>IF(COUNTIF($C$4:C3124,C3124)=1,1,0)</f>
        <v>1</v>
      </c>
      <c r="K3124" s="1">
        <f t="shared" si="48"/>
        <v>2019</v>
      </c>
    </row>
    <row r="3125" spans="2:11" x14ac:dyDescent="0.45">
      <c r="B3125" s="1" t="s">
        <v>11</v>
      </c>
      <c r="C3125" s="1" t="s">
        <v>3104</v>
      </c>
      <c r="D3125" s="7">
        <v>45033</v>
      </c>
      <c r="E3125" s="7">
        <v>45061</v>
      </c>
      <c r="F3125" s="7">
        <v>45293</v>
      </c>
      <c r="G3125" s="1" t="s">
        <v>20</v>
      </c>
      <c r="H3125" s="8">
        <v>1491184.91</v>
      </c>
      <c r="I3125" s="8">
        <v>905162.85</v>
      </c>
      <c r="J3125" s="1">
        <f>IF(COUNTIF($C$4:C3125,C3125)=1,1,0)</f>
        <v>1</v>
      </c>
      <c r="K3125" s="1">
        <f t="shared" si="48"/>
        <v>2023</v>
      </c>
    </row>
    <row r="3126" spans="2:11" x14ac:dyDescent="0.45">
      <c r="B3126" s="1" t="s">
        <v>11</v>
      </c>
      <c r="C3126" s="1" t="s">
        <v>3105</v>
      </c>
      <c r="D3126" s="7">
        <v>43782</v>
      </c>
      <c r="E3126" s="7">
        <v>43795</v>
      </c>
      <c r="F3126" s="7">
        <v>44035</v>
      </c>
      <c r="G3126" s="1" t="s">
        <v>13</v>
      </c>
      <c r="H3126" s="8">
        <v>298244.73</v>
      </c>
      <c r="I3126" s="8">
        <v>252139.65</v>
      </c>
      <c r="J3126" s="1">
        <f>IF(COUNTIF($C$4:C3126,C3126)=1,1,0)</f>
        <v>1</v>
      </c>
      <c r="K3126" s="1">
        <f t="shared" si="48"/>
        <v>2019</v>
      </c>
    </row>
    <row r="3127" spans="2:11" x14ac:dyDescent="0.45">
      <c r="B3127" s="1" t="s">
        <v>11</v>
      </c>
      <c r="C3127" s="1" t="s">
        <v>3106</v>
      </c>
      <c r="D3127" s="7">
        <v>43498</v>
      </c>
      <c r="E3127" s="7">
        <v>43524</v>
      </c>
      <c r="F3127" s="7">
        <v>43587</v>
      </c>
      <c r="G3127" s="1" t="s">
        <v>22</v>
      </c>
      <c r="H3127" s="8">
        <v>18286176.379999999</v>
      </c>
      <c r="I3127" s="8">
        <v>13053648.15</v>
      </c>
      <c r="J3127" s="1">
        <f>IF(COUNTIF($C$4:C3127,C3127)=1,1,0)</f>
        <v>1</v>
      </c>
      <c r="K3127" s="1">
        <f t="shared" si="48"/>
        <v>2019</v>
      </c>
    </row>
    <row r="3128" spans="2:11" x14ac:dyDescent="0.45">
      <c r="B3128" s="1" t="s">
        <v>11</v>
      </c>
      <c r="C3128" s="1" t="s">
        <v>3107</v>
      </c>
      <c r="D3128" s="7">
        <v>44411</v>
      </c>
      <c r="E3128" s="7">
        <v>44418</v>
      </c>
      <c r="F3128" s="7">
        <v>44597</v>
      </c>
      <c r="G3128" s="1" t="s">
        <v>20</v>
      </c>
      <c r="H3128" s="8">
        <v>1910991.24</v>
      </c>
      <c r="I3128" s="8">
        <v>1375807.72</v>
      </c>
      <c r="J3128" s="1">
        <f>IF(COUNTIF($C$4:C3128,C3128)=1,1,0)</f>
        <v>1</v>
      </c>
      <c r="K3128" s="1">
        <f t="shared" si="48"/>
        <v>2021</v>
      </c>
    </row>
    <row r="3129" spans="2:11" x14ac:dyDescent="0.45">
      <c r="B3129" s="1" t="s">
        <v>11</v>
      </c>
      <c r="C3129" s="1" t="s">
        <v>3108</v>
      </c>
      <c r="D3129" s="7">
        <v>43847</v>
      </c>
      <c r="E3129" s="7">
        <v>43865</v>
      </c>
      <c r="F3129" s="7">
        <v>43908</v>
      </c>
      <c r="G3129" s="1" t="s">
        <v>18</v>
      </c>
      <c r="H3129" s="8">
        <v>6563585.3300000001</v>
      </c>
      <c r="I3129" s="8">
        <v>4682670.68</v>
      </c>
      <c r="J3129" s="1">
        <f>IF(COUNTIF($C$4:C3129,C3129)=1,1,0)</f>
        <v>1</v>
      </c>
      <c r="K3129" s="1">
        <f t="shared" si="48"/>
        <v>2020</v>
      </c>
    </row>
    <row r="3130" spans="2:11" x14ac:dyDescent="0.45">
      <c r="B3130" s="1" t="s">
        <v>11</v>
      </c>
      <c r="C3130" s="1" t="s">
        <v>3109</v>
      </c>
      <c r="D3130" s="7">
        <v>45812</v>
      </c>
      <c r="E3130" s="7">
        <v>45830</v>
      </c>
      <c r="F3130" s="7">
        <v>46023</v>
      </c>
      <c r="G3130" s="1" t="s">
        <v>44</v>
      </c>
      <c r="H3130" s="8">
        <v>80507865.950000003</v>
      </c>
      <c r="I3130" s="8">
        <v>46752175.170000002</v>
      </c>
      <c r="J3130" s="1">
        <f>IF(COUNTIF($C$4:C3130,C3130)=1,1,0)</f>
        <v>1</v>
      </c>
      <c r="K3130" s="1">
        <f t="shared" si="48"/>
        <v>2025</v>
      </c>
    </row>
    <row r="3131" spans="2:11" x14ac:dyDescent="0.45">
      <c r="B3131" s="1" t="s">
        <v>11</v>
      </c>
      <c r="C3131" s="1" t="s">
        <v>3110</v>
      </c>
      <c r="D3131" s="7">
        <v>43511</v>
      </c>
      <c r="E3131" s="7">
        <v>43516</v>
      </c>
      <c r="F3131" s="7">
        <v>43754</v>
      </c>
      <c r="G3131" s="1" t="s">
        <v>20</v>
      </c>
      <c r="H3131" s="8">
        <v>405296.08</v>
      </c>
      <c r="I3131" s="8">
        <v>306487.99</v>
      </c>
      <c r="J3131" s="1">
        <f>IF(COUNTIF($C$4:C3131,C3131)=1,1,0)</f>
        <v>1</v>
      </c>
      <c r="K3131" s="1">
        <f t="shared" si="48"/>
        <v>2019</v>
      </c>
    </row>
    <row r="3132" spans="2:11" x14ac:dyDescent="0.45">
      <c r="B3132" s="1" t="s">
        <v>11</v>
      </c>
      <c r="C3132" s="1" t="s">
        <v>3111</v>
      </c>
      <c r="D3132" s="7">
        <v>46311</v>
      </c>
      <c r="E3132" s="7">
        <v>46330</v>
      </c>
      <c r="F3132" s="7">
        <v>46402</v>
      </c>
      <c r="G3132" s="1" t="s">
        <v>13</v>
      </c>
      <c r="H3132" s="8">
        <v>424510.25</v>
      </c>
      <c r="I3132" s="8">
        <v>378846.82</v>
      </c>
      <c r="J3132" s="1">
        <f>IF(COUNTIF($C$4:C3132,C3132)=1,1,0)</f>
        <v>1</v>
      </c>
      <c r="K3132" s="1">
        <f t="shared" si="48"/>
        <v>2026</v>
      </c>
    </row>
    <row r="3133" spans="2:11" x14ac:dyDescent="0.45">
      <c r="B3133" s="1" t="s">
        <v>11</v>
      </c>
      <c r="C3133" s="1" t="s">
        <v>3112</v>
      </c>
      <c r="D3133" s="7">
        <v>45843</v>
      </c>
      <c r="E3133" s="7">
        <v>45855</v>
      </c>
      <c r="F3133" s="7">
        <v>45941</v>
      </c>
      <c r="G3133" s="1" t="s">
        <v>38</v>
      </c>
      <c r="H3133" s="8">
        <v>702011.92</v>
      </c>
      <c r="I3133" s="8">
        <v>570384.51</v>
      </c>
      <c r="J3133" s="1">
        <f>IF(COUNTIF($C$4:C3133,C3133)=1,1,0)</f>
        <v>1</v>
      </c>
      <c r="K3133" s="1">
        <f t="shared" si="48"/>
        <v>2025</v>
      </c>
    </row>
    <row r="3134" spans="2:11" x14ac:dyDescent="0.45">
      <c r="B3134" s="1" t="s">
        <v>11</v>
      </c>
      <c r="C3134" s="1" t="s">
        <v>3113</v>
      </c>
      <c r="D3134" s="7">
        <v>45830</v>
      </c>
      <c r="E3134" s="7">
        <v>45856</v>
      </c>
      <c r="F3134" s="7">
        <v>45935</v>
      </c>
      <c r="G3134" s="1" t="s">
        <v>1348</v>
      </c>
      <c r="H3134" s="8">
        <v>39764483.079999998</v>
      </c>
      <c r="I3134" s="8">
        <v>28924852.350000001</v>
      </c>
      <c r="J3134" s="1">
        <f>IF(COUNTIF($C$4:C3134,C3134)=1,1,0)</f>
        <v>1</v>
      </c>
      <c r="K3134" s="1">
        <f t="shared" si="48"/>
        <v>2025</v>
      </c>
    </row>
    <row r="3135" spans="2:11" x14ac:dyDescent="0.45">
      <c r="B3135" s="1" t="s">
        <v>11</v>
      </c>
      <c r="C3135" s="1" t="s">
        <v>3114</v>
      </c>
      <c r="D3135" s="7">
        <v>45621</v>
      </c>
      <c r="E3135" s="7">
        <v>45648</v>
      </c>
      <c r="F3135" s="7">
        <v>45694</v>
      </c>
      <c r="G3135" s="1" t="s">
        <v>41</v>
      </c>
      <c r="H3135" s="8">
        <v>1187127.1200000001</v>
      </c>
      <c r="I3135" s="8">
        <v>911079.6</v>
      </c>
      <c r="J3135" s="1">
        <f>IF(COUNTIF($C$4:C3135,C3135)=1,1,0)</f>
        <v>1</v>
      </c>
      <c r="K3135" s="1">
        <f t="shared" si="48"/>
        <v>2024</v>
      </c>
    </row>
    <row r="3136" spans="2:11" x14ac:dyDescent="0.45">
      <c r="B3136" s="1" t="s">
        <v>11</v>
      </c>
      <c r="C3136" s="1" t="s">
        <v>3115</v>
      </c>
      <c r="D3136" s="7">
        <v>44580</v>
      </c>
      <c r="E3136" s="7">
        <v>44580</v>
      </c>
      <c r="F3136" s="7">
        <v>44796</v>
      </c>
      <c r="G3136" s="1" t="s">
        <v>13</v>
      </c>
      <c r="H3136" s="8">
        <v>306511.19</v>
      </c>
      <c r="I3136" s="8">
        <v>194817.4</v>
      </c>
      <c r="J3136" s="1">
        <f>IF(COUNTIF($C$4:C3136,C3136)=1,1,0)</f>
        <v>1</v>
      </c>
      <c r="K3136" s="1">
        <f t="shared" si="48"/>
        <v>2022</v>
      </c>
    </row>
    <row r="3137" spans="2:11" x14ac:dyDescent="0.45">
      <c r="B3137" s="1" t="s">
        <v>11</v>
      </c>
      <c r="C3137" s="1" t="s">
        <v>3116</v>
      </c>
      <c r="D3137" s="7">
        <v>43794</v>
      </c>
      <c r="E3137" s="7">
        <v>43824</v>
      </c>
      <c r="F3137" s="7">
        <v>43992</v>
      </c>
      <c r="G3137" s="1" t="s">
        <v>41</v>
      </c>
      <c r="H3137" s="8">
        <v>209306.68</v>
      </c>
      <c r="I3137" s="8">
        <v>159440.22</v>
      </c>
      <c r="J3137" s="1">
        <f>IF(COUNTIF($C$4:C3137,C3137)=1,1,0)</f>
        <v>1</v>
      </c>
      <c r="K3137" s="1">
        <f t="shared" si="48"/>
        <v>2019</v>
      </c>
    </row>
    <row r="3138" spans="2:11" x14ac:dyDescent="0.45">
      <c r="B3138" s="1" t="s">
        <v>11</v>
      </c>
      <c r="C3138" s="1" t="s">
        <v>3117</v>
      </c>
      <c r="D3138" s="7">
        <v>45080</v>
      </c>
      <c r="E3138" s="7">
        <v>45091</v>
      </c>
      <c r="F3138" s="7">
        <v>45305</v>
      </c>
      <c r="G3138" s="1" t="s">
        <v>44</v>
      </c>
      <c r="H3138" s="8">
        <v>176435884.19999999</v>
      </c>
      <c r="I3138" s="8">
        <v>80145889.969999999</v>
      </c>
      <c r="J3138" s="1">
        <f>IF(COUNTIF($C$4:C3138,C3138)=1,1,0)</f>
        <v>1</v>
      </c>
      <c r="K3138" s="1">
        <f t="shared" si="48"/>
        <v>2023</v>
      </c>
    </row>
    <row r="3139" spans="2:11" x14ac:dyDescent="0.45">
      <c r="B3139" s="1" t="s">
        <v>11</v>
      </c>
      <c r="C3139" s="1" t="s">
        <v>3118</v>
      </c>
      <c r="D3139" s="7">
        <v>45383</v>
      </c>
      <c r="E3139" s="7">
        <v>45400</v>
      </c>
      <c r="F3139" s="7">
        <v>45419</v>
      </c>
      <c r="G3139" s="1" t="s">
        <v>13</v>
      </c>
      <c r="H3139" s="8">
        <v>791995.38</v>
      </c>
      <c r="I3139" s="8">
        <v>599835.84</v>
      </c>
      <c r="J3139" s="1">
        <f>IF(COUNTIF($C$4:C3139,C3139)=1,1,0)</f>
        <v>1</v>
      </c>
      <c r="K3139" s="1">
        <f t="shared" si="48"/>
        <v>2024</v>
      </c>
    </row>
    <row r="3140" spans="2:11" x14ac:dyDescent="0.45">
      <c r="B3140" s="1" t="s">
        <v>11</v>
      </c>
      <c r="C3140" s="1" t="s">
        <v>3119</v>
      </c>
      <c r="D3140" s="7">
        <v>45448</v>
      </c>
      <c r="E3140" s="7">
        <v>45472</v>
      </c>
      <c r="F3140" s="7">
        <v>45493</v>
      </c>
      <c r="G3140" s="1" t="s">
        <v>22</v>
      </c>
      <c r="H3140" s="8">
        <v>10695608.85</v>
      </c>
      <c r="I3140" s="8">
        <v>6856979.3899999997</v>
      </c>
      <c r="J3140" s="1">
        <f>IF(COUNTIF($C$4:C3140,C3140)=1,1,0)</f>
        <v>1</v>
      </c>
      <c r="K3140" s="1">
        <f t="shared" si="48"/>
        <v>2024</v>
      </c>
    </row>
    <row r="3141" spans="2:11" x14ac:dyDescent="0.45">
      <c r="B3141" s="1" t="s">
        <v>11</v>
      </c>
      <c r="C3141" s="1" t="s">
        <v>2904</v>
      </c>
      <c r="D3141" s="7">
        <v>45449</v>
      </c>
      <c r="E3141" s="7">
        <v>45450</v>
      </c>
      <c r="F3141" s="7">
        <v>45654</v>
      </c>
      <c r="G3141" s="1" t="s">
        <v>18</v>
      </c>
      <c r="H3141" s="8">
        <v>1343994.53</v>
      </c>
      <c r="I3141" s="8">
        <v>1012011.69</v>
      </c>
      <c r="J3141" s="1">
        <f>IF(COUNTIF($C$4:C3141,C3141)=1,1,0)</f>
        <v>0</v>
      </c>
      <c r="K3141" s="1">
        <f t="shared" ref="K3141:K3204" si="49">YEAR(D3141)</f>
        <v>2024</v>
      </c>
    </row>
    <row r="3142" spans="2:11" x14ac:dyDescent="0.45">
      <c r="B3142" s="1" t="s">
        <v>11</v>
      </c>
      <c r="C3142" s="1" t="s">
        <v>3120</v>
      </c>
      <c r="D3142" s="7">
        <v>44073</v>
      </c>
      <c r="E3142" s="7">
        <v>44098</v>
      </c>
      <c r="F3142" s="7">
        <v>44141</v>
      </c>
      <c r="G3142" s="1" t="s">
        <v>38</v>
      </c>
      <c r="H3142" s="8">
        <v>674058.46</v>
      </c>
      <c r="I3142" s="8">
        <v>482095</v>
      </c>
      <c r="J3142" s="1">
        <f>IF(COUNTIF($C$4:C3142,C3142)=1,1,0)</f>
        <v>1</v>
      </c>
      <c r="K3142" s="1">
        <f t="shared" si="49"/>
        <v>2020</v>
      </c>
    </row>
    <row r="3143" spans="2:11" x14ac:dyDescent="0.45">
      <c r="B3143" s="1" t="s">
        <v>11</v>
      </c>
      <c r="C3143" s="1" t="s">
        <v>3121</v>
      </c>
      <c r="D3143" s="7">
        <v>44600</v>
      </c>
      <c r="E3143" s="7">
        <v>44614</v>
      </c>
      <c r="F3143" s="7">
        <v>44774</v>
      </c>
      <c r="G3143" s="1" t="s">
        <v>1348</v>
      </c>
      <c r="H3143" s="8">
        <v>82271942.659999996</v>
      </c>
      <c r="I3143" s="8">
        <v>31321971.52</v>
      </c>
      <c r="J3143" s="1">
        <f>IF(COUNTIF($C$4:C3143,C3143)=1,1,0)</f>
        <v>1</v>
      </c>
      <c r="K3143" s="1">
        <f t="shared" si="49"/>
        <v>2022</v>
      </c>
    </row>
    <row r="3144" spans="2:11" x14ac:dyDescent="0.45">
      <c r="B3144" s="1" t="s">
        <v>11</v>
      </c>
      <c r="C3144" s="1" t="s">
        <v>3122</v>
      </c>
      <c r="D3144" s="7">
        <v>45142</v>
      </c>
      <c r="E3144" s="7">
        <v>45167</v>
      </c>
      <c r="F3144" s="7">
        <v>45382</v>
      </c>
      <c r="G3144" s="1" t="s">
        <v>38</v>
      </c>
      <c r="H3144" s="8">
        <v>68027.16</v>
      </c>
      <c r="I3144" s="8">
        <v>56834.39</v>
      </c>
      <c r="J3144" s="1">
        <f>IF(COUNTIF($C$4:C3144,C3144)=1,1,0)</f>
        <v>1</v>
      </c>
      <c r="K3144" s="1">
        <f t="shared" si="49"/>
        <v>2023</v>
      </c>
    </row>
    <row r="3145" spans="2:11" x14ac:dyDescent="0.45">
      <c r="B3145" s="1" t="s">
        <v>11</v>
      </c>
      <c r="C3145" s="1" t="s">
        <v>3123</v>
      </c>
      <c r="D3145" s="7">
        <v>44276</v>
      </c>
      <c r="E3145" s="7">
        <v>44306</v>
      </c>
      <c r="F3145" s="7">
        <v>44467</v>
      </c>
      <c r="G3145" s="1" t="s">
        <v>41</v>
      </c>
      <c r="H3145" s="8">
        <v>345767.77</v>
      </c>
      <c r="I3145" s="8">
        <v>272927.07</v>
      </c>
      <c r="J3145" s="1">
        <f>IF(COUNTIF($C$4:C3145,C3145)=1,1,0)</f>
        <v>1</v>
      </c>
      <c r="K3145" s="1">
        <f t="shared" si="49"/>
        <v>2021</v>
      </c>
    </row>
    <row r="3146" spans="2:11" x14ac:dyDescent="0.45">
      <c r="B3146" s="1" t="s">
        <v>11</v>
      </c>
      <c r="C3146" s="1" t="s">
        <v>3124</v>
      </c>
      <c r="D3146" s="7">
        <v>44920</v>
      </c>
      <c r="E3146" s="7">
        <v>44941</v>
      </c>
      <c r="F3146" s="7">
        <v>45089</v>
      </c>
      <c r="G3146" s="1" t="s">
        <v>13</v>
      </c>
      <c r="H3146" s="8">
        <v>336093.42</v>
      </c>
      <c r="I3146" s="8">
        <v>289479.94</v>
      </c>
      <c r="J3146" s="1">
        <f>IF(COUNTIF($C$4:C3146,C3146)=1,1,0)</f>
        <v>1</v>
      </c>
      <c r="K3146" s="1">
        <f t="shared" si="49"/>
        <v>2022</v>
      </c>
    </row>
    <row r="3147" spans="2:11" x14ac:dyDescent="0.45">
      <c r="B3147" s="1" t="s">
        <v>11</v>
      </c>
      <c r="C3147" s="1" t="s">
        <v>3125</v>
      </c>
      <c r="D3147" s="7">
        <v>44082</v>
      </c>
      <c r="E3147" s="7">
        <v>44084</v>
      </c>
      <c r="F3147" s="7">
        <v>44188</v>
      </c>
      <c r="G3147" s="1" t="s">
        <v>41</v>
      </c>
      <c r="H3147" s="8">
        <v>112663.17</v>
      </c>
      <c r="I3147" s="8">
        <v>80747.8</v>
      </c>
      <c r="J3147" s="1">
        <f>IF(COUNTIF($C$4:C3147,C3147)=1,1,0)</f>
        <v>1</v>
      </c>
      <c r="K3147" s="1">
        <f t="shared" si="49"/>
        <v>2020</v>
      </c>
    </row>
    <row r="3148" spans="2:11" x14ac:dyDescent="0.45">
      <c r="B3148" s="1" t="s">
        <v>11</v>
      </c>
      <c r="C3148" s="1" t="s">
        <v>3126</v>
      </c>
      <c r="D3148" s="7">
        <v>43778</v>
      </c>
      <c r="E3148" s="7">
        <v>43787</v>
      </c>
      <c r="F3148" s="7">
        <v>43972</v>
      </c>
      <c r="G3148" s="1" t="s">
        <v>16</v>
      </c>
      <c r="H3148" s="8">
        <v>1085762.03</v>
      </c>
      <c r="I3148" s="8">
        <v>708236.26</v>
      </c>
      <c r="J3148" s="1">
        <f>IF(COUNTIF($C$4:C3148,C3148)=1,1,0)</f>
        <v>1</v>
      </c>
      <c r="K3148" s="1">
        <f t="shared" si="49"/>
        <v>2019</v>
      </c>
    </row>
    <row r="3149" spans="2:11" x14ac:dyDescent="0.45">
      <c r="B3149" s="1" t="s">
        <v>11</v>
      </c>
      <c r="C3149" s="1" t="s">
        <v>3127</v>
      </c>
      <c r="D3149" s="7">
        <v>45068</v>
      </c>
      <c r="E3149" s="7">
        <v>45079</v>
      </c>
      <c r="F3149" s="7">
        <v>45140</v>
      </c>
      <c r="G3149" s="1" t="s">
        <v>44</v>
      </c>
      <c r="H3149" s="8">
        <v>64192690.219999999</v>
      </c>
      <c r="I3149" s="8">
        <v>48260355.350000001</v>
      </c>
      <c r="J3149" s="1">
        <f>IF(COUNTIF($C$4:C3149,C3149)=1,1,0)</f>
        <v>1</v>
      </c>
      <c r="K3149" s="1">
        <f t="shared" si="49"/>
        <v>2023</v>
      </c>
    </row>
    <row r="3150" spans="2:11" x14ac:dyDescent="0.45">
      <c r="B3150" s="1" t="s">
        <v>11</v>
      </c>
      <c r="C3150" s="1" t="s">
        <v>3128</v>
      </c>
      <c r="D3150" s="7">
        <v>44957</v>
      </c>
      <c r="E3150" s="7">
        <v>44971</v>
      </c>
      <c r="F3150" s="7">
        <v>45104</v>
      </c>
      <c r="G3150" s="1" t="s">
        <v>212</v>
      </c>
      <c r="H3150" s="8">
        <v>88892096.670000002</v>
      </c>
      <c r="I3150" s="8">
        <v>53525185.799999997</v>
      </c>
      <c r="J3150" s="1">
        <f>IF(COUNTIF($C$4:C3150,C3150)=1,1,0)</f>
        <v>1</v>
      </c>
      <c r="K3150" s="1">
        <f t="shared" si="49"/>
        <v>2023</v>
      </c>
    </row>
    <row r="3151" spans="2:11" x14ac:dyDescent="0.45">
      <c r="B3151" s="1" t="s">
        <v>11</v>
      </c>
      <c r="C3151" s="1" t="s">
        <v>3129</v>
      </c>
      <c r="D3151" s="7">
        <v>44294</v>
      </c>
      <c r="E3151" s="7">
        <v>44295</v>
      </c>
      <c r="F3151" s="7">
        <v>44511</v>
      </c>
      <c r="G3151" s="1" t="s">
        <v>18</v>
      </c>
      <c r="H3151" s="8">
        <v>672790.39</v>
      </c>
      <c r="I3151" s="8">
        <v>469116.42</v>
      </c>
      <c r="J3151" s="1">
        <f>IF(COUNTIF($C$4:C3151,C3151)=1,1,0)</f>
        <v>1</v>
      </c>
      <c r="K3151" s="1">
        <f t="shared" si="49"/>
        <v>2021</v>
      </c>
    </row>
    <row r="3152" spans="2:11" x14ac:dyDescent="0.45">
      <c r="B3152" s="1" t="s">
        <v>11</v>
      </c>
      <c r="C3152" s="1" t="s">
        <v>3130</v>
      </c>
      <c r="D3152" s="7">
        <v>46206</v>
      </c>
      <c r="E3152" s="7">
        <v>46221</v>
      </c>
      <c r="F3152" s="7">
        <v>46400</v>
      </c>
      <c r="G3152" s="1" t="s">
        <v>38</v>
      </c>
      <c r="H3152" s="8">
        <v>160715.32999999999</v>
      </c>
      <c r="I3152" s="8">
        <v>115319.74</v>
      </c>
      <c r="J3152" s="1">
        <f>IF(COUNTIF($C$4:C3152,C3152)=1,1,0)</f>
        <v>1</v>
      </c>
      <c r="K3152" s="1">
        <f t="shared" si="49"/>
        <v>2026</v>
      </c>
    </row>
    <row r="3153" spans="2:11" x14ac:dyDescent="0.45">
      <c r="B3153" s="1" t="s">
        <v>11</v>
      </c>
      <c r="C3153" s="1" t="s">
        <v>3131</v>
      </c>
      <c r="D3153" s="7">
        <v>45288</v>
      </c>
      <c r="E3153" s="7">
        <v>45314</v>
      </c>
      <c r="F3153" s="7">
        <v>45459</v>
      </c>
      <c r="G3153" s="1" t="s">
        <v>44</v>
      </c>
      <c r="H3153" s="8">
        <v>49809085.119999997</v>
      </c>
      <c r="I3153" s="8">
        <v>36138274.68</v>
      </c>
      <c r="J3153" s="1">
        <f>IF(COUNTIF($C$4:C3153,C3153)=1,1,0)</f>
        <v>1</v>
      </c>
      <c r="K3153" s="1">
        <f t="shared" si="49"/>
        <v>2023</v>
      </c>
    </row>
    <row r="3154" spans="2:11" x14ac:dyDescent="0.45">
      <c r="B3154" s="1" t="s">
        <v>11</v>
      </c>
      <c r="C3154" s="1" t="s">
        <v>3132</v>
      </c>
      <c r="D3154" s="7">
        <v>44116</v>
      </c>
      <c r="E3154" s="7">
        <v>44121</v>
      </c>
      <c r="F3154" s="7">
        <v>44225</v>
      </c>
      <c r="G3154" s="1" t="s">
        <v>38</v>
      </c>
      <c r="H3154" s="8">
        <v>78107.28</v>
      </c>
      <c r="I3154" s="8">
        <v>64620.43</v>
      </c>
      <c r="J3154" s="1">
        <f>IF(COUNTIF($C$4:C3154,C3154)=1,1,0)</f>
        <v>1</v>
      </c>
      <c r="K3154" s="1">
        <f t="shared" si="49"/>
        <v>2020</v>
      </c>
    </row>
    <row r="3155" spans="2:11" x14ac:dyDescent="0.45">
      <c r="B3155" s="1" t="s">
        <v>11</v>
      </c>
      <c r="C3155" s="1" t="s">
        <v>3133</v>
      </c>
      <c r="D3155" s="7">
        <v>45564</v>
      </c>
      <c r="E3155" s="7">
        <v>45573</v>
      </c>
      <c r="F3155" s="7">
        <v>45736</v>
      </c>
      <c r="G3155" s="1" t="s">
        <v>13</v>
      </c>
      <c r="H3155" s="8">
        <v>348347.58</v>
      </c>
      <c r="I3155" s="8">
        <v>281539.08</v>
      </c>
      <c r="J3155" s="1">
        <f>IF(COUNTIF($C$4:C3155,C3155)=1,1,0)</f>
        <v>1</v>
      </c>
      <c r="K3155" s="1">
        <f t="shared" si="49"/>
        <v>2024</v>
      </c>
    </row>
    <row r="3156" spans="2:11" x14ac:dyDescent="0.45">
      <c r="B3156" s="1" t="s">
        <v>11</v>
      </c>
      <c r="C3156" s="1" t="s">
        <v>3134</v>
      </c>
      <c r="D3156" s="7">
        <v>43709</v>
      </c>
      <c r="E3156" s="7">
        <v>43714</v>
      </c>
      <c r="F3156" s="7">
        <v>43943</v>
      </c>
      <c r="G3156" s="1" t="s">
        <v>1348</v>
      </c>
      <c r="H3156" s="8">
        <v>53425251.689999998</v>
      </c>
      <c r="I3156" s="8">
        <v>31479627.629999999</v>
      </c>
      <c r="J3156" s="1">
        <f>IF(COUNTIF($C$4:C3156,C3156)=1,1,0)</f>
        <v>1</v>
      </c>
      <c r="K3156" s="1">
        <f t="shared" si="49"/>
        <v>2019</v>
      </c>
    </row>
    <row r="3157" spans="2:11" x14ac:dyDescent="0.45">
      <c r="B3157" s="1" t="s">
        <v>11</v>
      </c>
      <c r="C3157" s="1" t="s">
        <v>3135</v>
      </c>
      <c r="D3157" s="7">
        <v>44832</v>
      </c>
      <c r="E3157" s="7">
        <v>44851</v>
      </c>
      <c r="F3157" s="7">
        <v>44983</v>
      </c>
      <c r="G3157" s="1" t="s">
        <v>212</v>
      </c>
      <c r="H3157" s="8">
        <v>39589468.200000003</v>
      </c>
      <c r="I3157" s="8">
        <v>24932347.23</v>
      </c>
      <c r="J3157" s="1">
        <f>IF(COUNTIF($C$4:C3157,C3157)=1,1,0)</f>
        <v>1</v>
      </c>
      <c r="K3157" s="1">
        <f t="shared" si="49"/>
        <v>2022</v>
      </c>
    </row>
    <row r="3158" spans="2:11" x14ac:dyDescent="0.45">
      <c r="B3158" s="1" t="s">
        <v>11</v>
      </c>
      <c r="C3158" s="1" t="s">
        <v>3136</v>
      </c>
      <c r="D3158" s="7">
        <v>45026</v>
      </c>
      <c r="E3158" s="7">
        <v>45046</v>
      </c>
      <c r="F3158" s="7">
        <v>45251</v>
      </c>
      <c r="G3158" s="1" t="s">
        <v>38</v>
      </c>
      <c r="H3158" s="8">
        <v>813875.64</v>
      </c>
      <c r="I3158" s="8">
        <v>518609.79</v>
      </c>
      <c r="J3158" s="1">
        <f>IF(COUNTIF($C$4:C3158,C3158)=1,1,0)</f>
        <v>1</v>
      </c>
      <c r="K3158" s="1">
        <f t="shared" si="49"/>
        <v>2023</v>
      </c>
    </row>
    <row r="3159" spans="2:11" x14ac:dyDescent="0.45">
      <c r="B3159" s="1" t="s">
        <v>11</v>
      </c>
      <c r="C3159" s="1" t="s">
        <v>3137</v>
      </c>
      <c r="D3159" s="7">
        <v>46022</v>
      </c>
      <c r="E3159" s="7">
        <v>46045</v>
      </c>
      <c r="F3159" s="7">
        <v>46278</v>
      </c>
      <c r="G3159" s="1" t="s">
        <v>13</v>
      </c>
      <c r="H3159" s="8">
        <v>395436.69</v>
      </c>
      <c r="I3159" s="8">
        <v>309502.31</v>
      </c>
      <c r="J3159" s="1">
        <f>IF(COUNTIF($C$4:C3159,C3159)=1,1,0)</f>
        <v>1</v>
      </c>
      <c r="K3159" s="1">
        <f t="shared" si="49"/>
        <v>2025</v>
      </c>
    </row>
    <row r="3160" spans="2:11" x14ac:dyDescent="0.45">
      <c r="B3160" s="1" t="s">
        <v>11</v>
      </c>
      <c r="C3160" s="1" t="s">
        <v>3138</v>
      </c>
      <c r="D3160" s="7">
        <v>45449</v>
      </c>
      <c r="E3160" s="7">
        <v>45474</v>
      </c>
      <c r="F3160" s="7">
        <v>45592</v>
      </c>
      <c r="G3160" s="1" t="s">
        <v>44</v>
      </c>
      <c r="H3160" s="8">
        <v>221704827.87</v>
      </c>
      <c r="I3160" s="8">
        <v>133621444.90000001</v>
      </c>
      <c r="J3160" s="1">
        <f>IF(COUNTIF($C$4:C3160,C3160)=1,1,0)</f>
        <v>1</v>
      </c>
      <c r="K3160" s="1">
        <f t="shared" si="49"/>
        <v>2024</v>
      </c>
    </row>
    <row r="3161" spans="2:11" x14ac:dyDescent="0.45">
      <c r="B3161" s="1" t="s">
        <v>11</v>
      </c>
      <c r="C3161" s="1" t="s">
        <v>3139</v>
      </c>
      <c r="D3161" s="7">
        <v>45759</v>
      </c>
      <c r="E3161" s="7">
        <v>45788</v>
      </c>
      <c r="F3161" s="7">
        <v>45943</v>
      </c>
      <c r="G3161" s="1" t="s">
        <v>41</v>
      </c>
      <c r="H3161" s="8">
        <v>456705.81</v>
      </c>
      <c r="I3161" s="8">
        <v>352871.89</v>
      </c>
      <c r="J3161" s="1">
        <f>IF(COUNTIF($C$4:C3161,C3161)=1,1,0)</f>
        <v>1</v>
      </c>
      <c r="K3161" s="1">
        <f t="shared" si="49"/>
        <v>2025</v>
      </c>
    </row>
    <row r="3162" spans="2:11" x14ac:dyDescent="0.45">
      <c r="B3162" s="1" t="s">
        <v>11</v>
      </c>
      <c r="C3162" s="1" t="s">
        <v>3140</v>
      </c>
      <c r="D3162" s="7">
        <v>45138</v>
      </c>
      <c r="E3162" s="7">
        <v>45141</v>
      </c>
      <c r="F3162" s="7">
        <v>45166</v>
      </c>
      <c r="G3162" s="1" t="s">
        <v>22</v>
      </c>
      <c r="H3162" s="8">
        <v>10539041.33</v>
      </c>
      <c r="I3162" s="8">
        <v>5260418.3499999996</v>
      </c>
      <c r="J3162" s="1">
        <f>IF(COUNTIF($C$4:C3162,C3162)=1,1,0)</f>
        <v>1</v>
      </c>
      <c r="K3162" s="1">
        <f t="shared" si="49"/>
        <v>2023</v>
      </c>
    </row>
    <row r="3163" spans="2:11" x14ac:dyDescent="0.45">
      <c r="B3163" s="1" t="s">
        <v>11</v>
      </c>
      <c r="C3163" s="1" t="s">
        <v>1307</v>
      </c>
      <c r="D3163" s="7">
        <v>45206</v>
      </c>
      <c r="E3163" s="7">
        <v>45214</v>
      </c>
      <c r="F3163" s="7">
        <v>45360</v>
      </c>
      <c r="G3163" s="1" t="s">
        <v>38</v>
      </c>
      <c r="H3163" s="8">
        <v>222951.81</v>
      </c>
      <c r="I3163" s="8">
        <v>199292.97</v>
      </c>
      <c r="J3163" s="1">
        <f>IF(COUNTIF($C$4:C3163,C3163)=1,1,0)</f>
        <v>0</v>
      </c>
      <c r="K3163" s="1">
        <f t="shared" si="49"/>
        <v>2023</v>
      </c>
    </row>
    <row r="3164" spans="2:11" x14ac:dyDescent="0.45">
      <c r="B3164" s="1" t="s">
        <v>11</v>
      </c>
      <c r="C3164" s="1" t="s">
        <v>3141</v>
      </c>
      <c r="D3164" s="7">
        <v>45674</v>
      </c>
      <c r="E3164" s="7">
        <v>45694</v>
      </c>
      <c r="F3164" s="7">
        <v>45715</v>
      </c>
      <c r="G3164" s="1" t="s">
        <v>20</v>
      </c>
      <c r="H3164" s="8">
        <v>826562.49</v>
      </c>
      <c r="I3164" s="8">
        <v>522640.34</v>
      </c>
      <c r="J3164" s="1">
        <f>IF(COUNTIF($C$4:C3164,C3164)=1,1,0)</f>
        <v>1</v>
      </c>
      <c r="K3164" s="1">
        <f t="shared" si="49"/>
        <v>2025</v>
      </c>
    </row>
    <row r="3165" spans="2:11" x14ac:dyDescent="0.45">
      <c r="B3165" s="1" t="s">
        <v>11</v>
      </c>
      <c r="C3165" s="1" t="s">
        <v>3142</v>
      </c>
      <c r="D3165" s="7">
        <v>43898</v>
      </c>
      <c r="E3165" s="7">
        <v>43918</v>
      </c>
      <c r="F3165" s="7">
        <v>43947</v>
      </c>
      <c r="G3165" s="1" t="s">
        <v>20</v>
      </c>
      <c r="H3165" s="8">
        <v>190373.29</v>
      </c>
      <c r="I3165" s="8">
        <v>108819.63</v>
      </c>
      <c r="J3165" s="1">
        <f>IF(COUNTIF($C$4:C3165,C3165)=1,1,0)</f>
        <v>1</v>
      </c>
      <c r="K3165" s="1">
        <f t="shared" si="49"/>
        <v>2020</v>
      </c>
    </row>
    <row r="3166" spans="2:11" x14ac:dyDescent="0.45">
      <c r="B3166" s="1" t="s">
        <v>11</v>
      </c>
      <c r="C3166" s="1" t="s">
        <v>3143</v>
      </c>
      <c r="D3166" s="7">
        <v>45256</v>
      </c>
      <c r="E3166" s="7">
        <v>45276</v>
      </c>
      <c r="F3166" s="7">
        <v>45349</v>
      </c>
      <c r="G3166" s="1" t="s">
        <v>16</v>
      </c>
      <c r="H3166" s="8">
        <v>1820570.8</v>
      </c>
      <c r="I3166" s="8">
        <v>1358490.54</v>
      </c>
      <c r="J3166" s="1">
        <f>IF(COUNTIF($C$4:C3166,C3166)=1,1,0)</f>
        <v>1</v>
      </c>
      <c r="K3166" s="1">
        <f t="shared" si="49"/>
        <v>2023</v>
      </c>
    </row>
    <row r="3167" spans="2:11" x14ac:dyDescent="0.45">
      <c r="B3167" s="1" t="s">
        <v>11</v>
      </c>
      <c r="C3167" s="1" t="s">
        <v>3144</v>
      </c>
      <c r="D3167" s="7">
        <v>44232</v>
      </c>
      <c r="E3167" s="7">
        <v>44253</v>
      </c>
      <c r="F3167" s="7">
        <v>44344</v>
      </c>
      <c r="G3167" s="1" t="s">
        <v>212</v>
      </c>
      <c r="H3167" s="8">
        <v>19219863.960000001</v>
      </c>
      <c r="I3167" s="8">
        <v>11757074.15</v>
      </c>
      <c r="J3167" s="1">
        <f>IF(COUNTIF($C$4:C3167,C3167)=1,1,0)</f>
        <v>1</v>
      </c>
      <c r="K3167" s="1">
        <f t="shared" si="49"/>
        <v>2021</v>
      </c>
    </row>
    <row r="3168" spans="2:11" x14ac:dyDescent="0.45">
      <c r="B3168" s="1" t="s">
        <v>11</v>
      </c>
      <c r="C3168" s="1" t="s">
        <v>3145</v>
      </c>
      <c r="D3168" s="7">
        <v>46261</v>
      </c>
      <c r="E3168" s="7">
        <v>46261</v>
      </c>
      <c r="F3168" s="7">
        <v>46358</v>
      </c>
      <c r="G3168" s="1" t="s">
        <v>41</v>
      </c>
      <c r="H3168" s="8">
        <v>204442.22</v>
      </c>
      <c r="I3168" s="8">
        <v>160611.60999999999</v>
      </c>
      <c r="J3168" s="1">
        <f>IF(COUNTIF($C$4:C3168,C3168)=1,1,0)</f>
        <v>1</v>
      </c>
      <c r="K3168" s="1">
        <f t="shared" si="49"/>
        <v>2026</v>
      </c>
    </row>
    <row r="3169" spans="2:11" x14ac:dyDescent="0.45">
      <c r="B3169" s="1" t="s">
        <v>11</v>
      </c>
      <c r="C3169" s="1" t="s">
        <v>3146</v>
      </c>
      <c r="D3169" s="7">
        <v>44460</v>
      </c>
      <c r="E3169" s="7">
        <v>44468</v>
      </c>
      <c r="F3169" s="7">
        <v>44571</v>
      </c>
      <c r="G3169" s="1" t="s">
        <v>1348</v>
      </c>
      <c r="H3169" s="8">
        <v>38293686.299999997</v>
      </c>
      <c r="I3169" s="8">
        <v>28207144.620000001</v>
      </c>
      <c r="J3169" s="1">
        <f>IF(COUNTIF($C$4:C3169,C3169)=1,1,0)</f>
        <v>1</v>
      </c>
      <c r="K3169" s="1">
        <f t="shared" si="49"/>
        <v>2021</v>
      </c>
    </row>
    <row r="3170" spans="2:11" x14ac:dyDescent="0.45">
      <c r="B3170" s="1" t="s">
        <v>11</v>
      </c>
      <c r="C3170" s="1" t="s">
        <v>3147</v>
      </c>
      <c r="D3170" s="7">
        <v>43922</v>
      </c>
      <c r="E3170" s="7">
        <v>43944</v>
      </c>
      <c r="F3170" s="7">
        <v>44067</v>
      </c>
      <c r="G3170" s="1" t="s">
        <v>41</v>
      </c>
      <c r="H3170" s="8">
        <v>1214834.19</v>
      </c>
      <c r="I3170" s="8">
        <v>1022815.98</v>
      </c>
      <c r="J3170" s="1">
        <f>IF(COUNTIF($C$4:C3170,C3170)=1,1,0)</f>
        <v>1</v>
      </c>
      <c r="K3170" s="1">
        <f t="shared" si="49"/>
        <v>2020</v>
      </c>
    </row>
    <row r="3171" spans="2:11" x14ac:dyDescent="0.45">
      <c r="B3171" s="1" t="s">
        <v>11</v>
      </c>
      <c r="C3171" s="1" t="s">
        <v>3148</v>
      </c>
      <c r="D3171" s="7">
        <v>43243</v>
      </c>
      <c r="E3171" s="7">
        <v>43257</v>
      </c>
      <c r="F3171" s="7">
        <v>43366</v>
      </c>
      <c r="G3171" s="1" t="s">
        <v>18</v>
      </c>
      <c r="H3171" s="8">
        <v>2230122.59</v>
      </c>
      <c r="I3171" s="8">
        <v>1734616.74</v>
      </c>
      <c r="J3171" s="1">
        <f>IF(COUNTIF($C$4:C3171,C3171)=1,1,0)</f>
        <v>1</v>
      </c>
      <c r="K3171" s="1">
        <f t="shared" si="49"/>
        <v>2018</v>
      </c>
    </row>
    <row r="3172" spans="2:11" x14ac:dyDescent="0.45">
      <c r="B3172" s="1" t="s">
        <v>11</v>
      </c>
      <c r="C3172" s="1" t="s">
        <v>3149</v>
      </c>
      <c r="D3172" s="7">
        <v>46073</v>
      </c>
      <c r="E3172" s="7">
        <v>46097</v>
      </c>
      <c r="F3172" s="7">
        <v>46194</v>
      </c>
      <c r="G3172" s="1" t="s">
        <v>16</v>
      </c>
      <c r="H3172" s="8">
        <v>471510.05</v>
      </c>
      <c r="I3172" s="8">
        <v>385302.27</v>
      </c>
      <c r="J3172" s="1">
        <f>IF(COUNTIF($C$4:C3172,C3172)=1,1,0)</f>
        <v>1</v>
      </c>
      <c r="K3172" s="1">
        <f t="shared" si="49"/>
        <v>2026</v>
      </c>
    </row>
    <row r="3173" spans="2:11" x14ac:dyDescent="0.45">
      <c r="B3173" s="1" t="s">
        <v>11</v>
      </c>
      <c r="C3173" s="1" t="s">
        <v>3150</v>
      </c>
      <c r="D3173" s="7">
        <v>45697</v>
      </c>
      <c r="E3173" s="7">
        <v>45715</v>
      </c>
      <c r="F3173" s="7">
        <v>45738</v>
      </c>
      <c r="G3173" s="1" t="s">
        <v>212</v>
      </c>
      <c r="H3173" s="8">
        <v>24714576.98</v>
      </c>
      <c r="I3173" s="8">
        <v>12263270.710000001</v>
      </c>
      <c r="J3173" s="1">
        <f>IF(COUNTIF($C$4:C3173,C3173)=1,1,0)</f>
        <v>1</v>
      </c>
      <c r="K3173" s="1">
        <f t="shared" si="49"/>
        <v>2025</v>
      </c>
    </row>
    <row r="3174" spans="2:11" x14ac:dyDescent="0.45">
      <c r="B3174" s="1" t="s">
        <v>11</v>
      </c>
      <c r="C3174" s="1" t="s">
        <v>3151</v>
      </c>
      <c r="D3174" s="7">
        <v>43462</v>
      </c>
      <c r="E3174" s="7">
        <v>43475</v>
      </c>
      <c r="F3174" s="7">
        <v>43593</v>
      </c>
      <c r="G3174" s="1" t="s">
        <v>38</v>
      </c>
      <c r="H3174" s="8">
        <v>1240922.3</v>
      </c>
      <c r="I3174" s="8">
        <v>780531.85</v>
      </c>
      <c r="J3174" s="1">
        <f>IF(COUNTIF($C$4:C3174,C3174)=1,1,0)</f>
        <v>1</v>
      </c>
      <c r="K3174" s="1">
        <f t="shared" si="49"/>
        <v>2018</v>
      </c>
    </row>
    <row r="3175" spans="2:11" x14ac:dyDescent="0.45">
      <c r="B3175" s="1" t="s">
        <v>11</v>
      </c>
      <c r="C3175" s="1" t="s">
        <v>3152</v>
      </c>
      <c r="D3175" s="7">
        <v>45424</v>
      </c>
      <c r="E3175" s="7">
        <v>45430</v>
      </c>
      <c r="F3175" s="7">
        <v>45485</v>
      </c>
      <c r="G3175" s="1" t="s">
        <v>16</v>
      </c>
      <c r="H3175" s="8">
        <v>135118.44</v>
      </c>
      <c r="I3175" s="8">
        <v>87674.01</v>
      </c>
      <c r="J3175" s="1">
        <f>IF(COUNTIF($C$4:C3175,C3175)=1,1,0)</f>
        <v>1</v>
      </c>
      <c r="K3175" s="1">
        <f t="shared" si="49"/>
        <v>2024</v>
      </c>
    </row>
    <row r="3176" spans="2:11" x14ac:dyDescent="0.45">
      <c r="B3176" s="1" t="s">
        <v>11</v>
      </c>
      <c r="C3176" s="1" t="s">
        <v>3153</v>
      </c>
      <c r="D3176" s="7">
        <v>45871</v>
      </c>
      <c r="E3176" s="7">
        <v>45891</v>
      </c>
      <c r="F3176" s="7">
        <v>45951</v>
      </c>
      <c r="G3176" s="1" t="s">
        <v>212</v>
      </c>
      <c r="H3176" s="8">
        <v>824069.74</v>
      </c>
      <c r="I3176" s="8">
        <v>531906.76</v>
      </c>
      <c r="J3176" s="1">
        <f>IF(COUNTIF($C$4:C3176,C3176)=1,1,0)</f>
        <v>1</v>
      </c>
      <c r="K3176" s="1">
        <f t="shared" si="49"/>
        <v>2025</v>
      </c>
    </row>
    <row r="3177" spans="2:11" x14ac:dyDescent="0.45">
      <c r="B3177" s="1" t="s">
        <v>11</v>
      </c>
      <c r="C3177" s="1" t="s">
        <v>3154</v>
      </c>
      <c r="D3177" s="7">
        <v>44845</v>
      </c>
      <c r="E3177" s="7">
        <v>44858</v>
      </c>
      <c r="F3177" s="7">
        <v>44885</v>
      </c>
      <c r="G3177" s="1" t="s">
        <v>41</v>
      </c>
      <c r="H3177" s="8">
        <v>280334.73</v>
      </c>
      <c r="I3177" s="8">
        <v>227810.15</v>
      </c>
      <c r="J3177" s="1">
        <f>IF(COUNTIF($C$4:C3177,C3177)=1,1,0)</f>
        <v>1</v>
      </c>
      <c r="K3177" s="1">
        <f t="shared" si="49"/>
        <v>2022</v>
      </c>
    </row>
    <row r="3178" spans="2:11" x14ac:dyDescent="0.45">
      <c r="B3178" s="1" t="s">
        <v>11</v>
      </c>
      <c r="C3178" s="1" t="s">
        <v>3155</v>
      </c>
      <c r="D3178" s="7">
        <v>45015</v>
      </c>
      <c r="E3178" s="7">
        <v>45018</v>
      </c>
      <c r="F3178" s="7">
        <v>45129</v>
      </c>
      <c r="G3178" s="1" t="s">
        <v>16</v>
      </c>
      <c r="H3178" s="8">
        <v>1733592.87</v>
      </c>
      <c r="I3178" s="8">
        <v>981862.91</v>
      </c>
      <c r="J3178" s="1">
        <f>IF(COUNTIF($C$4:C3178,C3178)=1,1,0)</f>
        <v>1</v>
      </c>
      <c r="K3178" s="1">
        <f t="shared" si="49"/>
        <v>2023</v>
      </c>
    </row>
    <row r="3179" spans="2:11" x14ac:dyDescent="0.45">
      <c r="B3179" s="1" t="s">
        <v>11</v>
      </c>
      <c r="C3179" s="1" t="s">
        <v>3156</v>
      </c>
      <c r="D3179" s="7">
        <v>45290</v>
      </c>
      <c r="E3179" s="7">
        <v>45309</v>
      </c>
      <c r="F3179" s="7">
        <v>45379</v>
      </c>
      <c r="G3179" s="1" t="s">
        <v>16</v>
      </c>
      <c r="H3179" s="8">
        <v>4083536.87</v>
      </c>
      <c r="I3179" s="8">
        <v>3084525.13</v>
      </c>
      <c r="J3179" s="1">
        <f>IF(COUNTIF($C$4:C3179,C3179)=1,1,0)</f>
        <v>1</v>
      </c>
      <c r="K3179" s="1">
        <f t="shared" si="49"/>
        <v>2023</v>
      </c>
    </row>
    <row r="3180" spans="2:11" x14ac:dyDescent="0.45">
      <c r="B3180" s="1" t="s">
        <v>11</v>
      </c>
      <c r="C3180" s="1" t="s">
        <v>3157</v>
      </c>
      <c r="D3180" s="7">
        <v>44919</v>
      </c>
      <c r="E3180" s="7">
        <v>44927</v>
      </c>
      <c r="F3180" s="7">
        <v>44974</v>
      </c>
      <c r="G3180" s="1" t="s">
        <v>212</v>
      </c>
      <c r="H3180" s="8">
        <v>13981432.58</v>
      </c>
      <c r="I3180" s="8">
        <v>6661806.6600000001</v>
      </c>
      <c r="J3180" s="1">
        <f>IF(COUNTIF($C$4:C3180,C3180)=1,1,0)</f>
        <v>1</v>
      </c>
      <c r="K3180" s="1">
        <f t="shared" si="49"/>
        <v>2022</v>
      </c>
    </row>
    <row r="3181" spans="2:11" x14ac:dyDescent="0.45">
      <c r="B3181" s="1" t="s">
        <v>11</v>
      </c>
      <c r="C3181" s="1" t="s">
        <v>3158</v>
      </c>
      <c r="D3181" s="7">
        <v>45127</v>
      </c>
      <c r="E3181" s="7">
        <v>45153</v>
      </c>
      <c r="F3181" s="7">
        <v>45214</v>
      </c>
      <c r="G3181" s="1" t="s">
        <v>38</v>
      </c>
      <c r="H3181" s="8">
        <v>485871.95</v>
      </c>
      <c r="I3181" s="8">
        <v>400095.1</v>
      </c>
      <c r="J3181" s="1">
        <f>IF(COUNTIF($C$4:C3181,C3181)=1,1,0)</f>
        <v>1</v>
      </c>
      <c r="K3181" s="1">
        <f t="shared" si="49"/>
        <v>2023</v>
      </c>
    </row>
    <row r="3182" spans="2:11" x14ac:dyDescent="0.45">
      <c r="B3182" s="1" t="s">
        <v>11</v>
      </c>
      <c r="C3182" s="1" t="s">
        <v>3159</v>
      </c>
      <c r="D3182" s="7">
        <v>43365</v>
      </c>
      <c r="E3182" s="7">
        <v>43367</v>
      </c>
      <c r="F3182" s="7">
        <v>43468</v>
      </c>
      <c r="G3182" s="1" t="s">
        <v>1348</v>
      </c>
      <c r="H3182" s="8">
        <v>129086261.76000001</v>
      </c>
      <c r="I3182" s="8">
        <v>62067090.18</v>
      </c>
      <c r="J3182" s="1">
        <f>IF(COUNTIF($C$4:C3182,C3182)=1,1,0)</f>
        <v>1</v>
      </c>
      <c r="K3182" s="1">
        <f t="shared" si="49"/>
        <v>2018</v>
      </c>
    </row>
    <row r="3183" spans="2:11" x14ac:dyDescent="0.45">
      <c r="B3183" s="1" t="s">
        <v>11</v>
      </c>
      <c r="C3183" s="1" t="s">
        <v>3160</v>
      </c>
      <c r="D3183" s="7">
        <v>44942</v>
      </c>
      <c r="E3183" s="7">
        <v>44950</v>
      </c>
      <c r="F3183" s="7">
        <v>45085</v>
      </c>
      <c r="G3183" s="1" t="s">
        <v>18</v>
      </c>
      <c r="H3183" s="8">
        <v>6676373.5199999996</v>
      </c>
      <c r="I3183" s="8">
        <v>5150451.6500000004</v>
      </c>
      <c r="J3183" s="1">
        <f>IF(COUNTIF($C$4:C3183,C3183)=1,1,0)</f>
        <v>1</v>
      </c>
      <c r="K3183" s="1">
        <f t="shared" si="49"/>
        <v>2023</v>
      </c>
    </row>
    <row r="3184" spans="2:11" x14ac:dyDescent="0.45">
      <c r="B3184" s="1" t="s">
        <v>11</v>
      </c>
      <c r="C3184" s="1" t="s">
        <v>3161</v>
      </c>
      <c r="D3184" s="7">
        <v>43942</v>
      </c>
      <c r="E3184" s="7">
        <v>43967</v>
      </c>
      <c r="F3184" s="7">
        <v>44028</v>
      </c>
      <c r="G3184" s="1" t="s">
        <v>44</v>
      </c>
      <c r="H3184" s="8">
        <v>67209147.349999994</v>
      </c>
      <c r="I3184" s="8">
        <v>38251803.899999999</v>
      </c>
      <c r="J3184" s="1">
        <f>IF(COUNTIF($C$4:C3184,C3184)=1,1,0)</f>
        <v>1</v>
      </c>
      <c r="K3184" s="1">
        <f t="shared" si="49"/>
        <v>2020</v>
      </c>
    </row>
    <row r="3185" spans="2:11" x14ac:dyDescent="0.45">
      <c r="B3185" s="1" t="s">
        <v>11</v>
      </c>
      <c r="C3185" s="1" t="s">
        <v>3162</v>
      </c>
      <c r="D3185" s="7">
        <v>45988</v>
      </c>
      <c r="E3185" s="7">
        <v>45988</v>
      </c>
      <c r="F3185" s="7">
        <v>46127</v>
      </c>
      <c r="G3185" s="1" t="s">
        <v>16</v>
      </c>
      <c r="H3185" s="8">
        <v>1362148</v>
      </c>
      <c r="I3185" s="8">
        <v>1005920.57</v>
      </c>
      <c r="J3185" s="1">
        <f>IF(COUNTIF($C$4:C3185,C3185)=1,1,0)</f>
        <v>1</v>
      </c>
      <c r="K3185" s="1">
        <f t="shared" si="49"/>
        <v>2025</v>
      </c>
    </row>
    <row r="3186" spans="2:11" x14ac:dyDescent="0.45">
      <c r="B3186" s="1" t="s">
        <v>11</v>
      </c>
      <c r="C3186" s="1" t="s">
        <v>3163</v>
      </c>
      <c r="D3186" s="7">
        <v>45969</v>
      </c>
      <c r="E3186" s="7">
        <v>45989</v>
      </c>
      <c r="F3186" s="7">
        <v>46143</v>
      </c>
      <c r="G3186" s="1" t="s">
        <v>20</v>
      </c>
      <c r="H3186" s="8">
        <v>1361009.51</v>
      </c>
      <c r="I3186" s="8">
        <v>944512.66</v>
      </c>
      <c r="J3186" s="1">
        <f>IF(COUNTIF($C$4:C3186,C3186)=1,1,0)</f>
        <v>1</v>
      </c>
      <c r="K3186" s="1">
        <f t="shared" si="49"/>
        <v>2025</v>
      </c>
    </row>
    <row r="3187" spans="2:11" x14ac:dyDescent="0.45">
      <c r="B3187" s="1" t="s">
        <v>11</v>
      </c>
      <c r="C3187" s="1" t="s">
        <v>3164</v>
      </c>
      <c r="D3187" s="7">
        <v>43961</v>
      </c>
      <c r="E3187" s="7">
        <v>43986</v>
      </c>
      <c r="F3187" s="7">
        <v>44072</v>
      </c>
      <c r="G3187" s="1" t="s">
        <v>44</v>
      </c>
      <c r="H3187" s="8">
        <v>11251691.07</v>
      </c>
      <c r="I3187" s="8">
        <v>3880844.3</v>
      </c>
      <c r="J3187" s="1">
        <f>IF(COUNTIF($C$4:C3187,C3187)=1,1,0)</f>
        <v>1</v>
      </c>
      <c r="K3187" s="1">
        <f t="shared" si="49"/>
        <v>2020</v>
      </c>
    </row>
    <row r="3188" spans="2:11" x14ac:dyDescent="0.45">
      <c r="B3188" s="1" t="s">
        <v>11</v>
      </c>
      <c r="C3188" s="1" t="s">
        <v>3165</v>
      </c>
      <c r="D3188" s="7">
        <v>43492</v>
      </c>
      <c r="E3188" s="7">
        <v>43501</v>
      </c>
      <c r="F3188" s="7">
        <v>43577</v>
      </c>
      <c r="G3188" s="1" t="s">
        <v>41</v>
      </c>
      <c r="H3188" s="8">
        <v>282705.8</v>
      </c>
      <c r="I3188" s="8">
        <v>210597.86</v>
      </c>
      <c r="J3188" s="1">
        <f>IF(COUNTIF($C$4:C3188,C3188)=1,1,0)</f>
        <v>1</v>
      </c>
      <c r="K3188" s="1">
        <f t="shared" si="49"/>
        <v>2019</v>
      </c>
    </row>
    <row r="3189" spans="2:11" x14ac:dyDescent="0.45">
      <c r="B3189" s="1" t="s">
        <v>11</v>
      </c>
      <c r="C3189" s="1" t="s">
        <v>3166</v>
      </c>
      <c r="D3189" s="7">
        <v>44280</v>
      </c>
      <c r="E3189" s="7">
        <v>44288</v>
      </c>
      <c r="F3189" s="7">
        <v>44480</v>
      </c>
      <c r="G3189" s="1" t="s">
        <v>20</v>
      </c>
      <c r="H3189" s="8">
        <v>236327.63</v>
      </c>
      <c r="I3189" s="8">
        <v>191519.86</v>
      </c>
      <c r="J3189" s="1">
        <f>IF(COUNTIF($C$4:C3189,C3189)=1,1,0)</f>
        <v>1</v>
      </c>
      <c r="K3189" s="1">
        <f t="shared" si="49"/>
        <v>2021</v>
      </c>
    </row>
    <row r="3190" spans="2:11" x14ac:dyDescent="0.45">
      <c r="B3190" s="1" t="s">
        <v>11</v>
      </c>
      <c r="C3190" s="1" t="s">
        <v>3167</v>
      </c>
      <c r="D3190" s="7">
        <v>44936</v>
      </c>
      <c r="E3190" s="7">
        <v>44946</v>
      </c>
      <c r="F3190" s="7">
        <v>45179</v>
      </c>
      <c r="G3190" s="1" t="s">
        <v>1348</v>
      </c>
      <c r="H3190" s="8">
        <v>31256376.670000002</v>
      </c>
      <c r="I3190" s="8">
        <v>16940607.010000002</v>
      </c>
      <c r="J3190" s="1">
        <f>IF(COUNTIF($C$4:C3190,C3190)=1,1,0)</f>
        <v>1</v>
      </c>
      <c r="K3190" s="1">
        <f t="shared" si="49"/>
        <v>2023</v>
      </c>
    </row>
    <row r="3191" spans="2:11" x14ac:dyDescent="0.45">
      <c r="B3191" s="1" t="s">
        <v>11</v>
      </c>
      <c r="C3191" s="1" t="s">
        <v>3168</v>
      </c>
      <c r="D3191" s="7">
        <v>45615</v>
      </c>
      <c r="E3191" s="7">
        <v>45627</v>
      </c>
      <c r="F3191" s="7">
        <v>45657</v>
      </c>
      <c r="G3191" s="1" t="s">
        <v>22</v>
      </c>
      <c r="H3191" s="8">
        <v>16685410.92</v>
      </c>
      <c r="I3191" s="8">
        <v>9694654.5199999996</v>
      </c>
      <c r="J3191" s="1">
        <f>IF(COUNTIF($C$4:C3191,C3191)=1,1,0)</f>
        <v>1</v>
      </c>
      <c r="K3191" s="1">
        <f t="shared" si="49"/>
        <v>2024</v>
      </c>
    </row>
    <row r="3192" spans="2:11" x14ac:dyDescent="0.45">
      <c r="B3192" s="1" t="s">
        <v>11</v>
      </c>
      <c r="C3192" s="1" t="s">
        <v>3169</v>
      </c>
      <c r="D3192" s="7">
        <v>43763</v>
      </c>
      <c r="E3192" s="7">
        <v>43784</v>
      </c>
      <c r="F3192" s="7">
        <v>43975</v>
      </c>
      <c r="G3192" s="1" t="s">
        <v>16</v>
      </c>
      <c r="H3192" s="8">
        <v>9937164.7300000004</v>
      </c>
      <c r="I3192" s="8">
        <v>6387005.8499999996</v>
      </c>
      <c r="J3192" s="1">
        <f>IF(COUNTIF($C$4:C3192,C3192)=1,1,0)</f>
        <v>1</v>
      </c>
      <c r="K3192" s="1">
        <f t="shared" si="49"/>
        <v>2019</v>
      </c>
    </row>
    <row r="3193" spans="2:11" x14ac:dyDescent="0.45">
      <c r="B3193" s="1" t="s">
        <v>11</v>
      </c>
      <c r="C3193" s="1" t="s">
        <v>3170</v>
      </c>
      <c r="D3193" s="7">
        <v>45135</v>
      </c>
      <c r="E3193" s="7">
        <v>45161</v>
      </c>
      <c r="F3193" s="7">
        <v>45282</v>
      </c>
      <c r="G3193" s="1" t="s">
        <v>44</v>
      </c>
      <c r="H3193" s="8">
        <v>197043395.30000001</v>
      </c>
      <c r="I3193" s="8">
        <v>83072303.230000004</v>
      </c>
      <c r="J3193" s="1">
        <f>IF(COUNTIF($C$4:C3193,C3193)=1,1,0)</f>
        <v>1</v>
      </c>
      <c r="K3193" s="1">
        <f t="shared" si="49"/>
        <v>2023</v>
      </c>
    </row>
    <row r="3194" spans="2:11" x14ac:dyDescent="0.45">
      <c r="B3194" s="1" t="s">
        <v>11</v>
      </c>
      <c r="C3194" s="1" t="s">
        <v>3171</v>
      </c>
      <c r="D3194" s="7">
        <v>43248</v>
      </c>
      <c r="E3194" s="7">
        <v>43278</v>
      </c>
      <c r="F3194" s="7">
        <v>43508</v>
      </c>
      <c r="G3194" s="1" t="s">
        <v>1348</v>
      </c>
      <c r="H3194" s="8">
        <v>81078823.400000006</v>
      </c>
      <c r="I3194" s="8">
        <v>45007780.450000003</v>
      </c>
      <c r="J3194" s="1">
        <f>IF(COUNTIF($C$4:C3194,C3194)=1,1,0)</f>
        <v>1</v>
      </c>
      <c r="K3194" s="1">
        <f t="shared" si="49"/>
        <v>2018</v>
      </c>
    </row>
    <row r="3195" spans="2:11" x14ac:dyDescent="0.45">
      <c r="B3195" s="1" t="s">
        <v>11</v>
      </c>
      <c r="C3195" s="1" t="s">
        <v>3172</v>
      </c>
      <c r="D3195" s="7">
        <v>43882</v>
      </c>
      <c r="E3195" s="7">
        <v>43886</v>
      </c>
      <c r="F3195" s="7">
        <v>44105</v>
      </c>
      <c r="G3195" s="1" t="s">
        <v>1348</v>
      </c>
      <c r="H3195" s="8">
        <v>170018674.38</v>
      </c>
      <c r="I3195" s="8">
        <v>104098334.75</v>
      </c>
      <c r="J3195" s="1">
        <f>IF(COUNTIF($C$4:C3195,C3195)=1,1,0)</f>
        <v>1</v>
      </c>
      <c r="K3195" s="1">
        <f t="shared" si="49"/>
        <v>2020</v>
      </c>
    </row>
    <row r="3196" spans="2:11" x14ac:dyDescent="0.45">
      <c r="B3196" s="1" t="s">
        <v>11</v>
      </c>
      <c r="C3196" s="1" t="s">
        <v>3173</v>
      </c>
      <c r="D3196" s="7">
        <v>43902</v>
      </c>
      <c r="E3196" s="7">
        <v>43930</v>
      </c>
      <c r="F3196" s="7">
        <v>44097</v>
      </c>
      <c r="G3196" s="1" t="s">
        <v>13</v>
      </c>
      <c r="H3196" s="8">
        <v>317563.51</v>
      </c>
      <c r="I3196" s="8">
        <v>255825.06</v>
      </c>
      <c r="J3196" s="1">
        <f>IF(COUNTIF($C$4:C3196,C3196)=1,1,0)</f>
        <v>1</v>
      </c>
      <c r="K3196" s="1">
        <f t="shared" si="49"/>
        <v>2020</v>
      </c>
    </row>
    <row r="3197" spans="2:11" x14ac:dyDescent="0.45">
      <c r="B3197" s="1" t="s">
        <v>11</v>
      </c>
      <c r="C3197" s="1" t="s">
        <v>3174</v>
      </c>
      <c r="D3197" s="7">
        <v>45329</v>
      </c>
      <c r="E3197" s="7">
        <v>45336</v>
      </c>
      <c r="F3197" s="7">
        <v>45573</v>
      </c>
      <c r="G3197" s="1" t="s">
        <v>16</v>
      </c>
      <c r="H3197" s="8">
        <v>20009784.190000001</v>
      </c>
      <c r="I3197" s="8">
        <v>12713976.470000001</v>
      </c>
      <c r="J3197" s="1">
        <f>IF(COUNTIF($C$4:C3197,C3197)=1,1,0)</f>
        <v>1</v>
      </c>
      <c r="K3197" s="1">
        <f t="shared" si="49"/>
        <v>2024</v>
      </c>
    </row>
    <row r="3198" spans="2:11" x14ac:dyDescent="0.45">
      <c r="B3198" s="1" t="s">
        <v>11</v>
      </c>
      <c r="C3198" s="1" t="s">
        <v>3175</v>
      </c>
      <c r="D3198" s="7">
        <v>44446</v>
      </c>
      <c r="E3198" s="7">
        <v>44450</v>
      </c>
      <c r="F3198" s="7">
        <v>44543</v>
      </c>
      <c r="G3198" s="1" t="s">
        <v>1348</v>
      </c>
      <c r="H3198" s="8">
        <v>210243890.66999999</v>
      </c>
      <c r="I3198" s="8">
        <v>128078801.72</v>
      </c>
      <c r="J3198" s="1">
        <f>IF(COUNTIF($C$4:C3198,C3198)=1,1,0)</f>
        <v>1</v>
      </c>
      <c r="K3198" s="1">
        <f t="shared" si="49"/>
        <v>2021</v>
      </c>
    </row>
    <row r="3199" spans="2:11" x14ac:dyDescent="0.45">
      <c r="B3199" s="1" t="s">
        <v>11</v>
      </c>
      <c r="C3199" s="1" t="s">
        <v>3176</v>
      </c>
      <c r="D3199" s="7">
        <v>45042</v>
      </c>
      <c r="E3199" s="7">
        <v>45060</v>
      </c>
      <c r="F3199" s="7">
        <v>45171</v>
      </c>
      <c r="G3199" s="1" t="s">
        <v>38</v>
      </c>
      <c r="H3199" s="8">
        <v>90034.2</v>
      </c>
      <c r="I3199" s="8">
        <v>73217.88</v>
      </c>
      <c r="J3199" s="1">
        <f>IF(COUNTIF($C$4:C3199,C3199)=1,1,0)</f>
        <v>1</v>
      </c>
      <c r="K3199" s="1">
        <f t="shared" si="49"/>
        <v>2023</v>
      </c>
    </row>
    <row r="3200" spans="2:11" x14ac:dyDescent="0.45">
      <c r="B3200" s="1" t="s">
        <v>11</v>
      </c>
      <c r="C3200" s="1" t="s">
        <v>3177</v>
      </c>
      <c r="D3200" s="7">
        <v>44035</v>
      </c>
      <c r="E3200" s="7">
        <v>44039</v>
      </c>
      <c r="F3200" s="7">
        <v>44249</v>
      </c>
      <c r="G3200" s="1" t="s">
        <v>16</v>
      </c>
      <c r="H3200" s="8">
        <v>833740.02</v>
      </c>
      <c r="I3200" s="8">
        <v>611489.86</v>
      </c>
      <c r="J3200" s="1">
        <f>IF(COUNTIF($C$4:C3200,C3200)=1,1,0)</f>
        <v>1</v>
      </c>
      <c r="K3200" s="1">
        <f t="shared" si="49"/>
        <v>2020</v>
      </c>
    </row>
    <row r="3201" spans="2:11" x14ac:dyDescent="0.45">
      <c r="B3201" s="1" t="s">
        <v>11</v>
      </c>
      <c r="C3201" s="1" t="s">
        <v>3178</v>
      </c>
      <c r="D3201" s="7">
        <v>44169</v>
      </c>
      <c r="E3201" s="7">
        <v>44190</v>
      </c>
      <c r="F3201" s="7">
        <v>44425</v>
      </c>
      <c r="G3201" s="1" t="s">
        <v>38</v>
      </c>
      <c r="H3201" s="8">
        <v>1557477.66</v>
      </c>
      <c r="I3201" s="8">
        <v>1243851.3400000001</v>
      </c>
      <c r="J3201" s="1">
        <f>IF(COUNTIF($C$4:C3201,C3201)=1,1,0)</f>
        <v>1</v>
      </c>
      <c r="K3201" s="1">
        <f t="shared" si="49"/>
        <v>2020</v>
      </c>
    </row>
    <row r="3202" spans="2:11" x14ac:dyDescent="0.45">
      <c r="B3202" s="1" t="s">
        <v>11</v>
      </c>
      <c r="C3202" s="1" t="s">
        <v>3179</v>
      </c>
      <c r="D3202" s="7">
        <v>46123</v>
      </c>
      <c r="E3202" s="7">
        <v>46152</v>
      </c>
      <c r="F3202" s="7">
        <v>46230</v>
      </c>
      <c r="G3202" s="1" t="s">
        <v>20</v>
      </c>
      <c r="H3202" s="8">
        <v>1410491.08</v>
      </c>
      <c r="I3202" s="8">
        <v>872574.54</v>
      </c>
      <c r="J3202" s="1">
        <f>IF(COUNTIF($C$4:C3202,C3202)=1,1,0)</f>
        <v>1</v>
      </c>
      <c r="K3202" s="1">
        <f t="shared" si="49"/>
        <v>2026</v>
      </c>
    </row>
    <row r="3203" spans="2:11" x14ac:dyDescent="0.45">
      <c r="B3203" s="1" t="s">
        <v>11</v>
      </c>
      <c r="C3203" s="1" t="s">
        <v>3180</v>
      </c>
      <c r="D3203" s="7">
        <v>43992</v>
      </c>
      <c r="E3203" s="7">
        <v>44013</v>
      </c>
      <c r="F3203" s="7">
        <v>44213</v>
      </c>
      <c r="G3203" s="1" t="s">
        <v>212</v>
      </c>
      <c r="H3203" s="8">
        <v>62871180.890000001</v>
      </c>
      <c r="I3203" s="8">
        <v>36945011.600000001</v>
      </c>
      <c r="J3203" s="1">
        <f>IF(COUNTIF($C$4:C3203,C3203)=1,1,0)</f>
        <v>1</v>
      </c>
      <c r="K3203" s="1">
        <f t="shared" si="49"/>
        <v>2020</v>
      </c>
    </row>
    <row r="3204" spans="2:11" x14ac:dyDescent="0.45">
      <c r="B3204" s="1" t="s">
        <v>11</v>
      </c>
      <c r="C3204" s="1" t="s">
        <v>3181</v>
      </c>
      <c r="D3204" s="7">
        <v>44205</v>
      </c>
      <c r="E3204" s="7">
        <v>44215</v>
      </c>
      <c r="F3204" s="7">
        <v>44322</v>
      </c>
      <c r="G3204" s="1" t="s">
        <v>38</v>
      </c>
      <c r="H3204" s="8">
        <v>154449.17000000001</v>
      </c>
      <c r="I3204" s="8">
        <v>125659.92</v>
      </c>
      <c r="J3204" s="1">
        <f>IF(COUNTIF($C$4:C3204,C3204)=1,1,0)</f>
        <v>1</v>
      </c>
      <c r="K3204" s="1">
        <f t="shared" si="49"/>
        <v>2021</v>
      </c>
    </row>
    <row r="3205" spans="2:11" x14ac:dyDescent="0.45">
      <c r="B3205" s="1" t="s">
        <v>11</v>
      </c>
      <c r="C3205" s="1" t="s">
        <v>3182</v>
      </c>
      <c r="D3205" s="7">
        <v>45604</v>
      </c>
      <c r="E3205" s="7">
        <v>45626</v>
      </c>
      <c r="F3205" s="7">
        <v>45649</v>
      </c>
      <c r="G3205" s="1" t="s">
        <v>20</v>
      </c>
      <c r="H3205" s="8">
        <v>577107.56000000006</v>
      </c>
      <c r="I3205" s="8">
        <v>364989.2</v>
      </c>
      <c r="J3205" s="1">
        <f>IF(COUNTIF($C$4:C3205,C3205)=1,1,0)</f>
        <v>1</v>
      </c>
      <c r="K3205" s="1">
        <f t="shared" ref="K3205:K3268" si="50">YEAR(D3205)</f>
        <v>2024</v>
      </c>
    </row>
    <row r="3206" spans="2:11" x14ac:dyDescent="0.45">
      <c r="B3206" s="1" t="s">
        <v>11</v>
      </c>
      <c r="C3206" s="1" t="s">
        <v>3183</v>
      </c>
      <c r="D3206" s="7">
        <v>43404</v>
      </c>
      <c r="E3206" s="7">
        <v>43424</v>
      </c>
      <c r="F3206" s="7">
        <v>43573</v>
      </c>
      <c r="G3206" s="1" t="s">
        <v>41</v>
      </c>
      <c r="H3206" s="8">
        <v>347100.1</v>
      </c>
      <c r="I3206" s="8">
        <v>271467.63</v>
      </c>
      <c r="J3206" s="1">
        <f>IF(COUNTIF($C$4:C3206,C3206)=1,1,0)</f>
        <v>1</v>
      </c>
      <c r="K3206" s="1">
        <f t="shared" si="50"/>
        <v>2018</v>
      </c>
    </row>
    <row r="3207" spans="2:11" x14ac:dyDescent="0.45">
      <c r="B3207" s="1" t="s">
        <v>11</v>
      </c>
      <c r="C3207" s="1" t="s">
        <v>3184</v>
      </c>
      <c r="D3207" s="7">
        <v>46130</v>
      </c>
      <c r="E3207" s="7">
        <v>46136</v>
      </c>
      <c r="F3207" s="7">
        <v>46210</v>
      </c>
      <c r="G3207" s="1" t="s">
        <v>22</v>
      </c>
      <c r="H3207" s="8">
        <v>9246817.1500000004</v>
      </c>
      <c r="I3207" s="8">
        <v>4463499.78</v>
      </c>
      <c r="J3207" s="1">
        <f>IF(COUNTIF($C$4:C3207,C3207)=1,1,0)</f>
        <v>1</v>
      </c>
      <c r="K3207" s="1">
        <f t="shared" si="50"/>
        <v>2026</v>
      </c>
    </row>
    <row r="3208" spans="2:11" x14ac:dyDescent="0.45">
      <c r="B3208" s="1" t="s">
        <v>11</v>
      </c>
      <c r="C3208" s="1" t="s">
        <v>3185</v>
      </c>
      <c r="D3208" s="7">
        <v>43170</v>
      </c>
      <c r="E3208" s="7">
        <v>43191</v>
      </c>
      <c r="F3208" s="7">
        <v>43402</v>
      </c>
      <c r="G3208" s="1" t="s">
        <v>38</v>
      </c>
      <c r="H3208" s="8">
        <v>320898.15999999997</v>
      </c>
      <c r="I3208" s="8">
        <v>219413.56</v>
      </c>
      <c r="J3208" s="1">
        <f>IF(COUNTIF($C$4:C3208,C3208)=1,1,0)</f>
        <v>1</v>
      </c>
      <c r="K3208" s="1">
        <f t="shared" si="50"/>
        <v>2018</v>
      </c>
    </row>
    <row r="3209" spans="2:11" x14ac:dyDescent="0.45">
      <c r="B3209" s="1" t="s">
        <v>11</v>
      </c>
      <c r="C3209" s="1" t="s">
        <v>3186</v>
      </c>
      <c r="D3209" s="7">
        <v>45978</v>
      </c>
      <c r="E3209" s="7">
        <v>46002</v>
      </c>
      <c r="F3209" s="7">
        <v>46147</v>
      </c>
      <c r="G3209" s="1" t="s">
        <v>13</v>
      </c>
      <c r="H3209" s="8">
        <v>318844.45</v>
      </c>
      <c r="I3209" s="8">
        <v>207078.23</v>
      </c>
      <c r="J3209" s="1">
        <f>IF(COUNTIF($C$4:C3209,C3209)=1,1,0)</f>
        <v>1</v>
      </c>
      <c r="K3209" s="1">
        <f t="shared" si="50"/>
        <v>2025</v>
      </c>
    </row>
    <row r="3210" spans="2:11" x14ac:dyDescent="0.45">
      <c r="B3210" s="1" t="s">
        <v>11</v>
      </c>
      <c r="C3210" s="1" t="s">
        <v>3187</v>
      </c>
      <c r="D3210" s="7">
        <v>45262</v>
      </c>
      <c r="E3210" s="7">
        <v>45264</v>
      </c>
      <c r="F3210" s="7">
        <v>45500</v>
      </c>
      <c r="G3210" s="1" t="s">
        <v>44</v>
      </c>
      <c r="H3210" s="8">
        <v>210966127</v>
      </c>
      <c r="I3210" s="8">
        <v>127801521.41</v>
      </c>
      <c r="J3210" s="1">
        <f>IF(COUNTIF($C$4:C3210,C3210)=1,1,0)</f>
        <v>1</v>
      </c>
      <c r="K3210" s="1">
        <f t="shared" si="50"/>
        <v>2023</v>
      </c>
    </row>
    <row r="3211" spans="2:11" x14ac:dyDescent="0.45">
      <c r="B3211" s="1" t="s">
        <v>11</v>
      </c>
      <c r="C3211" s="1" t="s">
        <v>3188</v>
      </c>
      <c r="D3211" s="7">
        <v>44577</v>
      </c>
      <c r="E3211" s="7">
        <v>44606</v>
      </c>
      <c r="F3211" s="7">
        <v>44618</v>
      </c>
      <c r="G3211" s="1" t="s">
        <v>38</v>
      </c>
      <c r="H3211" s="8">
        <v>1404495.53</v>
      </c>
      <c r="I3211" s="8">
        <v>1012665.97</v>
      </c>
      <c r="J3211" s="1">
        <f>IF(COUNTIF($C$4:C3211,C3211)=1,1,0)</f>
        <v>1</v>
      </c>
      <c r="K3211" s="1">
        <f t="shared" si="50"/>
        <v>2022</v>
      </c>
    </row>
    <row r="3212" spans="2:11" x14ac:dyDescent="0.45">
      <c r="B3212" s="1" t="s">
        <v>11</v>
      </c>
      <c r="C3212" s="1" t="s">
        <v>3189</v>
      </c>
      <c r="D3212" s="7">
        <v>43941</v>
      </c>
      <c r="E3212" s="7">
        <v>43948</v>
      </c>
      <c r="F3212" s="7">
        <v>44182</v>
      </c>
      <c r="G3212" s="1" t="s">
        <v>1348</v>
      </c>
      <c r="H3212" s="8">
        <v>19143835.18</v>
      </c>
      <c r="I3212" s="8">
        <v>8893554.5899999999</v>
      </c>
      <c r="J3212" s="1">
        <f>IF(COUNTIF($C$4:C3212,C3212)=1,1,0)</f>
        <v>1</v>
      </c>
      <c r="K3212" s="1">
        <f t="shared" si="50"/>
        <v>2020</v>
      </c>
    </row>
    <row r="3213" spans="2:11" x14ac:dyDescent="0.45">
      <c r="B3213" s="1" t="s">
        <v>11</v>
      </c>
      <c r="C3213" s="1" t="s">
        <v>3190</v>
      </c>
      <c r="D3213" s="7">
        <v>45458</v>
      </c>
      <c r="E3213" s="7">
        <v>45476</v>
      </c>
      <c r="F3213" s="7">
        <v>45707</v>
      </c>
      <c r="G3213" s="1" t="s">
        <v>13</v>
      </c>
      <c r="H3213" s="8">
        <v>216333.33</v>
      </c>
      <c r="I3213" s="8">
        <v>190172.26</v>
      </c>
      <c r="J3213" s="1">
        <f>IF(COUNTIF($C$4:C3213,C3213)=1,1,0)</f>
        <v>1</v>
      </c>
      <c r="K3213" s="1">
        <f t="shared" si="50"/>
        <v>2024</v>
      </c>
    </row>
    <row r="3214" spans="2:11" x14ac:dyDescent="0.45">
      <c r="B3214" s="1" t="s">
        <v>11</v>
      </c>
      <c r="C3214" s="1" t="s">
        <v>3191</v>
      </c>
      <c r="D3214" s="7">
        <v>46083</v>
      </c>
      <c r="E3214" s="7">
        <v>46099</v>
      </c>
      <c r="F3214" s="7">
        <v>46178</v>
      </c>
      <c r="G3214" s="1" t="s">
        <v>44</v>
      </c>
      <c r="H3214" s="8">
        <v>39363326.619999997</v>
      </c>
      <c r="I3214" s="8">
        <v>23709877.149999999</v>
      </c>
      <c r="J3214" s="1">
        <f>IF(COUNTIF($C$4:C3214,C3214)=1,1,0)</f>
        <v>1</v>
      </c>
      <c r="K3214" s="1">
        <f t="shared" si="50"/>
        <v>2026</v>
      </c>
    </row>
    <row r="3215" spans="2:11" x14ac:dyDescent="0.45">
      <c r="B3215" s="1" t="s">
        <v>11</v>
      </c>
      <c r="C3215" s="1" t="s">
        <v>3192</v>
      </c>
      <c r="D3215" s="7">
        <v>45992</v>
      </c>
      <c r="E3215" s="7">
        <v>45994</v>
      </c>
      <c r="F3215" s="7">
        <v>46045</v>
      </c>
      <c r="G3215" s="1" t="s">
        <v>13</v>
      </c>
      <c r="H3215" s="8">
        <v>886411.84</v>
      </c>
      <c r="I3215" s="8">
        <v>644309.23</v>
      </c>
      <c r="J3215" s="1">
        <f>IF(COUNTIF($C$4:C3215,C3215)=1,1,0)</f>
        <v>1</v>
      </c>
      <c r="K3215" s="1">
        <f t="shared" si="50"/>
        <v>2025</v>
      </c>
    </row>
    <row r="3216" spans="2:11" x14ac:dyDescent="0.45">
      <c r="B3216" s="1" t="s">
        <v>11</v>
      </c>
      <c r="C3216" s="1" t="s">
        <v>3193</v>
      </c>
      <c r="D3216" s="7">
        <v>46033</v>
      </c>
      <c r="E3216" s="7">
        <v>46062</v>
      </c>
      <c r="F3216" s="7">
        <v>46142</v>
      </c>
      <c r="G3216" s="1" t="s">
        <v>1348</v>
      </c>
      <c r="H3216" s="8">
        <v>20217448.039999999</v>
      </c>
      <c r="I3216" s="8">
        <v>12165282.52</v>
      </c>
      <c r="J3216" s="1">
        <f>IF(COUNTIF($C$4:C3216,C3216)=1,1,0)</f>
        <v>1</v>
      </c>
      <c r="K3216" s="1">
        <f t="shared" si="50"/>
        <v>2026</v>
      </c>
    </row>
    <row r="3217" spans="2:11" x14ac:dyDescent="0.45">
      <c r="B3217" s="1" t="s">
        <v>11</v>
      </c>
      <c r="C3217" s="1" t="s">
        <v>3194</v>
      </c>
      <c r="D3217" s="7">
        <v>44056</v>
      </c>
      <c r="E3217" s="7">
        <v>44079</v>
      </c>
      <c r="F3217" s="7">
        <v>44105</v>
      </c>
      <c r="G3217" s="1" t="s">
        <v>16</v>
      </c>
      <c r="H3217" s="8">
        <v>1843427.58</v>
      </c>
      <c r="I3217" s="8">
        <v>1374828.24</v>
      </c>
      <c r="J3217" s="1">
        <f>IF(COUNTIF($C$4:C3217,C3217)=1,1,0)</f>
        <v>1</v>
      </c>
      <c r="K3217" s="1">
        <f t="shared" si="50"/>
        <v>2020</v>
      </c>
    </row>
    <row r="3218" spans="2:11" x14ac:dyDescent="0.45">
      <c r="B3218" s="1" t="s">
        <v>11</v>
      </c>
      <c r="C3218" s="1" t="s">
        <v>3195</v>
      </c>
      <c r="D3218" s="7">
        <v>43733</v>
      </c>
      <c r="E3218" s="7">
        <v>43750</v>
      </c>
      <c r="F3218" s="7">
        <v>43960</v>
      </c>
      <c r="G3218" s="1" t="s">
        <v>20</v>
      </c>
      <c r="H3218" s="8">
        <v>639688.25</v>
      </c>
      <c r="I3218" s="8">
        <v>440795.27</v>
      </c>
      <c r="J3218" s="1">
        <f>IF(COUNTIF($C$4:C3218,C3218)=1,1,0)</f>
        <v>1</v>
      </c>
      <c r="K3218" s="1">
        <f t="shared" si="50"/>
        <v>2019</v>
      </c>
    </row>
    <row r="3219" spans="2:11" x14ac:dyDescent="0.45">
      <c r="B3219" s="1" t="s">
        <v>11</v>
      </c>
      <c r="C3219" s="1" t="s">
        <v>3196</v>
      </c>
      <c r="D3219" s="7">
        <v>45956</v>
      </c>
      <c r="E3219" s="7">
        <v>45956</v>
      </c>
      <c r="F3219" s="7">
        <v>46050</v>
      </c>
      <c r="G3219" s="1" t="s">
        <v>22</v>
      </c>
      <c r="H3219" s="8">
        <v>14854775.1</v>
      </c>
      <c r="I3219" s="8">
        <v>8950359.5199999996</v>
      </c>
      <c r="J3219" s="1">
        <f>IF(COUNTIF($C$4:C3219,C3219)=1,1,0)</f>
        <v>1</v>
      </c>
      <c r="K3219" s="1">
        <f t="shared" si="50"/>
        <v>2025</v>
      </c>
    </row>
    <row r="3220" spans="2:11" x14ac:dyDescent="0.45">
      <c r="B3220" s="1" t="s">
        <v>11</v>
      </c>
      <c r="C3220" s="1" t="s">
        <v>3197</v>
      </c>
      <c r="D3220" s="7">
        <v>44752</v>
      </c>
      <c r="E3220" s="7">
        <v>44761</v>
      </c>
      <c r="F3220" s="7">
        <v>44960</v>
      </c>
      <c r="G3220" s="1" t="s">
        <v>18</v>
      </c>
      <c r="H3220" s="8">
        <v>18153954.899999999</v>
      </c>
      <c r="I3220" s="8">
        <v>15029667.130000001</v>
      </c>
      <c r="J3220" s="1">
        <f>IF(COUNTIF($C$4:C3220,C3220)=1,1,0)</f>
        <v>1</v>
      </c>
      <c r="K3220" s="1">
        <f t="shared" si="50"/>
        <v>2022</v>
      </c>
    </row>
    <row r="3221" spans="2:11" x14ac:dyDescent="0.45">
      <c r="B3221" s="1" t="s">
        <v>11</v>
      </c>
      <c r="C3221" s="1" t="s">
        <v>3198</v>
      </c>
      <c r="D3221" s="7">
        <v>44763</v>
      </c>
      <c r="E3221" s="7">
        <v>44782</v>
      </c>
      <c r="F3221" s="7">
        <v>44825</v>
      </c>
      <c r="G3221" s="1" t="s">
        <v>44</v>
      </c>
      <c r="H3221" s="8">
        <v>184575675.37</v>
      </c>
      <c r="I3221" s="8">
        <v>121431629.53</v>
      </c>
      <c r="J3221" s="1">
        <f>IF(COUNTIF($C$4:C3221,C3221)=1,1,0)</f>
        <v>1</v>
      </c>
      <c r="K3221" s="1">
        <f t="shared" si="50"/>
        <v>2022</v>
      </c>
    </row>
    <row r="3222" spans="2:11" x14ac:dyDescent="0.45">
      <c r="B3222" s="1" t="s">
        <v>11</v>
      </c>
      <c r="C3222" s="1" t="s">
        <v>3199</v>
      </c>
      <c r="D3222" s="7">
        <v>45330</v>
      </c>
      <c r="E3222" s="7">
        <v>45347</v>
      </c>
      <c r="F3222" s="7">
        <v>45450</v>
      </c>
      <c r="G3222" s="1" t="s">
        <v>16</v>
      </c>
      <c r="H3222" s="8">
        <v>1219921.3799999999</v>
      </c>
      <c r="I3222" s="8">
        <v>631094.65</v>
      </c>
      <c r="J3222" s="1">
        <f>IF(COUNTIF($C$4:C3222,C3222)=1,1,0)</f>
        <v>1</v>
      </c>
      <c r="K3222" s="1">
        <f t="shared" si="50"/>
        <v>2024</v>
      </c>
    </row>
    <row r="3223" spans="2:11" x14ac:dyDescent="0.45">
      <c r="B3223" s="1" t="s">
        <v>11</v>
      </c>
      <c r="C3223" s="1" t="s">
        <v>3200</v>
      </c>
      <c r="D3223" s="7">
        <v>45733</v>
      </c>
      <c r="E3223" s="7">
        <v>45757</v>
      </c>
      <c r="F3223" s="7">
        <v>45908</v>
      </c>
      <c r="G3223" s="1" t="s">
        <v>16</v>
      </c>
      <c r="H3223" s="8">
        <v>997297.76</v>
      </c>
      <c r="I3223" s="8">
        <v>774252.39</v>
      </c>
      <c r="J3223" s="1">
        <f>IF(COUNTIF($C$4:C3223,C3223)=1,1,0)</f>
        <v>1</v>
      </c>
      <c r="K3223" s="1">
        <f t="shared" si="50"/>
        <v>2025</v>
      </c>
    </row>
    <row r="3224" spans="2:11" x14ac:dyDescent="0.45">
      <c r="B3224" s="1" t="s">
        <v>11</v>
      </c>
      <c r="C3224" s="1" t="s">
        <v>3201</v>
      </c>
      <c r="D3224" s="7">
        <v>44419</v>
      </c>
      <c r="E3224" s="7">
        <v>44440</v>
      </c>
      <c r="F3224" s="7">
        <v>44648</v>
      </c>
      <c r="G3224" s="1" t="s">
        <v>44</v>
      </c>
      <c r="H3224" s="8">
        <v>61955028.969999999</v>
      </c>
      <c r="I3224" s="8">
        <v>47803056.579999998</v>
      </c>
      <c r="J3224" s="1">
        <f>IF(COUNTIF($C$4:C3224,C3224)=1,1,0)</f>
        <v>1</v>
      </c>
      <c r="K3224" s="1">
        <f t="shared" si="50"/>
        <v>2021</v>
      </c>
    </row>
    <row r="3225" spans="2:11" x14ac:dyDescent="0.45">
      <c r="B3225" s="1" t="s">
        <v>11</v>
      </c>
      <c r="C3225" s="1" t="s">
        <v>3202</v>
      </c>
      <c r="D3225" s="7">
        <v>45252</v>
      </c>
      <c r="E3225" s="7">
        <v>45275</v>
      </c>
      <c r="F3225" s="7">
        <v>45403</v>
      </c>
      <c r="G3225" s="1" t="s">
        <v>16</v>
      </c>
      <c r="H3225" s="8">
        <v>7153329.8099999996</v>
      </c>
      <c r="I3225" s="8">
        <v>5853377.2800000003</v>
      </c>
      <c r="J3225" s="1">
        <f>IF(COUNTIF($C$4:C3225,C3225)=1,1,0)</f>
        <v>1</v>
      </c>
      <c r="K3225" s="1">
        <f t="shared" si="50"/>
        <v>2023</v>
      </c>
    </row>
    <row r="3226" spans="2:11" x14ac:dyDescent="0.45">
      <c r="B3226" s="1" t="s">
        <v>11</v>
      </c>
      <c r="C3226" s="1" t="s">
        <v>3203</v>
      </c>
      <c r="D3226" s="7">
        <v>45764</v>
      </c>
      <c r="E3226" s="7">
        <v>45782</v>
      </c>
      <c r="F3226" s="7">
        <v>45820</v>
      </c>
      <c r="G3226" s="1" t="s">
        <v>22</v>
      </c>
      <c r="H3226" s="8">
        <v>5723123.5499999998</v>
      </c>
      <c r="I3226" s="8">
        <v>2940865.61</v>
      </c>
      <c r="J3226" s="1">
        <f>IF(COUNTIF($C$4:C3226,C3226)=1,1,0)</f>
        <v>1</v>
      </c>
      <c r="K3226" s="1">
        <f t="shared" si="50"/>
        <v>2025</v>
      </c>
    </row>
    <row r="3227" spans="2:11" x14ac:dyDescent="0.45">
      <c r="B3227" s="1" t="s">
        <v>11</v>
      </c>
      <c r="C3227" s="1" t="s">
        <v>3204</v>
      </c>
      <c r="D3227" s="7">
        <v>45848</v>
      </c>
      <c r="E3227" s="7">
        <v>45877</v>
      </c>
      <c r="F3227" s="7">
        <v>46028</v>
      </c>
      <c r="G3227" s="1" t="s">
        <v>13</v>
      </c>
      <c r="H3227" s="8">
        <v>205149.97</v>
      </c>
      <c r="I3227" s="8">
        <v>139948.93</v>
      </c>
      <c r="J3227" s="1">
        <f>IF(COUNTIF($C$4:C3227,C3227)=1,1,0)</f>
        <v>1</v>
      </c>
      <c r="K3227" s="1">
        <f t="shared" si="50"/>
        <v>2025</v>
      </c>
    </row>
    <row r="3228" spans="2:11" x14ac:dyDescent="0.45">
      <c r="B3228" s="1" t="s">
        <v>11</v>
      </c>
      <c r="C3228" s="1" t="s">
        <v>3205</v>
      </c>
      <c r="D3228" s="7">
        <v>45712</v>
      </c>
      <c r="E3228" s="7">
        <v>45716</v>
      </c>
      <c r="F3228" s="7">
        <v>45745</v>
      </c>
      <c r="G3228" s="1" t="s">
        <v>41</v>
      </c>
      <c r="H3228" s="8">
        <v>7086.18</v>
      </c>
      <c r="I3228" s="8">
        <v>5504.35</v>
      </c>
      <c r="J3228" s="1">
        <f>IF(COUNTIF($C$4:C3228,C3228)=1,1,0)</f>
        <v>1</v>
      </c>
      <c r="K3228" s="1">
        <f t="shared" si="50"/>
        <v>2025</v>
      </c>
    </row>
    <row r="3229" spans="2:11" x14ac:dyDescent="0.45">
      <c r="B3229" s="1" t="s">
        <v>11</v>
      </c>
      <c r="C3229" s="1" t="s">
        <v>3206</v>
      </c>
      <c r="D3229" s="7">
        <v>43506</v>
      </c>
      <c r="E3229" s="7">
        <v>43521</v>
      </c>
      <c r="F3229" s="7">
        <v>43566</v>
      </c>
      <c r="G3229" s="1" t="s">
        <v>16</v>
      </c>
      <c r="H3229" s="8">
        <v>379728.72</v>
      </c>
      <c r="I3229" s="8">
        <v>231984.57</v>
      </c>
      <c r="J3229" s="1">
        <f>IF(COUNTIF($C$4:C3229,C3229)=1,1,0)</f>
        <v>1</v>
      </c>
      <c r="K3229" s="1">
        <f t="shared" si="50"/>
        <v>2019</v>
      </c>
    </row>
    <row r="3230" spans="2:11" x14ac:dyDescent="0.45">
      <c r="B3230" s="1" t="s">
        <v>11</v>
      </c>
      <c r="C3230" s="1" t="s">
        <v>3207</v>
      </c>
      <c r="D3230" s="7">
        <v>45333</v>
      </c>
      <c r="E3230" s="7">
        <v>45338</v>
      </c>
      <c r="F3230" s="7">
        <v>45489</v>
      </c>
      <c r="G3230" s="1" t="s">
        <v>18</v>
      </c>
      <c r="H3230" s="8">
        <v>2281541.0099999998</v>
      </c>
      <c r="I3230" s="8">
        <v>1908605.61</v>
      </c>
      <c r="J3230" s="1">
        <f>IF(COUNTIF($C$4:C3230,C3230)=1,1,0)</f>
        <v>1</v>
      </c>
      <c r="K3230" s="1">
        <f t="shared" si="50"/>
        <v>2024</v>
      </c>
    </row>
    <row r="3231" spans="2:11" x14ac:dyDescent="0.45">
      <c r="B3231" s="1" t="s">
        <v>11</v>
      </c>
      <c r="C3231" s="1" t="s">
        <v>3208</v>
      </c>
      <c r="D3231" s="7">
        <v>44657</v>
      </c>
      <c r="E3231" s="7">
        <v>44663</v>
      </c>
      <c r="F3231" s="7">
        <v>44674</v>
      </c>
      <c r="G3231" s="1" t="s">
        <v>16</v>
      </c>
      <c r="H3231" s="8">
        <v>946870.26</v>
      </c>
      <c r="I3231" s="8">
        <v>664124.82999999996</v>
      </c>
      <c r="J3231" s="1">
        <f>IF(COUNTIF($C$4:C3231,C3231)=1,1,0)</f>
        <v>1</v>
      </c>
      <c r="K3231" s="1">
        <f t="shared" si="50"/>
        <v>2022</v>
      </c>
    </row>
    <row r="3232" spans="2:11" x14ac:dyDescent="0.45">
      <c r="B3232" s="1" t="s">
        <v>11</v>
      </c>
      <c r="C3232" s="1" t="s">
        <v>3209</v>
      </c>
      <c r="D3232" s="7">
        <v>45313</v>
      </c>
      <c r="E3232" s="7">
        <v>45317</v>
      </c>
      <c r="F3232" s="7">
        <v>45527</v>
      </c>
      <c r="G3232" s="1" t="s">
        <v>16</v>
      </c>
      <c r="H3232" s="8">
        <v>7245306.7699999996</v>
      </c>
      <c r="I3232" s="8">
        <v>3766738.11</v>
      </c>
      <c r="J3232" s="1">
        <f>IF(COUNTIF($C$4:C3232,C3232)=1,1,0)</f>
        <v>1</v>
      </c>
      <c r="K3232" s="1">
        <f t="shared" si="50"/>
        <v>2024</v>
      </c>
    </row>
    <row r="3233" spans="2:11" x14ac:dyDescent="0.45">
      <c r="B3233" s="1" t="s">
        <v>11</v>
      </c>
      <c r="C3233" s="1" t="s">
        <v>3210</v>
      </c>
      <c r="D3233" s="7">
        <v>44900</v>
      </c>
      <c r="E3233" s="7">
        <v>44921</v>
      </c>
      <c r="F3233" s="7">
        <v>44929</v>
      </c>
      <c r="G3233" s="1" t="s">
        <v>18</v>
      </c>
      <c r="H3233" s="8">
        <v>789751.36</v>
      </c>
      <c r="I3233" s="8">
        <v>614297.13</v>
      </c>
      <c r="J3233" s="1">
        <f>IF(COUNTIF($C$4:C3233,C3233)=1,1,0)</f>
        <v>1</v>
      </c>
      <c r="K3233" s="1">
        <f t="shared" si="50"/>
        <v>2022</v>
      </c>
    </row>
    <row r="3234" spans="2:11" x14ac:dyDescent="0.45">
      <c r="B3234" s="1" t="s">
        <v>11</v>
      </c>
      <c r="C3234" s="1" t="s">
        <v>3211</v>
      </c>
      <c r="D3234" s="7">
        <v>44929</v>
      </c>
      <c r="E3234" s="7">
        <v>44954</v>
      </c>
      <c r="F3234" s="7">
        <v>44968</v>
      </c>
      <c r="G3234" s="1" t="s">
        <v>41</v>
      </c>
      <c r="H3234" s="8">
        <v>844839.57</v>
      </c>
      <c r="I3234" s="8">
        <v>619597.49</v>
      </c>
      <c r="J3234" s="1">
        <f>IF(COUNTIF($C$4:C3234,C3234)=1,1,0)</f>
        <v>1</v>
      </c>
      <c r="K3234" s="1">
        <f t="shared" si="50"/>
        <v>2023</v>
      </c>
    </row>
    <row r="3235" spans="2:11" x14ac:dyDescent="0.45">
      <c r="B3235" s="1" t="s">
        <v>11</v>
      </c>
      <c r="C3235" s="1" t="s">
        <v>3212</v>
      </c>
      <c r="D3235" s="7">
        <v>43506</v>
      </c>
      <c r="E3235" s="7">
        <v>43532</v>
      </c>
      <c r="F3235" s="7">
        <v>43700</v>
      </c>
      <c r="G3235" s="1" t="s">
        <v>1348</v>
      </c>
      <c r="H3235" s="8">
        <v>31440430.129999999</v>
      </c>
      <c r="I3235" s="8">
        <v>21572369.559999999</v>
      </c>
      <c r="J3235" s="1">
        <f>IF(COUNTIF($C$4:C3235,C3235)=1,1,0)</f>
        <v>1</v>
      </c>
      <c r="K3235" s="1">
        <f t="shared" si="50"/>
        <v>2019</v>
      </c>
    </row>
    <row r="3236" spans="2:11" x14ac:dyDescent="0.45">
      <c r="B3236" s="1" t="s">
        <v>11</v>
      </c>
      <c r="C3236" s="1" t="s">
        <v>3213</v>
      </c>
      <c r="D3236" s="7">
        <v>45986</v>
      </c>
      <c r="E3236" s="7">
        <v>45986</v>
      </c>
      <c r="F3236" s="7">
        <v>46002</v>
      </c>
      <c r="G3236" s="1" t="s">
        <v>13</v>
      </c>
      <c r="H3236" s="8">
        <v>1458507.99</v>
      </c>
      <c r="I3236" s="8">
        <v>1068426.94</v>
      </c>
      <c r="J3236" s="1">
        <f>IF(COUNTIF($C$4:C3236,C3236)=1,1,0)</f>
        <v>1</v>
      </c>
      <c r="K3236" s="1">
        <f t="shared" si="50"/>
        <v>2025</v>
      </c>
    </row>
    <row r="3237" spans="2:11" x14ac:dyDescent="0.45">
      <c r="B3237" s="1" t="s">
        <v>11</v>
      </c>
      <c r="C3237" s="1" t="s">
        <v>3214</v>
      </c>
      <c r="D3237" s="7">
        <v>45172</v>
      </c>
      <c r="E3237" s="7">
        <v>45195</v>
      </c>
      <c r="F3237" s="7">
        <v>45427</v>
      </c>
      <c r="G3237" s="1" t="s">
        <v>41</v>
      </c>
      <c r="H3237" s="8">
        <v>99784.42</v>
      </c>
      <c r="I3237" s="8">
        <v>67195.25</v>
      </c>
      <c r="J3237" s="1">
        <f>IF(COUNTIF($C$4:C3237,C3237)=1,1,0)</f>
        <v>1</v>
      </c>
      <c r="K3237" s="1">
        <f t="shared" si="50"/>
        <v>2023</v>
      </c>
    </row>
    <row r="3238" spans="2:11" x14ac:dyDescent="0.45">
      <c r="B3238" s="1" t="s">
        <v>11</v>
      </c>
      <c r="C3238" s="1" t="s">
        <v>3215</v>
      </c>
      <c r="D3238" s="7">
        <v>43381</v>
      </c>
      <c r="E3238" s="7">
        <v>43382</v>
      </c>
      <c r="F3238" s="7">
        <v>43423</v>
      </c>
      <c r="G3238" s="1" t="s">
        <v>1348</v>
      </c>
      <c r="H3238" s="8">
        <v>50358730.200000003</v>
      </c>
      <c r="I3238" s="8">
        <v>25043936.93</v>
      </c>
      <c r="J3238" s="1">
        <f>IF(COUNTIF($C$4:C3238,C3238)=1,1,0)</f>
        <v>1</v>
      </c>
      <c r="K3238" s="1">
        <f t="shared" si="50"/>
        <v>2018</v>
      </c>
    </row>
    <row r="3239" spans="2:11" x14ac:dyDescent="0.45">
      <c r="B3239" s="1" t="s">
        <v>11</v>
      </c>
      <c r="C3239" s="1" t="s">
        <v>3216</v>
      </c>
      <c r="D3239" s="7">
        <v>45395</v>
      </c>
      <c r="E3239" s="7">
        <v>45418</v>
      </c>
      <c r="F3239" s="7">
        <v>45600</v>
      </c>
      <c r="G3239" s="1" t="s">
        <v>38</v>
      </c>
      <c r="H3239" s="8">
        <v>2756197.85</v>
      </c>
      <c r="I3239" s="8">
        <v>1978054.62</v>
      </c>
      <c r="J3239" s="1">
        <f>IF(COUNTIF($C$4:C3239,C3239)=1,1,0)</f>
        <v>1</v>
      </c>
      <c r="K3239" s="1">
        <f t="shared" si="50"/>
        <v>2024</v>
      </c>
    </row>
    <row r="3240" spans="2:11" x14ac:dyDescent="0.45">
      <c r="B3240" s="1" t="s">
        <v>11</v>
      </c>
      <c r="C3240" s="1" t="s">
        <v>3217</v>
      </c>
      <c r="D3240" s="7">
        <v>45913</v>
      </c>
      <c r="E3240" s="7">
        <v>45916</v>
      </c>
      <c r="F3240" s="7">
        <v>46079</v>
      </c>
      <c r="G3240" s="1" t="s">
        <v>1348</v>
      </c>
      <c r="H3240" s="8">
        <v>1932990.64</v>
      </c>
      <c r="I3240" s="8">
        <v>1556429.02</v>
      </c>
      <c r="J3240" s="1">
        <f>IF(COUNTIF($C$4:C3240,C3240)=1,1,0)</f>
        <v>1</v>
      </c>
      <c r="K3240" s="1">
        <f t="shared" si="50"/>
        <v>2025</v>
      </c>
    </row>
    <row r="3241" spans="2:11" x14ac:dyDescent="0.45">
      <c r="B3241" s="1" t="s">
        <v>11</v>
      </c>
      <c r="C3241" s="1" t="s">
        <v>3218</v>
      </c>
      <c r="D3241" s="7">
        <v>44965</v>
      </c>
      <c r="E3241" s="7">
        <v>44978</v>
      </c>
      <c r="F3241" s="7">
        <v>45123</v>
      </c>
      <c r="G3241" s="1" t="s">
        <v>38</v>
      </c>
      <c r="H3241" s="8">
        <v>69408.38</v>
      </c>
      <c r="I3241" s="8">
        <v>45594.05</v>
      </c>
      <c r="J3241" s="1">
        <f>IF(COUNTIF($C$4:C3241,C3241)=1,1,0)</f>
        <v>1</v>
      </c>
      <c r="K3241" s="1">
        <f t="shared" si="50"/>
        <v>2023</v>
      </c>
    </row>
    <row r="3242" spans="2:11" x14ac:dyDescent="0.45">
      <c r="B3242" s="1" t="s">
        <v>11</v>
      </c>
      <c r="C3242" s="1" t="s">
        <v>3219</v>
      </c>
      <c r="D3242" s="7">
        <v>45002</v>
      </c>
      <c r="E3242" s="7">
        <v>45012</v>
      </c>
      <c r="F3242" s="7">
        <v>45140</v>
      </c>
      <c r="G3242" s="1" t="s">
        <v>22</v>
      </c>
      <c r="H3242" s="8">
        <v>18519957.670000002</v>
      </c>
      <c r="I3242" s="8">
        <v>7157883.6799999997</v>
      </c>
      <c r="J3242" s="1">
        <f>IF(COUNTIF($C$4:C3242,C3242)=1,1,0)</f>
        <v>1</v>
      </c>
      <c r="K3242" s="1">
        <f t="shared" si="50"/>
        <v>2023</v>
      </c>
    </row>
    <row r="3243" spans="2:11" x14ac:dyDescent="0.45">
      <c r="B3243" s="1" t="s">
        <v>11</v>
      </c>
      <c r="C3243" s="1" t="s">
        <v>3220</v>
      </c>
      <c r="D3243" s="7">
        <v>43411</v>
      </c>
      <c r="E3243" s="7">
        <v>43432</v>
      </c>
      <c r="F3243" s="7">
        <v>43606</v>
      </c>
      <c r="G3243" s="1" t="s">
        <v>22</v>
      </c>
      <c r="H3243" s="8">
        <v>33200819.23</v>
      </c>
      <c r="I3243" s="8">
        <v>22659774.370000001</v>
      </c>
      <c r="J3243" s="1">
        <f>IF(COUNTIF($C$4:C3243,C3243)=1,1,0)</f>
        <v>1</v>
      </c>
      <c r="K3243" s="1">
        <f t="shared" si="50"/>
        <v>2018</v>
      </c>
    </row>
    <row r="3244" spans="2:11" x14ac:dyDescent="0.45">
      <c r="B3244" s="1" t="s">
        <v>11</v>
      </c>
      <c r="C3244" s="1" t="s">
        <v>3221</v>
      </c>
      <c r="D3244" s="7">
        <v>43419</v>
      </c>
      <c r="E3244" s="7">
        <v>43419</v>
      </c>
      <c r="F3244" s="7">
        <v>43541</v>
      </c>
      <c r="G3244" s="1" t="s">
        <v>18</v>
      </c>
      <c r="H3244" s="8">
        <v>3698440.35</v>
      </c>
      <c r="I3244" s="8">
        <v>3094359.95</v>
      </c>
      <c r="J3244" s="1">
        <f>IF(COUNTIF($C$4:C3244,C3244)=1,1,0)</f>
        <v>1</v>
      </c>
      <c r="K3244" s="1">
        <f t="shared" si="50"/>
        <v>2018</v>
      </c>
    </row>
    <row r="3245" spans="2:11" x14ac:dyDescent="0.45">
      <c r="B3245" s="1" t="s">
        <v>11</v>
      </c>
      <c r="C3245" s="1" t="s">
        <v>3222</v>
      </c>
      <c r="D3245" s="7">
        <v>45617</v>
      </c>
      <c r="E3245" s="7">
        <v>45617</v>
      </c>
      <c r="F3245" s="7">
        <v>45639</v>
      </c>
      <c r="G3245" s="1" t="s">
        <v>38</v>
      </c>
      <c r="H3245" s="8">
        <v>211922.79</v>
      </c>
      <c r="I3245" s="8">
        <v>148060.89000000001</v>
      </c>
      <c r="J3245" s="1">
        <f>IF(COUNTIF($C$4:C3245,C3245)=1,1,0)</f>
        <v>1</v>
      </c>
      <c r="K3245" s="1">
        <f t="shared" si="50"/>
        <v>2024</v>
      </c>
    </row>
    <row r="3246" spans="2:11" x14ac:dyDescent="0.45">
      <c r="B3246" s="1" t="s">
        <v>11</v>
      </c>
      <c r="C3246" s="1" t="s">
        <v>3223</v>
      </c>
      <c r="D3246" s="7">
        <v>44770</v>
      </c>
      <c r="E3246" s="7">
        <v>44782</v>
      </c>
      <c r="F3246" s="7">
        <v>44810</v>
      </c>
      <c r="G3246" s="1" t="s">
        <v>22</v>
      </c>
      <c r="H3246" s="8">
        <v>16205331.970000001</v>
      </c>
      <c r="I3246" s="8">
        <v>11026580.4</v>
      </c>
      <c r="J3246" s="1">
        <f>IF(COUNTIF($C$4:C3246,C3246)=1,1,0)</f>
        <v>1</v>
      </c>
      <c r="K3246" s="1">
        <f t="shared" si="50"/>
        <v>2022</v>
      </c>
    </row>
    <row r="3247" spans="2:11" x14ac:dyDescent="0.45">
      <c r="B3247" s="1" t="s">
        <v>11</v>
      </c>
      <c r="C3247" s="1" t="s">
        <v>3224</v>
      </c>
      <c r="D3247" s="7">
        <v>45874</v>
      </c>
      <c r="E3247" s="7">
        <v>45897</v>
      </c>
      <c r="F3247" s="7">
        <v>46070</v>
      </c>
      <c r="G3247" s="1" t="s">
        <v>20</v>
      </c>
      <c r="H3247" s="8">
        <v>1109410.4099999999</v>
      </c>
      <c r="I3247" s="8">
        <v>785367.77</v>
      </c>
      <c r="J3247" s="1">
        <f>IF(COUNTIF($C$4:C3247,C3247)=1,1,0)</f>
        <v>1</v>
      </c>
      <c r="K3247" s="1">
        <f t="shared" si="50"/>
        <v>2025</v>
      </c>
    </row>
    <row r="3248" spans="2:11" x14ac:dyDescent="0.45">
      <c r="B3248" s="1" t="s">
        <v>11</v>
      </c>
      <c r="C3248" s="1" t="s">
        <v>3225</v>
      </c>
      <c r="D3248" s="7">
        <v>44944</v>
      </c>
      <c r="E3248" s="7">
        <v>44971</v>
      </c>
      <c r="F3248" s="7">
        <v>45116</v>
      </c>
      <c r="G3248" s="1" t="s">
        <v>13</v>
      </c>
      <c r="H3248" s="8">
        <v>256636.19</v>
      </c>
      <c r="I3248" s="8">
        <v>190308.69</v>
      </c>
      <c r="J3248" s="1">
        <f>IF(COUNTIF($C$4:C3248,C3248)=1,1,0)</f>
        <v>1</v>
      </c>
      <c r="K3248" s="1">
        <f t="shared" si="50"/>
        <v>2023</v>
      </c>
    </row>
    <row r="3249" spans="2:11" x14ac:dyDescent="0.45">
      <c r="B3249" s="1" t="s">
        <v>11</v>
      </c>
      <c r="C3249" s="1" t="s">
        <v>3226</v>
      </c>
      <c r="D3249" s="7">
        <v>45193</v>
      </c>
      <c r="E3249" s="7">
        <v>45215</v>
      </c>
      <c r="F3249" s="7">
        <v>45270</v>
      </c>
      <c r="G3249" s="1" t="s">
        <v>212</v>
      </c>
      <c r="H3249" s="8">
        <v>17194329.57</v>
      </c>
      <c r="I3249" s="8">
        <v>11326746.880000001</v>
      </c>
      <c r="J3249" s="1">
        <f>IF(COUNTIF($C$4:C3249,C3249)=1,1,0)</f>
        <v>1</v>
      </c>
      <c r="K3249" s="1">
        <f t="shared" si="50"/>
        <v>2023</v>
      </c>
    </row>
    <row r="3250" spans="2:11" x14ac:dyDescent="0.45">
      <c r="B3250" s="1" t="s">
        <v>11</v>
      </c>
      <c r="C3250" s="1" t="s">
        <v>3227</v>
      </c>
      <c r="D3250" s="7">
        <v>44490</v>
      </c>
      <c r="E3250" s="7">
        <v>44491</v>
      </c>
      <c r="F3250" s="7">
        <v>44540</v>
      </c>
      <c r="G3250" s="1" t="s">
        <v>13</v>
      </c>
      <c r="H3250" s="8">
        <v>180856.03</v>
      </c>
      <c r="I3250" s="8">
        <v>126339.57</v>
      </c>
      <c r="J3250" s="1">
        <f>IF(COUNTIF($C$4:C3250,C3250)=1,1,0)</f>
        <v>1</v>
      </c>
      <c r="K3250" s="1">
        <f t="shared" si="50"/>
        <v>2021</v>
      </c>
    </row>
    <row r="3251" spans="2:11" x14ac:dyDescent="0.45">
      <c r="B3251" s="1" t="s">
        <v>11</v>
      </c>
      <c r="C3251" s="1" t="s">
        <v>3228</v>
      </c>
      <c r="D3251" s="7">
        <v>45167</v>
      </c>
      <c r="E3251" s="7">
        <v>45184</v>
      </c>
      <c r="F3251" s="7">
        <v>45287</v>
      </c>
      <c r="G3251" s="1" t="s">
        <v>22</v>
      </c>
      <c r="H3251" s="8">
        <v>3946429.01</v>
      </c>
      <c r="I3251" s="8">
        <v>1556743.54</v>
      </c>
      <c r="J3251" s="1">
        <f>IF(COUNTIF($C$4:C3251,C3251)=1,1,0)</f>
        <v>1</v>
      </c>
      <c r="K3251" s="1">
        <f t="shared" si="50"/>
        <v>2023</v>
      </c>
    </row>
    <row r="3252" spans="2:11" x14ac:dyDescent="0.45">
      <c r="B3252" s="1" t="s">
        <v>11</v>
      </c>
      <c r="C3252" s="1" t="s">
        <v>3229</v>
      </c>
      <c r="D3252" s="7">
        <v>43799</v>
      </c>
      <c r="E3252" s="7">
        <v>43823</v>
      </c>
      <c r="F3252" s="7">
        <v>43981</v>
      </c>
      <c r="G3252" s="1" t="s">
        <v>212</v>
      </c>
      <c r="H3252" s="8">
        <v>20382147.690000001</v>
      </c>
      <c r="I3252" s="8">
        <v>13398825.9</v>
      </c>
      <c r="J3252" s="1">
        <f>IF(COUNTIF($C$4:C3252,C3252)=1,1,0)</f>
        <v>1</v>
      </c>
      <c r="K3252" s="1">
        <f t="shared" si="50"/>
        <v>2019</v>
      </c>
    </row>
    <row r="3253" spans="2:11" x14ac:dyDescent="0.45">
      <c r="B3253" s="1" t="s">
        <v>11</v>
      </c>
      <c r="C3253" s="1" t="s">
        <v>3230</v>
      </c>
      <c r="D3253" s="7">
        <v>45906</v>
      </c>
      <c r="E3253" s="7">
        <v>45922</v>
      </c>
      <c r="F3253" s="7">
        <v>46092</v>
      </c>
      <c r="G3253" s="1" t="s">
        <v>18</v>
      </c>
      <c r="H3253" s="8">
        <v>5805305.2999999998</v>
      </c>
      <c r="I3253" s="8">
        <v>4387519.79</v>
      </c>
      <c r="J3253" s="1">
        <f>IF(COUNTIF($C$4:C3253,C3253)=1,1,0)</f>
        <v>1</v>
      </c>
      <c r="K3253" s="1">
        <f t="shared" si="50"/>
        <v>2025</v>
      </c>
    </row>
    <row r="3254" spans="2:11" x14ac:dyDescent="0.45">
      <c r="B3254" s="1" t="s">
        <v>11</v>
      </c>
      <c r="C3254" s="1" t="s">
        <v>3231</v>
      </c>
      <c r="D3254" s="7">
        <v>44426</v>
      </c>
      <c r="E3254" s="7">
        <v>44440</v>
      </c>
      <c r="F3254" s="7">
        <v>44511</v>
      </c>
      <c r="G3254" s="1" t="s">
        <v>1348</v>
      </c>
      <c r="H3254" s="8">
        <v>16899723.399999999</v>
      </c>
      <c r="I3254" s="8">
        <v>7438943.6200000001</v>
      </c>
      <c r="J3254" s="1">
        <f>IF(COUNTIF($C$4:C3254,C3254)=1,1,0)</f>
        <v>1</v>
      </c>
      <c r="K3254" s="1">
        <f t="shared" si="50"/>
        <v>2021</v>
      </c>
    </row>
    <row r="3255" spans="2:11" x14ac:dyDescent="0.45">
      <c r="B3255" s="1" t="s">
        <v>11</v>
      </c>
      <c r="C3255" s="1" t="s">
        <v>3232</v>
      </c>
      <c r="D3255" s="7">
        <v>45433</v>
      </c>
      <c r="E3255" s="7">
        <v>45436</v>
      </c>
      <c r="F3255" s="7">
        <v>45614</v>
      </c>
      <c r="G3255" s="1" t="s">
        <v>22</v>
      </c>
      <c r="H3255" s="8">
        <v>550761.25</v>
      </c>
      <c r="I3255" s="8">
        <v>250063.89</v>
      </c>
      <c r="J3255" s="1">
        <f>IF(COUNTIF($C$4:C3255,C3255)=1,1,0)</f>
        <v>1</v>
      </c>
      <c r="K3255" s="1">
        <f t="shared" si="50"/>
        <v>2024</v>
      </c>
    </row>
    <row r="3256" spans="2:11" x14ac:dyDescent="0.45">
      <c r="B3256" s="1" t="s">
        <v>11</v>
      </c>
      <c r="C3256" s="1" t="s">
        <v>3233</v>
      </c>
      <c r="D3256" s="7">
        <v>44674</v>
      </c>
      <c r="E3256" s="7">
        <v>44678</v>
      </c>
      <c r="F3256" s="7">
        <v>44696</v>
      </c>
      <c r="G3256" s="1" t="s">
        <v>1348</v>
      </c>
      <c r="H3256" s="8">
        <v>44045195.210000001</v>
      </c>
      <c r="I3256" s="8">
        <v>23240502.449999999</v>
      </c>
      <c r="J3256" s="1">
        <f>IF(COUNTIF($C$4:C3256,C3256)=1,1,0)</f>
        <v>1</v>
      </c>
      <c r="K3256" s="1">
        <f t="shared" si="50"/>
        <v>2022</v>
      </c>
    </row>
    <row r="3257" spans="2:11" x14ac:dyDescent="0.45">
      <c r="B3257" s="1" t="s">
        <v>11</v>
      </c>
      <c r="C3257" s="1" t="s">
        <v>3234</v>
      </c>
      <c r="D3257" s="7">
        <v>45581</v>
      </c>
      <c r="E3257" s="7">
        <v>45591</v>
      </c>
      <c r="F3257" s="7">
        <v>45710</v>
      </c>
      <c r="G3257" s="1" t="s">
        <v>16</v>
      </c>
      <c r="H3257" s="8">
        <v>1967342.78</v>
      </c>
      <c r="I3257" s="8">
        <v>1207853.76</v>
      </c>
      <c r="J3257" s="1">
        <f>IF(COUNTIF($C$4:C3257,C3257)=1,1,0)</f>
        <v>1</v>
      </c>
      <c r="K3257" s="1">
        <f t="shared" si="50"/>
        <v>2024</v>
      </c>
    </row>
    <row r="3258" spans="2:11" x14ac:dyDescent="0.45">
      <c r="B3258" s="1" t="s">
        <v>11</v>
      </c>
      <c r="C3258" s="1" t="s">
        <v>3235</v>
      </c>
      <c r="D3258" s="7">
        <v>44398</v>
      </c>
      <c r="E3258" s="7">
        <v>44423</v>
      </c>
      <c r="F3258" s="7">
        <v>44662</v>
      </c>
      <c r="G3258" s="1" t="s">
        <v>18</v>
      </c>
      <c r="H3258" s="8">
        <v>3142281.45</v>
      </c>
      <c r="I3258" s="8">
        <v>2279263.79</v>
      </c>
      <c r="J3258" s="1">
        <f>IF(COUNTIF($C$4:C3258,C3258)=1,1,0)</f>
        <v>1</v>
      </c>
      <c r="K3258" s="1">
        <f t="shared" si="50"/>
        <v>2021</v>
      </c>
    </row>
    <row r="3259" spans="2:11" x14ac:dyDescent="0.45">
      <c r="B3259" s="1" t="s">
        <v>11</v>
      </c>
      <c r="C3259" s="1" t="s">
        <v>3236</v>
      </c>
      <c r="D3259" s="7">
        <v>45108</v>
      </c>
      <c r="E3259" s="7">
        <v>45125</v>
      </c>
      <c r="F3259" s="7">
        <v>45359</v>
      </c>
      <c r="G3259" s="1" t="s">
        <v>13</v>
      </c>
      <c r="H3259" s="8">
        <v>384098.57</v>
      </c>
      <c r="I3259" s="8">
        <v>264349.62</v>
      </c>
      <c r="J3259" s="1">
        <f>IF(COUNTIF($C$4:C3259,C3259)=1,1,0)</f>
        <v>1</v>
      </c>
      <c r="K3259" s="1">
        <f t="shared" si="50"/>
        <v>2023</v>
      </c>
    </row>
    <row r="3260" spans="2:11" x14ac:dyDescent="0.45">
      <c r="B3260" s="1" t="s">
        <v>11</v>
      </c>
      <c r="C3260" s="1" t="s">
        <v>3237</v>
      </c>
      <c r="D3260" s="7">
        <v>45482</v>
      </c>
      <c r="E3260" s="7">
        <v>45484</v>
      </c>
      <c r="F3260" s="7">
        <v>45700</v>
      </c>
      <c r="G3260" s="1" t="s">
        <v>16</v>
      </c>
      <c r="H3260" s="8">
        <v>1139729.4099999999</v>
      </c>
      <c r="I3260" s="8">
        <v>799988.97</v>
      </c>
      <c r="J3260" s="1">
        <f>IF(COUNTIF($C$4:C3260,C3260)=1,1,0)</f>
        <v>1</v>
      </c>
      <c r="K3260" s="1">
        <f t="shared" si="50"/>
        <v>2024</v>
      </c>
    </row>
    <row r="3261" spans="2:11" x14ac:dyDescent="0.45">
      <c r="B3261" s="1" t="s">
        <v>11</v>
      </c>
      <c r="C3261" s="1" t="s">
        <v>3238</v>
      </c>
      <c r="D3261" s="7">
        <v>45640</v>
      </c>
      <c r="E3261" s="7">
        <v>45648</v>
      </c>
      <c r="F3261" s="7">
        <v>45749</v>
      </c>
      <c r="G3261" s="1" t="s">
        <v>18</v>
      </c>
      <c r="H3261" s="8">
        <v>7525105.8399999999</v>
      </c>
      <c r="I3261" s="8">
        <v>5916771.1299999999</v>
      </c>
      <c r="J3261" s="1">
        <f>IF(COUNTIF($C$4:C3261,C3261)=1,1,0)</f>
        <v>1</v>
      </c>
      <c r="K3261" s="1">
        <f t="shared" si="50"/>
        <v>2024</v>
      </c>
    </row>
    <row r="3262" spans="2:11" x14ac:dyDescent="0.45">
      <c r="B3262" s="1" t="s">
        <v>11</v>
      </c>
      <c r="C3262" s="1" t="s">
        <v>3239</v>
      </c>
      <c r="D3262" s="7">
        <v>44232</v>
      </c>
      <c r="E3262" s="7">
        <v>44238</v>
      </c>
      <c r="F3262" s="7">
        <v>44301</v>
      </c>
      <c r="G3262" s="1" t="s">
        <v>16</v>
      </c>
      <c r="H3262" s="8">
        <v>1553914.91</v>
      </c>
      <c r="I3262" s="8">
        <v>1043299.04</v>
      </c>
      <c r="J3262" s="1">
        <f>IF(COUNTIF($C$4:C3262,C3262)=1,1,0)</f>
        <v>1</v>
      </c>
      <c r="K3262" s="1">
        <f t="shared" si="50"/>
        <v>2021</v>
      </c>
    </row>
    <row r="3263" spans="2:11" x14ac:dyDescent="0.45">
      <c r="B3263" s="1" t="s">
        <v>11</v>
      </c>
      <c r="C3263" s="1" t="s">
        <v>3240</v>
      </c>
      <c r="D3263" s="7">
        <v>45918</v>
      </c>
      <c r="E3263" s="7">
        <v>45922</v>
      </c>
      <c r="F3263" s="7">
        <v>46018</v>
      </c>
      <c r="G3263" s="1" t="s">
        <v>22</v>
      </c>
      <c r="H3263" s="8">
        <v>30198506.809999999</v>
      </c>
      <c r="I3263" s="8">
        <v>22759683.93</v>
      </c>
      <c r="J3263" s="1">
        <f>IF(COUNTIF($C$4:C3263,C3263)=1,1,0)</f>
        <v>1</v>
      </c>
      <c r="K3263" s="1">
        <f t="shared" si="50"/>
        <v>2025</v>
      </c>
    </row>
    <row r="3264" spans="2:11" x14ac:dyDescent="0.45">
      <c r="B3264" s="1" t="s">
        <v>11</v>
      </c>
      <c r="C3264" s="1" t="s">
        <v>3241</v>
      </c>
      <c r="D3264" s="7">
        <v>45879</v>
      </c>
      <c r="E3264" s="7">
        <v>45907</v>
      </c>
      <c r="F3264" s="7">
        <v>46017</v>
      </c>
      <c r="G3264" s="1" t="s">
        <v>38</v>
      </c>
      <c r="H3264" s="8">
        <v>109612.97</v>
      </c>
      <c r="I3264" s="8">
        <v>82775.75</v>
      </c>
      <c r="J3264" s="1">
        <f>IF(COUNTIF($C$4:C3264,C3264)=1,1,0)</f>
        <v>1</v>
      </c>
      <c r="K3264" s="1">
        <f t="shared" si="50"/>
        <v>2025</v>
      </c>
    </row>
    <row r="3265" spans="2:11" x14ac:dyDescent="0.45">
      <c r="B3265" s="1" t="s">
        <v>11</v>
      </c>
      <c r="C3265" s="1" t="s">
        <v>3242</v>
      </c>
      <c r="D3265" s="7">
        <v>45880</v>
      </c>
      <c r="E3265" s="7">
        <v>45892</v>
      </c>
      <c r="F3265" s="7">
        <v>46096</v>
      </c>
      <c r="G3265" s="1" t="s">
        <v>13</v>
      </c>
      <c r="H3265" s="8">
        <v>393074.59</v>
      </c>
      <c r="I3265" s="8">
        <v>248430.91</v>
      </c>
      <c r="J3265" s="1">
        <f>IF(COUNTIF($C$4:C3265,C3265)=1,1,0)</f>
        <v>1</v>
      </c>
      <c r="K3265" s="1">
        <f t="shared" si="50"/>
        <v>2025</v>
      </c>
    </row>
    <row r="3266" spans="2:11" x14ac:dyDescent="0.45">
      <c r="B3266" s="1" t="s">
        <v>11</v>
      </c>
      <c r="C3266" s="1" t="s">
        <v>3243</v>
      </c>
      <c r="D3266" s="7">
        <v>45087</v>
      </c>
      <c r="E3266" s="7">
        <v>45113</v>
      </c>
      <c r="F3266" s="7">
        <v>45245</v>
      </c>
      <c r="G3266" s="1" t="s">
        <v>20</v>
      </c>
      <c r="H3266" s="8">
        <v>306366285.64999998</v>
      </c>
      <c r="I3266" s="8">
        <v>180665386.81</v>
      </c>
      <c r="J3266" s="1">
        <f>IF(COUNTIF($C$4:C3266,C3266)=1,1,0)</f>
        <v>1</v>
      </c>
      <c r="K3266" s="1">
        <f t="shared" si="50"/>
        <v>2023</v>
      </c>
    </row>
    <row r="3267" spans="2:11" x14ac:dyDescent="0.45">
      <c r="B3267" s="1" t="s">
        <v>11</v>
      </c>
      <c r="C3267" s="1" t="s">
        <v>3244</v>
      </c>
      <c r="D3267" s="7">
        <v>44250</v>
      </c>
      <c r="E3267" s="7">
        <v>44276</v>
      </c>
      <c r="F3267" s="7">
        <v>44285</v>
      </c>
      <c r="G3267" s="1" t="s">
        <v>16</v>
      </c>
      <c r="H3267" s="8">
        <v>1102776.1599999999</v>
      </c>
      <c r="I3267" s="8">
        <v>614357.57999999996</v>
      </c>
      <c r="J3267" s="1">
        <f>IF(COUNTIF($C$4:C3267,C3267)=1,1,0)</f>
        <v>1</v>
      </c>
      <c r="K3267" s="1">
        <f t="shared" si="50"/>
        <v>2021</v>
      </c>
    </row>
    <row r="3268" spans="2:11" x14ac:dyDescent="0.45">
      <c r="B3268" s="1" t="s">
        <v>11</v>
      </c>
      <c r="C3268" s="1" t="s">
        <v>3245</v>
      </c>
      <c r="D3268" s="7">
        <v>45817</v>
      </c>
      <c r="E3268" s="7">
        <v>45817</v>
      </c>
      <c r="F3268" s="7">
        <v>45825</v>
      </c>
      <c r="G3268" s="1" t="s">
        <v>20</v>
      </c>
      <c r="H3268" s="8">
        <v>688871.92</v>
      </c>
      <c r="I3268" s="8">
        <v>451939.87</v>
      </c>
      <c r="J3268" s="1">
        <f>IF(COUNTIF($C$4:C3268,C3268)=1,1,0)</f>
        <v>1</v>
      </c>
      <c r="K3268" s="1">
        <f t="shared" si="50"/>
        <v>2025</v>
      </c>
    </row>
    <row r="3269" spans="2:11" x14ac:dyDescent="0.45">
      <c r="B3269" s="1" t="s">
        <v>11</v>
      </c>
      <c r="C3269" s="1" t="s">
        <v>3246</v>
      </c>
      <c r="D3269" s="7">
        <v>45570</v>
      </c>
      <c r="E3269" s="7">
        <v>45570</v>
      </c>
      <c r="F3269" s="7">
        <v>45671</v>
      </c>
      <c r="G3269" s="1" t="s">
        <v>20</v>
      </c>
      <c r="H3269" s="8">
        <v>350449.55</v>
      </c>
      <c r="I3269" s="8">
        <v>184029.99</v>
      </c>
      <c r="J3269" s="1">
        <f>IF(COUNTIF($C$4:C3269,C3269)=1,1,0)</f>
        <v>1</v>
      </c>
      <c r="K3269" s="1">
        <f t="shared" ref="K3269:K3332" si="51">YEAR(D3269)</f>
        <v>2024</v>
      </c>
    </row>
    <row r="3270" spans="2:11" x14ac:dyDescent="0.45">
      <c r="B3270" s="1" t="s">
        <v>11</v>
      </c>
      <c r="C3270" s="1" t="s">
        <v>3247</v>
      </c>
      <c r="D3270" s="7">
        <v>44052</v>
      </c>
      <c r="E3270" s="7">
        <v>44069</v>
      </c>
      <c r="F3270" s="7">
        <v>44250</v>
      </c>
      <c r="G3270" s="1" t="s">
        <v>212</v>
      </c>
      <c r="H3270" s="8">
        <v>19553945.27</v>
      </c>
      <c r="I3270" s="8">
        <v>11695024.09</v>
      </c>
      <c r="J3270" s="1">
        <f>IF(COUNTIF($C$4:C3270,C3270)=1,1,0)</f>
        <v>1</v>
      </c>
      <c r="K3270" s="1">
        <f t="shared" si="51"/>
        <v>2020</v>
      </c>
    </row>
    <row r="3271" spans="2:11" x14ac:dyDescent="0.45">
      <c r="B3271" s="1" t="s">
        <v>11</v>
      </c>
      <c r="C3271" s="1" t="s">
        <v>3248</v>
      </c>
      <c r="D3271" s="7">
        <v>44780</v>
      </c>
      <c r="E3271" s="7">
        <v>44804</v>
      </c>
      <c r="F3271" s="7">
        <v>44890</v>
      </c>
      <c r="G3271" s="1" t="s">
        <v>212</v>
      </c>
      <c r="H3271" s="8">
        <v>135128743.27000001</v>
      </c>
      <c r="I3271" s="8">
        <v>100084600.56999999</v>
      </c>
      <c r="J3271" s="1">
        <f>IF(COUNTIF($C$4:C3271,C3271)=1,1,0)</f>
        <v>1</v>
      </c>
      <c r="K3271" s="1">
        <f t="shared" si="51"/>
        <v>2022</v>
      </c>
    </row>
    <row r="3272" spans="2:11" x14ac:dyDescent="0.45">
      <c r="B3272" s="1" t="s">
        <v>11</v>
      </c>
      <c r="C3272" s="1" t="s">
        <v>3249</v>
      </c>
      <c r="D3272" s="7">
        <v>46148</v>
      </c>
      <c r="E3272" s="7">
        <v>46175</v>
      </c>
      <c r="F3272" s="7">
        <v>46303</v>
      </c>
      <c r="G3272" s="1" t="s">
        <v>38</v>
      </c>
      <c r="H3272" s="8">
        <v>158984.35999999999</v>
      </c>
      <c r="I3272" s="8">
        <v>133725.93</v>
      </c>
      <c r="J3272" s="1">
        <f>IF(COUNTIF($C$4:C3272,C3272)=1,1,0)</f>
        <v>1</v>
      </c>
      <c r="K3272" s="1">
        <f t="shared" si="51"/>
        <v>2026</v>
      </c>
    </row>
    <row r="3273" spans="2:11" x14ac:dyDescent="0.45">
      <c r="B3273" s="1" t="s">
        <v>11</v>
      </c>
      <c r="C3273" s="1" t="s">
        <v>3250</v>
      </c>
      <c r="D3273" s="7">
        <v>45721</v>
      </c>
      <c r="E3273" s="7">
        <v>45747</v>
      </c>
      <c r="F3273" s="7">
        <v>45760</v>
      </c>
      <c r="G3273" s="1" t="s">
        <v>13</v>
      </c>
      <c r="H3273" s="8">
        <v>242122.16</v>
      </c>
      <c r="I3273" s="8">
        <v>187220.92</v>
      </c>
      <c r="J3273" s="1">
        <f>IF(COUNTIF($C$4:C3273,C3273)=1,1,0)</f>
        <v>1</v>
      </c>
      <c r="K3273" s="1">
        <f t="shared" si="51"/>
        <v>2025</v>
      </c>
    </row>
    <row r="3274" spans="2:11" x14ac:dyDescent="0.45">
      <c r="B3274" s="1" t="s">
        <v>11</v>
      </c>
      <c r="C3274" s="1" t="s">
        <v>3251</v>
      </c>
      <c r="D3274" s="7">
        <v>44358</v>
      </c>
      <c r="E3274" s="7">
        <v>44375</v>
      </c>
      <c r="F3274" s="7">
        <v>44414</v>
      </c>
      <c r="G3274" s="1" t="s">
        <v>41</v>
      </c>
      <c r="H3274" s="8">
        <v>43323.37</v>
      </c>
      <c r="I3274" s="8">
        <v>26914.79</v>
      </c>
      <c r="J3274" s="1">
        <f>IF(COUNTIF($C$4:C3274,C3274)=1,1,0)</f>
        <v>1</v>
      </c>
      <c r="K3274" s="1">
        <f t="shared" si="51"/>
        <v>2021</v>
      </c>
    </row>
    <row r="3275" spans="2:11" x14ac:dyDescent="0.45">
      <c r="B3275" s="1" t="s">
        <v>11</v>
      </c>
      <c r="C3275" s="1" t="s">
        <v>3252</v>
      </c>
      <c r="D3275" s="7">
        <v>44354</v>
      </c>
      <c r="E3275" s="7">
        <v>44383</v>
      </c>
      <c r="F3275" s="7">
        <v>44439</v>
      </c>
      <c r="G3275" s="1" t="s">
        <v>22</v>
      </c>
      <c r="H3275" s="8">
        <v>18300499.379999999</v>
      </c>
      <c r="I3275" s="8">
        <v>10439431.810000001</v>
      </c>
      <c r="J3275" s="1">
        <f>IF(COUNTIF($C$4:C3275,C3275)=1,1,0)</f>
        <v>1</v>
      </c>
      <c r="K3275" s="1">
        <f t="shared" si="51"/>
        <v>2021</v>
      </c>
    </row>
    <row r="3276" spans="2:11" x14ac:dyDescent="0.45">
      <c r="B3276" s="1" t="s">
        <v>11</v>
      </c>
      <c r="C3276" s="1" t="s">
        <v>3253</v>
      </c>
      <c r="D3276" s="7">
        <v>45509</v>
      </c>
      <c r="E3276" s="7">
        <v>45527</v>
      </c>
      <c r="F3276" s="7">
        <v>45743</v>
      </c>
      <c r="G3276" s="1" t="s">
        <v>22</v>
      </c>
      <c r="H3276" s="8">
        <v>38541118</v>
      </c>
      <c r="I3276" s="8">
        <v>24800203.850000001</v>
      </c>
      <c r="J3276" s="1">
        <f>IF(COUNTIF($C$4:C3276,C3276)=1,1,0)</f>
        <v>1</v>
      </c>
      <c r="K3276" s="1">
        <f t="shared" si="51"/>
        <v>2024</v>
      </c>
    </row>
    <row r="3277" spans="2:11" x14ac:dyDescent="0.45">
      <c r="B3277" s="1" t="s">
        <v>11</v>
      </c>
      <c r="C3277" s="1" t="s">
        <v>3254</v>
      </c>
      <c r="D3277" s="7">
        <v>43480</v>
      </c>
      <c r="E3277" s="7">
        <v>43480</v>
      </c>
      <c r="F3277" s="7">
        <v>43611</v>
      </c>
      <c r="G3277" s="1" t="s">
        <v>22</v>
      </c>
      <c r="H3277" s="8">
        <v>2680251.23</v>
      </c>
      <c r="I3277" s="8">
        <v>1183587.67</v>
      </c>
      <c r="J3277" s="1">
        <f>IF(COUNTIF($C$4:C3277,C3277)=1,1,0)</f>
        <v>1</v>
      </c>
      <c r="K3277" s="1">
        <f t="shared" si="51"/>
        <v>2019</v>
      </c>
    </row>
    <row r="3278" spans="2:11" x14ac:dyDescent="0.45">
      <c r="B3278" s="1" t="s">
        <v>11</v>
      </c>
      <c r="C3278" s="1" t="s">
        <v>3255</v>
      </c>
      <c r="D3278" s="7">
        <v>43796</v>
      </c>
      <c r="E3278" s="7">
        <v>43821</v>
      </c>
      <c r="F3278" s="7">
        <v>44002</v>
      </c>
      <c r="G3278" s="1" t="s">
        <v>212</v>
      </c>
      <c r="H3278" s="8">
        <v>14386424.279999999</v>
      </c>
      <c r="I3278" s="8">
        <v>7317979.3899999997</v>
      </c>
      <c r="J3278" s="1">
        <f>IF(COUNTIF($C$4:C3278,C3278)=1,1,0)</f>
        <v>1</v>
      </c>
      <c r="K3278" s="1">
        <f t="shared" si="51"/>
        <v>2019</v>
      </c>
    </row>
    <row r="3279" spans="2:11" x14ac:dyDescent="0.45">
      <c r="B3279" s="1" t="s">
        <v>11</v>
      </c>
      <c r="C3279" s="1" t="s">
        <v>3256</v>
      </c>
      <c r="D3279" s="7">
        <v>44487</v>
      </c>
      <c r="E3279" s="7">
        <v>44489</v>
      </c>
      <c r="F3279" s="7">
        <v>44634</v>
      </c>
      <c r="G3279" s="1" t="s">
        <v>22</v>
      </c>
      <c r="H3279" s="8">
        <v>53096744.009999998</v>
      </c>
      <c r="I3279" s="8">
        <v>33956257.979999997</v>
      </c>
      <c r="J3279" s="1">
        <f>IF(COUNTIF($C$4:C3279,C3279)=1,1,0)</f>
        <v>1</v>
      </c>
      <c r="K3279" s="1">
        <f t="shared" si="51"/>
        <v>2021</v>
      </c>
    </row>
    <row r="3280" spans="2:11" x14ac:dyDescent="0.45">
      <c r="B3280" s="1" t="s">
        <v>11</v>
      </c>
      <c r="C3280" s="1" t="s">
        <v>3257</v>
      </c>
      <c r="D3280" s="7">
        <v>44224</v>
      </c>
      <c r="E3280" s="7">
        <v>44249</v>
      </c>
      <c r="F3280" s="7">
        <v>44454</v>
      </c>
      <c r="G3280" s="1" t="s">
        <v>13</v>
      </c>
      <c r="H3280" s="8">
        <v>128307.87</v>
      </c>
      <c r="I3280" s="8">
        <v>102547.66</v>
      </c>
      <c r="J3280" s="1">
        <f>IF(COUNTIF($C$4:C3280,C3280)=1,1,0)</f>
        <v>1</v>
      </c>
      <c r="K3280" s="1">
        <f t="shared" si="51"/>
        <v>2021</v>
      </c>
    </row>
    <row r="3281" spans="2:11" x14ac:dyDescent="0.45">
      <c r="B3281" s="1" t="s">
        <v>11</v>
      </c>
      <c r="C3281" s="1" t="s">
        <v>3258</v>
      </c>
      <c r="D3281" s="7">
        <v>45598</v>
      </c>
      <c r="E3281" s="7">
        <v>45605</v>
      </c>
      <c r="F3281" s="7">
        <v>45805</v>
      </c>
      <c r="G3281" s="1" t="s">
        <v>22</v>
      </c>
      <c r="H3281" s="8">
        <v>5199267.95</v>
      </c>
      <c r="I3281" s="8">
        <v>3862501.77</v>
      </c>
      <c r="J3281" s="1">
        <f>IF(COUNTIF($C$4:C3281,C3281)=1,1,0)</f>
        <v>1</v>
      </c>
      <c r="K3281" s="1">
        <f t="shared" si="51"/>
        <v>2024</v>
      </c>
    </row>
    <row r="3282" spans="2:11" x14ac:dyDescent="0.45">
      <c r="B3282" s="1" t="s">
        <v>11</v>
      </c>
      <c r="C3282" s="1" t="s">
        <v>3259</v>
      </c>
      <c r="D3282" s="7">
        <v>44633</v>
      </c>
      <c r="E3282" s="7">
        <v>44638</v>
      </c>
      <c r="F3282" s="7">
        <v>44724</v>
      </c>
      <c r="G3282" s="1" t="s">
        <v>212</v>
      </c>
      <c r="H3282" s="8">
        <v>14644770.66</v>
      </c>
      <c r="I3282" s="8">
        <v>9655983.8100000005</v>
      </c>
      <c r="J3282" s="1">
        <f>IF(COUNTIF($C$4:C3282,C3282)=1,1,0)</f>
        <v>1</v>
      </c>
      <c r="K3282" s="1">
        <f t="shared" si="51"/>
        <v>2022</v>
      </c>
    </row>
    <row r="3283" spans="2:11" x14ac:dyDescent="0.45">
      <c r="B3283" s="1" t="s">
        <v>11</v>
      </c>
      <c r="C3283" s="1" t="s">
        <v>3260</v>
      </c>
      <c r="D3283" s="7">
        <v>44248</v>
      </c>
      <c r="E3283" s="7">
        <v>44251</v>
      </c>
      <c r="F3283" s="7">
        <v>44281</v>
      </c>
      <c r="G3283" s="1" t="s">
        <v>22</v>
      </c>
      <c r="H3283" s="8">
        <v>38733210.960000001</v>
      </c>
      <c r="I3283" s="8">
        <v>18536343.18</v>
      </c>
      <c r="J3283" s="1">
        <f>IF(COUNTIF($C$4:C3283,C3283)=1,1,0)</f>
        <v>1</v>
      </c>
      <c r="K3283" s="1">
        <f t="shared" si="51"/>
        <v>2021</v>
      </c>
    </row>
    <row r="3284" spans="2:11" x14ac:dyDescent="0.45">
      <c r="B3284" s="1" t="s">
        <v>11</v>
      </c>
      <c r="C3284" s="1" t="s">
        <v>3261</v>
      </c>
      <c r="D3284" s="7">
        <v>44454</v>
      </c>
      <c r="E3284" s="7">
        <v>44461</v>
      </c>
      <c r="F3284" s="7">
        <v>44489</v>
      </c>
      <c r="G3284" s="1" t="s">
        <v>212</v>
      </c>
      <c r="H3284" s="8">
        <v>26445008.32</v>
      </c>
      <c r="I3284" s="8">
        <v>16479102.869999999</v>
      </c>
      <c r="J3284" s="1">
        <f>IF(COUNTIF($C$4:C3284,C3284)=1,1,0)</f>
        <v>1</v>
      </c>
      <c r="K3284" s="1">
        <f t="shared" si="51"/>
        <v>2021</v>
      </c>
    </row>
    <row r="3285" spans="2:11" x14ac:dyDescent="0.45">
      <c r="B3285" s="1" t="s">
        <v>11</v>
      </c>
      <c r="C3285" s="1" t="s">
        <v>700</v>
      </c>
      <c r="D3285" s="7">
        <v>44096</v>
      </c>
      <c r="E3285" s="7">
        <v>44108</v>
      </c>
      <c r="F3285" s="7">
        <v>44240</v>
      </c>
      <c r="G3285" s="1" t="s">
        <v>18</v>
      </c>
      <c r="H3285" s="8">
        <v>795485.13</v>
      </c>
      <c r="I3285" s="8">
        <v>610978.42000000004</v>
      </c>
      <c r="J3285" s="1">
        <f>IF(COUNTIF($C$4:C3285,C3285)=1,1,0)</f>
        <v>0</v>
      </c>
      <c r="K3285" s="1">
        <f t="shared" si="51"/>
        <v>2020</v>
      </c>
    </row>
    <row r="3286" spans="2:11" x14ac:dyDescent="0.45">
      <c r="B3286" s="1" t="s">
        <v>11</v>
      </c>
      <c r="C3286" s="1" t="s">
        <v>3262</v>
      </c>
      <c r="D3286" s="7">
        <v>43302</v>
      </c>
      <c r="E3286" s="7">
        <v>43321</v>
      </c>
      <c r="F3286" s="7">
        <v>43342</v>
      </c>
      <c r="G3286" s="1" t="s">
        <v>18</v>
      </c>
      <c r="H3286" s="8">
        <v>330512.59999999998</v>
      </c>
      <c r="I3286" s="8">
        <v>280700.76</v>
      </c>
      <c r="J3286" s="1">
        <f>IF(COUNTIF($C$4:C3286,C3286)=1,1,0)</f>
        <v>1</v>
      </c>
      <c r="K3286" s="1">
        <f t="shared" si="51"/>
        <v>2018</v>
      </c>
    </row>
    <row r="3287" spans="2:11" x14ac:dyDescent="0.45">
      <c r="B3287" s="1" t="s">
        <v>11</v>
      </c>
      <c r="C3287" s="1" t="s">
        <v>3263</v>
      </c>
      <c r="D3287" s="7">
        <v>44590</v>
      </c>
      <c r="E3287" s="7">
        <v>44592</v>
      </c>
      <c r="F3287" s="7">
        <v>44637</v>
      </c>
      <c r="G3287" s="1" t="s">
        <v>212</v>
      </c>
      <c r="H3287" s="8">
        <v>22118287.100000001</v>
      </c>
      <c r="I3287" s="8">
        <v>8662720.6500000004</v>
      </c>
      <c r="J3287" s="1">
        <f>IF(COUNTIF($C$4:C3287,C3287)=1,1,0)</f>
        <v>1</v>
      </c>
      <c r="K3287" s="1">
        <f t="shared" si="51"/>
        <v>2022</v>
      </c>
    </row>
    <row r="3288" spans="2:11" x14ac:dyDescent="0.45">
      <c r="B3288" s="1" t="s">
        <v>11</v>
      </c>
      <c r="C3288" s="1" t="s">
        <v>3264</v>
      </c>
      <c r="D3288" s="7">
        <v>46147</v>
      </c>
      <c r="E3288" s="7">
        <v>46166</v>
      </c>
      <c r="F3288" s="7">
        <v>46371</v>
      </c>
      <c r="G3288" s="1" t="s">
        <v>1348</v>
      </c>
      <c r="H3288" s="8">
        <v>50620590.979999997</v>
      </c>
      <c r="I3288" s="8">
        <v>22645164.640000001</v>
      </c>
      <c r="J3288" s="1">
        <f>IF(COUNTIF($C$4:C3288,C3288)=1,1,0)</f>
        <v>1</v>
      </c>
      <c r="K3288" s="1">
        <f t="shared" si="51"/>
        <v>2026</v>
      </c>
    </row>
    <row r="3289" spans="2:11" x14ac:dyDescent="0.45">
      <c r="B3289" s="1" t="s">
        <v>11</v>
      </c>
      <c r="C3289" s="1" t="s">
        <v>3265</v>
      </c>
      <c r="D3289" s="7">
        <v>45759</v>
      </c>
      <c r="E3289" s="7">
        <v>45784</v>
      </c>
      <c r="F3289" s="7">
        <v>45935</v>
      </c>
      <c r="G3289" s="1" t="s">
        <v>20</v>
      </c>
      <c r="H3289" s="8">
        <v>924952.2</v>
      </c>
      <c r="I3289" s="8">
        <v>562073.74</v>
      </c>
      <c r="J3289" s="1">
        <f>IF(COUNTIF($C$4:C3289,C3289)=1,1,0)</f>
        <v>1</v>
      </c>
      <c r="K3289" s="1">
        <f t="shared" si="51"/>
        <v>2025</v>
      </c>
    </row>
    <row r="3290" spans="2:11" x14ac:dyDescent="0.45">
      <c r="B3290" s="1" t="s">
        <v>11</v>
      </c>
      <c r="C3290" s="1" t="s">
        <v>3266</v>
      </c>
      <c r="D3290" s="7">
        <v>43401</v>
      </c>
      <c r="E3290" s="7">
        <v>43419</v>
      </c>
      <c r="F3290" s="7">
        <v>43556</v>
      </c>
      <c r="G3290" s="1" t="s">
        <v>13</v>
      </c>
      <c r="H3290" s="8">
        <v>990220.91</v>
      </c>
      <c r="I3290" s="8">
        <v>699137.03</v>
      </c>
      <c r="J3290" s="1">
        <f>IF(COUNTIF($C$4:C3290,C3290)=1,1,0)</f>
        <v>1</v>
      </c>
      <c r="K3290" s="1">
        <f t="shared" si="51"/>
        <v>2018</v>
      </c>
    </row>
    <row r="3291" spans="2:11" x14ac:dyDescent="0.45">
      <c r="B3291" s="1" t="s">
        <v>11</v>
      </c>
      <c r="C3291" s="1" t="s">
        <v>3267</v>
      </c>
      <c r="D3291" s="7">
        <v>45122</v>
      </c>
      <c r="E3291" s="7">
        <v>45144</v>
      </c>
      <c r="F3291" s="7">
        <v>45239</v>
      </c>
      <c r="G3291" s="1" t="s">
        <v>16</v>
      </c>
      <c r="H3291" s="8">
        <v>7643113.2199999997</v>
      </c>
      <c r="I3291" s="8">
        <v>4776362.4800000004</v>
      </c>
      <c r="J3291" s="1">
        <f>IF(COUNTIF($C$4:C3291,C3291)=1,1,0)</f>
        <v>1</v>
      </c>
      <c r="K3291" s="1">
        <f t="shared" si="51"/>
        <v>2023</v>
      </c>
    </row>
    <row r="3292" spans="2:11" x14ac:dyDescent="0.45">
      <c r="B3292" s="1" t="s">
        <v>11</v>
      </c>
      <c r="C3292" s="1" t="s">
        <v>3268</v>
      </c>
      <c r="D3292" s="7">
        <v>44589</v>
      </c>
      <c r="E3292" s="7">
        <v>44605</v>
      </c>
      <c r="F3292" s="7">
        <v>44737</v>
      </c>
      <c r="G3292" s="1" t="s">
        <v>13</v>
      </c>
      <c r="H3292" s="8">
        <v>332576.39</v>
      </c>
      <c r="I3292" s="8">
        <v>275874.69</v>
      </c>
      <c r="J3292" s="1">
        <f>IF(COUNTIF($C$4:C3292,C3292)=1,1,0)</f>
        <v>1</v>
      </c>
      <c r="K3292" s="1">
        <f t="shared" si="51"/>
        <v>2022</v>
      </c>
    </row>
    <row r="3293" spans="2:11" x14ac:dyDescent="0.45">
      <c r="B3293" s="1" t="s">
        <v>11</v>
      </c>
      <c r="C3293" s="1" t="s">
        <v>3269</v>
      </c>
      <c r="D3293" s="7">
        <v>45858</v>
      </c>
      <c r="E3293" s="7">
        <v>45870</v>
      </c>
      <c r="F3293" s="7">
        <v>45922</v>
      </c>
      <c r="G3293" s="1" t="s">
        <v>22</v>
      </c>
      <c r="H3293" s="8">
        <v>49770345.960000001</v>
      </c>
      <c r="I3293" s="8">
        <v>33825578.399999999</v>
      </c>
      <c r="J3293" s="1">
        <f>IF(COUNTIF($C$4:C3293,C3293)=1,1,0)</f>
        <v>1</v>
      </c>
      <c r="K3293" s="1">
        <f t="shared" si="51"/>
        <v>2025</v>
      </c>
    </row>
    <row r="3294" spans="2:11" x14ac:dyDescent="0.45">
      <c r="B3294" s="1" t="s">
        <v>11</v>
      </c>
      <c r="C3294" s="1" t="s">
        <v>3270</v>
      </c>
      <c r="D3294" s="7">
        <v>44935</v>
      </c>
      <c r="E3294" s="7">
        <v>44964</v>
      </c>
      <c r="F3294" s="7">
        <v>45150</v>
      </c>
      <c r="G3294" s="1" t="s">
        <v>212</v>
      </c>
      <c r="H3294" s="8">
        <v>26858301.920000002</v>
      </c>
      <c r="I3294" s="8">
        <v>18442530.379999999</v>
      </c>
      <c r="J3294" s="1">
        <f>IF(COUNTIF($C$4:C3294,C3294)=1,1,0)</f>
        <v>1</v>
      </c>
      <c r="K3294" s="1">
        <f t="shared" si="51"/>
        <v>2023</v>
      </c>
    </row>
    <row r="3295" spans="2:11" x14ac:dyDescent="0.45">
      <c r="B3295" s="1" t="s">
        <v>11</v>
      </c>
      <c r="C3295" s="1" t="s">
        <v>3271</v>
      </c>
      <c r="D3295" s="7">
        <v>44263</v>
      </c>
      <c r="E3295" s="7">
        <v>44263</v>
      </c>
      <c r="F3295" s="7">
        <v>44354</v>
      </c>
      <c r="G3295" s="1" t="s">
        <v>22</v>
      </c>
      <c r="H3295" s="8">
        <v>70681778.370000005</v>
      </c>
      <c r="I3295" s="8">
        <v>40681323.520000003</v>
      </c>
      <c r="J3295" s="1">
        <f>IF(COUNTIF($C$4:C3295,C3295)=1,1,0)</f>
        <v>1</v>
      </c>
      <c r="K3295" s="1">
        <f t="shared" si="51"/>
        <v>2021</v>
      </c>
    </row>
    <row r="3296" spans="2:11" x14ac:dyDescent="0.45">
      <c r="B3296" s="1" t="s">
        <v>11</v>
      </c>
      <c r="C3296" s="1" t="s">
        <v>3272</v>
      </c>
      <c r="D3296" s="7">
        <v>43573</v>
      </c>
      <c r="E3296" s="7">
        <v>43575</v>
      </c>
      <c r="F3296" s="7">
        <v>43675</v>
      </c>
      <c r="G3296" s="1" t="s">
        <v>13</v>
      </c>
      <c r="H3296" s="8">
        <v>235414.04</v>
      </c>
      <c r="I3296" s="8">
        <v>189686.8</v>
      </c>
      <c r="J3296" s="1">
        <f>IF(COUNTIF($C$4:C3296,C3296)=1,1,0)</f>
        <v>1</v>
      </c>
      <c r="K3296" s="1">
        <f t="shared" si="51"/>
        <v>2019</v>
      </c>
    </row>
    <row r="3297" spans="2:11" x14ac:dyDescent="0.45">
      <c r="B3297" s="1" t="s">
        <v>11</v>
      </c>
      <c r="C3297" s="1" t="s">
        <v>3273</v>
      </c>
      <c r="D3297" s="7">
        <v>44048</v>
      </c>
      <c r="E3297" s="7">
        <v>44078</v>
      </c>
      <c r="F3297" s="7">
        <v>44107</v>
      </c>
      <c r="G3297" s="1" t="s">
        <v>20</v>
      </c>
      <c r="H3297" s="8">
        <v>348954.4</v>
      </c>
      <c r="I3297" s="8">
        <v>252431.53</v>
      </c>
      <c r="J3297" s="1">
        <f>IF(COUNTIF($C$4:C3297,C3297)=1,1,0)</f>
        <v>1</v>
      </c>
      <c r="K3297" s="1">
        <f t="shared" si="51"/>
        <v>2020</v>
      </c>
    </row>
    <row r="3298" spans="2:11" x14ac:dyDescent="0.45">
      <c r="B3298" s="1" t="s">
        <v>11</v>
      </c>
      <c r="C3298" s="1" t="s">
        <v>3274</v>
      </c>
      <c r="D3298" s="7">
        <v>45142</v>
      </c>
      <c r="E3298" s="7">
        <v>45151</v>
      </c>
      <c r="F3298" s="7">
        <v>45202</v>
      </c>
      <c r="G3298" s="1" t="s">
        <v>20</v>
      </c>
      <c r="H3298" s="8">
        <v>1689921.59</v>
      </c>
      <c r="I3298" s="8">
        <v>1285069.67</v>
      </c>
      <c r="J3298" s="1">
        <f>IF(COUNTIF($C$4:C3298,C3298)=1,1,0)</f>
        <v>1</v>
      </c>
      <c r="K3298" s="1">
        <f t="shared" si="51"/>
        <v>2023</v>
      </c>
    </row>
    <row r="3299" spans="2:11" x14ac:dyDescent="0.45">
      <c r="B3299" s="1" t="s">
        <v>11</v>
      </c>
      <c r="C3299" s="1" t="s">
        <v>3275</v>
      </c>
      <c r="D3299" s="7">
        <v>44500</v>
      </c>
      <c r="E3299" s="7">
        <v>44500</v>
      </c>
      <c r="F3299" s="7">
        <v>44656</v>
      </c>
      <c r="G3299" s="1" t="s">
        <v>1348</v>
      </c>
      <c r="H3299" s="8">
        <v>89842561.700000003</v>
      </c>
      <c r="I3299" s="8">
        <v>66690764.880000003</v>
      </c>
      <c r="J3299" s="1">
        <f>IF(COUNTIF($C$4:C3299,C3299)=1,1,0)</f>
        <v>1</v>
      </c>
      <c r="K3299" s="1">
        <f t="shared" si="51"/>
        <v>2021</v>
      </c>
    </row>
    <row r="3300" spans="2:11" x14ac:dyDescent="0.45">
      <c r="B3300" s="1" t="s">
        <v>11</v>
      </c>
      <c r="C3300" s="1" t="s">
        <v>3276</v>
      </c>
      <c r="D3300" s="7">
        <v>44983</v>
      </c>
      <c r="E3300" s="7">
        <v>44992</v>
      </c>
      <c r="F3300" s="7">
        <v>45184</v>
      </c>
      <c r="G3300" s="1" t="s">
        <v>41</v>
      </c>
      <c r="H3300" s="8">
        <v>323635.08</v>
      </c>
      <c r="I3300" s="8">
        <v>248112</v>
      </c>
      <c r="J3300" s="1">
        <f>IF(COUNTIF($C$4:C3300,C3300)=1,1,0)</f>
        <v>1</v>
      </c>
      <c r="K3300" s="1">
        <f t="shared" si="51"/>
        <v>2023</v>
      </c>
    </row>
    <row r="3301" spans="2:11" x14ac:dyDescent="0.45">
      <c r="B3301" s="1" t="s">
        <v>11</v>
      </c>
      <c r="C3301" s="1" t="s">
        <v>3277</v>
      </c>
      <c r="D3301" s="7">
        <v>45256</v>
      </c>
      <c r="E3301" s="7">
        <v>45278</v>
      </c>
      <c r="F3301" s="7">
        <v>45434</v>
      </c>
      <c r="G3301" s="1" t="s">
        <v>1348</v>
      </c>
      <c r="H3301" s="8">
        <v>129723025.41</v>
      </c>
      <c r="I3301" s="8">
        <v>74680456.280000001</v>
      </c>
      <c r="J3301" s="1">
        <f>IF(COUNTIF($C$4:C3301,C3301)=1,1,0)</f>
        <v>1</v>
      </c>
      <c r="K3301" s="1">
        <f t="shared" si="51"/>
        <v>2023</v>
      </c>
    </row>
    <row r="3302" spans="2:11" x14ac:dyDescent="0.45">
      <c r="B3302" s="1" t="s">
        <v>11</v>
      </c>
      <c r="C3302" s="1" t="s">
        <v>3278</v>
      </c>
      <c r="D3302" s="7">
        <v>45722</v>
      </c>
      <c r="E3302" s="7">
        <v>45740</v>
      </c>
      <c r="F3302" s="7">
        <v>45771</v>
      </c>
      <c r="G3302" s="1" t="s">
        <v>20</v>
      </c>
      <c r="H3302" s="8">
        <v>1187159.46</v>
      </c>
      <c r="I3302" s="8">
        <v>662534.85</v>
      </c>
      <c r="J3302" s="1">
        <f>IF(COUNTIF($C$4:C3302,C3302)=1,1,0)</f>
        <v>1</v>
      </c>
      <c r="K3302" s="1">
        <f t="shared" si="51"/>
        <v>2025</v>
      </c>
    </row>
    <row r="3303" spans="2:11" x14ac:dyDescent="0.45">
      <c r="B3303" s="1" t="s">
        <v>11</v>
      </c>
      <c r="C3303" s="1" t="s">
        <v>3279</v>
      </c>
      <c r="D3303" s="7">
        <v>43788</v>
      </c>
      <c r="E3303" s="7">
        <v>43809</v>
      </c>
      <c r="F3303" s="7">
        <v>43975</v>
      </c>
      <c r="G3303" s="1" t="s">
        <v>41</v>
      </c>
      <c r="H3303" s="8">
        <v>92916.27</v>
      </c>
      <c r="I3303" s="8">
        <v>75449.61</v>
      </c>
      <c r="J3303" s="1">
        <f>IF(COUNTIF($C$4:C3303,C3303)=1,1,0)</f>
        <v>1</v>
      </c>
      <c r="K3303" s="1">
        <f t="shared" si="51"/>
        <v>2019</v>
      </c>
    </row>
    <row r="3304" spans="2:11" x14ac:dyDescent="0.45">
      <c r="B3304" s="1" t="s">
        <v>11</v>
      </c>
      <c r="C3304" s="1" t="s">
        <v>3280</v>
      </c>
      <c r="D3304" s="7">
        <v>45926</v>
      </c>
      <c r="E3304" s="7">
        <v>45951</v>
      </c>
      <c r="F3304" s="7">
        <v>46111</v>
      </c>
      <c r="G3304" s="1" t="s">
        <v>22</v>
      </c>
      <c r="H3304" s="8">
        <v>22176301.25</v>
      </c>
      <c r="I3304" s="8">
        <v>15558212.07</v>
      </c>
      <c r="J3304" s="1">
        <f>IF(COUNTIF($C$4:C3304,C3304)=1,1,0)</f>
        <v>1</v>
      </c>
      <c r="K3304" s="1">
        <f t="shared" si="51"/>
        <v>2025</v>
      </c>
    </row>
    <row r="3305" spans="2:11" x14ac:dyDescent="0.45">
      <c r="B3305" s="1" t="s">
        <v>11</v>
      </c>
      <c r="C3305" s="1" t="s">
        <v>3281</v>
      </c>
      <c r="D3305" s="7">
        <v>43347</v>
      </c>
      <c r="E3305" s="7">
        <v>43354</v>
      </c>
      <c r="F3305" s="7">
        <v>43504</v>
      </c>
      <c r="G3305" s="1" t="s">
        <v>38</v>
      </c>
      <c r="H3305" s="8">
        <v>2362310.2200000002</v>
      </c>
      <c r="I3305" s="8">
        <v>1973034.26</v>
      </c>
      <c r="J3305" s="1">
        <f>IF(COUNTIF($C$4:C3305,C3305)=1,1,0)</f>
        <v>1</v>
      </c>
      <c r="K3305" s="1">
        <f t="shared" si="51"/>
        <v>2018</v>
      </c>
    </row>
    <row r="3306" spans="2:11" x14ac:dyDescent="0.45">
      <c r="B3306" s="1" t="s">
        <v>11</v>
      </c>
      <c r="C3306" s="1" t="s">
        <v>3282</v>
      </c>
      <c r="D3306" s="7">
        <v>44725</v>
      </c>
      <c r="E3306" s="7">
        <v>44731</v>
      </c>
      <c r="F3306" s="7">
        <v>44962</v>
      </c>
      <c r="G3306" s="1" t="s">
        <v>212</v>
      </c>
      <c r="H3306" s="8">
        <v>33546680.469999999</v>
      </c>
      <c r="I3306" s="8">
        <v>19748833.120000001</v>
      </c>
      <c r="J3306" s="1">
        <f>IF(COUNTIF($C$4:C3306,C3306)=1,1,0)</f>
        <v>1</v>
      </c>
      <c r="K3306" s="1">
        <f t="shared" si="51"/>
        <v>2022</v>
      </c>
    </row>
    <row r="3307" spans="2:11" x14ac:dyDescent="0.45">
      <c r="B3307" s="1" t="s">
        <v>11</v>
      </c>
      <c r="C3307" s="1" t="s">
        <v>3283</v>
      </c>
      <c r="D3307" s="7">
        <v>45205</v>
      </c>
      <c r="E3307" s="7">
        <v>45234</v>
      </c>
      <c r="F3307" s="7">
        <v>45410</v>
      </c>
      <c r="G3307" s="1" t="s">
        <v>16</v>
      </c>
      <c r="H3307" s="8">
        <v>551326.17000000004</v>
      </c>
      <c r="I3307" s="8">
        <v>343406.13</v>
      </c>
      <c r="J3307" s="1">
        <f>IF(COUNTIF($C$4:C3307,C3307)=1,1,0)</f>
        <v>1</v>
      </c>
      <c r="K3307" s="1">
        <f t="shared" si="51"/>
        <v>2023</v>
      </c>
    </row>
    <row r="3308" spans="2:11" x14ac:dyDescent="0.45">
      <c r="B3308" s="1" t="s">
        <v>11</v>
      </c>
      <c r="C3308" s="1" t="s">
        <v>3284</v>
      </c>
      <c r="D3308" s="7">
        <v>43559</v>
      </c>
      <c r="E3308" s="7">
        <v>43579</v>
      </c>
      <c r="F3308" s="7">
        <v>43639</v>
      </c>
      <c r="G3308" s="1" t="s">
        <v>38</v>
      </c>
      <c r="H3308" s="8">
        <v>306728.90999999997</v>
      </c>
      <c r="I3308" s="8">
        <v>207786.21</v>
      </c>
      <c r="J3308" s="1">
        <f>IF(COUNTIF($C$4:C3308,C3308)=1,1,0)</f>
        <v>1</v>
      </c>
      <c r="K3308" s="1">
        <f t="shared" si="51"/>
        <v>2019</v>
      </c>
    </row>
    <row r="3309" spans="2:11" x14ac:dyDescent="0.45">
      <c r="B3309" s="1" t="s">
        <v>11</v>
      </c>
      <c r="C3309" s="1" t="s">
        <v>3285</v>
      </c>
      <c r="D3309" s="7">
        <v>44323</v>
      </c>
      <c r="E3309" s="7">
        <v>44344</v>
      </c>
      <c r="F3309" s="7">
        <v>44402</v>
      </c>
      <c r="G3309" s="1" t="s">
        <v>212</v>
      </c>
      <c r="H3309" s="8">
        <v>33746401.579999998</v>
      </c>
      <c r="I3309" s="8">
        <v>25786178.27</v>
      </c>
      <c r="J3309" s="1">
        <f>IF(COUNTIF($C$4:C3309,C3309)=1,1,0)</f>
        <v>1</v>
      </c>
      <c r="K3309" s="1">
        <f t="shared" si="51"/>
        <v>2021</v>
      </c>
    </row>
    <row r="3310" spans="2:11" x14ac:dyDescent="0.45">
      <c r="B3310" s="1" t="s">
        <v>11</v>
      </c>
      <c r="C3310" s="1" t="s">
        <v>3286</v>
      </c>
      <c r="D3310" s="7">
        <v>45080</v>
      </c>
      <c r="E3310" s="7">
        <v>45096</v>
      </c>
      <c r="F3310" s="7">
        <v>45324</v>
      </c>
      <c r="G3310" s="1" t="s">
        <v>18</v>
      </c>
      <c r="H3310" s="8">
        <v>1992959.55</v>
      </c>
      <c r="I3310" s="8">
        <v>1669757.1</v>
      </c>
      <c r="J3310" s="1">
        <f>IF(COUNTIF($C$4:C3310,C3310)=1,1,0)</f>
        <v>1</v>
      </c>
      <c r="K3310" s="1">
        <f t="shared" si="51"/>
        <v>2023</v>
      </c>
    </row>
    <row r="3311" spans="2:11" x14ac:dyDescent="0.45">
      <c r="B3311" s="1" t="s">
        <v>11</v>
      </c>
      <c r="C3311" s="1" t="s">
        <v>3287</v>
      </c>
      <c r="D3311" s="7">
        <v>45159</v>
      </c>
      <c r="E3311" s="7">
        <v>45163</v>
      </c>
      <c r="F3311" s="7">
        <v>45376</v>
      </c>
      <c r="G3311" s="1" t="s">
        <v>22</v>
      </c>
      <c r="H3311" s="8">
        <v>10344368.210000001</v>
      </c>
      <c r="I3311" s="8">
        <v>5354664.1500000004</v>
      </c>
      <c r="J3311" s="1">
        <f>IF(COUNTIF($C$4:C3311,C3311)=1,1,0)</f>
        <v>1</v>
      </c>
      <c r="K3311" s="1">
        <f t="shared" si="51"/>
        <v>2023</v>
      </c>
    </row>
    <row r="3312" spans="2:11" x14ac:dyDescent="0.45">
      <c r="B3312" s="1" t="s">
        <v>11</v>
      </c>
      <c r="C3312" s="1" t="s">
        <v>3288</v>
      </c>
      <c r="D3312" s="7">
        <v>43720</v>
      </c>
      <c r="E3312" s="7">
        <v>43732</v>
      </c>
      <c r="F3312" s="7">
        <v>43947</v>
      </c>
      <c r="G3312" s="1" t="s">
        <v>20</v>
      </c>
      <c r="H3312" s="8">
        <v>225646.75</v>
      </c>
      <c r="I3312" s="8">
        <v>158547.21</v>
      </c>
      <c r="J3312" s="1">
        <f>IF(COUNTIF($C$4:C3312,C3312)=1,1,0)</f>
        <v>1</v>
      </c>
      <c r="K3312" s="1">
        <f t="shared" si="51"/>
        <v>2019</v>
      </c>
    </row>
    <row r="3313" spans="2:11" x14ac:dyDescent="0.45">
      <c r="B3313" s="1" t="s">
        <v>11</v>
      </c>
      <c r="C3313" s="1" t="s">
        <v>3289</v>
      </c>
      <c r="D3313" s="7">
        <v>44100</v>
      </c>
      <c r="E3313" s="7">
        <v>44119</v>
      </c>
      <c r="F3313" s="7">
        <v>44237</v>
      </c>
      <c r="G3313" s="1" t="s">
        <v>41</v>
      </c>
      <c r="H3313" s="8">
        <v>387095.74</v>
      </c>
      <c r="I3313" s="8">
        <v>317974.15000000002</v>
      </c>
      <c r="J3313" s="1">
        <f>IF(COUNTIF($C$4:C3313,C3313)=1,1,0)</f>
        <v>1</v>
      </c>
      <c r="K3313" s="1">
        <f t="shared" si="51"/>
        <v>2020</v>
      </c>
    </row>
    <row r="3314" spans="2:11" x14ac:dyDescent="0.45">
      <c r="B3314" s="1" t="s">
        <v>11</v>
      </c>
      <c r="C3314" s="1" t="s">
        <v>3290</v>
      </c>
      <c r="D3314" s="7">
        <v>46150</v>
      </c>
      <c r="E3314" s="7">
        <v>46172</v>
      </c>
      <c r="F3314" s="7">
        <v>46286</v>
      </c>
      <c r="G3314" s="1" t="s">
        <v>38</v>
      </c>
      <c r="H3314" s="8">
        <v>755340.23</v>
      </c>
      <c r="I3314" s="8">
        <v>485576.18</v>
      </c>
      <c r="J3314" s="1">
        <f>IF(COUNTIF($C$4:C3314,C3314)=1,1,0)</f>
        <v>1</v>
      </c>
      <c r="K3314" s="1">
        <f t="shared" si="51"/>
        <v>2026</v>
      </c>
    </row>
    <row r="3315" spans="2:11" x14ac:dyDescent="0.45">
      <c r="B3315" s="1" t="s">
        <v>11</v>
      </c>
      <c r="C3315" s="1" t="s">
        <v>3291</v>
      </c>
      <c r="D3315" s="7">
        <v>44275</v>
      </c>
      <c r="E3315" s="7">
        <v>44280</v>
      </c>
      <c r="F3315" s="7">
        <v>44414</v>
      </c>
      <c r="G3315" s="1" t="s">
        <v>22</v>
      </c>
      <c r="H3315" s="8">
        <v>62141267</v>
      </c>
      <c r="I3315" s="8">
        <v>30768954.300000001</v>
      </c>
      <c r="J3315" s="1">
        <f>IF(COUNTIF($C$4:C3315,C3315)=1,1,0)</f>
        <v>1</v>
      </c>
      <c r="K3315" s="1">
        <f t="shared" si="51"/>
        <v>2021</v>
      </c>
    </row>
    <row r="3316" spans="2:11" x14ac:dyDescent="0.45">
      <c r="B3316" s="1" t="s">
        <v>11</v>
      </c>
      <c r="C3316" s="1" t="s">
        <v>3292</v>
      </c>
      <c r="D3316" s="7">
        <v>45235</v>
      </c>
      <c r="E3316" s="7">
        <v>45238</v>
      </c>
      <c r="F3316" s="7">
        <v>45391</v>
      </c>
      <c r="G3316" s="1" t="s">
        <v>16</v>
      </c>
      <c r="H3316" s="8">
        <v>398346.63</v>
      </c>
      <c r="I3316" s="8">
        <v>266986.46999999997</v>
      </c>
      <c r="J3316" s="1">
        <f>IF(COUNTIF($C$4:C3316,C3316)=1,1,0)</f>
        <v>1</v>
      </c>
      <c r="K3316" s="1">
        <f t="shared" si="51"/>
        <v>2023</v>
      </c>
    </row>
    <row r="3317" spans="2:11" x14ac:dyDescent="0.45">
      <c r="B3317" s="1" t="s">
        <v>11</v>
      </c>
      <c r="C3317" s="1" t="s">
        <v>3293</v>
      </c>
      <c r="D3317" s="7">
        <v>46082</v>
      </c>
      <c r="E3317" s="7">
        <v>46088</v>
      </c>
      <c r="F3317" s="7">
        <v>46113</v>
      </c>
      <c r="G3317" s="1" t="s">
        <v>38</v>
      </c>
      <c r="H3317" s="8">
        <v>1244549.05</v>
      </c>
      <c r="I3317" s="8">
        <v>1081568.5</v>
      </c>
      <c r="J3317" s="1">
        <f>IF(COUNTIF($C$4:C3317,C3317)=1,1,0)</f>
        <v>1</v>
      </c>
      <c r="K3317" s="1">
        <f t="shared" si="51"/>
        <v>2026</v>
      </c>
    </row>
    <row r="3318" spans="2:11" x14ac:dyDescent="0.45">
      <c r="B3318" s="1" t="s">
        <v>11</v>
      </c>
      <c r="C3318" s="1" t="s">
        <v>3294</v>
      </c>
      <c r="D3318" s="7">
        <v>44500</v>
      </c>
      <c r="E3318" s="7">
        <v>44518</v>
      </c>
      <c r="F3318" s="7">
        <v>44581</v>
      </c>
      <c r="G3318" s="1" t="s">
        <v>16</v>
      </c>
      <c r="H3318" s="8">
        <v>9731363.0399999991</v>
      </c>
      <c r="I3318" s="8">
        <v>5607668.8499999996</v>
      </c>
      <c r="J3318" s="1">
        <f>IF(COUNTIF($C$4:C3318,C3318)=1,1,0)</f>
        <v>1</v>
      </c>
      <c r="K3318" s="1">
        <f t="shared" si="51"/>
        <v>2021</v>
      </c>
    </row>
    <row r="3319" spans="2:11" x14ac:dyDescent="0.45">
      <c r="B3319" s="1" t="s">
        <v>11</v>
      </c>
      <c r="C3319" s="1" t="s">
        <v>3295</v>
      </c>
      <c r="D3319" s="7">
        <v>43386</v>
      </c>
      <c r="E3319" s="7">
        <v>43395</v>
      </c>
      <c r="F3319" s="7">
        <v>43602</v>
      </c>
      <c r="G3319" s="1" t="s">
        <v>41</v>
      </c>
      <c r="H3319" s="8">
        <v>242938.34</v>
      </c>
      <c r="I3319" s="8">
        <v>177294.9</v>
      </c>
      <c r="J3319" s="1">
        <f>IF(COUNTIF($C$4:C3319,C3319)=1,1,0)</f>
        <v>1</v>
      </c>
      <c r="K3319" s="1">
        <f t="shared" si="51"/>
        <v>2018</v>
      </c>
    </row>
    <row r="3320" spans="2:11" x14ac:dyDescent="0.45">
      <c r="B3320" s="1" t="s">
        <v>11</v>
      </c>
      <c r="C3320" s="1" t="s">
        <v>3296</v>
      </c>
      <c r="D3320" s="7">
        <v>44963</v>
      </c>
      <c r="E3320" s="7">
        <v>44988</v>
      </c>
      <c r="F3320" s="7">
        <v>45150</v>
      </c>
      <c r="G3320" s="1" t="s">
        <v>16</v>
      </c>
      <c r="H3320" s="8">
        <v>6048609.1200000001</v>
      </c>
      <c r="I3320" s="8">
        <v>4906239.09</v>
      </c>
      <c r="J3320" s="1">
        <f>IF(COUNTIF($C$4:C3320,C3320)=1,1,0)</f>
        <v>1</v>
      </c>
      <c r="K3320" s="1">
        <f t="shared" si="51"/>
        <v>2023</v>
      </c>
    </row>
    <row r="3321" spans="2:11" x14ac:dyDescent="0.45">
      <c r="B3321" s="1" t="s">
        <v>11</v>
      </c>
      <c r="C3321" s="1" t="s">
        <v>3297</v>
      </c>
      <c r="D3321" s="7">
        <v>43536</v>
      </c>
      <c r="E3321" s="7">
        <v>43561</v>
      </c>
      <c r="F3321" s="7">
        <v>43588</v>
      </c>
      <c r="G3321" s="1" t="s">
        <v>16</v>
      </c>
      <c r="H3321" s="8">
        <v>1996024.94</v>
      </c>
      <c r="I3321" s="8">
        <v>1314401.23</v>
      </c>
      <c r="J3321" s="1">
        <f>IF(COUNTIF($C$4:C3321,C3321)=1,1,0)</f>
        <v>1</v>
      </c>
      <c r="K3321" s="1">
        <f t="shared" si="51"/>
        <v>2019</v>
      </c>
    </row>
    <row r="3322" spans="2:11" x14ac:dyDescent="0.45">
      <c r="B3322" s="1" t="s">
        <v>11</v>
      </c>
      <c r="C3322" s="1" t="s">
        <v>3298</v>
      </c>
      <c r="D3322" s="7">
        <v>44237</v>
      </c>
      <c r="E3322" s="7">
        <v>44256</v>
      </c>
      <c r="F3322" s="7">
        <v>44337</v>
      </c>
      <c r="G3322" s="1" t="s">
        <v>1348</v>
      </c>
      <c r="H3322" s="8">
        <v>53572931.909999996</v>
      </c>
      <c r="I3322" s="8">
        <v>37993318.479999997</v>
      </c>
      <c r="J3322" s="1">
        <f>IF(COUNTIF($C$4:C3322,C3322)=1,1,0)</f>
        <v>1</v>
      </c>
      <c r="K3322" s="1">
        <f t="shared" si="51"/>
        <v>2021</v>
      </c>
    </row>
    <row r="3323" spans="2:11" x14ac:dyDescent="0.45">
      <c r="B3323" s="1" t="s">
        <v>11</v>
      </c>
      <c r="C3323" s="1" t="s">
        <v>3299</v>
      </c>
      <c r="D3323" s="7">
        <v>44518</v>
      </c>
      <c r="E3323" s="7">
        <v>44526</v>
      </c>
      <c r="F3323" s="7">
        <v>44722</v>
      </c>
      <c r="G3323" s="1" t="s">
        <v>18</v>
      </c>
      <c r="H3323" s="8">
        <v>6428958.6299999999</v>
      </c>
      <c r="I3323" s="8">
        <v>5241405.1399999997</v>
      </c>
      <c r="J3323" s="1">
        <f>IF(COUNTIF($C$4:C3323,C3323)=1,1,0)</f>
        <v>1</v>
      </c>
      <c r="K3323" s="1">
        <f t="shared" si="51"/>
        <v>2021</v>
      </c>
    </row>
    <row r="3324" spans="2:11" x14ac:dyDescent="0.45">
      <c r="B3324" s="1" t="s">
        <v>11</v>
      </c>
      <c r="C3324" s="1" t="s">
        <v>3300</v>
      </c>
      <c r="D3324" s="7">
        <v>45518</v>
      </c>
      <c r="E3324" s="7">
        <v>45519</v>
      </c>
      <c r="F3324" s="7">
        <v>45537</v>
      </c>
      <c r="G3324" s="1" t="s">
        <v>20</v>
      </c>
      <c r="H3324" s="8">
        <v>327296.15999999997</v>
      </c>
      <c r="I3324" s="8">
        <v>259524.4</v>
      </c>
      <c r="J3324" s="1">
        <f>IF(COUNTIF($C$4:C3324,C3324)=1,1,0)</f>
        <v>1</v>
      </c>
      <c r="K3324" s="1">
        <f t="shared" si="51"/>
        <v>2024</v>
      </c>
    </row>
    <row r="3325" spans="2:11" x14ac:dyDescent="0.45">
      <c r="B3325" s="1" t="s">
        <v>11</v>
      </c>
      <c r="C3325" s="1" t="s">
        <v>3301</v>
      </c>
      <c r="D3325" s="7">
        <v>43828</v>
      </c>
      <c r="E3325" s="7">
        <v>43837</v>
      </c>
      <c r="F3325" s="7">
        <v>43989</v>
      </c>
      <c r="G3325" s="1" t="s">
        <v>22</v>
      </c>
      <c r="H3325" s="8">
        <v>6446237.6299999999</v>
      </c>
      <c r="I3325" s="8">
        <v>4521144.45</v>
      </c>
      <c r="J3325" s="1">
        <f>IF(COUNTIF($C$4:C3325,C3325)=1,1,0)</f>
        <v>1</v>
      </c>
      <c r="K3325" s="1">
        <f t="shared" si="51"/>
        <v>2019</v>
      </c>
    </row>
    <row r="3326" spans="2:11" x14ac:dyDescent="0.45">
      <c r="B3326" s="1" t="s">
        <v>11</v>
      </c>
      <c r="C3326" s="1" t="s">
        <v>3302</v>
      </c>
      <c r="D3326" s="7">
        <v>45894</v>
      </c>
      <c r="E3326" s="7">
        <v>45919</v>
      </c>
      <c r="F3326" s="7">
        <v>46146</v>
      </c>
      <c r="G3326" s="1" t="s">
        <v>22</v>
      </c>
      <c r="H3326" s="8">
        <v>18992536.969999999</v>
      </c>
      <c r="I3326" s="8">
        <v>9454739.9399999995</v>
      </c>
      <c r="J3326" s="1">
        <f>IF(COUNTIF($C$4:C3326,C3326)=1,1,0)</f>
        <v>1</v>
      </c>
      <c r="K3326" s="1">
        <f t="shared" si="51"/>
        <v>2025</v>
      </c>
    </row>
    <row r="3327" spans="2:11" x14ac:dyDescent="0.45">
      <c r="B3327" s="1" t="s">
        <v>11</v>
      </c>
      <c r="C3327" s="1" t="s">
        <v>3303</v>
      </c>
      <c r="D3327" s="7">
        <v>45725</v>
      </c>
      <c r="E3327" s="7">
        <v>45726</v>
      </c>
      <c r="F3327" s="7">
        <v>45930</v>
      </c>
      <c r="G3327" s="1" t="s">
        <v>38</v>
      </c>
      <c r="H3327" s="8">
        <v>461186.21</v>
      </c>
      <c r="I3327" s="8">
        <v>331653.87</v>
      </c>
      <c r="J3327" s="1">
        <f>IF(COUNTIF($C$4:C3327,C3327)=1,1,0)</f>
        <v>1</v>
      </c>
      <c r="K3327" s="1">
        <f t="shared" si="51"/>
        <v>2025</v>
      </c>
    </row>
    <row r="3328" spans="2:11" x14ac:dyDescent="0.45">
      <c r="B3328" s="1" t="s">
        <v>11</v>
      </c>
      <c r="C3328" s="1" t="s">
        <v>3304</v>
      </c>
      <c r="D3328" s="7">
        <v>46081</v>
      </c>
      <c r="E3328" s="7">
        <v>46093</v>
      </c>
      <c r="F3328" s="7">
        <v>46223</v>
      </c>
      <c r="G3328" s="1" t="s">
        <v>20</v>
      </c>
      <c r="H3328" s="8">
        <v>1356085.26</v>
      </c>
      <c r="I3328" s="8">
        <v>858257.03</v>
      </c>
      <c r="J3328" s="1">
        <f>IF(COUNTIF($C$4:C3328,C3328)=1,1,0)</f>
        <v>1</v>
      </c>
      <c r="K3328" s="1">
        <f t="shared" si="51"/>
        <v>2026</v>
      </c>
    </row>
    <row r="3329" spans="2:11" x14ac:dyDescent="0.45">
      <c r="B3329" s="1" t="s">
        <v>11</v>
      </c>
      <c r="C3329" s="1" t="s">
        <v>3305</v>
      </c>
      <c r="D3329" s="7">
        <v>43512</v>
      </c>
      <c r="E3329" s="7">
        <v>43532</v>
      </c>
      <c r="F3329" s="7">
        <v>43707</v>
      </c>
      <c r="G3329" s="1" t="s">
        <v>212</v>
      </c>
      <c r="H3329" s="8">
        <v>724777.01</v>
      </c>
      <c r="I3329" s="8">
        <v>425574.31</v>
      </c>
      <c r="J3329" s="1">
        <f>IF(COUNTIF($C$4:C3329,C3329)=1,1,0)</f>
        <v>1</v>
      </c>
      <c r="K3329" s="1">
        <f t="shared" si="51"/>
        <v>2019</v>
      </c>
    </row>
    <row r="3330" spans="2:11" x14ac:dyDescent="0.45">
      <c r="B3330" s="1" t="s">
        <v>11</v>
      </c>
      <c r="C3330" s="1" t="s">
        <v>3306</v>
      </c>
      <c r="D3330" s="7">
        <v>43999</v>
      </c>
      <c r="E3330" s="7">
        <v>44012</v>
      </c>
      <c r="F3330" s="7">
        <v>44085</v>
      </c>
      <c r="G3330" s="1" t="s">
        <v>1348</v>
      </c>
      <c r="H3330" s="8">
        <v>22412365.059999999</v>
      </c>
      <c r="I3330" s="8">
        <v>11526046.439999999</v>
      </c>
      <c r="J3330" s="1">
        <f>IF(COUNTIF($C$4:C3330,C3330)=1,1,0)</f>
        <v>1</v>
      </c>
      <c r="K3330" s="1">
        <f t="shared" si="51"/>
        <v>2020</v>
      </c>
    </row>
    <row r="3331" spans="2:11" x14ac:dyDescent="0.45">
      <c r="B3331" s="1" t="s">
        <v>11</v>
      </c>
      <c r="C3331" s="1" t="s">
        <v>3307</v>
      </c>
      <c r="D3331" s="7">
        <v>43738</v>
      </c>
      <c r="E3331" s="7">
        <v>43764</v>
      </c>
      <c r="F3331" s="7">
        <v>43790</v>
      </c>
      <c r="G3331" s="1" t="s">
        <v>20</v>
      </c>
      <c r="H3331" s="8">
        <v>1245843.22</v>
      </c>
      <c r="I3331" s="8">
        <v>894293.83</v>
      </c>
      <c r="J3331" s="1">
        <f>IF(COUNTIF($C$4:C3331,C3331)=1,1,0)</f>
        <v>1</v>
      </c>
      <c r="K3331" s="1">
        <f t="shared" si="51"/>
        <v>2019</v>
      </c>
    </row>
    <row r="3332" spans="2:11" x14ac:dyDescent="0.45">
      <c r="B3332" s="1" t="s">
        <v>11</v>
      </c>
      <c r="C3332" s="1" t="s">
        <v>3308</v>
      </c>
      <c r="D3332" s="7">
        <v>45815</v>
      </c>
      <c r="E3332" s="7">
        <v>45833</v>
      </c>
      <c r="F3332" s="7">
        <v>45933</v>
      </c>
      <c r="G3332" s="1" t="s">
        <v>38</v>
      </c>
      <c r="H3332" s="8">
        <v>963418.23</v>
      </c>
      <c r="I3332" s="8">
        <v>753790.08</v>
      </c>
      <c r="J3332" s="1">
        <f>IF(COUNTIF($C$4:C3332,C3332)=1,1,0)</f>
        <v>1</v>
      </c>
      <c r="K3332" s="1">
        <f t="shared" si="51"/>
        <v>2025</v>
      </c>
    </row>
    <row r="3333" spans="2:11" x14ac:dyDescent="0.45">
      <c r="B3333" s="1" t="s">
        <v>11</v>
      </c>
      <c r="C3333" s="1" t="s">
        <v>3309</v>
      </c>
      <c r="D3333" s="7">
        <v>44882</v>
      </c>
      <c r="E3333" s="7">
        <v>44889</v>
      </c>
      <c r="F3333" s="7">
        <v>44947</v>
      </c>
      <c r="G3333" s="1" t="s">
        <v>20</v>
      </c>
      <c r="H3333" s="8">
        <v>665250.17000000004</v>
      </c>
      <c r="I3333" s="8">
        <v>510917.22</v>
      </c>
      <c r="J3333" s="1">
        <f>IF(COUNTIF($C$4:C3333,C3333)=1,1,0)</f>
        <v>1</v>
      </c>
      <c r="K3333" s="1">
        <f t="shared" ref="K3333:K3396" si="52">YEAR(D3333)</f>
        <v>2022</v>
      </c>
    </row>
    <row r="3334" spans="2:11" x14ac:dyDescent="0.45">
      <c r="B3334" s="1" t="s">
        <v>11</v>
      </c>
      <c r="C3334" s="1" t="s">
        <v>3310</v>
      </c>
      <c r="D3334" s="7">
        <v>45972</v>
      </c>
      <c r="E3334" s="7">
        <v>45993</v>
      </c>
      <c r="F3334" s="7">
        <v>46218</v>
      </c>
      <c r="G3334" s="1" t="s">
        <v>1348</v>
      </c>
      <c r="H3334" s="8">
        <v>39780334.329999998</v>
      </c>
      <c r="I3334" s="8">
        <v>17413608.399999999</v>
      </c>
      <c r="J3334" s="1">
        <f>IF(COUNTIF($C$4:C3334,C3334)=1,1,0)</f>
        <v>1</v>
      </c>
      <c r="K3334" s="1">
        <f t="shared" si="52"/>
        <v>2025</v>
      </c>
    </row>
    <row r="3335" spans="2:11" x14ac:dyDescent="0.45">
      <c r="B3335" s="1" t="s">
        <v>11</v>
      </c>
      <c r="C3335" s="1" t="s">
        <v>3311</v>
      </c>
      <c r="D3335" s="7">
        <v>43480</v>
      </c>
      <c r="E3335" s="7">
        <v>43508</v>
      </c>
      <c r="F3335" s="7">
        <v>43625</v>
      </c>
      <c r="G3335" s="1" t="s">
        <v>18</v>
      </c>
      <c r="H3335" s="8">
        <v>1499124.22</v>
      </c>
      <c r="I3335" s="8">
        <v>1258018.8899999999</v>
      </c>
      <c r="J3335" s="1">
        <f>IF(COUNTIF($C$4:C3335,C3335)=1,1,0)</f>
        <v>1</v>
      </c>
      <c r="K3335" s="1">
        <f t="shared" si="52"/>
        <v>2019</v>
      </c>
    </row>
    <row r="3336" spans="2:11" x14ac:dyDescent="0.45">
      <c r="B3336" s="1" t="s">
        <v>11</v>
      </c>
      <c r="C3336" s="1" t="s">
        <v>3312</v>
      </c>
      <c r="D3336" s="7">
        <v>44338</v>
      </c>
      <c r="E3336" s="7">
        <v>44368</v>
      </c>
      <c r="F3336" s="7">
        <v>44531</v>
      </c>
      <c r="G3336" s="1" t="s">
        <v>41</v>
      </c>
      <c r="H3336" s="8">
        <v>571762.82999999996</v>
      </c>
      <c r="I3336" s="8">
        <v>490002.65</v>
      </c>
      <c r="J3336" s="1">
        <f>IF(COUNTIF($C$4:C3336,C3336)=1,1,0)</f>
        <v>1</v>
      </c>
      <c r="K3336" s="1">
        <f t="shared" si="52"/>
        <v>2021</v>
      </c>
    </row>
    <row r="3337" spans="2:11" x14ac:dyDescent="0.45">
      <c r="B3337" s="1" t="s">
        <v>11</v>
      </c>
      <c r="C3337" s="1" t="s">
        <v>3313</v>
      </c>
      <c r="D3337" s="7">
        <v>45388</v>
      </c>
      <c r="E3337" s="7">
        <v>45392</v>
      </c>
      <c r="F3337" s="7">
        <v>45483</v>
      </c>
      <c r="G3337" s="1" t="s">
        <v>41</v>
      </c>
      <c r="H3337" s="8">
        <v>403492.25</v>
      </c>
      <c r="I3337" s="8">
        <v>252881.56</v>
      </c>
      <c r="J3337" s="1">
        <f>IF(COUNTIF($C$4:C3337,C3337)=1,1,0)</f>
        <v>1</v>
      </c>
      <c r="K3337" s="1">
        <f t="shared" si="52"/>
        <v>2024</v>
      </c>
    </row>
    <row r="3338" spans="2:11" x14ac:dyDescent="0.45">
      <c r="B3338" s="1" t="s">
        <v>11</v>
      </c>
      <c r="C3338" s="1" t="s">
        <v>3314</v>
      </c>
      <c r="D3338" s="7">
        <v>46055</v>
      </c>
      <c r="E3338" s="7">
        <v>46067</v>
      </c>
      <c r="F3338" s="7">
        <v>46120</v>
      </c>
      <c r="G3338" s="1" t="s">
        <v>18</v>
      </c>
      <c r="H3338" s="8">
        <v>257657.68</v>
      </c>
      <c r="I3338" s="8">
        <v>176237.84</v>
      </c>
      <c r="J3338" s="1">
        <f>IF(COUNTIF($C$4:C3338,C3338)=1,1,0)</f>
        <v>1</v>
      </c>
      <c r="K3338" s="1">
        <f t="shared" si="52"/>
        <v>2026</v>
      </c>
    </row>
    <row r="3339" spans="2:11" x14ac:dyDescent="0.45">
      <c r="B3339" s="1" t="s">
        <v>11</v>
      </c>
      <c r="C3339" s="1" t="s">
        <v>3315</v>
      </c>
      <c r="D3339" s="7">
        <v>45837</v>
      </c>
      <c r="E3339" s="7">
        <v>45853</v>
      </c>
      <c r="F3339" s="7">
        <v>46006</v>
      </c>
      <c r="G3339" s="1" t="s">
        <v>16</v>
      </c>
      <c r="H3339" s="8">
        <v>1500528.03</v>
      </c>
      <c r="I3339" s="8">
        <v>1022078.96</v>
      </c>
      <c r="J3339" s="1">
        <f>IF(COUNTIF($C$4:C3339,C3339)=1,1,0)</f>
        <v>1</v>
      </c>
      <c r="K3339" s="1">
        <f t="shared" si="52"/>
        <v>2025</v>
      </c>
    </row>
    <row r="3340" spans="2:11" x14ac:dyDescent="0.45">
      <c r="B3340" s="1" t="s">
        <v>11</v>
      </c>
      <c r="C3340" s="1" t="s">
        <v>3316</v>
      </c>
      <c r="D3340" s="7">
        <v>45859</v>
      </c>
      <c r="E3340" s="7">
        <v>45888</v>
      </c>
      <c r="F3340" s="7">
        <v>45907</v>
      </c>
      <c r="G3340" s="1" t="s">
        <v>18</v>
      </c>
      <c r="H3340" s="8">
        <v>3302625.68</v>
      </c>
      <c r="I3340" s="8">
        <v>2753022.35</v>
      </c>
      <c r="J3340" s="1">
        <f>IF(COUNTIF($C$4:C3340,C3340)=1,1,0)</f>
        <v>1</v>
      </c>
      <c r="K3340" s="1">
        <f t="shared" si="52"/>
        <v>2025</v>
      </c>
    </row>
    <row r="3341" spans="2:11" x14ac:dyDescent="0.45">
      <c r="B3341" s="1" t="s">
        <v>11</v>
      </c>
      <c r="C3341" s="1" t="s">
        <v>3317</v>
      </c>
      <c r="D3341" s="7">
        <v>43511</v>
      </c>
      <c r="E3341" s="7">
        <v>43538</v>
      </c>
      <c r="F3341" s="7">
        <v>43576</v>
      </c>
      <c r="G3341" s="1" t="s">
        <v>41</v>
      </c>
      <c r="H3341" s="8">
        <v>70545.320000000007</v>
      </c>
      <c r="I3341" s="8">
        <v>54644.480000000003</v>
      </c>
      <c r="J3341" s="1">
        <f>IF(COUNTIF($C$4:C3341,C3341)=1,1,0)</f>
        <v>1</v>
      </c>
      <c r="K3341" s="1">
        <f t="shared" si="52"/>
        <v>2019</v>
      </c>
    </row>
    <row r="3342" spans="2:11" x14ac:dyDescent="0.45">
      <c r="B3342" s="1" t="s">
        <v>11</v>
      </c>
      <c r="C3342" s="1" t="s">
        <v>3318</v>
      </c>
      <c r="D3342" s="7">
        <v>43883</v>
      </c>
      <c r="E3342" s="7">
        <v>43910</v>
      </c>
      <c r="F3342" s="7">
        <v>43972</v>
      </c>
      <c r="G3342" s="1" t="s">
        <v>212</v>
      </c>
      <c r="H3342" s="8">
        <v>13822759.689999999</v>
      </c>
      <c r="I3342" s="8">
        <v>5169126.12</v>
      </c>
      <c r="J3342" s="1">
        <f>IF(COUNTIF($C$4:C3342,C3342)=1,1,0)</f>
        <v>1</v>
      </c>
      <c r="K3342" s="1">
        <f t="shared" si="52"/>
        <v>2020</v>
      </c>
    </row>
    <row r="3343" spans="2:11" x14ac:dyDescent="0.45">
      <c r="B3343" s="1" t="s">
        <v>11</v>
      </c>
      <c r="C3343" s="1" t="s">
        <v>3319</v>
      </c>
      <c r="D3343" s="7">
        <v>44770</v>
      </c>
      <c r="E3343" s="7">
        <v>44776</v>
      </c>
      <c r="F3343" s="7">
        <v>44888</v>
      </c>
      <c r="G3343" s="1" t="s">
        <v>1348</v>
      </c>
      <c r="H3343" s="8">
        <v>26451782.73</v>
      </c>
      <c r="I3343" s="8">
        <v>10256300.93</v>
      </c>
      <c r="J3343" s="1">
        <f>IF(COUNTIF($C$4:C3343,C3343)=1,1,0)</f>
        <v>1</v>
      </c>
      <c r="K3343" s="1">
        <f t="shared" si="52"/>
        <v>2022</v>
      </c>
    </row>
    <row r="3344" spans="2:11" x14ac:dyDescent="0.45">
      <c r="B3344" s="1" t="s">
        <v>11</v>
      </c>
      <c r="C3344" s="1" t="s">
        <v>3320</v>
      </c>
      <c r="D3344" s="7">
        <v>45454</v>
      </c>
      <c r="E3344" s="7">
        <v>45468</v>
      </c>
      <c r="F3344" s="7">
        <v>45565</v>
      </c>
      <c r="G3344" s="1" t="s">
        <v>18</v>
      </c>
      <c r="H3344" s="8">
        <v>5549382.5800000001</v>
      </c>
      <c r="I3344" s="8">
        <v>4160352.09</v>
      </c>
      <c r="J3344" s="1">
        <f>IF(COUNTIF($C$4:C3344,C3344)=1,1,0)</f>
        <v>1</v>
      </c>
      <c r="K3344" s="1">
        <f t="shared" si="52"/>
        <v>2024</v>
      </c>
    </row>
    <row r="3345" spans="2:11" x14ac:dyDescent="0.45">
      <c r="B3345" s="1" t="s">
        <v>11</v>
      </c>
      <c r="C3345" s="1" t="s">
        <v>3321</v>
      </c>
      <c r="D3345" s="7">
        <v>44265</v>
      </c>
      <c r="E3345" s="7">
        <v>44285</v>
      </c>
      <c r="F3345" s="7">
        <v>44523</v>
      </c>
      <c r="G3345" s="1" t="s">
        <v>212</v>
      </c>
      <c r="H3345" s="8">
        <v>79392059.859999999</v>
      </c>
      <c r="I3345" s="8">
        <v>47321402.659999996</v>
      </c>
      <c r="J3345" s="1">
        <f>IF(COUNTIF($C$4:C3345,C3345)=1,1,0)</f>
        <v>1</v>
      </c>
      <c r="K3345" s="1">
        <f t="shared" si="52"/>
        <v>2021</v>
      </c>
    </row>
    <row r="3346" spans="2:11" x14ac:dyDescent="0.45">
      <c r="B3346" s="1" t="s">
        <v>11</v>
      </c>
      <c r="C3346" s="1" t="s">
        <v>3322</v>
      </c>
      <c r="D3346" s="7">
        <v>45311</v>
      </c>
      <c r="E3346" s="7">
        <v>45323</v>
      </c>
      <c r="F3346" s="7">
        <v>45563</v>
      </c>
      <c r="G3346" s="1" t="s">
        <v>1348</v>
      </c>
      <c r="H3346" s="8">
        <v>90963702.540000007</v>
      </c>
      <c r="I3346" s="8">
        <v>43426105.380000003</v>
      </c>
      <c r="J3346" s="1">
        <f>IF(COUNTIF($C$4:C3346,C3346)=1,1,0)</f>
        <v>1</v>
      </c>
      <c r="K3346" s="1">
        <f t="shared" si="52"/>
        <v>2024</v>
      </c>
    </row>
    <row r="3347" spans="2:11" x14ac:dyDescent="0.45">
      <c r="B3347" s="1" t="s">
        <v>11</v>
      </c>
      <c r="C3347" s="1" t="s">
        <v>3323</v>
      </c>
      <c r="D3347" s="7">
        <v>43577</v>
      </c>
      <c r="E3347" s="7">
        <v>43584</v>
      </c>
      <c r="F3347" s="7">
        <v>43711</v>
      </c>
      <c r="G3347" s="1" t="s">
        <v>212</v>
      </c>
      <c r="H3347" s="8">
        <v>17230707.07</v>
      </c>
      <c r="I3347" s="8">
        <v>7659977.3700000001</v>
      </c>
      <c r="J3347" s="1">
        <f>IF(COUNTIF($C$4:C3347,C3347)=1,1,0)</f>
        <v>1</v>
      </c>
      <c r="K3347" s="1">
        <f t="shared" si="52"/>
        <v>2019</v>
      </c>
    </row>
    <row r="3348" spans="2:11" x14ac:dyDescent="0.45">
      <c r="B3348" s="1" t="s">
        <v>11</v>
      </c>
      <c r="C3348" s="1" t="s">
        <v>3324</v>
      </c>
      <c r="D3348" s="7">
        <v>45091</v>
      </c>
      <c r="E3348" s="7">
        <v>45092</v>
      </c>
      <c r="F3348" s="7">
        <v>45294</v>
      </c>
      <c r="G3348" s="1" t="s">
        <v>38</v>
      </c>
      <c r="H3348" s="8">
        <v>548904.87</v>
      </c>
      <c r="I3348" s="8">
        <v>435876.77</v>
      </c>
      <c r="J3348" s="1">
        <f>IF(COUNTIF($C$4:C3348,C3348)=1,1,0)</f>
        <v>1</v>
      </c>
      <c r="K3348" s="1">
        <f t="shared" si="52"/>
        <v>2023</v>
      </c>
    </row>
    <row r="3349" spans="2:11" x14ac:dyDescent="0.45">
      <c r="B3349" s="1" t="s">
        <v>11</v>
      </c>
      <c r="C3349" s="1" t="s">
        <v>3325</v>
      </c>
      <c r="D3349" s="7">
        <v>45056</v>
      </c>
      <c r="E3349" s="7">
        <v>45062</v>
      </c>
      <c r="F3349" s="7">
        <v>45101</v>
      </c>
      <c r="G3349" s="1" t="s">
        <v>16</v>
      </c>
      <c r="H3349" s="8">
        <v>5476411.54</v>
      </c>
      <c r="I3349" s="8">
        <v>3248471.77</v>
      </c>
      <c r="J3349" s="1">
        <f>IF(COUNTIF($C$4:C3349,C3349)=1,1,0)</f>
        <v>1</v>
      </c>
      <c r="K3349" s="1">
        <f t="shared" si="52"/>
        <v>2023</v>
      </c>
    </row>
    <row r="3350" spans="2:11" x14ac:dyDescent="0.45">
      <c r="B3350" s="1" t="s">
        <v>11</v>
      </c>
      <c r="C3350" s="1" t="s">
        <v>3326</v>
      </c>
      <c r="D3350" s="7">
        <v>45181</v>
      </c>
      <c r="E3350" s="7">
        <v>45189</v>
      </c>
      <c r="F3350" s="7">
        <v>45262</v>
      </c>
      <c r="G3350" s="1" t="s">
        <v>16</v>
      </c>
      <c r="H3350" s="8">
        <v>1127496.23</v>
      </c>
      <c r="I3350" s="8">
        <v>703112.47</v>
      </c>
      <c r="J3350" s="1">
        <f>IF(COUNTIF($C$4:C3350,C3350)=1,1,0)</f>
        <v>1</v>
      </c>
      <c r="K3350" s="1">
        <f t="shared" si="52"/>
        <v>2023</v>
      </c>
    </row>
    <row r="3351" spans="2:11" x14ac:dyDescent="0.45">
      <c r="B3351" s="1" t="s">
        <v>11</v>
      </c>
      <c r="C3351" s="1" t="s">
        <v>3327</v>
      </c>
      <c r="D3351" s="7">
        <v>44778</v>
      </c>
      <c r="E3351" s="7">
        <v>44795</v>
      </c>
      <c r="F3351" s="7">
        <v>45029</v>
      </c>
      <c r="G3351" s="1" t="s">
        <v>1348</v>
      </c>
      <c r="H3351" s="8">
        <v>24811843.989999998</v>
      </c>
      <c r="I3351" s="8">
        <v>13016045.34</v>
      </c>
      <c r="J3351" s="1">
        <f>IF(COUNTIF($C$4:C3351,C3351)=1,1,0)</f>
        <v>1</v>
      </c>
      <c r="K3351" s="1">
        <f t="shared" si="52"/>
        <v>2022</v>
      </c>
    </row>
    <row r="3352" spans="2:11" x14ac:dyDescent="0.45">
      <c r="B3352" s="1" t="s">
        <v>11</v>
      </c>
      <c r="C3352" s="1" t="s">
        <v>3328</v>
      </c>
      <c r="D3352" s="7">
        <v>43780</v>
      </c>
      <c r="E3352" s="7">
        <v>43781</v>
      </c>
      <c r="F3352" s="7">
        <v>44013</v>
      </c>
      <c r="G3352" s="1" t="s">
        <v>22</v>
      </c>
      <c r="H3352" s="8">
        <v>55322077.590000004</v>
      </c>
      <c r="I3352" s="8">
        <v>37980302.390000001</v>
      </c>
      <c r="J3352" s="1">
        <f>IF(COUNTIF($C$4:C3352,C3352)=1,1,0)</f>
        <v>1</v>
      </c>
      <c r="K3352" s="1">
        <f t="shared" si="52"/>
        <v>2019</v>
      </c>
    </row>
    <row r="3353" spans="2:11" x14ac:dyDescent="0.45">
      <c r="B3353" s="1" t="s">
        <v>11</v>
      </c>
      <c r="C3353" s="1" t="s">
        <v>3329</v>
      </c>
      <c r="D3353" s="7">
        <v>44658</v>
      </c>
      <c r="E3353" s="7">
        <v>44660</v>
      </c>
      <c r="F3353" s="7">
        <v>44785</v>
      </c>
      <c r="G3353" s="1" t="s">
        <v>212</v>
      </c>
      <c r="H3353" s="8">
        <v>15964460.039999999</v>
      </c>
      <c r="I3353" s="8">
        <v>11499017.1</v>
      </c>
      <c r="J3353" s="1">
        <f>IF(COUNTIF($C$4:C3353,C3353)=1,1,0)</f>
        <v>1</v>
      </c>
      <c r="K3353" s="1">
        <f t="shared" si="52"/>
        <v>2022</v>
      </c>
    </row>
    <row r="3354" spans="2:11" x14ac:dyDescent="0.45">
      <c r="B3354" s="1" t="s">
        <v>11</v>
      </c>
      <c r="C3354" s="1" t="s">
        <v>3330</v>
      </c>
      <c r="D3354" s="7">
        <v>43457</v>
      </c>
      <c r="E3354" s="7">
        <v>43464</v>
      </c>
      <c r="F3354" s="7">
        <v>43642</v>
      </c>
      <c r="G3354" s="1" t="s">
        <v>13</v>
      </c>
      <c r="H3354" s="8">
        <v>402330.93</v>
      </c>
      <c r="I3354" s="8">
        <v>302718.28999999998</v>
      </c>
      <c r="J3354" s="1">
        <f>IF(COUNTIF($C$4:C3354,C3354)=1,1,0)</f>
        <v>1</v>
      </c>
      <c r="K3354" s="1">
        <f t="shared" si="52"/>
        <v>2018</v>
      </c>
    </row>
    <row r="3355" spans="2:11" x14ac:dyDescent="0.45">
      <c r="B3355" s="1" t="s">
        <v>11</v>
      </c>
      <c r="C3355" s="1" t="s">
        <v>3331</v>
      </c>
      <c r="D3355" s="7">
        <v>43847</v>
      </c>
      <c r="E3355" s="7">
        <v>43873</v>
      </c>
      <c r="F3355" s="7">
        <v>43942</v>
      </c>
      <c r="G3355" s="1" t="s">
        <v>18</v>
      </c>
      <c r="H3355" s="8">
        <v>4259052.67</v>
      </c>
      <c r="I3355" s="8">
        <v>3091702.77</v>
      </c>
      <c r="J3355" s="1">
        <f>IF(COUNTIF($C$4:C3355,C3355)=1,1,0)</f>
        <v>1</v>
      </c>
      <c r="K3355" s="1">
        <f t="shared" si="52"/>
        <v>2020</v>
      </c>
    </row>
    <row r="3356" spans="2:11" x14ac:dyDescent="0.45">
      <c r="B3356" s="1" t="s">
        <v>11</v>
      </c>
      <c r="C3356" s="1" t="s">
        <v>3332</v>
      </c>
      <c r="D3356" s="7">
        <v>43863</v>
      </c>
      <c r="E3356" s="7">
        <v>43884</v>
      </c>
      <c r="F3356" s="7">
        <v>44009</v>
      </c>
      <c r="G3356" s="1" t="s">
        <v>20</v>
      </c>
      <c r="H3356" s="8">
        <v>1231286.27</v>
      </c>
      <c r="I3356" s="8">
        <v>846841.71</v>
      </c>
      <c r="J3356" s="1">
        <f>IF(COUNTIF($C$4:C3356,C3356)=1,1,0)</f>
        <v>1</v>
      </c>
      <c r="K3356" s="1">
        <f t="shared" si="52"/>
        <v>2020</v>
      </c>
    </row>
    <row r="3357" spans="2:11" x14ac:dyDescent="0.45">
      <c r="B3357" s="1" t="s">
        <v>11</v>
      </c>
      <c r="C3357" s="1" t="s">
        <v>3333</v>
      </c>
      <c r="D3357" s="7">
        <v>43320</v>
      </c>
      <c r="E3357" s="7">
        <v>43335</v>
      </c>
      <c r="F3357" s="7">
        <v>43553</v>
      </c>
      <c r="G3357" s="1" t="s">
        <v>16</v>
      </c>
      <c r="H3357" s="8">
        <v>3406997.59</v>
      </c>
      <c r="I3357" s="8">
        <v>2171810.41</v>
      </c>
      <c r="J3357" s="1">
        <f>IF(COUNTIF($C$4:C3357,C3357)=1,1,0)</f>
        <v>1</v>
      </c>
      <c r="K3357" s="1">
        <f t="shared" si="52"/>
        <v>2018</v>
      </c>
    </row>
    <row r="3358" spans="2:11" x14ac:dyDescent="0.45">
      <c r="B3358" s="1" t="s">
        <v>11</v>
      </c>
      <c r="C3358" s="1" t="s">
        <v>3334</v>
      </c>
      <c r="D3358" s="7">
        <v>45178</v>
      </c>
      <c r="E3358" s="7">
        <v>45179</v>
      </c>
      <c r="F3358" s="7">
        <v>45324</v>
      </c>
      <c r="G3358" s="1" t="s">
        <v>13</v>
      </c>
      <c r="H3358" s="8">
        <v>138249.84</v>
      </c>
      <c r="I3358" s="8">
        <v>114534.42</v>
      </c>
      <c r="J3358" s="1">
        <f>IF(COUNTIF($C$4:C3358,C3358)=1,1,0)</f>
        <v>1</v>
      </c>
      <c r="K3358" s="1">
        <f t="shared" si="52"/>
        <v>2023</v>
      </c>
    </row>
    <row r="3359" spans="2:11" x14ac:dyDescent="0.45">
      <c r="B3359" s="1" t="s">
        <v>11</v>
      </c>
      <c r="C3359" s="1" t="s">
        <v>3335</v>
      </c>
      <c r="D3359" s="7">
        <v>45207</v>
      </c>
      <c r="E3359" s="7">
        <v>45223</v>
      </c>
      <c r="F3359" s="7">
        <v>45297</v>
      </c>
      <c r="G3359" s="1" t="s">
        <v>38</v>
      </c>
      <c r="H3359" s="8">
        <v>581196.43000000005</v>
      </c>
      <c r="I3359" s="8">
        <v>416480.57</v>
      </c>
      <c r="J3359" s="1">
        <f>IF(COUNTIF($C$4:C3359,C3359)=1,1,0)</f>
        <v>1</v>
      </c>
      <c r="K3359" s="1">
        <f t="shared" si="52"/>
        <v>2023</v>
      </c>
    </row>
    <row r="3360" spans="2:11" x14ac:dyDescent="0.45">
      <c r="B3360" s="1" t="s">
        <v>11</v>
      </c>
      <c r="C3360" s="1" t="s">
        <v>3336</v>
      </c>
      <c r="D3360" s="7">
        <v>44645</v>
      </c>
      <c r="E3360" s="7">
        <v>44656</v>
      </c>
      <c r="F3360" s="7">
        <v>44695</v>
      </c>
      <c r="G3360" s="1" t="s">
        <v>44</v>
      </c>
      <c r="H3360" s="8">
        <v>53434184.43</v>
      </c>
      <c r="I3360" s="8">
        <v>39814109.030000001</v>
      </c>
      <c r="J3360" s="1">
        <f>IF(COUNTIF($C$4:C3360,C3360)=1,1,0)</f>
        <v>1</v>
      </c>
      <c r="K3360" s="1">
        <f t="shared" si="52"/>
        <v>2022</v>
      </c>
    </row>
    <row r="3361" spans="2:11" x14ac:dyDescent="0.45">
      <c r="B3361" s="1" t="s">
        <v>11</v>
      </c>
      <c r="C3361" s="1" t="s">
        <v>3337</v>
      </c>
      <c r="D3361" s="7">
        <v>45627</v>
      </c>
      <c r="E3361" s="7">
        <v>45649</v>
      </c>
      <c r="F3361" s="7">
        <v>45889</v>
      </c>
      <c r="G3361" s="1" t="s">
        <v>22</v>
      </c>
      <c r="H3361" s="8">
        <v>16400427.869999999</v>
      </c>
      <c r="I3361" s="8">
        <v>12392155.029999999</v>
      </c>
      <c r="J3361" s="1">
        <f>IF(COUNTIF($C$4:C3361,C3361)=1,1,0)</f>
        <v>1</v>
      </c>
      <c r="K3361" s="1">
        <f t="shared" si="52"/>
        <v>2024</v>
      </c>
    </row>
    <row r="3362" spans="2:11" x14ac:dyDescent="0.45">
      <c r="B3362" s="1" t="s">
        <v>11</v>
      </c>
      <c r="C3362" s="1" t="s">
        <v>3338</v>
      </c>
      <c r="D3362" s="7">
        <v>45569</v>
      </c>
      <c r="E3362" s="7">
        <v>45593</v>
      </c>
      <c r="F3362" s="7">
        <v>45820</v>
      </c>
      <c r="G3362" s="1" t="s">
        <v>38</v>
      </c>
      <c r="H3362" s="8">
        <v>118336.86</v>
      </c>
      <c r="I3362" s="8">
        <v>92728.66</v>
      </c>
      <c r="J3362" s="1">
        <f>IF(COUNTIF($C$4:C3362,C3362)=1,1,0)</f>
        <v>1</v>
      </c>
      <c r="K3362" s="1">
        <f t="shared" si="52"/>
        <v>2024</v>
      </c>
    </row>
    <row r="3363" spans="2:11" x14ac:dyDescent="0.45">
      <c r="B3363" s="1" t="s">
        <v>11</v>
      </c>
      <c r="C3363" s="1" t="s">
        <v>3339</v>
      </c>
      <c r="D3363" s="7">
        <v>45702</v>
      </c>
      <c r="E3363" s="7">
        <v>45712</v>
      </c>
      <c r="F3363" s="7">
        <v>45910</v>
      </c>
      <c r="G3363" s="1" t="s">
        <v>1348</v>
      </c>
      <c r="H3363" s="8">
        <v>63082882.890000001</v>
      </c>
      <c r="I3363" s="8">
        <v>26556717.93</v>
      </c>
      <c r="J3363" s="1">
        <f>IF(COUNTIF($C$4:C3363,C3363)=1,1,0)</f>
        <v>1</v>
      </c>
      <c r="K3363" s="1">
        <f t="shared" si="52"/>
        <v>2025</v>
      </c>
    </row>
    <row r="3364" spans="2:11" x14ac:dyDescent="0.45">
      <c r="B3364" s="1" t="s">
        <v>11</v>
      </c>
      <c r="C3364" s="1" t="s">
        <v>3340</v>
      </c>
      <c r="D3364" s="7">
        <v>44817</v>
      </c>
      <c r="E3364" s="7">
        <v>44834</v>
      </c>
      <c r="F3364" s="7">
        <v>45060</v>
      </c>
      <c r="G3364" s="1" t="s">
        <v>1348</v>
      </c>
      <c r="H3364" s="8">
        <v>51840029.329999998</v>
      </c>
      <c r="I3364" s="8">
        <v>39752961.299999997</v>
      </c>
      <c r="J3364" s="1">
        <f>IF(COUNTIF($C$4:C3364,C3364)=1,1,0)</f>
        <v>1</v>
      </c>
      <c r="K3364" s="1">
        <f t="shared" si="52"/>
        <v>2022</v>
      </c>
    </row>
    <row r="3365" spans="2:11" x14ac:dyDescent="0.45">
      <c r="B3365" s="1" t="s">
        <v>11</v>
      </c>
      <c r="C3365" s="1" t="s">
        <v>3341</v>
      </c>
      <c r="D3365" s="7">
        <v>44286</v>
      </c>
      <c r="E3365" s="7">
        <v>44288</v>
      </c>
      <c r="F3365" s="7">
        <v>44472</v>
      </c>
      <c r="G3365" s="1" t="s">
        <v>38</v>
      </c>
      <c r="H3365" s="8">
        <v>1179784.8</v>
      </c>
      <c r="I3365" s="8">
        <v>893636.31</v>
      </c>
      <c r="J3365" s="1">
        <f>IF(COUNTIF($C$4:C3365,C3365)=1,1,0)</f>
        <v>1</v>
      </c>
      <c r="K3365" s="1">
        <f t="shared" si="52"/>
        <v>2021</v>
      </c>
    </row>
    <row r="3366" spans="2:11" x14ac:dyDescent="0.45">
      <c r="B3366" s="1" t="s">
        <v>11</v>
      </c>
      <c r="C3366" s="1" t="s">
        <v>3342</v>
      </c>
      <c r="D3366" s="7">
        <v>44185</v>
      </c>
      <c r="E3366" s="7">
        <v>44208</v>
      </c>
      <c r="F3366" s="7">
        <v>44228</v>
      </c>
      <c r="G3366" s="1" t="s">
        <v>18</v>
      </c>
      <c r="H3366" s="8">
        <v>5304386.12</v>
      </c>
      <c r="I3366" s="8">
        <v>4878928.07</v>
      </c>
      <c r="J3366" s="1">
        <f>IF(COUNTIF($C$4:C3366,C3366)=1,1,0)</f>
        <v>1</v>
      </c>
      <c r="K3366" s="1">
        <f t="shared" si="52"/>
        <v>2020</v>
      </c>
    </row>
    <row r="3367" spans="2:11" x14ac:dyDescent="0.45">
      <c r="B3367" s="1" t="s">
        <v>11</v>
      </c>
      <c r="C3367" s="1" t="s">
        <v>3343</v>
      </c>
      <c r="D3367" s="7">
        <v>43381</v>
      </c>
      <c r="E3367" s="7">
        <v>43390</v>
      </c>
      <c r="F3367" s="7">
        <v>43439</v>
      </c>
      <c r="G3367" s="1" t="s">
        <v>13</v>
      </c>
      <c r="H3367" s="8">
        <v>354949.83</v>
      </c>
      <c r="I3367" s="8">
        <v>264982.40000000002</v>
      </c>
      <c r="J3367" s="1">
        <f>IF(COUNTIF($C$4:C3367,C3367)=1,1,0)</f>
        <v>1</v>
      </c>
      <c r="K3367" s="1">
        <f t="shared" si="52"/>
        <v>2018</v>
      </c>
    </row>
    <row r="3368" spans="2:11" x14ac:dyDescent="0.45">
      <c r="B3368" s="1" t="s">
        <v>11</v>
      </c>
      <c r="C3368" s="1" t="s">
        <v>3344</v>
      </c>
      <c r="D3368" s="7">
        <v>44425</v>
      </c>
      <c r="E3368" s="7">
        <v>44448</v>
      </c>
      <c r="F3368" s="7">
        <v>44635</v>
      </c>
      <c r="G3368" s="1" t="s">
        <v>16</v>
      </c>
      <c r="H3368" s="8">
        <v>4464750.25</v>
      </c>
      <c r="I3368" s="8">
        <v>3149185.69</v>
      </c>
      <c r="J3368" s="1">
        <f>IF(COUNTIF($C$4:C3368,C3368)=1,1,0)</f>
        <v>1</v>
      </c>
      <c r="K3368" s="1">
        <f t="shared" si="52"/>
        <v>2021</v>
      </c>
    </row>
    <row r="3369" spans="2:11" x14ac:dyDescent="0.45">
      <c r="B3369" s="1" t="s">
        <v>11</v>
      </c>
      <c r="C3369" s="1" t="s">
        <v>3345</v>
      </c>
      <c r="D3369" s="7">
        <v>45510</v>
      </c>
      <c r="E3369" s="7">
        <v>45538</v>
      </c>
      <c r="F3369" s="7">
        <v>45592</v>
      </c>
      <c r="G3369" s="1" t="s">
        <v>41</v>
      </c>
      <c r="H3369" s="8">
        <v>246813.46</v>
      </c>
      <c r="I3369" s="8">
        <v>205523.08</v>
      </c>
      <c r="J3369" s="1">
        <f>IF(COUNTIF($C$4:C3369,C3369)=1,1,0)</f>
        <v>1</v>
      </c>
      <c r="K3369" s="1">
        <f t="shared" si="52"/>
        <v>2024</v>
      </c>
    </row>
    <row r="3370" spans="2:11" x14ac:dyDescent="0.45">
      <c r="B3370" s="1" t="s">
        <v>11</v>
      </c>
      <c r="C3370" s="1" t="s">
        <v>3346</v>
      </c>
      <c r="D3370" s="7">
        <v>43525</v>
      </c>
      <c r="E3370" s="7">
        <v>43528</v>
      </c>
      <c r="F3370" s="7">
        <v>43750</v>
      </c>
      <c r="G3370" s="1" t="s">
        <v>212</v>
      </c>
      <c r="H3370" s="8">
        <v>34431455.770000003</v>
      </c>
      <c r="I3370" s="8">
        <v>19463733.359999999</v>
      </c>
      <c r="J3370" s="1">
        <f>IF(COUNTIF($C$4:C3370,C3370)=1,1,0)</f>
        <v>1</v>
      </c>
      <c r="K3370" s="1">
        <f t="shared" si="52"/>
        <v>2019</v>
      </c>
    </row>
    <row r="3371" spans="2:11" x14ac:dyDescent="0.45">
      <c r="B3371" s="1" t="s">
        <v>11</v>
      </c>
      <c r="C3371" s="1" t="s">
        <v>3347</v>
      </c>
      <c r="D3371" s="7">
        <v>44087</v>
      </c>
      <c r="E3371" s="7">
        <v>44113</v>
      </c>
      <c r="F3371" s="7">
        <v>44123</v>
      </c>
      <c r="G3371" s="1" t="s">
        <v>212</v>
      </c>
      <c r="H3371" s="8">
        <v>33086354.460000001</v>
      </c>
      <c r="I3371" s="8">
        <v>22514311.25</v>
      </c>
      <c r="J3371" s="1">
        <f>IF(COUNTIF($C$4:C3371,C3371)=1,1,0)</f>
        <v>1</v>
      </c>
      <c r="K3371" s="1">
        <f t="shared" si="52"/>
        <v>2020</v>
      </c>
    </row>
    <row r="3372" spans="2:11" x14ac:dyDescent="0.45">
      <c r="B3372" s="1" t="s">
        <v>11</v>
      </c>
      <c r="C3372" s="1" t="s">
        <v>3348</v>
      </c>
      <c r="D3372" s="7">
        <v>44258</v>
      </c>
      <c r="E3372" s="7">
        <v>44271</v>
      </c>
      <c r="F3372" s="7">
        <v>44334</v>
      </c>
      <c r="G3372" s="1" t="s">
        <v>1348</v>
      </c>
      <c r="H3372" s="8">
        <v>194186700.66</v>
      </c>
      <c r="I3372" s="8">
        <v>111226902.78</v>
      </c>
      <c r="J3372" s="1">
        <f>IF(COUNTIF($C$4:C3372,C3372)=1,1,0)</f>
        <v>1</v>
      </c>
      <c r="K3372" s="1">
        <f t="shared" si="52"/>
        <v>2021</v>
      </c>
    </row>
    <row r="3373" spans="2:11" x14ac:dyDescent="0.45">
      <c r="B3373" s="1" t="s">
        <v>11</v>
      </c>
      <c r="C3373" s="1" t="s">
        <v>3349</v>
      </c>
      <c r="D3373" s="7">
        <v>44048</v>
      </c>
      <c r="E3373" s="7">
        <v>44070</v>
      </c>
      <c r="F3373" s="7">
        <v>44084</v>
      </c>
      <c r="G3373" s="1" t="s">
        <v>13</v>
      </c>
      <c r="H3373" s="8">
        <v>333103.67</v>
      </c>
      <c r="I3373" s="8">
        <v>256024.09</v>
      </c>
      <c r="J3373" s="1">
        <f>IF(COUNTIF($C$4:C3373,C3373)=1,1,0)</f>
        <v>1</v>
      </c>
      <c r="K3373" s="1">
        <f t="shared" si="52"/>
        <v>2020</v>
      </c>
    </row>
    <row r="3374" spans="2:11" x14ac:dyDescent="0.45">
      <c r="B3374" s="1" t="s">
        <v>11</v>
      </c>
      <c r="C3374" s="1" t="s">
        <v>3350</v>
      </c>
      <c r="D3374" s="7">
        <v>44407</v>
      </c>
      <c r="E3374" s="7">
        <v>44414</v>
      </c>
      <c r="F3374" s="7">
        <v>44518</v>
      </c>
      <c r="G3374" s="1" t="s">
        <v>212</v>
      </c>
      <c r="H3374" s="8">
        <v>21477193.170000002</v>
      </c>
      <c r="I3374" s="8">
        <v>15598894.060000001</v>
      </c>
      <c r="J3374" s="1">
        <f>IF(COUNTIF($C$4:C3374,C3374)=1,1,0)</f>
        <v>1</v>
      </c>
      <c r="K3374" s="1">
        <f t="shared" si="52"/>
        <v>2021</v>
      </c>
    </row>
    <row r="3375" spans="2:11" x14ac:dyDescent="0.45">
      <c r="B3375" s="1" t="s">
        <v>11</v>
      </c>
      <c r="C3375" s="1" t="s">
        <v>3351</v>
      </c>
      <c r="D3375" s="7">
        <v>43674</v>
      </c>
      <c r="E3375" s="7">
        <v>43696</v>
      </c>
      <c r="F3375" s="7">
        <v>43840</v>
      </c>
      <c r="G3375" s="1" t="s">
        <v>38</v>
      </c>
      <c r="H3375" s="8">
        <v>80629.94</v>
      </c>
      <c r="I3375" s="8">
        <v>66817.16</v>
      </c>
      <c r="J3375" s="1">
        <f>IF(COUNTIF($C$4:C3375,C3375)=1,1,0)</f>
        <v>1</v>
      </c>
      <c r="K3375" s="1">
        <f t="shared" si="52"/>
        <v>2019</v>
      </c>
    </row>
    <row r="3376" spans="2:11" x14ac:dyDescent="0.45">
      <c r="B3376" s="1" t="s">
        <v>11</v>
      </c>
      <c r="C3376" s="1" t="s">
        <v>3352</v>
      </c>
      <c r="D3376" s="7">
        <v>45531</v>
      </c>
      <c r="E3376" s="7">
        <v>45543</v>
      </c>
      <c r="F3376" s="7">
        <v>45642</v>
      </c>
      <c r="G3376" s="1" t="s">
        <v>16</v>
      </c>
      <c r="H3376" s="8">
        <v>5288585.91</v>
      </c>
      <c r="I3376" s="8">
        <v>3143548.06</v>
      </c>
      <c r="J3376" s="1">
        <f>IF(COUNTIF($C$4:C3376,C3376)=1,1,0)</f>
        <v>1</v>
      </c>
      <c r="K3376" s="1">
        <f t="shared" si="52"/>
        <v>2024</v>
      </c>
    </row>
    <row r="3377" spans="2:11" x14ac:dyDescent="0.45">
      <c r="B3377" s="1" t="s">
        <v>11</v>
      </c>
      <c r="C3377" s="1" t="s">
        <v>3353</v>
      </c>
      <c r="D3377" s="7">
        <v>45261</v>
      </c>
      <c r="E3377" s="7">
        <v>45289</v>
      </c>
      <c r="F3377" s="7">
        <v>45331</v>
      </c>
      <c r="G3377" s="1" t="s">
        <v>20</v>
      </c>
      <c r="H3377" s="8">
        <v>924923.89</v>
      </c>
      <c r="I3377" s="8">
        <v>654825.32999999996</v>
      </c>
      <c r="J3377" s="1">
        <f>IF(COUNTIF($C$4:C3377,C3377)=1,1,0)</f>
        <v>1</v>
      </c>
      <c r="K3377" s="1">
        <f t="shared" si="52"/>
        <v>2023</v>
      </c>
    </row>
    <row r="3378" spans="2:11" x14ac:dyDescent="0.45">
      <c r="B3378" s="1" t="s">
        <v>11</v>
      </c>
      <c r="C3378" s="1" t="s">
        <v>3354</v>
      </c>
      <c r="D3378" s="7">
        <v>44635</v>
      </c>
      <c r="E3378" s="7">
        <v>44642</v>
      </c>
      <c r="F3378" s="7">
        <v>44776</v>
      </c>
      <c r="G3378" s="1" t="s">
        <v>16</v>
      </c>
      <c r="H3378" s="8">
        <v>5468177.46</v>
      </c>
      <c r="I3378" s="8">
        <v>3945970.84</v>
      </c>
      <c r="J3378" s="1">
        <f>IF(COUNTIF($C$4:C3378,C3378)=1,1,0)</f>
        <v>1</v>
      </c>
      <c r="K3378" s="1">
        <f t="shared" si="52"/>
        <v>2022</v>
      </c>
    </row>
    <row r="3379" spans="2:11" x14ac:dyDescent="0.45">
      <c r="B3379" s="1" t="s">
        <v>11</v>
      </c>
      <c r="C3379" s="1" t="s">
        <v>3355</v>
      </c>
      <c r="D3379" s="7">
        <v>45124</v>
      </c>
      <c r="E3379" s="7">
        <v>45149</v>
      </c>
      <c r="F3379" s="7">
        <v>45329</v>
      </c>
      <c r="G3379" s="1" t="s">
        <v>44</v>
      </c>
      <c r="H3379" s="8">
        <v>156553616.87</v>
      </c>
      <c r="I3379" s="8">
        <v>104962078.23</v>
      </c>
      <c r="J3379" s="1">
        <f>IF(COUNTIF($C$4:C3379,C3379)=1,1,0)</f>
        <v>1</v>
      </c>
      <c r="K3379" s="1">
        <f t="shared" si="52"/>
        <v>2023</v>
      </c>
    </row>
    <row r="3380" spans="2:11" x14ac:dyDescent="0.45">
      <c r="B3380" s="1" t="s">
        <v>11</v>
      </c>
      <c r="C3380" s="1" t="s">
        <v>3356</v>
      </c>
      <c r="D3380" s="7">
        <v>43222</v>
      </c>
      <c r="E3380" s="7">
        <v>43226</v>
      </c>
      <c r="F3380" s="7">
        <v>43401</v>
      </c>
      <c r="G3380" s="1" t="s">
        <v>13</v>
      </c>
      <c r="H3380" s="8">
        <v>334457.7</v>
      </c>
      <c r="I3380" s="8">
        <v>230175.38</v>
      </c>
      <c r="J3380" s="1">
        <f>IF(COUNTIF($C$4:C3380,C3380)=1,1,0)</f>
        <v>1</v>
      </c>
      <c r="K3380" s="1">
        <f t="shared" si="52"/>
        <v>2018</v>
      </c>
    </row>
    <row r="3381" spans="2:11" x14ac:dyDescent="0.45">
      <c r="B3381" s="1" t="s">
        <v>11</v>
      </c>
      <c r="C3381" s="1" t="s">
        <v>3357</v>
      </c>
      <c r="D3381" s="7">
        <v>43975</v>
      </c>
      <c r="E3381" s="7">
        <v>43992</v>
      </c>
      <c r="F3381" s="7">
        <v>44184</v>
      </c>
      <c r="G3381" s="1" t="s">
        <v>38</v>
      </c>
      <c r="H3381" s="8">
        <v>179686.5</v>
      </c>
      <c r="I3381" s="8">
        <v>148726.25</v>
      </c>
      <c r="J3381" s="1">
        <f>IF(COUNTIF($C$4:C3381,C3381)=1,1,0)</f>
        <v>1</v>
      </c>
      <c r="K3381" s="1">
        <f t="shared" si="52"/>
        <v>2020</v>
      </c>
    </row>
    <row r="3382" spans="2:11" x14ac:dyDescent="0.45">
      <c r="B3382" s="1" t="s">
        <v>11</v>
      </c>
      <c r="C3382" s="1" t="s">
        <v>3358</v>
      </c>
      <c r="D3382" s="7">
        <v>46016</v>
      </c>
      <c r="E3382" s="7">
        <v>46042</v>
      </c>
      <c r="F3382" s="7">
        <v>46110</v>
      </c>
      <c r="G3382" s="1" t="s">
        <v>18</v>
      </c>
      <c r="H3382" s="8">
        <v>3353783.46</v>
      </c>
      <c r="I3382" s="8">
        <v>2735001.64</v>
      </c>
      <c r="J3382" s="1">
        <f>IF(COUNTIF($C$4:C3382,C3382)=1,1,0)</f>
        <v>1</v>
      </c>
      <c r="K3382" s="1">
        <f t="shared" si="52"/>
        <v>2025</v>
      </c>
    </row>
    <row r="3383" spans="2:11" x14ac:dyDescent="0.45">
      <c r="B3383" s="1" t="s">
        <v>11</v>
      </c>
      <c r="C3383" s="1" t="s">
        <v>3359</v>
      </c>
      <c r="D3383" s="7">
        <v>43811</v>
      </c>
      <c r="E3383" s="7">
        <v>43833</v>
      </c>
      <c r="F3383" s="7">
        <v>43853</v>
      </c>
      <c r="G3383" s="1" t="s">
        <v>20</v>
      </c>
      <c r="H3383" s="8">
        <v>355343.84</v>
      </c>
      <c r="I3383" s="8">
        <v>222192.5</v>
      </c>
      <c r="J3383" s="1">
        <f>IF(COUNTIF($C$4:C3383,C3383)=1,1,0)</f>
        <v>1</v>
      </c>
      <c r="K3383" s="1">
        <f t="shared" si="52"/>
        <v>2019</v>
      </c>
    </row>
    <row r="3384" spans="2:11" x14ac:dyDescent="0.45">
      <c r="B3384" s="1" t="s">
        <v>11</v>
      </c>
      <c r="C3384" s="1" t="s">
        <v>3360</v>
      </c>
      <c r="D3384" s="7">
        <v>44460</v>
      </c>
      <c r="E3384" s="7">
        <v>44464</v>
      </c>
      <c r="F3384" s="7">
        <v>44511</v>
      </c>
      <c r="G3384" s="1" t="s">
        <v>22</v>
      </c>
      <c r="H3384" s="8">
        <v>38418555.090000004</v>
      </c>
      <c r="I3384" s="8">
        <v>22228275.34</v>
      </c>
      <c r="J3384" s="1">
        <f>IF(COUNTIF($C$4:C3384,C3384)=1,1,0)</f>
        <v>1</v>
      </c>
      <c r="K3384" s="1">
        <f t="shared" si="52"/>
        <v>2021</v>
      </c>
    </row>
    <row r="3385" spans="2:11" x14ac:dyDescent="0.45">
      <c r="B3385" s="1" t="s">
        <v>11</v>
      </c>
      <c r="C3385" s="1" t="s">
        <v>3361</v>
      </c>
      <c r="D3385" s="7">
        <v>45774</v>
      </c>
      <c r="E3385" s="7">
        <v>45781</v>
      </c>
      <c r="F3385" s="7">
        <v>45839</v>
      </c>
      <c r="G3385" s="1" t="s">
        <v>38</v>
      </c>
      <c r="H3385" s="8">
        <v>1071293.6100000001</v>
      </c>
      <c r="I3385" s="8">
        <v>695934.48</v>
      </c>
      <c r="J3385" s="1">
        <f>IF(COUNTIF($C$4:C3385,C3385)=1,1,0)</f>
        <v>1</v>
      </c>
      <c r="K3385" s="1">
        <f t="shared" si="52"/>
        <v>2025</v>
      </c>
    </row>
    <row r="3386" spans="2:11" x14ac:dyDescent="0.45">
      <c r="B3386" s="1" t="s">
        <v>11</v>
      </c>
      <c r="C3386" s="1" t="s">
        <v>3362</v>
      </c>
      <c r="D3386" s="7">
        <v>43198</v>
      </c>
      <c r="E3386" s="7">
        <v>43226</v>
      </c>
      <c r="F3386" s="7">
        <v>43351</v>
      </c>
      <c r="G3386" s="1" t="s">
        <v>13</v>
      </c>
      <c r="H3386" s="8">
        <v>1165973.6299999999</v>
      </c>
      <c r="I3386" s="8">
        <v>885918.85</v>
      </c>
      <c r="J3386" s="1">
        <f>IF(COUNTIF($C$4:C3386,C3386)=1,1,0)</f>
        <v>1</v>
      </c>
      <c r="K3386" s="1">
        <f t="shared" si="52"/>
        <v>2018</v>
      </c>
    </row>
    <row r="3387" spans="2:11" x14ac:dyDescent="0.45">
      <c r="B3387" s="1" t="s">
        <v>11</v>
      </c>
      <c r="C3387" s="1" t="s">
        <v>3363</v>
      </c>
      <c r="D3387" s="7">
        <v>44670</v>
      </c>
      <c r="E3387" s="7">
        <v>44681</v>
      </c>
      <c r="F3387" s="7">
        <v>44787</v>
      </c>
      <c r="G3387" s="1" t="s">
        <v>13</v>
      </c>
      <c r="H3387" s="8">
        <v>293205.45</v>
      </c>
      <c r="I3387" s="8">
        <v>199189.28</v>
      </c>
      <c r="J3387" s="1">
        <f>IF(COUNTIF($C$4:C3387,C3387)=1,1,0)</f>
        <v>1</v>
      </c>
      <c r="K3387" s="1">
        <f t="shared" si="52"/>
        <v>2022</v>
      </c>
    </row>
    <row r="3388" spans="2:11" x14ac:dyDescent="0.45">
      <c r="B3388" s="1" t="s">
        <v>11</v>
      </c>
      <c r="C3388" s="1" t="s">
        <v>3364</v>
      </c>
      <c r="D3388" s="7">
        <v>45935</v>
      </c>
      <c r="E3388" s="7">
        <v>45949</v>
      </c>
      <c r="F3388" s="7">
        <v>46176</v>
      </c>
      <c r="G3388" s="1" t="s">
        <v>22</v>
      </c>
      <c r="H3388" s="8">
        <v>51876482.810000002</v>
      </c>
      <c r="I3388" s="8">
        <v>16873663.510000002</v>
      </c>
      <c r="J3388" s="1">
        <f>IF(COUNTIF($C$4:C3388,C3388)=1,1,0)</f>
        <v>1</v>
      </c>
      <c r="K3388" s="1">
        <f t="shared" si="52"/>
        <v>2025</v>
      </c>
    </row>
    <row r="3389" spans="2:11" x14ac:dyDescent="0.45">
      <c r="B3389" s="1" t="s">
        <v>11</v>
      </c>
      <c r="C3389" s="1" t="s">
        <v>3365</v>
      </c>
      <c r="D3389" s="7">
        <v>45257</v>
      </c>
      <c r="E3389" s="7">
        <v>45264</v>
      </c>
      <c r="F3389" s="7">
        <v>45281</v>
      </c>
      <c r="G3389" s="1" t="s">
        <v>18</v>
      </c>
      <c r="H3389" s="8">
        <v>973503.04</v>
      </c>
      <c r="I3389" s="8">
        <v>802024.98</v>
      </c>
      <c r="J3389" s="1">
        <f>IF(COUNTIF($C$4:C3389,C3389)=1,1,0)</f>
        <v>1</v>
      </c>
      <c r="K3389" s="1">
        <f t="shared" si="52"/>
        <v>2023</v>
      </c>
    </row>
    <row r="3390" spans="2:11" x14ac:dyDescent="0.45">
      <c r="B3390" s="1" t="s">
        <v>11</v>
      </c>
      <c r="C3390" s="1" t="s">
        <v>3366</v>
      </c>
      <c r="D3390" s="7">
        <v>43928</v>
      </c>
      <c r="E3390" s="7">
        <v>43951</v>
      </c>
      <c r="F3390" s="7">
        <v>43964</v>
      </c>
      <c r="G3390" s="1" t="s">
        <v>44</v>
      </c>
      <c r="H3390" s="8">
        <v>47117539.75</v>
      </c>
      <c r="I3390" s="8">
        <v>33841710.630000003</v>
      </c>
      <c r="J3390" s="1">
        <f>IF(COUNTIF($C$4:C3390,C3390)=1,1,0)</f>
        <v>1</v>
      </c>
      <c r="K3390" s="1">
        <f t="shared" si="52"/>
        <v>2020</v>
      </c>
    </row>
    <row r="3391" spans="2:11" x14ac:dyDescent="0.45">
      <c r="B3391" s="1" t="s">
        <v>11</v>
      </c>
      <c r="C3391" s="1" t="s">
        <v>3367</v>
      </c>
      <c r="D3391" s="7">
        <v>43718</v>
      </c>
      <c r="E3391" s="7">
        <v>43747</v>
      </c>
      <c r="F3391" s="7">
        <v>43853</v>
      </c>
      <c r="G3391" s="1" t="s">
        <v>41</v>
      </c>
      <c r="H3391" s="8">
        <v>563469.12</v>
      </c>
      <c r="I3391" s="8">
        <v>372053.71</v>
      </c>
      <c r="J3391" s="1">
        <f>IF(COUNTIF($C$4:C3391,C3391)=1,1,0)</f>
        <v>1</v>
      </c>
      <c r="K3391" s="1">
        <f t="shared" si="52"/>
        <v>2019</v>
      </c>
    </row>
    <row r="3392" spans="2:11" x14ac:dyDescent="0.45">
      <c r="B3392" s="1" t="s">
        <v>11</v>
      </c>
      <c r="C3392" s="1" t="s">
        <v>3368</v>
      </c>
      <c r="D3392" s="7">
        <v>45955</v>
      </c>
      <c r="E3392" s="7">
        <v>45980</v>
      </c>
      <c r="F3392" s="7">
        <v>46185</v>
      </c>
      <c r="G3392" s="1" t="s">
        <v>16</v>
      </c>
      <c r="H3392" s="8">
        <v>320090.57</v>
      </c>
      <c r="I3392" s="8">
        <v>242355.07</v>
      </c>
      <c r="J3392" s="1">
        <f>IF(COUNTIF($C$4:C3392,C3392)=1,1,0)</f>
        <v>1</v>
      </c>
      <c r="K3392" s="1">
        <f t="shared" si="52"/>
        <v>2025</v>
      </c>
    </row>
    <row r="3393" spans="2:11" x14ac:dyDescent="0.45">
      <c r="B3393" s="1" t="s">
        <v>11</v>
      </c>
      <c r="C3393" s="1" t="s">
        <v>3369</v>
      </c>
      <c r="D3393" s="7">
        <v>45042</v>
      </c>
      <c r="E3393" s="7">
        <v>45060</v>
      </c>
      <c r="F3393" s="7">
        <v>45252</v>
      </c>
      <c r="G3393" s="1" t="s">
        <v>38</v>
      </c>
      <c r="H3393" s="8">
        <v>320051.24</v>
      </c>
      <c r="I3393" s="8">
        <v>209017.55</v>
      </c>
      <c r="J3393" s="1">
        <f>IF(COUNTIF($C$4:C3393,C3393)=1,1,0)</f>
        <v>1</v>
      </c>
      <c r="K3393" s="1">
        <f t="shared" si="52"/>
        <v>2023</v>
      </c>
    </row>
    <row r="3394" spans="2:11" x14ac:dyDescent="0.45">
      <c r="B3394" s="1" t="s">
        <v>11</v>
      </c>
      <c r="C3394" s="1" t="s">
        <v>3370</v>
      </c>
      <c r="D3394" s="7">
        <v>43902</v>
      </c>
      <c r="E3394" s="7">
        <v>43907</v>
      </c>
      <c r="F3394" s="7">
        <v>44061</v>
      </c>
      <c r="G3394" s="1" t="s">
        <v>212</v>
      </c>
      <c r="H3394" s="8">
        <v>34106090.710000001</v>
      </c>
      <c r="I3394" s="8">
        <v>14607019.27</v>
      </c>
      <c r="J3394" s="1">
        <f>IF(COUNTIF($C$4:C3394,C3394)=1,1,0)</f>
        <v>1</v>
      </c>
      <c r="K3394" s="1">
        <f t="shared" si="52"/>
        <v>2020</v>
      </c>
    </row>
    <row r="3395" spans="2:11" x14ac:dyDescent="0.45">
      <c r="B3395" s="1" t="s">
        <v>11</v>
      </c>
      <c r="C3395" s="1" t="s">
        <v>3371</v>
      </c>
      <c r="D3395" s="7">
        <v>45786</v>
      </c>
      <c r="E3395" s="7">
        <v>45796</v>
      </c>
      <c r="F3395" s="7">
        <v>45993</v>
      </c>
      <c r="G3395" s="1" t="s">
        <v>22</v>
      </c>
      <c r="H3395" s="8">
        <v>9147259.6799999997</v>
      </c>
      <c r="I3395" s="8">
        <v>4977131.7300000004</v>
      </c>
      <c r="J3395" s="1">
        <f>IF(COUNTIF($C$4:C3395,C3395)=1,1,0)</f>
        <v>1</v>
      </c>
      <c r="K3395" s="1">
        <f t="shared" si="52"/>
        <v>2025</v>
      </c>
    </row>
    <row r="3396" spans="2:11" x14ac:dyDescent="0.45">
      <c r="B3396" s="1" t="s">
        <v>11</v>
      </c>
      <c r="C3396" s="1" t="s">
        <v>3372</v>
      </c>
      <c r="D3396" s="7">
        <v>45876</v>
      </c>
      <c r="E3396" s="7">
        <v>45904</v>
      </c>
      <c r="F3396" s="7">
        <v>45931</v>
      </c>
      <c r="G3396" s="1" t="s">
        <v>44</v>
      </c>
      <c r="H3396" s="8">
        <v>43509857.479999997</v>
      </c>
      <c r="I3396" s="8">
        <v>28093799.079999998</v>
      </c>
      <c r="J3396" s="1">
        <f>IF(COUNTIF($C$4:C3396,C3396)=1,1,0)</f>
        <v>1</v>
      </c>
      <c r="K3396" s="1">
        <f t="shared" si="52"/>
        <v>2025</v>
      </c>
    </row>
    <row r="3397" spans="2:11" x14ac:dyDescent="0.45">
      <c r="B3397" s="1" t="s">
        <v>11</v>
      </c>
      <c r="C3397" s="1" t="s">
        <v>3373</v>
      </c>
      <c r="D3397" s="7">
        <v>44469</v>
      </c>
      <c r="E3397" s="7">
        <v>44477</v>
      </c>
      <c r="F3397" s="7">
        <v>44659</v>
      </c>
      <c r="G3397" s="1" t="s">
        <v>16</v>
      </c>
      <c r="H3397" s="8">
        <v>256327.22</v>
      </c>
      <c r="I3397" s="8">
        <v>113673.92</v>
      </c>
      <c r="J3397" s="1">
        <f>IF(COUNTIF($C$4:C3397,C3397)=1,1,0)</f>
        <v>1</v>
      </c>
      <c r="K3397" s="1">
        <f t="shared" ref="K3397:K3460" si="53">YEAR(D3397)</f>
        <v>2021</v>
      </c>
    </row>
    <row r="3398" spans="2:11" x14ac:dyDescent="0.45">
      <c r="B3398" s="1" t="s">
        <v>11</v>
      </c>
      <c r="C3398" s="1" t="s">
        <v>3374</v>
      </c>
      <c r="D3398" s="7">
        <v>43391</v>
      </c>
      <c r="E3398" s="7">
        <v>43395</v>
      </c>
      <c r="F3398" s="7">
        <v>43604</v>
      </c>
      <c r="G3398" s="1" t="s">
        <v>20</v>
      </c>
      <c r="H3398" s="8">
        <v>739918.74</v>
      </c>
      <c r="I3398" s="8">
        <v>613731.32999999996</v>
      </c>
      <c r="J3398" s="1">
        <f>IF(COUNTIF($C$4:C3398,C3398)=1,1,0)</f>
        <v>1</v>
      </c>
      <c r="K3398" s="1">
        <f t="shared" si="53"/>
        <v>2018</v>
      </c>
    </row>
    <row r="3399" spans="2:11" x14ac:dyDescent="0.45">
      <c r="B3399" s="1" t="s">
        <v>11</v>
      </c>
      <c r="C3399" s="1" t="s">
        <v>3375</v>
      </c>
      <c r="D3399" s="7">
        <v>45481</v>
      </c>
      <c r="E3399" s="7">
        <v>45498</v>
      </c>
      <c r="F3399" s="7">
        <v>45627</v>
      </c>
      <c r="G3399" s="1" t="s">
        <v>44</v>
      </c>
      <c r="H3399" s="8">
        <v>87607153.939999998</v>
      </c>
      <c r="I3399" s="8">
        <v>61487033.799999997</v>
      </c>
      <c r="J3399" s="1">
        <f>IF(COUNTIF($C$4:C3399,C3399)=1,1,0)</f>
        <v>1</v>
      </c>
      <c r="K3399" s="1">
        <f t="shared" si="53"/>
        <v>2024</v>
      </c>
    </row>
    <row r="3400" spans="2:11" x14ac:dyDescent="0.45">
      <c r="B3400" s="1" t="s">
        <v>11</v>
      </c>
      <c r="C3400" s="1" t="s">
        <v>3376</v>
      </c>
      <c r="D3400" s="7">
        <v>43809</v>
      </c>
      <c r="E3400" s="7">
        <v>43821</v>
      </c>
      <c r="F3400" s="7">
        <v>43895</v>
      </c>
      <c r="G3400" s="1" t="s">
        <v>38</v>
      </c>
      <c r="H3400" s="8">
        <v>1080074.7</v>
      </c>
      <c r="I3400" s="8">
        <v>915348.55</v>
      </c>
      <c r="J3400" s="1">
        <f>IF(COUNTIF($C$4:C3400,C3400)=1,1,0)</f>
        <v>1</v>
      </c>
      <c r="K3400" s="1">
        <f t="shared" si="53"/>
        <v>2019</v>
      </c>
    </row>
    <row r="3401" spans="2:11" x14ac:dyDescent="0.45">
      <c r="B3401" s="1" t="s">
        <v>11</v>
      </c>
      <c r="C3401" s="1" t="s">
        <v>3377</v>
      </c>
      <c r="D3401" s="7">
        <v>45243</v>
      </c>
      <c r="E3401" s="7">
        <v>45245</v>
      </c>
      <c r="F3401" s="7">
        <v>45385</v>
      </c>
      <c r="G3401" s="1" t="s">
        <v>38</v>
      </c>
      <c r="H3401" s="8">
        <v>104975.85</v>
      </c>
      <c r="I3401" s="8">
        <v>84456.28</v>
      </c>
      <c r="J3401" s="1">
        <f>IF(COUNTIF($C$4:C3401,C3401)=1,1,0)</f>
        <v>1</v>
      </c>
      <c r="K3401" s="1">
        <f t="shared" si="53"/>
        <v>2023</v>
      </c>
    </row>
    <row r="3402" spans="2:11" x14ac:dyDescent="0.45">
      <c r="B3402" s="1" t="s">
        <v>11</v>
      </c>
      <c r="C3402" s="1" t="s">
        <v>3378</v>
      </c>
      <c r="D3402" s="7">
        <v>44971</v>
      </c>
      <c r="E3402" s="7">
        <v>44976</v>
      </c>
      <c r="F3402" s="7">
        <v>45023</v>
      </c>
      <c r="G3402" s="1" t="s">
        <v>20</v>
      </c>
      <c r="H3402" s="8">
        <v>572362.6</v>
      </c>
      <c r="I3402" s="8">
        <v>412120.32000000001</v>
      </c>
      <c r="J3402" s="1">
        <f>IF(COUNTIF($C$4:C3402,C3402)=1,1,0)</f>
        <v>1</v>
      </c>
      <c r="K3402" s="1">
        <f t="shared" si="53"/>
        <v>2023</v>
      </c>
    </row>
    <row r="3403" spans="2:11" x14ac:dyDescent="0.45">
      <c r="B3403" s="1" t="s">
        <v>11</v>
      </c>
      <c r="C3403" s="1" t="s">
        <v>3379</v>
      </c>
      <c r="D3403" s="7">
        <v>44218</v>
      </c>
      <c r="E3403" s="7">
        <v>44244</v>
      </c>
      <c r="F3403" s="7">
        <v>44404</v>
      </c>
      <c r="G3403" s="1" t="s">
        <v>44</v>
      </c>
      <c r="H3403" s="8">
        <v>645405708.25999999</v>
      </c>
      <c r="I3403" s="8">
        <v>332677896.58999997</v>
      </c>
      <c r="J3403" s="1">
        <f>IF(COUNTIF($C$4:C3403,C3403)=1,1,0)</f>
        <v>1</v>
      </c>
      <c r="K3403" s="1">
        <f t="shared" si="53"/>
        <v>2021</v>
      </c>
    </row>
    <row r="3404" spans="2:11" x14ac:dyDescent="0.45">
      <c r="B3404" s="1" t="s">
        <v>11</v>
      </c>
      <c r="C3404" s="1" t="s">
        <v>3380</v>
      </c>
      <c r="D3404" s="7">
        <v>45649</v>
      </c>
      <c r="E3404" s="7">
        <v>45649</v>
      </c>
      <c r="F3404" s="7">
        <v>45879</v>
      </c>
      <c r="G3404" s="1" t="s">
        <v>20</v>
      </c>
      <c r="H3404" s="8">
        <v>1756215.78</v>
      </c>
      <c r="I3404" s="8">
        <v>852281.78</v>
      </c>
      <c r="J3404" s="1">
        <f>IF(COUNTIF($C$4:C3404,C3404)=1,1,0)</f>
        <v>1</v>
      </c>
      <c r="K3404" s="1">
        <f t="shared" si="53"/>
        <v>2024</v>
      </c>
    </row>
    <row r="3405" spans="2:11" x14ac:dyDescent="0.45">
      <c r="B3405" s="1" t="s">
        <v>11</v>
      </c>
      <c r="C3405" s="1" t="s">
        <v>3381</v>
      </c>
      <c r="D3405" s="7">
        <v>46033</v>
      </c>
      <c r="E3405" s="7">
        <v>46038</v>
      </c>
      <c r="F3405" s="7">
        <v>46227</v>
      </c>
      <c r="G3405" s="1" t="s">
        <v>18</v>
      </c>
      <c r="H3405" s="8">
        <v>2124078.4900000002</v>
      </c>
      <c r="I3405" s="8">
        <v>1750208.94</v>
      </c>
      <c r="J3405" s="1">
        <f>IF(COUNTIF($C$4:C3405,C3405)=1,1,0)</f>
        <v>1</v>
      </c>
      <c r="K3405" s="1">
        <f t="shared" si="53"/>
        <v>2026</v>
      </c>
    </row>
    <row r="3406" spans="2:11" x14ac:dyDescent="0.45">
      <c r="B3406" s="1" t="s">
        <v>11</v>
      </c>
      <c r="C3406" s="1" t="s">
        <v>3382</v>
      </c>
      <c r="D3406" s="7">
        <v>46131</v>
      </c>
      <c r="E3406" s="7">
        <v>46135</v>
      </c>
      <c r="F3406" s="7">
        <v>46355</v>
      </c>
      <c r="G3406" s="1" t="s">
        <v>44</v>
      </c>
      <c r="H3406" s="8">
        <v>138400254.38999999</v>
      </c>
      <c r="I3406" s="8">
        <v>94026531.239999995</v>
      </c>
      <c r="J3406" s="1">
        <f>IF(COUNTIF($C$4:C3406,C3406)=1,1,0)</f>
        <v>1</v>
      </c>
      <c r="K3406" s="1">
        <f t="shared" si="53"/>
        <v>2026</v>
      </c>
    </row>
    <row r="3407" spans="2:11" x14ac:dyDescent="0.45">
      <c r="B3407" s="1" t="s">
        <v>11</v>
      </c>
      <c r="C3407" s="1" t="s">
        <v>3383</v>
      </c>
      <c r="D3407" s="7">
        <v>43694</v>
      </c>
      <c r="E3407" s="7">
        <v>43718</v>
      </c>
      <c r="F3407" s="7">
        <v>43888</v>
      </c>
      <c r="G3407" s="1" t="s">
        <v>22</v>
      </c>
      <c r="H3407" s="8">
        <v>9506100.5299999993</v>
      </c>
      <c r="I3407" s="8">
        <v>5555887.3899999997</v>
      </c>
      <c r="J3407" s="1">
        <f>IF(COUNTIF($C$4:C3407,C3407)=1,1,0)</f>
        <v>1</v>
      </c>
      <c r="K3407" s="1">
        <f t="shared" si="53"/>
        <v>2019</v>
      </c>
    </row>
    <row r="3408" spans="2:11" x14ac:dyDescent="0.45">
      <c r="B3408" s="1" t="s">
        <v>11</v>
      </c>
      <c r="C3408" s="1" t="s">
        <v>3384</v>
      </c>
      <c r="D3408" s="7">
        <v>43381</v>
      </c>
      <c r="E3408" s="7">
        <v>43402</v>
      </c>
      <c r="F3408" s="7">
        <v>43507</v>
      </c>
      <c r="G3408" s="1" t="s">
        <v>41</v>
      </c>
      <c r="H3408" s="8">
        <v>98659.24</v>
      </c>
      <c r="I3408" s="8">
        <v>85586.5</v>
      </c>
      <c r="J3408" s="1">
        <f>IF(COUNTIF($C$4:C3408,C3408)=1,1,0)</f>
        <v>1</v>
      </c>
      <c r="K3408" s="1">
        <f t="shared" si="53"/>
        <v>2018</v>
      </c>
    </row>
    <row r="3409" spans="2:11" x14ac:dyDescent="0.45">
      <c r="B3409" s="1" t="s">
        <v>11</v>
      </c>
      <c r="C3409" s="1" t="s">
        <v>3385</v>
      </c>
      <c r="D3409" s="7">
        <v>44556</v>
      </c>
      <c r="E3409" s="7">
        <v>44570</v>
      </c>
      <c r="F3409" s="7">
        <v>44784</v>
      </c>
      <c r="G3409" s="1" t="s">
        <v>212</v>
      </c>
      <c r="H3409" s="8">
        <v>127497537.3</v>
      </c>
      <c r="I3409" s="8">
        <v>76596579.920000002</v>
      </c>
      <c r="J3409" s="1">
        <f>IF(COUNTIF($C$4:C3409,C3409)=1,1,0)</f>
        <v>1</v>
      </c>
      <c r="K3409" s="1">
        <f t="shared" si="53"/>
        <v>2021</v>
      </c>
    </row>
    <row r="3410" spans="2:11" x14ac:dyDescent="0.45">
      <c r="B3410" s="1" t="s">
        <v>11</v>
      </c>
      <c r="C3410" s="1" t="s">
        <v>3386</v>
      </c>
      <c r="D3410" s="7">
        <v>43995</v>
      </c>
      <c r="E3410" s="7">
        <v>44024</v>
      </c>
      <c r="F3410" s="7">
        <v>44099</v>
      </c>
      <c r="G3410" s="1" t="s">
        <v>13</v>
      </c>
      <c r="H3410" s="8">
        <v>291513.27</v>
      </c>
      <c r="I3410" s="8">
        <v>232591.81</v>
      </c>
      <c r="J3410" s="1">
        <f>IF(COUNTIF($C$4:C3410,C3410)=1,1,0)</f>
        <v>1</v>
      </c>
      <c r="K3410" s="1">
        <f t="shared" si="53"/>
        <v>2020</v>
      </c>
    </row>
    <row r="3411" spans="2:11" x14ac:dyDescent="0.45">
      <c r="B3411" s="1" t="s">
        <v>11</v>
      </c>
      <c r="C3411" s="1" t="s">
        <v>3387</v>
      </c>
      <c r="D3411" s="7">
        <v>43737</v>
      </c>
      <c r="E3411" s="7">
        <v>43757</v>
      </c>
      <c r="F3411" s="7">
        <v>43785</v>
      </c>
      <c r="G3411" s="1" t="s">
        <v>41</v>
      </c>
      <c r="H3411" s="8">
        <v>721636.53</v>
      </c>
      <c r="I3411" s="8">
        <v>565756.66</v>
      </c>
      <c r="J3411" s="1">
        <f>IF(COUNTIF($C$4:C3411,C3411)=1,1,0)</f>
        <v>1</v>
      </c>
      <c r="K3411" s="1">
        <f t="shared" si="53"/>
        <v>2019</v>
      </c>
    </row>
    <row r="3412" spans="2:11" x14ac:dyDescent="0.45">
      <c r="B3412" s="1" t="s">
        <v>11</v>
      </c>
      <c r="C3412" s="1" t="s">
        <v>3388</v>
      </c>
      <c r="D3412" s="7">
        <v>44434</v>
      </c>
      <c r="E3412" s="7">
        <v>44442</v>
      </c>
      <c r="F3412" s="7">
        <v>44658</v>
      </c>
      <c r="G3412" s="1" t="s">
        <v>16</v>
      </c>
      <c r="H3412" s="8">
        <v>4791358.47</v>
      </c>
      <c r="I3412" s="8">
        <v>2586379.7400000002</v>
      </c>
      <c r="J3412" s="1">
        <f>IF(COUNTIF($C$4:C3412,C3412)=1,1,0)</f>
        <v>1</v>
      </c>
      <c r="K3412" s="1">
        <f t="shared" si="53"/>
        <v>2021</v>
      </c>
    </row>
    <row r="3413" spans="2:11" x14ac:dyDescent="0.45">
      <c r="B3413" s="1" t="s">
        <v>11</v>
      </c>
      <c r="C3413" s="1" t="s">
        <v>3389</v>
      </c>
      <c r="D3413" s="7">
        <v>43507</v>
      </c>
      <c r="E3413" s="7">
        <v>43520</v>
      </c>
      <c r="F3413" s="7">
        <v>43722</v>
      </c>
      <c r="G3413" s="1" t="s">
        <v>212</v>
      </c>
      <c r="H3413" s="8">
        <v>18965016.800000001</v>
      </c>
      <c r="I3413" s="8">
        <v>9682451.7100000009</v>
      </c>
      <c r="J3413" s="1">
        <f>IF(COUNTIF($C$4:C3413,C3413)=1,1,0)</f>
        <v>1</v>
      </c>
      <c r="K3413" s="1">
        <f t="shared" si="53"/>
        <v>2019</v>
      </c>
    </row>
    <row r="3414" spans="2:11" x14ac:dyDescent="0.45">
      <c r="B3414" s="1" t="s">
        <v>11</v>
      </c>
      <c r="C3414" s="1" t="s">
        <v>3390</v>
      </c>
      <c r="D3414" s="7">
        <v>44120</v>
      </c>
      <c r="E3414" s="7">
        <v>44128</v>
      </c>
      <c r="F3414" s="7">
        <v>44151</v>
      </c>
      <c r="G3414" s="1" t="s">
        <v>41</v>
      </c>
      <c r="H3414" s="8">
        <v>1045651.85</v>
      </c>
      <c r="I3414" s="8">
        <v>906358.51</v>
      </c>
      <c r="J3414" s="1">
        <f>IF(COUNTIF($C$4:C3414,C3414)=1,1,0)</f>
        <v>1</v>
      </c>
      <c r="K3414" s="1">
        <f t="shared" si="53"/>
        <v>2020</v>
      </c>
    </row>
    <row r="3415" spans="2:11" x14ac:dyDescent="0.45">
      <c r="B3415" s="1" t="s">
        <v>11</v>
      </c>
      <c r="C3415" s="1" t="s">
        <v>3391</v>
      </c>
      <c r="D3415" s="7">
        <v>43843</v>
      </c>
      <c r="E3415" s="7">
        <v>43858</v>
      </c>
      <c r="F3415" s="7">
        <v>43883</v>
      </c>
      <c r="G3415" s="1" t="s">
        <v>212</v>
      </c>
      <c r="H3415" s="8">
        <v>3861785.89</v>
      </c>
      <c r="I3415" s="8">
        <v>1937008.08</v>
      </c>
      <c r="J3415" s="1">
        <f>IF(COUNTIF($C$4:C3415,C3415)=1,1,0)</f>
        <v>1</v>
      </c>
      <c r="K3415" s="1">
        <f t="shared" si="53"/>
        <v>2020</v>
      </c>
    </row>
    <row r="3416" spans="2:11" x14ac:dyDescent="0.45">
      <c r="B3416" s="1" t="s">
        <v>11</v>
      </c>
      <c r="C3416" s="1" t="s">
        <v>3392</v>
      </c>
      <c r="D3416" s="7">
        <v>46232</v>
      </c>
      <c r="E3416" s="7">
        <v>46234</v>
      </c>
      <c r="F3416" s="7">
        <v>46288</v>
      </c>
      <c r="G3416" s="1" t="s">
        <v>20</v>
      </c>
      <c r="H3416" s="8">
        <v>581510.46</v>
      </c>
      <c r="I3416" s="8">
        <v>428378.66</v>
      </c>
      <c r="J3416" s="1">
        <f>IF(COUNTIF($C$4:C3416,C3416)=1,1,0)</f>
        <v>1</v>
      </c>
      <c r="K3416" s="1">
        <f t="shared" si="53"/>
        <v>2026</v>
      </c>
    </row>
    <row r="3417" spans="2:11" x14ac:dyDescent="0.45">
      <c r="B3417" s="1" t="s">
        <v>11</v>
      </c>
      <c r="C3417" s="1" t="s">
        <v>3393</v>
      </c>
      <c r="D3417" s="7">
        <v>43223</v>
      </c>
      <c r="E3417" s="7">
        <v>43253</v>
      </c>
      <c r="F3417" s="7">
        <v>43276</v>
      </c>
      <c r="G3417" s="1" t="s">
        <v>13</v>
      </c>
      <c r="H3417" s="8">
        <v>368116.04</v>
      </c>
      <c r="I3417" s="8">
        <v>267098.13</v>
      </c>
      <c r="J3417" s="1">
        <f>IF(COUNTIF($C$4:C3417,C3417)=1,1,0)</f>
        <v>1</v>
      </c>
      <c r="K3417" s="1">
        <f t="shared" si="53"/>
        <v>2018</v>
      </c>
    </row>
    <row r="3418" spans="2:11" x14ac:dyDescent="0.45">
      <c r="B3418" s="1" t="s">
        <v>11</v>
      </c>
      <c r="C3418" s="1" t="s">
        <v>3394</v>
      </c>
      <c r="D3418" s="7">
        <v>45841</v>
      </c>
      <c r="E3418" s="7">
        <v>45853</v>
      </c>
      <c r="F3418" s="7">
        <v>45902</v>
      </c>
      <c r="G3418" s="1" t="s">
        <v>20</v>
      </c>
      <c r="H3418" s="8">
        <v>480054.61</v>
      </c>
      <c r="I3418" s="8">
        <v>308698.09000000003</v>
      </c>
      <c r="J3418" s="1">
        <f>IF(COUNTIF($C$4:C3418,C3418)=1,1,0)</f>
        <v>1</v>
      </c>
      <c r="K3418" s="1">
        <f t="shared" si="53"/>
        <v>2025</v>
      </c>
    </row>
    <row r="3419" spans="2:11" x14ac:dyDescent="0.45">
      <c r="B3419" s="1" t="s">
        <v>11</v>
      </c>
      <c r="C3419" s="1" t="s">
        <v>3395</v>
      </c>
      <c r="D3419" s="7">
        <v>44605</v>
      </c>
      <c r="E3419" s="7">
        <v>44614</v>
      </c>
      <c r="F3419" s="7">
        <v>44664</v>
      </c>
      <c r="G3419" s="1" t="s">
        <v>18</v>
      </c>
      <c r="H3419" s="8">
        <v>5391966.25</v>
      </c>
      <c r="I3419" s="8">
        <v>3568039.19</v>
      </c>
      <c r="J3419" s="1">
        <f>IF(COUNTIF($C$4:C3419,C3419)=1,1,0)</f>
        <v>1</v>
      </c>
      <c r="K3419" s="1">
        <f t="shared" si="53"/>
        <v>2022</v>
      </c>
    </row>
    <row r="3420" spans="2:11" x14ac:dyDescent="0.45">
      <c r="B3420" s="1" t="s">
        <v>11</v>
      </c>
      <c r="C3420" s="1" t="s">
        <v>3396</v>
      </c>
      <c r="D3420" s="7">
        <v>45055</v>
      </c>
      <c r="E3420" s="7">
        <v>45060</v>
      </c>
      <c r="F3420" s="7">
        <v>45197</v>
      </c>
      <c r="G3420" s="1" t="s">
        <v>13</v>
      </c>
      <c r="H3420" s="8">
        <v>367858.84</v>
      </c>
      <c r="I3420" s="8">
        <v>279879.86</v>
      </c>
      <c r="J3420" s="1">
        <f>IF(COUNTIF($C$4:C3420,C3420)=1,1,0)</f>
        <v>1</v>
      </c>
      <c r="K3420" s="1">
        <f t="shared" si="53"/>
        <v>2023</v>
      </c>
    </row>
    <row r="3421" spans="2:11" x14ac:dyDescent="0.45">
      <c r="B3421" s="1" t="s">
        <v>11</v>
      </c>
      <c r="C3421" s="1" t="s">
        <v>3397</v>
      </c>
      <c r="D3421" s="7">
        <v>43840</v>
      </c>
      <c r="E3421" s="7">
        <v>43845</v>
      </c>
      <c r="F3421" s="7">
        <v>44005</v>
      </c>
      <c r="G3421" s="1" t="s">
        <v>22</v>
      </c>
      <c r="H3421" s="8">
        <v>22566907.670000002</v>
      </c>
      <c r="I3421" s="8">
        <v>14975844.26</v>
      </c>
      <c r="J3421" s="1">
        <f>IF(COUNTIF($C$4:C3421,C3421)=1,1,0)</f>
        <v>1</v>
      </c>
      <c r="K3421" s="1">
        <f t="shared" si="53"/>
        <v>2020</v>
      </c>
    </row>
    <row r="3422" spans="2:11" x14ac:dyDescent="0.45">
      <c r="B3422" s="1" t="s">
        <v>11</v>
      </c>
      <c r="C3422" s="1" t="s">
        <v>3398</v>
      </c>
      <c r="D3422" s="7">
        <v>45524</v>
      </c>
      <c r="E3422" s="7">
        <v>45532</v>
      </c>
      <c r="F3422" s="7">
        <v>45766</v>
      </c>
      <c r="G3422" s="1" t="s">
        <v>18</v>
      </c>
      <c r="H3422" s="8">
        <v>7981001.0700000003</v>
      </c>
      <c r="I3422" s="8">
        <v>7110047.3200000003</v>
      </c>
      <c r="J3422" s="1">
        <f>IF(COUNTIF($C$4:C3422,C3422)=1,1,0)</f>
        <v>1</v>
      </c>
      <c r="K3422" s="1">
        <f t="shared" si="53"/>
        <v>2024</v>
      </c>
    </row>
    <row r="3423" spans="2:11" x14ac:dyDescent="0.45">
      <c r="B3423" s="1" t="s">
        <v>11</v>
      </c>
      <c r="C3423" s="1" t="s">
        <v>3399</v>
      </c>
      <c r="D3423" s="7">
        <v>44616</v>
      </c>
      <c r="E3423" s="7">
        <v>44641</v>
      </c>
      <c r="F3423" s="7">
        <v>44692</v>
      </c>
      <c r="G3423" s="1" t="s">
        <v>212</v>
      </c>
      <c r="H3423" s="8">
        <v>41640930.259999998</v>
      </c>
      <c r="I3423" s="8">
        <v>24204906.129999999</v>
      </c>
      <c r="J3423" s="1">
        <f>IF(COUNTIF($C$4:C3423,C3423)=1,1,0)</f>
        <v>1</v>
      </c>
      <c r="K3423" s="1">
        <f t="shared" si="53"/>
        <v>2022</v>
      </c>
    </row>
    <row r="3424" spans="2:11" x14ac:dyDescent="0.45">
      <c r="B3424" s="1" t="s">
        <v>11</v>
      </c>
      <c r="C3424" s="1" t="s">
        <v>3400</v>
      </c>
      <c r="D3424" s="7">
        <v>43599</v>
      </c>
      <c r="E3424" s="7">
        <v>43601</v>
      </c>
      <c r="F3424" s="7">
        <v>43787</v>
      </c>
      <c r="G3424" s="1" t="s">
        <v>41</v>
      </c>
      <c r="H3424" s="8">
        <v>243134.13</v>
      </c>
      <c r="I3424" s="8">
        <v>203742.93</v>
      </c>
      <c r="J3424" s="1">
        <f>IF(COUNTIF($C$4:C3424,C3424)=1,1,0)</f>
        <v>1</v>
      </c>
      <c r="K3424" s="1">
        <f t="shared" si="53"/>
        <v>2019</v>
      </c>
    </row>
    <row r="3425" spans="2:11" x14ac:dyDescent="0.45">
      <c r="B3425" s="1" t="s">
        <v>11</v>
      </c>
      <c r="C3425" s="1" t="s">
        <v>3401</v>
      </c>
      <c r="D3425" s="7">
        <v>45505</v>
      </c>
      <c r="E3425" s="7">
        <v>45514</v>
      </c>
      <c r="F3425" s="7">
        <v>45626</v>
      </c>
      <c r="G3425" s="1" t="s">
        <v>41</v>
      </c>
      <c r="H3425" s="8">
        <v>114809.39</v>
      </c>
      <c r="I3425" s="8">
        <v>79409.23</v>
      </c>
      <c r="J3425" s="1">
        <f>IF(COUNTIF($C$4:C3425,C3425)=1,1,0)</f>
        <v>1</v>
      </c>
      <c r="K3425" s="1">
        <f t="shared" si="53"/>
        <v>2024</v>
      </c>
    </row>
    <row r="3426" spans="2:11" x14ac:dyDescent="0.45">
      <c r="B3426" s="1" t="s">
        <v>11</v>
      </c>
      <c r="C3426" s="1" t="s">
        <v>3402</v>
      </c>
      <c r="D3426" s="7">
        <v>44748</v>
      </c>
      <c r="E3426" s="7">
        <v>44772</v>
      </c>
      <c r="F3426" s="7">
        <v>44986</v>
      </c>
      <c r="G3426" s="1" t="s">
        <v>20</v>
      </c>
      <c r="H3426" s="8">
        <v>1218051.48</v>
      </c>
      <c r="I3426" s="8">
        <v>860199.4</v>
      </c>
      <c r="J3426" s="1">
        <f>IF(COUNTIF($C$4:C3426,C3426)=1,1,0)</f>
        <v>1</v>
      </c>
      <c r="K3426" s="1">
        <f t="shared" si="53"/>
        <v>2022</v>
      </c>
    </row>
    <row r="3427" spans="2:11" x14ac:dyDescent="0.45">
      <c r="B3427" s="1" t="s">
        <v>11</v>
      </c>
      <c r="C3427" s="1" t="s">
        <v>3403</v>
      </c>
      <c r="D3427" s="7">
        <v>46128</v>
      </c>
      <c r="E3427" s="7">
        <v>46154</v>
      </c>
      <c r="F3427" s="7">
        <v>46366</v>
      </c>
      <c r="G3427" s="1" t="s">
        <v>18</v>
      </c>
      <c r="H3427" s="8">
        <v>5605053.2000000002</v>
      </c>
      <c r="I3427" s="8">
        <v>4510116.43</v>
      </c>
      <c r="J3427" s="1">
        <f>IF(COUNTIF($C$4:C3427,C3427)=1,1,0)</f>
        <v>1</v>
      </c>
      <c r="K3427" s="1">
        <f t="shared" si="53"/>
        <v>2026</v>
      </c>
    </row>
    <row r="3428" spans="2:11" x14ac:dyDescent="0.45">
      <c r="B3428" s="1" t="s">
        <v>11</v>
      </c>
      <c r="C3428" s="1" t="s">
        <v>3404</v>
      </c>
      <c r="D3428" s="7">
        <v>45889</v>
      </c>
      <c r="E3428" s="7">
        <v>45901</v>
      </c>
      <c r="F3428" s="7">
        <v>46016</v>
      </c>
      <c r="G3428" s="1" t="s">
        <v>44</v>
      </c>
      <c r="H3428" s="8">
        <v>141799015</v>
      </c>
      <c r="I3428" s="8">
        <v>44297983.850000001</v>
      </c>
      <c r="J3428" s="1">
        <f>IF(COUNTIF($C$4:C3428,C3428)=1,1,0)</f>
        <v>1</v>
      </c>
      <c r="K3428" s="1">
        <f t="shared" si="53"/>
        <v>2025</v>
      </c>
    </row>
    <row r="3429" spans="2:11" x14ac:dyDescent="0.45">
      <c r="B3429" s="1" t="s">
        <v>11</v>
      </c>
      <c r="C3429" s="1" t="s">
        <v>3405</v>
      </c>
      <c r="D3429" s="7">
        <v>44821</v>
      </c>
      <c r="E3429" s="7">
        <v>44829</v>
      </c>
      <c r="F3429" s="7">
        <v>44952</v>
      </c>
      <c r="G3429" s="1" t="s">
        <v>16</v>
      </c>
      <c r="H3429" s="8">
        <v>4743397.16</v>
      </c>
      <c r="I3429" s="8">
        <v>2474631.1</v>
      </c>
      <c r="J3429" s="1">
        <f>IF(COUNTIF($C$4:C3429,C3429)=1,1,0)</f>
        <v>1</v>
      </c>
      <c r="K3429" s="1">
        <f t="shared" si="53"/>
        <v>2022</v>
      </c>
    </row>
    <row r="3430" spans="2:11" x14ac:dyDescent="0.45">
      <c r="B3430" s="1" t="s">
        <v>11</v>
      </c>
      <c r="C3430" s="1" t="s">
        <v>3406</v>
      </c>
      <c r="D3430" s="7">
        <v>44461</v>
      </c>
      <c r="E3430" s="7">
        <v>44478</v>
      </c>
      <c r="F3430" s="7">
        <v>44531</v>
      </c>
      <c r="G3430" s="1" t="s">
        <v>13</v>
      </c>
      <c r="H3430" s="8">
        <v>641458.74</v>
      </c>
      <c r="I3430" s="8">
        <v>477037.37</v>
      </c>
      <c r="J3430" s="1">
        <f>IF(COUNTIF($C$4:C3430,C3430)=1,1,0)</f>
        <v>1</v>
      </c>
      <c r="K3430" s="1">
        <f t="shared" si="53"/>
        <v>2021</v>
      </c>
    </row>
    <row r="3431" spans="2:11" x14ac:dyDescent="0.45">
      <c r="B3431" s="1" t="s">
        <v>11</v>
      </c>
      <c r="C3431" s="1" t="s">
        <v>3407</v>
      </c>
      <c r="D3431" s="7">
        <v>44173</v>
      </c>
      <c r="E3431" s="7">
        <v>44200</v>
      </c>
      <c r="F3431" s="7">
        <v>44270</v>
      </c>
      <c r="G3431" s="1" t="s">
        <v>212</v>
      </c>
      <c r="H3431" s="8">
        <v>10579823.609999999</v>
      </c>
      <c r="I3431" s="8">
        <v>3836103.8</v>
      </c>
      <c r="J3431" s="1">
        <f>IF(COUNTIF($C$4:C3431,C3431)=1,1,0)</f>
        <v>1</v>
      </c>
      <c r="K3431" s="1">
        <f t="shared" si="53"/>
        <v>2020</v>
      </c>
    </row>
    <row r="3432" spans="2:11" x14ac:dyDescent="0.45">
      <c r="B3432" s="1" t="s">
        <v>11</v>
      </c>
      <c r="C3432" s="1" t="s">
        <v>3408</v>
      </c>
      <c r="D3432" s="7">
        <v>43607</v>
      </c>
      <c r="E3432" s="7">
        <v>43629</v>
      </c>
      <c r="F3432" s="7">
        <v>43685</v>
      </c>
      <c r="G3432" s="1" t="s">
        <v>212</v>
      </c>
      <c r="H3432" s="8">
        <v>57348186.799999997</v>
      </c>
      <c r="I3432" s="8">
        <v>39642617.259999998</v>
      </c>
      <c r="J3432" s="1">
        <f>IF(COUNTIF($C$4:C3432,C3432)=1,1,0)</f>
        <v>1</v>
      </c>
      <c r="K3432" s="1">
        <f t="shared" si="53"/>
        <v>2019</v>
      </c>
    </row>
    <row r="3433" spans="2:11" x14ac:dyDescent="0.45">
      <c r="B3433" s="1" t="s">
        <v>11</v>
      </c>
      <c r="C3433" s="1" t="s">
        <v>3409</v>
      </c>
      <c r="D3433" s="7">
        <v>44349</v>
      </c>
      <c r="E3433" s="7">
        <v>44373</v>
      </c>
      <c r="F3433" s="7">
        <v>44611</v>
      </c>
      <c r="G3433" s="1" t="s">
        <v>44</v>
      </c>
      <c r="H3433" s="8">
        <v>460999576.39999998</v>
      </c>
      <c r="I3433" s="8">
        <v>111923798.56</v>
      </c>
      <c r="J3433" s="1">
        <f>IF(COUNTIF($C$4:C3433,C3433)=1,1,0)</f>
        <v>1</v>
      </c>
      <c r="K3433" s="1">
        <f t="shared" si="53"/>
        <v>2021</v>
      </c>
    </row>
    <row r="3434" spans="2:11" x14ac:dyDescent="0.45">
      <c r="B3434" s="1" t="s">
        <v>11</v>
      </c>
      <c r="C3434" s="1" t="s">
        <v>3410</v>
      </c>
      <c r="D3434" s="7">
        <v>45407</v>
      </c>
      <c r="E3434" s="7">
        <v>45415</v>
      </c>
      <c r="F3434" s="7">
        <v>45534</v>
      </c>
      <c r="G3434" s="1" t="s">
        <v>20</v>
      </c>
      <c r="H3434" s="8">
        <v>1097974.18</v>
      </c>
      <c r="I3434" s="8">
        <v>809712.04</v>
      </c>
      <c r="J3434" s="1">
        <f>IF(COUNTIF($C$4:C3434,C3434)=1,1,0)</f>
        <v>1</v>
      </c>
      <c r="K3434" s="1">
        <f t="shared" si="53"/>
        <v>2024</v>
      </c>
    </row>
    <row r="3435" spans="2:11" x14ac:dyDescent="0.45">
      <c r="B3435" s="1" t="s">
        <v>11</v>
      </c>
      <c r="C3435" s="1" t="s">
        <v>3411</v>
      </c>
      <c r="D3435" s="7">
        <v>45312</v>
      </c>
      <c r="E3435" s="7">
        <v>45327</v>
      </c>
      <c r="F3435" s="7">
        <v>45408</v>
      </c>
      <c r="G3435" s="1" t="s">
        <v>44</v>
      </c>
      <c r="H3435" s="8">
        <v>74299521.379999995</v>
      </c>
      <c r="I3435" s="8">
        <v>49934410.600000001</v>
      </c>
      <c r="J3435" s="1">
        <f>IF(COUNTIF($C$4:C3435,C3435)=1,1,0)</f>
        <v>1</v>
      </c>
      <c r="K3435" s="1">
        <f t="shared" si="53"/>
        <v>2024</v>
      </c>
    </row>
    <row r="3436" spans="2:11" x14ac:dyDescent="0.45">
      <c r="B3436" s="1" t="s">
        <v>11</v>
      </c>
      <c r="C3436" s="1" t="s">
        <v>3412</v>
      </c>
      <c r="D3436" s="7">
        <v>45847</v>
      </c>
      <c r="E3436" s="7">
        <v>45871</v>
      </c>
      <c r="F3436" s="7">
        <v>45914</v>
      </c>
      <c r="G3436" s="1" t="s">
        <v>41</v>
      </c>
      <c r="H3436" s="8">
        <v>348054.29</v>
      </c>
      <c r="I3436" s="8">
        <v>259595.45</v>
      </c>
      <c r="J3436" s="1">
        <f>IF(COUNTIF($C$4:C3436,C3436)=1,1,0)</f>
        <v>1</v>
      </c>
      <c r="K3436" s="1">
        <f t="shared" si="53"/>
        <v>2025</v>
      </c>
    </row>
    <row r="3437" spans="2:11" x14ac:dyDescent="0.45">
      <c r="B3437" s="1" t="s">
        <v>11</v>
      </c>
      <c r="C3437" s="1" t="s">
        <v>3413</v>
      </c>
      <c r="D3437" s="7">
        <v>44123</v>
      </c>
      <c r="E3437" s="7">
        <v>44133</v>
      </c>
      <c r="F3437" s="7">
        <v>44265</v>
      </c>
      <c r="G3437" s="1" t="s">
        <v>20</v>
      </c>
      <c r="H3437" s="8">
        <v>1164208.72</v>
      </c>
      <c r="I3437" s="8">
        <v>845945.73</v>
      </c>
      <c r="J3437" s="1">
        <f>IF(COUNTIF($C$4:C3437,C3437)=1,1,0)</f>
        <v>1</v>
      </c>
      <c r="K3437" s="1">
        <f t="shared" si="53"/>
        <v>2020</v>
      </c>
    </row>
    <row r="3438" spans="2:11" x14ac:dyDescent="0.45">
      <c r="B3438" s="1" t="s">
        <v>11</v>
      </c>
      <c r="C3438" s="1" t="s">
        <v>3414</v>
      </c>
      <c r="D3438" s="7">
        <v>44512</v>
      </c>
      <c r="E3438" s="7">
        <v>44517</v>
      </c>
      <c r="F3438" s="7">
        <v>44526</v>
      </c>
      <c r="G3438" s="1" t="s">
        <v>41</v>
      </c>
      <c r="H3438" s="8">
        <v>279805.96000000002</v>
      </c>
      <c r="I3438" s="8">
        <v>206176.99</v>
      </c>
      <c r="J3438" s="1">
        <f>IF(COUNTIF($C$4:C3438,C3438)=1,1,0)</f>
        <v>1</v>
      </c>
      <c r="K3438" s="1">
        <f t="shared" si="53"/>
        <v>2021</v>
      </c>
    </row>
    <row r="3439" spans="2:11" x14ac:dyDescent="0.45">
      <c r="B3439" s="1" t="s">
        <v>11</v>
      </c>
      <c r="C3439" s="1" t="s">
        <v>3415</v>
      </c>
      <c r="D3439" s="7">
        <v>45762</v>
      </c>
      <c r="E3439" s="7">
        <v>45792</v>
      </c>
      <c r="F3439" s="7">
        <v>45830</v>
      </c>
      <c r="G3439" s="1" t="s">
        <v>22</v>
      </c>
      <c r="H3439" s="8">
        <v>42295190.960000001</v>
      </c>
      <c r="I3439" s="8">
        <v>19261655.66</v>
      </c>
      <c r="J3439" s="1">
        <f>IF(COUNTIF($C$4:C3439,C3439)=1,1,0)</f>
        <v>1</v>
      </c>
      <c r="K3439" s="1">
        <f t="shared" si="53"/>
        <v>2025</v>
      </c>
    </row>
    <row r="3440" spans="2:11" x14ac:dyDescent="0.45">
      <c r="B3440" s="1" t="s">
        <v>11</v>
      </c>
      <c r="C3440" s="1" t="s">
        <v>3416</v>
      </c>
      <c r="D3440" s="7">
        <v>44017</v>
      </c>
      <c r="E3440" s="7">
        <v>44042</v>
      </c>
      <c r="F3440" s="7">
        <v>44262</v>
      </c>
      <c r="G3440" s="1" t="s">
        <v>13</v>
      </c>
      <c r="H3440" s="8">
        <v>430133.23</v>
      </c>
      <c r="I3440" s="8">
        <v>359309.72</v>
      </c>
      <c r="J3440" s="1">
        <f>IF(COUNTIF($C$4:C3440,C3440)=1,1,0)</f>
        <v>1</v>
      </c>
      <c r="K3440" s="1">
        <f t="shared" si="53"/>
        <v>2020</v>
      </c>
    </row>
    <row r="3441" spans="2:11" x14ac:dyDescent="0.45">
      <c r="B3441" s="1" t="s">
        <v>11</v>
      </c>
      <c r="C3441" s="1" t="s">
        <v>3417</v>
      </c>
      <c r="D3441" s="7">
        <v>44699</v>
      </c>
      <c r="E3441" s="7">
        <v>44699</v>
      </c>
      <c r="F3441" s="7">
        <v>44798</v>
      </c>
      <c r="G3441" s="1" t="s">
        <v>212</v>
      </c>
      <c r="H3441" s="8">
        <v>20384765.440000001</v>
      </c>
      <c r="I3441" s="8">
        <v>12968768.4</v>
      </c>
      <c r="J3441" s="1">
        <f>IF(COUNTIF($C$4:C3441,C3441)=1,1,0)</f>
        <v>1</v>
      </c>
      <c r="K3441" s="1">
        <f t="shared" si="53"/>
        <v>2022</v>
      </c>
    </row>
    <row r="3442" spans="2:11" x14ac:dyDescent="0.45">
      <c r="B3442" s="1" t="s">
        <v>11</v>
      </c>
      <c r="C3442" s="1" t="s">
        <v>3418</v>
      </c>
      <c r="D3442" s="7">
        <v>43921</v>
      </c>
      <c r="E3442" s="7">
        <v>43924</v>
      </c>
      <c r="F3442" s="7">
        <v>43947</v>
      </c>
      <c r="G3442" s="1" t="s">
        <v>20</v>
      </c>
      <c r="H3442" s="8">
        <v>3835959.88</v>
      </c>
      <c r="I3442" s="8">
        <v>2461353.2799999998</v>
      </c>
      <c r="J3442" s="1">
        <f>IF(COUNTIF($C$4:C3442,C3442)=1,1,0)</f>
        <v>1</v>
      </c>
      <c r="K3442" s="1">
        <f t="shared" si="53"/>
        <v>2020</v>
      </c>
    </row>
    <row r="3443" spans="2:11" x14ac:dyDescent="0.45">
      <c r="B3443" s="1" t="s">
        <v>11</v>
      </c>
      <c r="C3443" s="1" t="s">
        <v>3419</v>
      </c>
      <c r="D3443" s="7">
        <v>45537</v>
      </c>
      <c r="E3443" s="7">
        <v>45548</v>
      </c>
      <c r="F3443" s="7">
        <v>45745</v>
      </c>
      <c r="G3443" s="1" t="s">
        <v>22</v>
      </c>
      <c r="H3443" s="8">
        <v>12335054.99</v>
      </c>
      <c r="I3443" s="8">
        <v>6207693.5300000003</v>
      </c>
      <c r="J3443" s="1">
        <f>IF(COUNTIF($C$4:C3443,C3443)=1,1,0)</f>
        <v>1</v>
      </c>
      <c r="K3443" s="1">
        <f t="shared" si="53"/>
        <v>2024</v>
      </c>
    </row>
    <row r="3444" spans="2:11" x14ac:dyDescent="0.45">
      <c r="B3444" s="1" t="s">
        <v>11</v>
      </c>
      <c r="C3444" s="1" t="s">
        <v>3420</v>
      </c>
      <c r="D3444" s="7">
        <v>44430</v>
      </c>
      <c r="E3444" s="7">
        <v>44435</v>
      </c>
      <c r="F3444" s="7">
        <v>44559</v>
      </c>
      <c r="G3444" s="1" t="s">
        <v>44</v>
      </c>
      <c r="H3444" s="8">
        <v>229273500.38</v>
      </c>
      <c r="I3444" s="8">
        <v>78077860.450000003</v>
      </c>
      <c r="J3444" s="1">
        <f>IF(COUNTIF($C$4:C3444,C3444)=1,1,0)</f>
        <v>1</v>
      </c>
      <c r="K3444" s="1">
        <f t="shared" si="53"/>
        <v>2021</v>
      </c>
    </row>
    <row r="3445" spans="2:11" x14ac:dyDescent="0.45">
      <c r="B3445" s="1" t="s">
        <v>11</v>
      </c>
      <c r="C3445" s="1" t="s">
        <v>3421</v>
      </c>
      <c r="D3445" s="7">
        <v>45070</v>
      </c>
      <c r="E3445" s="7">
        <v>45075</v>
      </c>
      <c r="F3445" s="7">
        <v>45204</v>
      </c>
      <c r="G3445" s="1" t="s">
        <v>18</v>
      </c>
      <c r="H3445" s="8">
        <v>3813412.77</v>
      </c>
      <c r="I3445" s="8">
        <v>2532750.9500000002</v>
      </c>
      <c r="J3445" s="1">
        <f>IF(COUNTIF($C$4:C3445,C3445)=1,1,0)</f>
        <v>1</v>
      </c>
      <c r="K3445" s="1">
        <f t="shared" si="53"/>
        <v>2023</v>
      </c>
    </row>
    <row r="3446" spans="2:11" x14ac:dyDescent="0.45">
      <c r="B3446" s="1" t="s">
        <v>11</v>
      </c>
      <c r="C3446" s="1" t="s">
        <v>3422</v>
      </c>
      <c r="D3446" s="7">
        <v>45321</v>
      </c>
      <c r="E3446" s="7">
        <v>45340</v>
      </c>
      <c r="F3446" s="7">
        <v>45468</v>
      </c>
      <c r="G3446" s="1" t="s">
        <v>1348</v>
      </c>
      <c r="H3446" s="8">
        <v>28530445.699999999</v>
      </c>
      <c r="I3446" s="8">
        <v>11118766.4</v>
      </c>
      <c r="J3446" s="1">
        <f>IF(COUNTIF($C$4:C3446,C3446)=1,1,0)</f>
        <v>1</v>
      </c>
      <c r="K3446" s="1">
        <f t="shared" si="53"/>
        <v>2024</v>
      </c>
    </row>
    <row r="3447" spans="2:11" x14ac:dyDescent="0.45">
      <c r="B3447" s="1" t="s">
        <v>11</v>
      </c>
      <c r="C3447" s="1" t="s">
        <v>3423</v>
      </c>
      <c r="D3447" s="7">
        <v>45405</v>
      </c>
      <c r="E3447" s="7">
        <v>45430</v>
      </c>
      <c r="F3447" s="7">
        <v>45620</v>
      </c>
      <c r="G3447" s="1" t="s">
        <v>13</v>
      </c>
      <c r="H3447" s="8">
        <v>74826</v>
      </c>
      <c r="I3447" s="8">
        <v>49052.47</v>
      </c>
      <c r="J3447" s="1">
        <f>IF(COUNTIF($C$4:C3447,C3447)=1,1,0)</f>
        <v>1</v>
      </c>
      <c r="K3447" s="1">
        <f t="shared" si="53"/>
        <v>2024</v>
      </c>
    </row>
    <row r="3448" spans="2:11" x14ac:dyDescent="0.45">
      <c r="B3448" s="1" t="s">
        <v>11</v>
      </c>
      <c r="C3448" s="1" t="s">
        <v>3424</v>
      </c>
      <c r="D3448" s="7">
        <v>43582</v>
      </c>
      <c r="E3448" s="7">
        <v>43610</v>
      </c>
      <c r="F3448" s="7">
        <v>43696</v>
      </c>
      <c r="G3448" s="1" t="s">
        <v>1348</v>
      </c>
      <c r="H3448" s="8">
        <v>114043033.45</v>
      </c>
      <c r="I3448" s="8">
        <v>65633152.810000002</v>
      </c>
      <c r="J3448" s="1">
        <f>IF(COUNTIF($C$4:C3448,C3448)=1,1,0)</f>
        <v>1</v>
      </c>
      <c r="K3448" s="1">
        <f t="shared" si="53"/>
        <v>2019</v>
      </c>
    </row>
    <row r="3449" spans="2:11" x14ac:dyDescent="0.45">
      <c r="B3449" s="1" t="s">
        <v>11</v>
      </c>
      <c r="C3449" s="1" t="s">
        <v>3425</v>
      </c>
      <c r="D3449" s="7">
        <v>43175</v>
      </c>
      <c r="E3449" s="7">
        <v>43199</v>
      </c>
      <c r="F3449" s="7">
        <v>43206</v>
      </c>
      <c r="G3449" s="1" t="s">
        <v>22</v>
      </c>
      <c r="H3449" s="8">
        <v>14500186.77</v>
      </c>
      <c r="I3449" s="8">
        <v>8552029.5700000003</v>
      </c>
      <c r="J3449" s="1">
        <f>IF(COUNTIF($C$4:C3449,C3449)=1,1,0)</f>
        <v>1</v>
      </c>
      <c r="K3449" s="1">
        <f t="shared" si="53"/>
        <v>2018</v>
      </c>
    </row>
    <row r="3450" spans="2:11" x14ac:dyDescent="0.45">
      <c r="B3450" s="1" t="s">
        <v>11</v>
      </c>
      <c r="C3450" s="1" t="s">
        <v>3426</v>
      </c>
      <c r="D3450" s="7">
        <v>45042</v>
      </c>
      <c r="E3450" s="7">
        <v>45065</v>
      </c>
      <c r="F3450" s="7">
        <v>45086</v>
      </c>
      <c r="G3450" s="1" t="s">
        <v>1348</v>
      </c>
      <c r="H3450" s="8">
        <v>20290142.82</v>
      </c>
      <c r="I3450" s="8">
        <v>12889148.57</v>
      </c>
      <c r="J3450" s="1">
        <f>IF(COUNTIF($C$4:C3450,C3450)=1,1,0)</f>
        <v>1</v>
      </c>
      <c r="K3450" s="1">
        <f t="shared" si="53"/>
        <v>2023</v>
      </c>
    </row>
    <row r="3451" spans="2:11" x14ac:dyDescent="0.45">
      <c r="B3451" s="1" t="s">
        <v>11</v>
      </c>
      <c r="C3451" s="1" t="s">
        <v>3427</v>
      </c>
      <c r="D3451" s="7">
        <v>45344</v>
      </c>
      <c r="E3451" s="7">
        <v>45348</v>
      </c>
      <c r="F3451" s="7">
        <v>45542</v>
      </c>
      <c r="G3451" s="1" t="s">
        <v>20</v>
      </c>
      <c r="H3451" s="8">
        <v>1360649.47</v>
      </c>
      <c r="I3451" s="8">
        <v>1081099.72</v>
      </c>
      <c r="J3451" s="1">
        <f>IF(COUNTIF($C$4:C3451,C3451)=1,1,0)</f>
        <v>1</v>
      </c>
      <c r="K3451" s="1">
        <f t="shared" si="53"/>
        <v>2024</v>
      </c>
    </row>
    <row r="3452" spans="2:11" x14ac:dyDescent="0.45">
      <c r="B3452" s="1" t="s">
        <v>11</v>
      </c>
      <c r="C3452" s="1" t="s">
        <v>3428</v>
      </c>
      <c r="D3452" s="7">
        <v>45283</v>
      </c>
      <c r="E3452" s="7">
        <v>45297</v>
      </c>
      <c r="F3452" s="7">
        <v>45365</v>
      </c>
      <c r="G3452" s="1" t="s">
        <v>13</v>
      </c>
      <c r="H3452" s="8">
        <v>169037.67</v>
      </c>
      <c r="I3452" s="8">
        <v>119333.91</v>
      </c>
      <c r="J3452" s="1">
        <f>IF(COUNTIF($C$4:C3452,C3452)=1,1,0)</f>
        <v>1</v>
      </c>
      <c r="K3452" s="1">
        <f t="shared" si="53"/>
        <v>2023</v>
      </c>
    </row>
    <row r="3453" spans="2:11" x14ac:dyDescent="0.45">
      <c r="B3453" s="1" t="s">
        <v>11</v>
      </c>
      <c r="C3453" s="1" t="s">
        <v>3429</v>
      </c>
      <c r="D3453" s="7">
        <v>44726</v>
      </c>
      <c r="E3453" s="7">
        <v>44754</v>
      </c>
      <c r="F3453" s="7">
        <v>44994</v>
      </c>
      <c r="G3453" s="1" t="s">
        <v>38</v>
      </c>
      <c r="H3453" s="8">
        <v>205567.72</v>
      </c>
      <c r="I3453" s="8">
        <v>152536.18</v>
      </c>
      <c r="J3453" s="1">
        <f>IF(COUNTIF($C$4:C3453,C3453)=1,1,0)</f>
        <v>1</v>
      </c>
      <c r="K3453" s="1">
        <f t="shared" si="53"/>
        <v>2022</v>
      </c>
    </row>
    <row r="3454" spans="2:11" x14ac:dyDescent="0.45">
      <c r="B3454" s="1" t="s">
        <v>11</v>
      </c>
      <c r="C3454" s="1" t="s">
        <v>3430</v>
      </c>
      <c r="D3454" s="7">
        <v>43895</v>
      </c>
      <c r="E3454" s="7">
        <v>43913</v>
      </c>
      <c r="F3454" s="7">
        <v>44124</v>
      </c>
      <c r="G3454" s="1" t="s">
        <v>38</v>
      </c>
      <c r="H3454" s="8">
        <v>727592.53</v>
      </c>
      <c r="I3454" s="8">
        <v>606937.24</v>
      </c>
      <c r="J3454" s="1">
        <f>IF(COUNTIF($C$4:C3454,C3454)=1,1,0)</f>
        <v>1</v>
      </c>
      <c r="K3454" s="1">
        <f t="shared" si="53"/>
        <v>2020</v>
      </c>
    </row>
    <row r="3455" spans="2:11" x14ac:dyDescent="0.45">
      <c r="B3455" s="1" t="s">
        <v>11</v>
      </c>
      <c r="C3455" s="1" t="s">
        <v>3431</v>
      </c>
      <c r="D3455" s="7">
        <v>43484</v>
      </c>
      <c r="E3455" s="7">
        <v>43498</v>
      </c>
      <c r="F3455" s="7">
        <v>43531</v>
      </c>
      <c r="G3455" s="1" t="s">
        <v>16</v>
      </c>
      <c r="H3455" s="8">
        <v>2327394.7999999998</v>
      </c>
      <c r="I3455" s="8">
        <v>1347717.85</v>
      </c>
      <c r="J3455" s="1">
        <f>IF(COUNTIF($C$4:C3455,C3455)=1,1,0)</f>
        <v>1</v>
      </c>
      <c r="K3455" s="1">
        <f t="shared" si="53"/>
        <v>2019</v>
      </c>
    </row>
    <row r="3456" spans="2:11" x14ac:dyDescent="0.45">
      <c r="B3456" s="1" t="s">
        <v>11</v>
      </c>
      <c r="C3456" s="1" t="s">
        <v>3432</v>
      </c>
      <c r="D3456" s="7">
        <v>44320</v>
      </c>
      <c r="E3456" s="7">
        <v>44342</v>
      </c>
      <c r="F3456" s="7">
        <v>44421</v>
      </c>
      <c r="G3456" s="1" t="s">
        <v>16</v>
      </c>
      <c r="H3456" s="8">
        <v>5484317.6799999997</v>
      </c>
      <c r="I3456" s="8">
        <v>3289884.75</v>
      </c>
      <c r="J3456" s="1">
        <f>IF(COUNTIF($C$4:C3456,C3456)=1,1,0)</f>
        <v>1</v>
      </c>
      <c r="K3456" s="1">
        <f t="shared" si="53"/>
        <v>2021</v>
      </c>
    </row>
    <row r="3457" spans="2:11" x14ac:dyDescent="0.45">
      <c r="B3457" s="1" t="s">
        <v>11</v>
      </c>
      <c r="C3457" s="1" t="s">
        <v>3433</v>
      </c>
      <c r="D3457" s="7">
        <v>44828</v>
      </c>
      <c r="E3457" s="7">
        <v>44831</v>
      </c>
      <c r="F3457" s="7">
        <v>44892</v>
      </c>
      <c r="G3457" s="1" t="s">
        <v>212</v>
      </c>
      <c r="H3457" s="8">
        <v>21779385.039999999</v>
      </c>
      <c r="I3457" s="8">
        <v>10294931.060000001</v>
      </c>
      <c r="J3457" s="1">
        <f>IF(COUNTIF($C$4:C3457,C3457)=1,1,0)</f>
        <v>1</v>
      </c>
      <c r="K3457" s="1">
        <f t="shared" si="53"/>
        <v>2022</v>
      </c>
    </row>
    <row r="3458" spans="2:11" x14ac:dyDescent="0.45">
      <c r="B3458" s="1" t="s">
        <v>11</v>
      </c>
      <c r="C3458" s="1" t="s">
        <v>3434</v>
      </c>
      <c r="D3458" s="7">
        <v>45090</v>
      </c>
      <c r="E3458" s="7">
        <v>45108</v>
      </c>
      <c r="F3458" s="7">
        <v>45255</v>
      </c>
      <c r="G3458" s="1" t="s">
        <v>212</v>
      </c>
      <c r="H3458" s="8">
        <v>37145232.939999998</v>
      </c>
      <c r="I3458" s="8">
        <v>25062099.93</v>
      </c>
      <c r="J3458" s="1">
        <f>IF(COUNTIF($C$4:C3458,C3458)=1,1,0)</f>
        <v>1</v>
      </c>
      <c r="K3458" s="1">
        <f t="shared" si="53"/>
        <v>2023</v>
      </c>
    </row>
    <row r="3459" spans="2:11" x14ac:dyDescent="0.45">
      <c r="B3459" s="1" t="s">
        <v>11</v>
      </c>
      <c r="C3459" s="1" t="s">
        <v>3435</v>
      </c>
      <c r="D3459" s="7">
        <v>43302</v>
      </c>
      <c r="E3459" s="7">
        <v>43332</v>
      </c>
      <c r="F3459" s="7">
        <v>43354</v>
      </c>
      <c r="G3459" s="1" t="s">
        <v>13</v>
      </c>
      <c r="H3459" s="8">
        <v>1913234.37</v>
      </c>
      <c r="I3459" s="8">
        <v>1630473.79</v>
      </c>
      <c r="J3459" s="1">
        <f>IF(COUNTIF($C$4:C3459,C3459)=1,1,0)</f>
        <v>1</v>
      </c>
      <c r="K3459" s="1">
        <f t="shared" si="53"/>
        <v>2018</v>
      </c>
    </row>
    <row r="3460" spans="2:11" x14ac:dyDescent="0.45">
      <c r="B3460" s="1" t="s">
        <v>11</v>
      </c>
      <c r="C3460" s="1" t="s">
        <v>3436</v>
      </c>
      <c r="D3460" s="7">
        <v>43452</v>
      </c>
      <c r="E3460" s="7">
        <v>43474</v>
      </c>
      <c r="F3460" s="7">
        <v>43631</v>
      </c>
      <c r="G3460" s="1" t="s">
        <v>212</v>
      </c>
      <c r="H3460" s="8">
        <v>12196617.85</v>
      </c>
      <c r="I3460" s="8">
        <v>7211257.04</v>
      </c>
      <c r="J3460" s="1">
        <f>IF(COUNTIF($C$4:C3460,C3460)=1,1,0)</f>
        <v>1</v>
      </c>
      <c r="K3460" s="1">
        <f t="shared" si="53"/>
        <v>2018</v>
      </c>
    </row>
    <row r="3461" spans="2:11" x14ac:dyDescent="0.45">
      <c r="B3461" s="1" t="s">
        <v>11</v>
      </c>
      <c r="C3461" s="1" t="s">
        <v>3437</v>
      </c>
      <c r="D3461" s="7">
        <v>46041</v>
      </c>
      <c r="E3461" s="7">
        <v>46054</v>
      </c>
      <c r="F3461" s="7">
        <v>46143</v>
      </c>
      <c r="G3461" s="1" t="s">
        <v>16</v>
      </c>
      <c r="H3461" s="8">
        <v>3031582.96</v>
      </c>
      <c r="I3461" s="8">
        <v>1545682.14</v>
      </c>
      <c r="J3461" s="1">
        <f>IF(COUNTIF($C$4:C3461,C3461)=1,1,0)</f>
        <v>1</v>
      </c>
      <c r="K3461" s="1">
        <f t="shared" ref="K3461:K3524" si="54">YEAR(D3461)</f>
        <v>2026</v>
      </c>
    </row>
    <row r="3462" spans="2:11" x14ac:dyDescent="0.45">
      <c r="B3462" s="1" t="s">
        <v>11</v>
      </c>
      <c r="C3462" s="1" t="s">
        <v>3438</v>
      </c>
      <c r="D3462" s="7">
        <v>46038</v>
      </c>
      <c r="E3462" s="7">
        <v>46058</v>
      </c>
      <c r="F3462" s="7">
        <v>46218</v>
      </c>
      <c r="G3462" s="1" t="s">
        <v>18</v>
      </c>
      <c r="H3462" s="8">
        <v>7944336.1299999999</v>
      </c>
      <c r="I3462" s="8">
        <v>6476684.4800000004</v>
      </c>
      <c r="J3462" s="1">
        <f>IF(COUNTIF($C$4:C3462,C3462)=1,1,0)</f>
        <v>1</v>
      </c>
      <c r="K3462" s="1">
        <f t="shared" si="54"/>
        <v>2026</v>
      </c>
    </row>
    <row r="3463" spans="2:11" x14ac:dyDescent="0.45">
      <c r="B3463" s="1" t="s">
        <v>11</v>
      </c>
      <c r="C3463" s="1" t="s">
        <v>3439</v>
      </c>
      <c r="D3463" s="7">
        <v>44167</v>
      </c>
      <c r="E3463" s="7">
        <v>44194</v>
      </c>
      <c r="F3463" s="7">
        <v>44408</v>
      </c>
      <c r="G3463" s="1" t="s">
        <v>18</v>
      </c>
      <c r="H3463" s="8">
        <v>4444015.4800000004</v>
      </c>
      <c r="I3463" s="8">
        <v>3148963.23</v>
      </c>
      <c r="J3463" s="1">
        <f>IF(COUNTIF($C$4:C3463,C3463)=1,1,0)</f>
        <v>1</v>
      </c>
      <c r="K3463" s="1">
        <f t="shared" si="54"/>
        <v>2020</v>
      </c>
    </row>
    <row r="3464" spans="2:11" x14ac:dyDescent="0.45">
      <c r="B3464" s="1" t="s">
        <v>11</v>
      </c>
      <c r="C3464" s="1" t="s">
        <v>3440</v>
      </c>
      <c r="D3464" s="7">
        <v>44880</v>
      </c>
      <c r="E3464" s="7">
        <v>44899</v>
      </c>
      <c r="F3464" s="7">
        <v>45066</v>
      </c>
      <c r="G3464" s="1" t="s">
        <v>13</v>
      </c>
      <c r="H3464" s="8">
        <v>397292.33</v>
      </c>
      <c r="I3464" s="8">
        <v>281033.71000000002</v>
      </c>
      <c r="J3464" s="1">
        <f>IF(COUNTIF($C$4:C3464,C3464)=1,1,0)</f>
        <v>1</v>
      </c>
      <c r="K3464" s="1">
        <f t="shared" si="54"/>
        <v>2022</v>
      </c>
    </row>
    <row r="3465" spans="2:11" x14ac:dyDescent="0.45">
      <c r="B3465" s="1" t="s">
        <v>11</v>
      </c>
      <c r="C3465" s="1" t="s">
        <v>3441</v>
      </c>
      <c r="D3465" s="7">
        <v>45262</v>
      </c>
      <c r="E3465" s="7">
        <v>45292</v>
      </c>
      <c r="F3465" s="7">
        <v>45405</v>
      </c>
      <c r="G3465" s="1" t="s">
        <v>41</v>
      </c>
      <c r="H3465" s="8">
        <v>213372.03</v>
      </c>
      <c r="I3465" s="8">
        <v>163729.18</v>
      </c>
      <c r="J3465" s="1">
        <f>IF(COUNTIF($C$4:C3465,C3465)=1,1,0)</f>
        <v>1</v>
      </c>
      <c r="K3465" s="1">
        <f t="shared" si="54"/>
        <v>2023</v>
      </c>
    </row>
    <row r="3466" spans="2:11" x14ac:dyDescent="0.45">
      <c r="B3466" s="1" t="s">
        <v>11</v>
      </c>
      <c r="C3466" s="1" t="s">
        <v>3442</v>
      </c>
      <c r="D3466" s="7">
        <v>45249</v>
      </c>
      <c r="E3466" s="7">
        <v>45266</v>
      </c>
      <c r="F3466" s="7">
        <v>45374</v>
      </c>
      <c r="G3466" s="1" t="s">
        <v>16</v>
      </c>
      <c r="H3466" s="8">
        <v>1727110.97</v>
      </c>
      <c r="I3466" s="8">
        <v>996759.28</v>
      </c>
      <c r="J3466" s="1">
        <f>IF(COUNTIF($C$4:C3466,C3466)=1,1,0)</f>
        <v>1</v>
      </c>
      <c r="K3466" s="1">
        <f t="shared" si="54"/>
        <v>2023</v>
      </c>
    </row>
    <row r="3467" spans="2:11" x14ac:dyDescent="0.45">
      <c r="B3467" s="1" t="s">
        <v>11</v>
      </c>
      <c r="C3467" s="1" t="s">
        <v>3443</v>
      </c>
      <c r="D3467" s="7">
        <v>43432</v>
      </c>
      <c r="E3467" s="7">
        <v>43445</v>
      </c>
      <c r="F3467" s="7">
        <v>43577</v>
      </c>
      <c r="G3467" s="1" t="s">
        <v>41</v>
      </c>
      <c r="H3467" s="8">
        <v>922082.06</v>
      </c>
      <c r="I3467" s="8">
        <v>651118.97</v>
      </c>
      <c r="J3467" s="1">
        <f>IF(COUNTIF($C$4:C3467,C3467)=1,1,0)</f>
        <v>1</v>
      </c>
      <c r="K3467" s="1">
        <f t="shared" si="54"/>
        <v>2018</v>
      </c>
    </row>
    <row r="3468" spans="2:11" x14ac:dyDescent="0.45">
      <c r="B3468" s="1" t="s">
        <v>11</v>
      </c>
      <c r="C3468" s="1" t="s">
        <v>3444</v>
      </c>
      <c r="D3468" s="7">
        <v>43963</v>
      </c>
      <c r="E3468" s="7">
        <v>43980</v>
      </c>
      <c r="F3468" s="7">
        <v>44152</v>
      </c>
      <c r="G3468" s="1" t="s">
        <v>18</v>
      </c>
      <c r="H3468" s="8">
        <v>3362150.57</v>
      </c>
      <c r="I3468" s="8">
        <v>2927020.75</v>
      </c>
      <c r="J3468" s="1">
        <f>IF(COUNTIF($C$4:C3468,C3468)=1,1,0)</f>
        <v>1</v>
      </c>
      <c r="K3468" s="1">
        <f t="shared" si="54"/>
        <v>2020</v>
      </c>
    </row>
    <row r="3469" spans="2:11" x14ac:dyDescent="0.45">
      <c r="B3469" s="1" t="s">
        <v>11</v>
      </c>
      <c r="C3469" s="1" t="s">
        <v>3445</v>
      </c>
      <c r="D3469" s="7">
        <v>44295</v>
      </c>
      <c r="E3469" s="7">
        <v>44317</v>
      </c>
      <c r="F3469" s="7">
        <v>44390</v>
      </c>
      <c r="G3469" s="1" t="s">
        <v>38</v>
      </c>
      <c r="H3469" s="8">
        <v>430363.42</v>
      </c>
      <c r="I3469" s="8">
        <v>368661.65</v>
      </c>
      <c r="J3469" s="1">
        <f>IF(COUNTIF($C$4:C3469,C3469)=1,1,0)</f>
        <v>1</v>
      </c>
      <c r="K3469" s="1">
        <f t="shared" si="54"/>
        <v>2021</v>
      </c>
    </row>
    <row r="3470" spans="2:11" x14ac:dyDescent="0.45">
      <c r="B3470" s="1" t="s">
        <v>11</v>
      </c>
      <c r="C3470" s="1" t="s">
        <v>3446</v>
      </c>
      <c r="D3470" s="7">
        <v>44558</v>
      </c>
      <c r="E3470" s="7">
        <v>44577</v>
      </c>
      <c r="F3470" s="7">
        <v>44641</v>
      </c>
      <c r="G3470" s="1" t="s">
        <v>22</v>
      </c>
      <c r="H3470" s="8">
        <v>23129315.760000002</v>
      </c>
      <c r="I3470" s="8">
        <v>13801390.869999999</v>
      </c>
      <c r="J3470" s="1">
        <f>IF(COUNTIF($C$4:C3470,C3470)=1,1,0)</f>
        <v>1</v>
      </c>
      <c r="K3470" s="1">
        <f t="shared" si="54"/>
        <v>2021</v>
      </c>
    </row>
    <row r="3471" spans="2:11" x14ac:dyDescent="0.45">
      <c r="B3471" s="1" t="s">
        <v>11</v>
      </c>
      <c r="C3471" s="1" t="s">
        <v>3447</v>
      </c>
      <c r="D3471" s="7">
        <v>44814</v>
      </c>
      <c r="E3471" s="7">
        <v>44839</v>
      </c>
      <c r="F3471" s="7">
        <v>44866</v>
      </c>
      <c r="G3471" s="1" t="s">
        <v>38</v>
      </c>
      <c r="H3471" s="8">
        <v>975311.6</v>
      </c>
      <c r="I3471" s="8">
        <v>787750.88</v>
      </c>
      <c r="J3471" s="1">
        <f>IF(COUNTIF($C$4:C3471,C3471)=1,1,0)</f>
        <v>1</v>
      </c>
      <c r="K3471" s="1">
        <f t="shared" si="54"/>
        <v>2022</v>
      </c>
    </row>
    <row r="3472" spans="2:11" x14ac:dyDescent="0.45">
      <c r="B3472" s="1" t="s">
        <v>11</v>
      </c>
      <c r="C3472" s="1" t="s">
        <v>3448</v>
      </c>
      <c r="D3472" s="7">
        <v>44539</v>
      </c>
      <c r="E3472" s="7">
        <v>44568</v>
      </c>
      <c r="F3472" s="7">
        <v>44756</v>
      </c>
      <c r="G3472" s="1" t="s">
        <v>18</v>
      </c>
      <c r="H3472" s="8">
        <v>1009931.38</v>
      </c>
      <c r="I3472" s="8">
        <v>778845.77</v>
      </c>
      <c r="J3472" s="1">
        <f>IF(COUNTIF($C$4:C3472,C3472)=1,1,0)</f>
        <v>1</v>
      </c>
      <c r="K3472" s="1">
        <f t="shared" si="54"/>
        <v>2021</v>
      </c>
    </row>
    <row r="3473" spans="2:11" x14ac:dyDescent="0.45">
      <c r="B3473" s="1" t="s">
        <v>11</v>
      </c>
      <c r="C3473" s="1" t="s">
        <v>3449</v>
      </c>
      <c r="D3473" s="7">
        <v>46006</v>
      </c>
      <c r="E3473" s="7">
        <v>46006</v>
      </c>
      <c r="F3473" s="7">
        <v>46171</v>
      </c>
      <c r="G3473" s="1" t="s">
        <v>22</v>
      </c>
      <c r="H3473" s="8">
        <v>3438550.96</v>
      </c>
      <c r="I3473" s="8">
        <v>2478949</v>
      </c>
      <c r="J3473" s="1">
        <f>IF(COUNTIF($C$4:C3473,C3473)=1,1,0)</f>
        <v>1</v>
      </c>
      <c r="K3473" s="1">
        <f t="shared" si="54"/>
        <v>2025</v>
      </c>
    </row>
    <row r="3474" spans="2:11" x14ac:dyDescent="0.45">
      <c r="B3474" s="1" t="s">
        <v>11</v>
      </c>
      <c r="C3474" s="1" t="s">
        <v>3450</v>
      </c>
      <c r="D3474" s="7">
        <v>45693</v>
      </c>
      <c r="E3474" s="7">
        <v>45693</v>
      </c>
      <c r="F3474" s="7">
        <v>45817</v>
      </c>
      <c r="G3474" s="1" t="s">
        <v>18</v>
      </c>
      <c r="H3474" s="8">
        <v>2243116.94</v>
      </c>
      <c r="I3474" s="8">
        <v>1781879.12</v>
      </c>
      <c r="J3474" s="1">
        <f>IF(COUNTIF($C$4:C3474,C3474)=1,1,0)</f>
        <v>1</v>
      </c>
      <c r="K3474" s="1">
        <f t="shared" si="54"/>
        <v>2025</v>
      </c>
    </row>
    <row r="3475" spans="2:11" x14ac:dyDescent="0.45">
      <c r="B3475" s="1" t="s">
        <v>11</v>
      </c>
      <c r="C3475" s="1" t="s">
        <v>3451</v>
      </c>
      <c r="D3475" s="7">
        <v>43999</v>
      </c>
      <c r="E3475" s="7">
        <v>44007</v>
      </c>
      <c r="F3475" s="7">
        <v>44219</v>
      </c>
      <c r="G3475" s="1" t="s">
        <v>20</v>
      </c>
      <c r="H3475" s="8">
        <v>1134220.5</v>
      </c>
      <c r="I3475" s="8">
        <v>842848.13</v>
      </c>
      <c r="J3475" s="1">
        <f>IF(COUNTIF($C$4:C3475,C3475)=1,1,0)</f>
        <v>1</v>
      </c>
      <c r="K3475" s="1">
        <f t="shared" si="54"/>
        <v>2020</v>
      </c>
    </row>
    <row r="3476" spans="2:11" x14ac:dyDescent="0.45">
      <c r="B3476" s="1" t="s">
        <v>11</v>
      </c>
      <c r="C3476" s="1" t="s">
        <v>3452</v>
      </c>
      <c r="D3476" s="7">
        <v>45381</v>
      </c>
      <c r="E3476" s="7">
        <v>45387</v>
      </c>
      <c r="F3476" s="7">
        <v>45397</v>
      </c>
      <c r="G3476" s="1" t="s">
        <v>44</v>
      </c>
      <c r="H3476" s="8">
        <v>18083283.100000001</v>
      </c>
      <c r="I3476" s="8">
        <v>12386181.859999999</v>
      </c>
      <c r="J3476" s="1">
        <f>IF(COUNTIF($C$4:C3476,C3476)=1,1,0)</f>
        <v>1</v>
      </c>
      <c r="K3476" s="1">
        <f t="shared" si="54"/>
        <v>2024</v>
      </c>
    </row>
    <row r="3477" spans="2:11" x14ac:dyDescent="0.45">
      <c r="B3477" s="1" t="s">
        <v>11</v>
      </c>
      <c r="C3477" s="1" t="s">
        <v>3453</v>
      </c>
      <c r="D3477" s="7">
        <v>45925</v>
      </c>
      <c r="E3477" s="7">
        <v>45946</v>
      </c>
      <c r="F3477" s="7">
        <v>45974</v>
      </c>
      <c r="G3477" s="1" t="s">
        <v>212</v>
      </c>
      <c r="H3477" s="8">
        <v>51905986.439999998</v>
      </c>
      <c r="I3477" s="8">
        <v>13285459.65</v>
      </c>
      <c r="J3477" s="1">
        <f>IF(COUNTIF($C$4:C3477,C3477)=1,1,0)</f>
        <v>1</v>
      </c>
      <c r="K3477" s="1">
        <f t="shared" si="54"/>
        <v>2025</v>
      </c>
    </row>
    <row r="3478" spans="2:11" x14ac:dyDescent="0.45">
      <c r="B3478" s="1" t="s">
        <v>11</v>
      </c>
      <c r="C3478" s="1" t="s">
        <v>3454</v>
      </c>
      <c r="D3478" s="7">
        <v>44026</v>
      </c>
      <c r="E3478" s="7">
        <v>44052</v>
      </c>
      <c r="F3478" s="7">
        <v>44201</v>
      </c>
      <c r="G3478" s="1" t="s">
        <v>13</v>
      </c>
      <c r="H3478" s="8">
        <v>553577.66</v>
      </c>
      <c r="I3478" s="8">
        <v>464917.47</v>
      </c>
      <c r="J3478" s="1">
        <f>IF(COUNTIF($C$4:C3478,C3478)=1,1,0)</f>
        <v>1</v>
      </c>
      <c r="K3478" s="1">
        <f t="shared" si="54"/>
        <v>2020</v>
      </c>
    </row>
    <row r="3479" spans="2:11" x14ac:dyDescent="0.45">
      <c r="B3479" s="1" t="s">
        <v>11</v>
      </c>
      <c r="C3479" s="1" t="s">
        <v>3455</v>
      </c>
      <c r="D3479" s="7">
        <v>45693</v>
      </c>
      <c r="E3479" s="7">
        <v>45698</v>
      </c>
      <c r="F3479" s="7">
        <v>45886</v>
      </c>
      <c r="G3479" s="1" t="s">
        <v>20</v>
      </c>
      <c r="H3479" s="8">
        <v>4100320.45</v>
      </c>
      <c r="I3479" s="8">
        <v>2271459.9500000002</v>
      </c>
      <c r="J3479" s="1">
        <f>IF(COUNTIF($C$4:C3479,C3479)=1,1,0)</f>
        <v>1</v>
      </c>
      <c r="K3479" s="1">
        <f t="shared" si="54"/>
        <v>2025</v>
      </c>
    </row>
    <row r="3480" spans="2:11" x14ac:dyDescent="0.45">
      <c r="B3480" s="1" t="s">
        <v>11</v>
      </c>
      <c r="C3480" s="1" t="s">
        <v>3456</v>
      </c>
      <c r="D3480" s="7">
        <v>43390</v>
      </c>
      <c r="E3480" s="7">
        <v>43398</v>
      </c>
      <c r="F3480" s="7">
        <v>43447</v>
      </c>
      <c r="G3480" s="1" t="s">
        <v>16</v>
      </c>
      <c r="H3480" s="8">
        <v>11690853.109999999</v>
      </c>
      <c r="I3480" s="8">
        <v>8794766.7799999993</v>
      </c>
      <c r="J3480" s="1">
        <f>IF(COUNTIF($C$4:C3480,C3480)=1,1,0)</f>
        <v>1</v>
      </c>
      <c r="K3480" s="1">
        <f t="shared" si="54"/>
        <v>2018</v>
      </c>
    </row>
    <row r="3481" spans="2:11" x14ac:dyDescent="0.45">
      <c r="B3481" s="1" t="s">
        <v>11</v>
      </c>
      <c r="C3481" s="1" t="s">
        <v>3457</v>
      </c>
      <c r="D3481" s="7">
        <v>46293</v>
      </c>
      <c r="E3481" s="7">
        <v>46299</v>
      </c>
      <c r="F3481" s="7">
        <v>46332</v>
      </c>
      <c r="G3481" s="1" t="s">
        <v>41</v>
      </c>
      <c r="H3481" s="8">
        <v>268263.88</v>
      </c>
      <c r="I3481" s="8">
        <v>204941.07</v>
      </c>
      <c r="J3481" s="1">
        <f>IF(COUNTIF($C$4:C3481,C3481)=1,1,0)</f>
        <v>1</v>
      </c>
      <c r="K3481" s="1">
        <f t="shared" si="54"/>
        <v>2026</v>
      </c>
    </row>
    <row r="3482" spans="2:11" x14ac:dyDescent="0.45">
      <c r="B3482" s="1" t="s">
        <v>11</v>
      </c>
      <c r="C3482" s="1" t="s">
        <v>3458</v>
      </c>
      <c r="D3482" s="7">
        <v>45137</v>
      </c>
      <c r="E3482" s="7">
        <v>45139</v>
      </c>
      <c r="F3482" s="7">
        <v>45208</v>
      </c>
      <c r="G3482" s="1" t="s">
        <v>22</v>
      </c>
      <c r="H3482" s="8">
        <v>9910687.6899999995</v>
      </c>
      <c r="I3482" s="8">
        <v>3543728.22</v>
      </c>
      <c r="J3482" s="1">
        <f>IF(COUNTIF($C$4:C3482,C3482)=1,1,0)</f>
        <v>1</v>
      </c>
      <c r="K3482" s="1">
        <f t="shared" si="54"/>
        <v>2023</v>
      </c>
    </row>
    <row r="3483" spans="2:11" x14ac:dyDescent="0.45">
      <c r="B3483" s="1" t="s">
        <v>11</v>
      </c>
      <c r="C3483" s="1" t="s">
        <v>3459</v>
      </c>
      <c r="D3483" s="7">
        <v>44960</v>
      </c>
      <c r="E3483" s="7">
        <v>44986</v>
      </c>
      <c r="F3483" s="7">
        <v>45055</v>
      </c>
      <c r="G3483" s="1" t="s">
        <v>212</v>
      </c>
      <c r="H3483" s="8">
        <v>7574298.0800000001</v>
      </c>
      <c r="I3483" s="8">
        <v>5196192.99</v>
      </c>
      <c r="J3483" s="1">
        <f>IF(COUNTIF($C$4:C3483,C3483)=1,1,0)</f>
        <v>1</v>
      </c>
      <c r="K3483" s="1">
        <f t="shared" si="54"/>
        <v>2023</v>
      </c>
    </row>
    <row r="3484" spans="2:11" x14ac:dyDescent="0.45">
      <c r="B3484" s="1" t="s">
        <v>11</v>
      </c>
      <c r="C3484" s="1" t="s">
        <v>3460</v>
      </c>
      <c r="D3484" s="7">
        <v>44321</v>
      </c>
      <c r="E3484" s="7">
        <v>44333</v>
      </c>
      <c r="F3484" s="7">
        <v>44571</v>
      </c>
      <c r="G3484" s="1" t="s">
        <v>22</v>
      </c>
      <c r="H3484" s="8">
        <v>19571075.640000001</v>
      </c>
      <c r="I3484" s="8">
        <v>13821466.42</v>
      </c>
      <c r="J3484" s="1">
        <f>IF(COUNTIF($C$4:C3484,C3484)=1,1,0)</f>
        <v>1</v>
      </c>
      <c r="K3484" s="1">
        <f t="shared" si="54"/>
        <v>2021</v>
      </c>
    </row>
    <row r="3485" spans="2:11" x14ac:dyDescent="0.45">
      <c r="B3485" s="1" t="s">
        <v>11</v>
      </c>
      <c r="C3485" s="1" t="s">
        <v>3461</v>
      </c>
      <c r="D3485" s="7">
        <v>44660</v>
      </c>
      <c r="E3485" s="7">
        <v>44687</v>
      </c>
      <c r="F3485" s="7">
        <v>44820</v>
      </c>
      <c r="G3485" s="1" t="s">
        <v>44</v>
      </c>
      <c r="H3485" s="8">
        <v>534932320.06999999</v>
      </c>
      <c r="I3485" s="8">
        <v>318579004.74000001</v>
      </c>
      <c r="J3485" s="1">
        <f>IF(COUNTIF($C$4:C3485,C3485)=1,1,0)</f>
        <v>1</v>
      </c>
      <c r="K3485" s="1">
        <f t="shared" si="54"/>
        <v>2022</v>
      </c>
    </row>
    <row r="3486" spans="2:11" x14ac:dyDescent="0.45">
      <c r="B3486" s="1" t="s">
        <v>11</v>
      </c>
      <c r="C3486" s="1" t="s">
        <v>3462</v>
      </c>
      <c r="D3486" s="7">
        <v>43468</v>
      </c>
      <c r="E3486" s="7">
        <v>43474</v>
      </c>
      <c r="F3486" s="7">
        <v>43713</v>
      </c>
      <c r="G3486" s="1" t="s">
        <v>212</v>
      </c>
      <c r="H3486" s="8">
        <v>8819052.7200000007</v>
      </c>
      <c r="I3486" s="8">
        <v>4127525.85</v>
      </c>
      <c r="J3486" s="1">
        <f>IF(COUNTIF($C$4:C3486,C3486)=1,1,0)</f>
        <v>1</v>
      </c>
      <c r="K3486" s="1">
        <f t="shared" si="54"/>
        <v>2019</v>
      </c>
    </row>
    <row r="3487" spans="2:11" x14ac:dyDescent="0.45">
      <c r="B3487" s="1" t="s">
        <v>11</v>
      </c>
      <c r="C3487" s="1" t="s">
        <v>3463</v>
      </c>
      <c r="D3487" s="7">
        <v>45250</v>
      </c>
      <c r="E3487" s="7">
        <v>45278</v>
      </c>
      <c r="F3487" s="7">
        <v>45351</v>
      </c>
      <c r="G3487" s="1" t="s">
        <v>41</v>
      </c>
      <c r="H3487" s="8">
        <v>143326.65</v>
      </c>
      <c r="I3487" s="8">
        <v>115627.18</v>
      </c>
      <c r="J3487" s="1">
        <f>IF(COUNTIF($C$4:C3487,C3487)=1,1,0)</f>
        <v>1</v>
      </c>
      <c r="K3487" s="1">
        <f t="shared" si="54"/>
        <v>2023</v>
      </c>
    </row>
    <row r="3488" spans="2:11" x14ac:dyDescent="0.45">
      <c r="B3488" s="1" t="s">
        <v>11</v>
      </c>
      <c r="C3488" s="1" t="s">
        <v>3464</v>
      </c>
      <c r="D3488" s="7">
        <v>45905</v>
      </c>
      <c r="E3488" s="7">
        <v>45934</v>
      </c>
      <c r="F3488" s="7">
        <v>45957</v>
      </c>
      <c r="G3488" s="1" t="s">
        <v>212</v>
      </c>
      <c r="H3488" s="8">
        <v>8013160.1699999999</v>
      </c>
      <c r="I3488" s="8">
        <v>4489150.9000000004</v>
      </c>
      <c r="J3488" s="1">
        <f>IF(COUNTIF($C$4:C3488,C3488)=1,1,0)</f>
        <v>1</v>
      </c>
      <c r="K3488" s="1">
        <f t="shared" si="54"/>
        <v>2025</v>
      </c>
    </row>
    <row r="3489" spans="2:11" x14ac:dyDescent="0.45">
      <c r="B3489" s="1" t="s">
        <v>11</v>
      </c>
      <c r="C3489" s="1" t="s">
        <v>3465</v>
      </c>
      <c r="D3489" s="7">
        <v>44481</v>
      </c>
      <c r="E3489" s="7">
        <v>44508</v>
      </c>
      <c r="F3489" s="7">
        <v>44737</v>
      </c>
      <c r="G3489" s="1" t="s">
        <v>16</v>
      </c>
      <c r="H3489" s="8">
        <v>1444841.01</v>
      </c>
      <c r="I3489" s="8">
        <v>1055926.19</v>
      </c>
      <c r="J3489" s="1">
        <f>IF(COUNTIF($C$4:C3489,C3489)=1,1,0)</f>
        <v>1</v>
      </c>
      <c r="K3489" s="1">
        <f t="shared" si="54"/>
        <v>2021</v>
      </c>
    </row>
    <row r="3490" spans="2:11" x14ac:dyDescent="0.45">
      <c r="B3490" s="1" t="s">
        <v>11</v>
      </c>
      <c r="C3490" s="1" t="s">
        <v>3466</v>
      </c>
      <c r="D3490" s="7">
        <v>44991</v>
      </c>
      <c r="E3490" s="7">
        <v>44992</v>
      </c>
      <c r="F3490" s="7">
        <v>45002</v>
      </c>
      <c r="G3490" s="1" t="s">
        <v>44</v>
      </c>
      <c r="H3490" s="8">
        <v>27783967.32</v>
      </c>
      <c r="I3490" s="8">
        <v>11484814.48</v>
      </c>
      <c r="J3490" s="1">
        <f>IF(COUNTIF($C$4:C3490,C3490)=1,1,0)</f>
        <v>1</v>
      </c>
      <c r="K3490" s="1">
        <f t="shared" si="54"/>
        <v>2023</v>
      </c>
    </row>
    <row r="3491" spans="2:11" x14ac:dyDescent="0.45">
      <c r="B3491" s="1" t="s">
        <v>11</v>
      </c>
      <c r="C3491" s="1" t="s">
        <v>3467</v>
      </c>
      <c r="D3491" s="7">
        <v>45678</v>
      </c>
      <c r="E3491" s="7">
        <v>45704</v>
      </c>
      <c r="F3491" s="7">
        <v>45836</v>
      </c>
      <c r="G3491" s="1" t="s">
        <v>20</v>
      </c>
      <c r="H3491" s="8">
        <v>405786.09</v>
      </c>
      <c r="I3491" s="8">
        <v>286480.63</v>
      </c>
      <c r="J3491" s="1">
        <f>IF(COUNTIF($C$4:C3491,C3491)=1,1,0)</f>
        <v>1</v>
      </c>
      <c r="K3491" s="1">
        <f t="shared" si="54"/>
        <v>2025</v>
      </c>
    </row>
    <row r="3492" spans="2:11" x14ac:dyDescent="0.45">
      <c r="B3492" s="1" t="s">
        <v>11</v>
      </c>
      <c r="C3492" s="1" t="s">
        <v>3468</v>
      </c>
      <c r="D3492" s="7">
        <v>45367</v>
      </c>
      <c r="E3492" s="7">
        <v>45367</v>
      </c>
      <c r="F3492" s="7">
        <v>45470</v>
      </c>
      <c r="G3492" s="1" t="s">
        <v>212</v>
      </c>
      <c r="H3492" s="8">
        <v>5315953.1100000003</v>
      </c>
      <c r="I3492" s="8">
        <v>2787764.11</v>
      </c>
      <c r="J3492" s="1">
        <f>IF(COUNTIF($C$4:C3492,C3492)=1,1,0)</f>
        <v>1</v>
      </c>
      <c r="K3492" s="1">
        <f t="shared" si="54"/>
        <v>2024</v>
      </c>
    </row>
    <row r="3493" spans="2:11" x14ac:dyDescent="0.45">
      <c r="B3493" s="1" t="s">
        <v>11</v>
      </c>
      <c r="C3493" s="1" t="s">
        <v>3469</v>
      </c>
      <c r="D3493" s="7">
        <v>45754</v>
      </c>
      <c r="E3493" s="7">
        <v>45754</v>
      </c>
      <c r="F3493" s="7">
        <v>45969</v>
      </c>
      <c r="G3493" s="1" t="s">
        <v>212</v>
      </c>
      <c r="H3493" s="8">
        <v>25500926.109999999</v>
      </c>
      <c r="I3493" s="8">
        <v>15223074.4</v>
      </c>
      <c r="J3493" s="1">
        <f>IF(COUNTIF($C$4:C3493,C3493)=1,1,0)</f>
        <v>1</v>
      </c>
      <c r="K3493" s="1">
        <f t="shared" si="54"/>
        <v>2025</v>
      </c>
    </row>
    <row r="3494" spans="2:11" x14ac:dyDescent="0.45">
      <c r="B3494" s="1" t="s">
        <v>11</v>
      </c>
      <c r="C3494" s="1" t="s">
        <v>3470</v>
      </c>
      <c r="D3494" s="7">
        <v>45812</v>
      </c>
      <c r="E3494" s="7">
        <v>45831</v>
      </c>
      <c r="F3494" s="7">
        <v>45965</v>
      </c>
      <c r="G3494" s="1" t="s">
        <v>41</v>
      </c>
      <c r="H3494" s="8">
        <v>96794.7</v>
      </c>
      <c r="I3494" s="8">
        <v>80599.97</v>
      </c>
      <c r="J3494" s="1">
        <f>IF(COUNTIF($C$4:C3494,C3494)=1,1,0)</f>
        <v>1</v>
      </c>
      <c r="K3494" s="1">
        <f t="shared" si="54"/>
        <v>2025</v>
      </c>
    </row>
    <row r="3495" spans="2:11" x14ac:dyDescent="0.45">
      <c r="B3495" s="1" t="s">
        <v>11</v>
      </c>
      <c r="C3495" s="1" t="s">
        <v>3471</v>
      </c>
      <c r="D3495" s="7">
        <v>45467</v>
      </c>
      <c r="E3495" s="7">
        <v>45483</v>
      </c>
      <c r="F3495" s="7">
        <v>45646</v>
      </c>
      <c r="G3495" s="1" t="s">
        <v>41</v>
      </c>
      <c r="H3495" s="8">
        <v>302953.31</v>
      </c>
      <c r="I3495" s="8">
        <v>219886.9</v>
      </c>
      <c r="J3495" s="1">
        <f>IF(COUNTIF($C$4:C3495,C3495)=1,1,0)</f>
        <v>1</v>
      </c>
      <c r="K3495" s="1">
        <f t="shared" si="54"/>
        <v>2024</v>
      </c>
    </row>
    <row r="3496" spans="2:11" x14ac:dyDescent="0.45">
      <c r="B3496" s="1" t="s">
        <v>11</v>
      </c>
      <c r="C3496" s="1" t="s">
        <v>3472</v>
      </c>
      <c r="D3496" s="7">
        <v>44647</v>
      </c>
      <c r="E3496" s="7">
        <v>44655</v>
      </c>
      <c r="F3496" s="7">
        <v>44807</v>
      </c>
      <c r="G3496" s="1" t="s">
        <v>212</v>
      </c>
      <c r="H3496" s="8">
        <v>1474847.36</v>
      </c>
      <c r="I3496" s="8">
        <v>763889.58</v>
      </c>
      <c r="J3496" s="1">
        <f>IF(COUNTIF($C$4:C3496,C3496)=1,1,0)</f>
        <v>1</v>
      </c>
      <c r="K3496" s="1">
        <f t="shared" si="54"/>
        <v>2022</v>
      </c>
    </row>
    <row r="3497" spans="2:11" x14ac:dyDescent="0.45">
      <c r="B3497" s="1" t="s">
        <v>11</v>
      </c>
      <c r="C3497" s="1" t="s">
        <v>3473</v>
      </c>
      <c r="D3497" s="7">
        <v>44349</v>
      </c>
      <c r="E3497" s="7">
        <v>44354</v>
      </c>
      <c r="F3497" s="7">
        <v>44425</v>
      </c>
      <c r="G3497" s="1" t="s">
        <v>38</v>
      </c>
      <c r="H3497" s="8">
        <v>127624.86</v>
      </c>
      <c r="I3497" s="8">
        <v>97114.8</v>
      </c>
      <c r="J3497" s="1">
        <f>IF(COUNTIF($C$4:C3497,C3497)=1,1,0)</f>
        <v>1</v>
      </c>
      <c r="K3497" s="1">
        <f t="shared" si="54"/>
        <v>2021</v>
      </c>
    </row>
    <row r="3498" spans="2:11" x14ac:dyDescent="0.45">
      <c r="B3498" s="1" t="s">
        <v>11</v>
      </c>
      <c r="C3498" s="1" t="s">
        <v>3474</v>
      </c>
      <c r="D3498" s="7">
        <v>44110</v>
      </c>
      <c r="E3498" s="7">
        <v>44113</v>
      </c>
      <c r="F3498" s="7">
        <v>44137</v>
      </c>
      <c r="G3498" s="1" t="s">
        <v>20</v>
      </c>
      <c r="H3498" s="8">
        <v>836248.86</v>
      </c>
      <c r="I3498" s="8">
        <v>590068.85</v>
      </c>
      <c r="J3498" s="1">
        <f>IF(COUNTIF($C$4:C3498,C3498)=1,1,0)</f>
        <v>1</v>
      </c>
      <c r="K3498" s="1">
        <f t="shared" si="54"/>
        <v>2020</v>
      </c>
    </row>
    <row r="3499" spans="2:11" x14ac:dyDescent="0.45">
      <c r="B3499" s="1" t="s">
        <v>11</v>
      </c>
      <c r="C3499" s="1" t="s">
        <v>3475</v>
      </c>
      <c r="D3499" s="7">
        <v>43451</v>
      </c>
      <c r="E3499" s="7">
        <v>43467</v>
      </c>
      <c r="F3499" s="7">
        <v>43490</v>
      </c>
      <c r="G3499" s="1" t="s">
        <v>13</v>
      </c>
      <c r="H3499" s="8">
        <v>151661.49</v>
      </c>
      <c r="I3499" s="8">
        <v>93149.07</v>
      </c>
      <c r="J3499" s="1">
        <f>IF(COUNTIF($C$4:C3499,C3499)=1,1,0)</f>
        <v>1</v>
      </c>
      <c r="K3499" s="1">
        <f t="shared" si="54"/>
        <v>2018</v>
      </c>
    </row>
    <row r="3500" spans="2:11" x14ac:dyDescent="0.45">
      <c r="B3500" s="1" t="s">
        <v>11</v>
      </c>
      <c r="C3500" s="1" t="s">
        <v>3476</v>
      </c>
      <c r="D3500" s="7">
        <v>45853</v>
      </c>
      <c r="E3500" s="7">
        <v>45875</v>
      </c>
      <c r="F3500" s="7">
        <v>45965</v>
      </c>
      <c r="G3500" s="1" t="s">
        <v>13</v>
      </c>
      <c r="H3500" s="8">
        <v>294952.32000000001</v>
      </c>
      <c r="I3500" s="8">
        <v>232685.75</v>
      </c>
      <c r="J3500" s="1">
        <f>IF(COUNTIF($C$4:C3500,C3500)=1,1,0)</f>
        <v>1</v>
      </c>
      <c r="K3500" s="1">
        <f t="shared" si="54"/>
        <v>2025</v>
      </c>
    </row>
    <row r="3501" spans="2:11" x14ac:dyDescent="0.45">
      <c r="B3501" s="1" t="s">
        <v>11</v>
      </c>
      <c r="C3501" s="1" t="s">
        <v>3477</v>
      </c>
      <c r="D3501" s="7">
        <v>44539</v>
      </c>
      <c r="E3501" s="7">
        <v>44554</v>
      </c>
      <c r="F3501" s="7">
        <v>44711</v>
      </c>
      <c r="G3501" s="1" t="s">
        <v>41</v>
      </c>
      <c r="H3501" s="8">
        <v>1195748.8500000001</v>
      </c>
      <c r="I3501" s="8">
        <v>976568.06</v>
      </c>
      <c r="J3501" s="1">
        <f>IF(COUNTIF($C$4:C3501,C3501)=1,1,0)</f>
        <v>1</v>
      </c>
      <c r="K3501" s="1">
        <f t="shared" si="54"/>
        <v>2021</v>
      </c>
    </row>
    <row r="3502" spans="2:11" x14ac:dyDescent="0.45">
      <c r="B3502" s="1" t="s">
        <v>11</v>
      </c>
      <c r="C3502" s="1" t="s">
        <v>3478</v>
      </c>
      <c r="D3502" s="7">
        <v>45893</v>
      </c>
      <c r="E3502" s="7">
        <v>45900</v>
      </c>
      <c r="F3502" s="7">
        <v>45987</v>
      </c>
      <c r="G3502" s="1" t="s">
        <v>22</v>
      </c>
      <c r="H3502" s="8">
        <v>34743395.299999997</v>
      </c>
      <c r="I3502" s="8">
        <v>15003099.640000001</v>
      </c>
      <c r="J3502" s="1">
        <f>IF(COUNTIF($C$4:C3502,C3502)=1,1,0)</f>
        <v>1</v>
      </c>
      <c r="K3502" s="1">
        <f t="shared" si="54"/>
        <v>2025</v>
      </c>
    </row>
    <row r="3503" spans="2:11" x14ac:dyDescent="0.45">
      <c r="B3503" s="1" t="s">
        <v>11</v>
      </c>
      <c r="C3503" s="1" t="s">
        <v>3479</v>
      </c>
      <c r="D3503" s="7">
        <v>45814</v>
      </c>
      <c r="E3503" s="7">
        <v>45840</v>
      </c>
      <c r="F3503" s="7">
        <v>45912</v>
      </c>
      <c r="G3503" s="1" t="s">
        <v>44</v>
      </c>
      <c r="H3503" s="8">
        <v>44854673.890000001</v>
      </c>
      <c r="I3503" s="8">
        <v>29060994.48</v>
      </c>
      <c r="J3503" s="1">
        <f>IF(COUNTIF($C$4:C3503,C3503)=1,1,0)</f>
        <v>1</v>
      </c>
      <c r="K3503" s="1">
        <f t="shared" si="54"/>
        <v>2025</v>
      </c>
    </row>
    <row r="3504" spans="2:11" x14ac:dyDescent="0.45">
      <c r="B3504" s="1" t="s">
        <v>11</v>
      </c>
      <c r="C3504" s="1" t="s">
        <v>3480</v>
      </c>
      <c r="D3504" s="7">
        <v>44999</v>
      </c>
      <c r="E3504" s="7">
        <v>45026</v>
      </c>
      <c r="F3504" s="7">
        <v>45199</v>
      </c>
      <c r="G3504" s="1" t="s">
        <v>212</v>
      </c>
      <c r="H3504" s="8">
        <v>25040712.25</v>
      </c>
      <c r="I3504" s="8">
        <v>13608606.1</v>
      </c>
      <c r="J3504" s="1">
        <f>IF(COUNTIF($C$4:C3504,C3504)=1,1,0)</f>
        <v>1</v>
      </c>
      <c r="K3504" s="1">
        <f t="shared" si="54"/>
        <v>2023</v>
      </c>
    </row>
    <row r="3505" spans="2:11" x14ac:dyDescent="0.45">
      <c r="B3505" s="1" t="s">
        <v>11</v>
      </c>
      <c r="C3505" s="1" t="s">
        <v>3481</v>
      </c>
      <c r="D3505" s="7">
        <v>45713</v>
      </c>
      <c r="E3505" s="7">
        <v>45734</v>
      </c>
      <c r="F3505" s="7">
        <v>45784</v>
      </c>
      <c r="G3505" s="1" t="s">
        <v>41</v>
      </c>
      <c r="H3505" s="8">
        <v>271790.03999999998</v>
      </c>
      <c r="I3505" s="8">
        <v>192854.8</v>
      </c>
      <c r="J3505" s="1">
        <f>IF(COUNTIF($C$4:C3505,C3505)=1,1,0)</f>
        <v>1</v>
      </c>
      <c r="K3505" s="1">
        <f t="shared" si="54"/>
        <v>2025</v>
      </c>
    </row>
    <row r="3506" spans="2:11" x14ac:dyDescent="0.45">
      <c r="B3506" s="1" t="s">
        <v>11</v>
      </c>
      <c r="C3506" s="1" t="s">
        <v>3482</v>
      </c>
      <c r="D3506" s="7">
        <v>45488</v>
      </c>
      <c r="E3506" s="7">
        <v>45503</v>
      </c>
      <c r="F3506" s="7">
        <v>45711</v>
      </c>
      <c r="G3506" s="1" t="s">
        <v>16</v>
      </c>
      <c r="H3506" s="8">
        <v>939612.84</v>
      </c>
      <c r="I3506" s="8">
        <v>633587.11</v>
      </c>
      <c r="J3506" s="1">
        <f>IF(COUNTIF($C$4:C3506,C3506)=1,1,0)</f>
        <v>1</v>
      </c>
      <c r="K3506" s="1">
        <f t="shared" si="54"/>
        <v>2024</v>
      </c>
    </row>
    <row r="3507" spans="2:11" x14ac:dyDescent="0.45">
      <c r="B3507" s="1" t="s">
        <v>11</v>
      </c>
      <c r="C3507" s="1" t="s">
        <v>3483</v>
      </c>
      <c r="D3507" s="7">
        <v>43510</v>
      </c>
      <c r="E3507" s="7">
        <v>43533</v>
      </c>
      <c r="F3507" s="7">
        <v>43669</v>
      </c>
      <c r="G3507" s="1" t="s">
        <v>16</v>
      </c>
      <c r="H3507" s="8">
        <v>4301464.47</v>
      </c>
      <c r="I3507" s="8">
        <v>3056779.56</v>
      </c>
      <c r="J3507" s="1">
        <f>IF(COUNTIF($C$4:C3507,C3507)=1,1,0)</f>
        <v>1</v>
      </c>
      <c r="K3507" s="1">
        <f t="shared" si="54"/>
        <v>2019</v>
      </c>
    </row>
    <row r="3508" spans="2:11" x14ac:dyDescent="0.45">
      <c r="B3508" s="1" t="s">
        <v>11</v>
      </c>
      <c r="C3508" s="1" t="s">
        <v>3484</v>
      </c>
      <c r="D3508" s="7">
        <v>44334</v>
      </c>
      <c r="E3508" s="7">
        <v>44345</v>
      </c>
      <c r="F3508" s="7">
        <v>44421</v>
      </c>
      <c r="G3508" s="1" t="s">
        <v>16</v>
      </c>
      <c r="H3508" s="8">
        <v>3327541.12</v>
      </c>
      <c r="I3508" s="8">
        <v>2271952.73</v>
      </c>
      <c r="J3508" s="1">
        <f>IF(COUNTIF($C$4:C3508,C3508)=1,1,0)</f>
        <v>1</v>
      </c>
      <c r="K3508" s="1">
        <f t="shared" si="54"/>
        <v>2021</v>
      </c>
    </row>
    <row r="3509" spans="2:11" x14ac:dyDescent="0.45">
      <c r="B3509" s="1" t="s">
        <v>11</v>
      </c>
      <c r="C3509" s="1" t="s">
        <v>3485</v>
      </c>
      <c r="D3509" s="7">
        <v>43833</v>
      </c>
      <c r="E3509" s="7">
        <v>43863</v>
      </c>
      <c r="F3509" s="7">
        <v>43934</v>
      </c>
      <c r="G3509" s="1" t="s">
        <v>16</v>
      </c>
      <c r="H3509" s="8">
        <v>3095111.99</v>
      </c>
      <c r="I3509" s="8">
        <v>2078115.58</v>
      </c>
      <c r="J3509" s="1">
        <f>IF(COUNTIF($C$4:C3509,C3509)=1,1,0)</f>
        <v>1</v>
      </c>
      <c r="K3509" s="1">
        <f t="shared" si="54"/>
        <v>2020</v>
      </c>
    </row>
    <row r="3510" spans="2:11" x14ac:dyDescent="0.45">
      <c r="B3510" s="1" t="s">
        <v>11</v>
      </c>
      <c r="C3510" s="1" t="s">
        <v>3486</v>
      </c>
      <c r="D3510" s="7">
        <v>44396</v>
      </c>
      <c r="E3510" s="7">
        <v>44418</v>
      </c>
      <c r="F3510" s="7">
        <v>44545</v>
      </c>
      <c r="G3510" s="1" t="s">
        <v>16</v>
      </c>
      <c r="H3510" s="8">
        <v>3664232.49</v>
      </c>
      <c r="I3510" s="8">
        <v>2143461.7200000002</v>
      </c>
      <c r="J3510" s="1">
        <f>IF(COUNTIF($C$4:C3510,C3510)=1,1,0)</f>
        <v>1</v>
      </c>
      <c r="K3510" s="1">
        <f t="shared" si="54"/>
        <v>2021</v>
      </c>
    </row>
    <row r="3511" spans="2:11" x14ac:dyDescent="0.45">
      <c r="B3511" s="1" t="s">
        <v>11</v>
      </c>
      <c r="C3511" s="1" t="s">
        <v>3487</v>
      </c>
      <c r="D3511" s="7">
        <v>45622</v>
      </c>
      <c r="E3511" s="7">
        <v>45628</v>
      </c>
      <c r="F3511" s="7">
        <v>45816</v>
      </c>
      <c r="G3511" s="1" t="s">
        <v>20</v>
      </c>
      <c r="H3511" s="8">
        <v>1497730.65</v>
      </c>
      <c r="I3511" s="8">
        <v>755324.72</v>
      </c>
      <c r="J3511" s="1">
        <f>IF(COUNTIF($C$4:C3511,C3511)=1,1,0)</f>
        <v>1</v>
      </c>
      <c r="K3511" s="1">
        <f t="shared" si="54"/>
        <v>2024</v>
      </c>
    </row>
    <row r="3512" spans="2:11" x14ac:dyDescent="0.45">
      <c r="B3512" s="1" t="s">
        <v>11</v>
      </c>
      <c r="C3512" s="1" t="s">
        <v>3488</v>
      </c>
      <c r="D3512" s="7">
        <v>44240</v>
      </c>
      <c r="E3512" s="7">
        <v>44263</v>
      </c>
      <c r="F3512" s="7">
        <v>44448</v>
      </c>
      <c r="G3512" s="1" t="s">
        <v>22</v>
      </c>
      <c r="H3512" s="8">
        <v>54449032.43</v>
      </c>
      <c r="I3512" s="8">
        <v>36656056.060000002</v>
      </c>
      <c r="J3512" s="1">
        <f>IF(COUNTIF($C$4:C3512,C3512)=1,1,0)</f>
        <v>1</v>
      </c>
      <c r="K3512" s="1">
        <f t="shared" si="54"/>
        <v>2021</v>
      </c>
    </row>
    <row r="3513" spans="2:11" x14ac:dyDescent="0.45">
      <c r="B3513" s="1" t="s">
        <v>11</v>
      </c>
      <c r="C3513" s="1" t="s">
        <v>3489</v>
      </c>
      <c r="D3513" s="7">
        <v>45180</v>
      </c>
      <c r="E3513" s="7">
        <v>45203</v>
      </c>
      <c r="F3513" s="7">
        <v>45327</v>
      </c>
      <c r="G3513" s="1" t="s">
        <v>212</v>
      </c>
      <c r="H3513" s="8">
        <v>23337780.300000001</v>
      </c>
      <c r="I3513" s="8">
        <v>15124725.380000001</v>
      </c>
      <c r="J3513" s="1">
        <f>IF(COUNTIF($C$4:C3513,C3513)=1,1,0)</f>
        <v>1</v>
      </c>
      <c r="K3513" s="1">
        <f t="shared" si="54"/>
        <v>2023</v>
      </c>
    </row>
    <row r="3514" spans="2:11" x14ac:dyDescent="0.45">
      <c r="B3514" s="1" t="s">
        <v>11</v>
      </c>
      <c r="C3514" s="1" t="s">
        <v>3490</v>
      </c>
      <c r="D3514" s="7">
        <v>44735</v>
      </c>
      <c r="E3514" s="7">
        <v>44736</v>
      </c>
      <c r="F3514" s="7">
        <v>44822</v>
      </c>
      <c r="G3514" s="1" t="s">
        <v>44</v>
      </c>
      <c r="H3514" s="8">
        <v>89377050.829999998</v>
      </c>
      <c r="I3514" s="8">
        <v>56001959.93</v>
      </c>
      <c r="J3514" s="1">
        <f>IF(COUNTIF($C$4:C3514,C3514)=1,1,0)</f>
        <v>1</v>
      </c>
      <c r="K3514" s="1">
        <f t="shared" si="54"/>
        <v>2022</v>
      </c>
    </row>
    <row r="3515" spans="2:11" x14ac:dyDescent="0.45">
      <c r="B3515" s="1" t="s">
        <v>11</v>
      </c>
      <c r="C3515" s="1" t="s">
        <v>3491</v>
      </c>
      <c r="D3515" s="7">
        <v>45246</v>
      </c>
      <c r="E3515" s="7">
        <v>45272</v>
      </c>
      <c r="F3515" s="7">
        <v>45450</v>
      </c>
      <c r="G3515" s="1" t="s">
        <v>20</v>
      </c>
      <c r="H3515" s="8">
        <v>2138936.16</v>
      </c>
      <c r="I3515" s="8">
        <v>1417626.18</v>
      </c>
      <c r="J3515" s="1">
        <f>IF(COUNTIF($C$4:C3515,C3515)=1,1,0)</f>
        <v>1</v>
      </c>
      <c r="K3515" s="1">
        <f t="shared" si="54"/>
        <v>2023</v>
      </c>
    </row>
    <row r="3516" spans="2:11" x14ac:dyDescent="0.45">
      <c r="B3516" s="1" t="s">
        <v>11</v>
      </c>
      <c r="C3516" s="1" t="s">
        <v>3492</v>
      </c>
      <c r="D3516" s="7">
        <v>43616</v>
      </c>
      <c r="E3516" s="7">
        <v>43629</v>
      </c>
      <c r="F3516" s="7">
        <v>43663</v>
      </c>
      <c r="G3516" s="1" t="s">
        <v>13</v>
      </c>
      <c r="H3516" s="8">
        <v>727502.47</v>
      </c>
      <c r="I3516" s="8">
        <v>600146.93999999994</v>
      </c>
      <c r="J3516" s="1">
        <f>IF(COUNTIF($C$4:C3516,C3516)=1,1,0)</f>
        <v>1</v>
      </c>
      <c r="K3516" s="1">
        <f t="shared" si="54"/>
        <v>2019</v>
      </c>
    </row>
    <row r="3517" spans="2:11" x14ac:dyDescent="0.45">
      <c r="B3517" s="1" t="s">
        <v>11</v>
      </c>
      <c r="C3517" s="1" t="s">
        <v>3493</v>
      </c>
      <c r="D3517" s="7">
        <v>45540</v>
      </c>
      <c r="E3517" s="7">
        <v>45546</v>
      </c>
      <c r="F3517" s="7">
        <v>45769</v>
      </c>
      <c r="G3517" s="1" t="s">
        <v>44</v>
      </c>
      <c r="H3517" s="8">
        <v>307833731.70999998</v>
      </c>
      <c r="I3517" s="8">
        <v>205844486.30000001</v>
      </c>
      <c r="J3517" s="1">
        <f>IF(COUNTIF($C$4:C3517,C3517)=1,1,0)</f>
        <v>1</v>
      </c>
      <c r="K3517" s="1">
        <f t="shared" si="54"/>
        <v>2024</v>
      </c>
    </row>
    <row r="3518" spans="2:11" x14ac:dyDescent="0.45">
      <c r="B3518" s="1" t="s">
        <v>11</v>
      </c>
      <c r="C3518" s="1" t="s">
        <v>3494</v>
      </c>
      <c r="D3518" s="7">
        <v>45328</v>
      </c>
      <c r="E3518" s="7">
        <v>45328</v>
      </c>
      <c r="F3518" s="7">
        <v>45531</v>
      </c>
      <c r="G3518" s="1" t="s">
        <v>38</v>
      </c>
      <c r="H3518" s="8">
        <v>336562.78</v>
      </c>
      <c r="I3518" s="8">
        <v>274820.12</v>
      </c>
      <c r="J3518" s="1">
        <f>IF(COUNTIF($C$4:C3518,C3518)=1,1,0)</f>
        <v>1</v>
      </c>
      <c r="K3518" s="1">
        <f t="shared" si="54"/>
        <v>2024</v>
      </c>
    </row>
    <row r="3519" spans="2:11" x14ac:dyDescent="0.45">
      <c r="B3519" s="1" t="s">
        <v>11</v>
      </c>
      <c r="C3519" s="1" t="s">
        <v>3495</v>
      </c>
      <c r="D3519" s="7">
        <v>46005</v>
      </c>
      <c r="E3519" s="7">
        <v>46016</v>
      </c>
      <c r="F3519" s="7">
        <v>46252</v>
      </c>
      <c r="G3519" s="1" t="s">
        <v>44</v>
      </c>
      <c r="H3519" s="8">
        <v>80512277.900000006</v>
      </c>
      <c r="I3519" s="8">
        <v>41105718.950000003</v>
      </c>
      <c r="J3519" s="1">
        <f>IF(COUNTIF($C$4:C3519,C3519)=1,1,0)</f>
        <v>1</v>
      </c>
      <c r="K3519" s="1">
        <f t="shared" si="54"/>
        <v>2025</v>
      </c>
    </row>
    <row r="3520" spans="2:11" x14ac:dyDescent="0.45">
      <c r="B3520" s="1" t="s">
        <v>11</v>
      </c>
      <c r="C3520" s="1" t="s">
        <v>3496</v>
      </c>
      <c r="D3520" s="7">
        <v>43572</v>
      </c>
      <c r="E3520" s="7">
        <v>43578</v>
      </c>
      <c r="F3520" s="7">
        <v>43684</v>
      </c>
      <c r="G3520" s="1" t="s">
        <v>22</v>
      </c>
      <c r="H3520" s="8">
        <v>17769609.48</v>
      </c>
      <c r="I3520" s="8">
        <v>8779236.8499999996</v>
      </c>
      <c r="J3520" s="1">
        <f>IF(COUNTIF($C$4:C3520,C3520)=1,1,0)</f>
        <v>1</v>
      </c>
      <c r="K3520" s="1">
        <f t="shared" si="54"/>
        <v>2019</v>
      </c>
    </row>
    <row r="3521" spans="2:11" x14ac:dyDescent="0.45">
      <c r="B3521" s="1" t="s">
        <v>11</v>
      </c>
      <c r="C3521" s="1" t="s">
        <v>3497</v>
      </c>
      <c r="D3521" s="7">
        <v>43578</v>
      </c>
      <c r="E3521" s="7">
        <v>43579</v>
      </c>
      <c r="F3521" s="7">
        <v>43809</v>
      </c>
      <c r="G3521" s="1" t="s">
        <v>20</v>
      </c>
      <c r="H3521" s="8">
        <v>823742.88</v>
      </c>
      <c r="I3521" s="8">
        <v>617489.07999999996</v>
      </c>
      <c r="J3521" s="1">
        <f>IF(COUNTIF($C$4:C3521,C3521)=1,1,0)</f>
        <v>1</v>
      </c>
      <c r="K3521" s="1">
        <f t="shared" si="54"/>
        <v>2019</v>
      </c>
    </row>
    <row r="3522" spans="2:11" x14ac:dyDescent="0.45">
      <c r="B3522" s="1" t="s">
        <v>11</v>
      </c>
      <c r="C3522" s="1" t="s">
        <v>3498</v>
      </c>
      <c r="D3522" s="7">
        <v>45672</v>
      </c>
      <c r="E3522" s="7">
        <v>45681</v>
      </c>
      <c r="F3522" s="7">
        <v>45879</v>
      </c>
      <c r="G3522" s="1" t="s">
        <v>13</v>
      </c>
      <c r="H3522" s="8">
        <v>963323.86</v>
      </c>
      <c r="I3522" s="8">
        <v>724186.61</v>
      </c>
      <c r="J3522" s="1">
        <f>IF(COUNTIF($C$4:C3522,C3522)=1,1,0)</f>
        <v>1</v>
      </c>
      <c r="K3522" s="1">
        <f t="shared" si="54"/>
        <v>2025</v>
      </c>
    </row>
    <row r="3523" spans="2:11" x14ac:dyDescent="0.45">
      <c r="B3523" s="1" t="s">
        <v>11</v>
      </c>
      <c r="C3523" s="1" t="s">
        <v>3499</v>
      </c>
      <c r="D3523" s="7">
        <v>45745</v>
      </c>
      <c r="E3523" s="7">
        <v>45751</v>
      </c>
      <c r="F3523" s="7">
        <v>45826</v>
      </c>
      <c r="G3523" s="1" t="s">
        <v>212</v>
      </c>
      <c r="H3523" s="8">
        <v>16308618.289999999</v>
      </c>
      <c r="I3523" s="8">
        <v>12522039.02</v>
      </c>
      <c r="J3523" s="1">
        <f>IF(COUNTIF($C$4:C3523,C3523)=1,1,0)</f>
        <v>1</v>
      </c>
      <c r="K3523" s="1">
        <f t="shared" si="54"/>
        <v>2025</v>
      </c>
    </row>
    <row r="3524" spans="2:11" x14ac:dyDescent="0.45">
      <c r="B3524" s="1" t="s">
        <v>11</v>
      </c>
      <c r="C3524" s="1" t="s">
        <v>3500</v>
      </c>
      <c r="D3524" s="7">
        <v>46052</v>
      </c>
      <c r="E3524" s="7">
        <v>46069</v>
      </c>
      <c r="F3524" s="7">
        <v>46239</v>
      </c>
      <c r="G3524" s="1" t="s">
        <v>20</v>
      </c>
      <c r="H3524" s="8">
        <v>203764.47</v>
      </c>
      <c r="I3524" s="8">
        <v>132901.99</v>
      </c>
      <c r="J3524" s="1">
        <f>IF(COUNTIF($C$4:C3524,C3524)=1,1,0)</f>
        <v>1</v>
      </c>
      <c r="K3524" s="1">
        <f t="shared" si="54"/>
        <v>2026</v>
      </c>
    </row>
    <row r="3525" spans="2:11" x14ac:dyDescent="0.45">
      <c r="B3525" s="1" t="s">
        <v>11</v>
      </c>
      <c r="C3525" s="1" t="s">
        <v>3501</v>
      </c>
      <c r="D3525" s="7">
        <v>45882</v>
      </c>
      <c r="E3525" s="7">
        <v>45883</v>
      </c>
      <c r="F3525" s="7">
        <v>45927</v>
      </c>
      <c r="G3525" s="1" t="s">
        <v>41</v>
      </c>
      <c r="H3525" s="8">
        <v>216544.91</v>
      </c>
      <c r="I3525" s="8">
        <v>193578.6</v>
      </c>
      <c r="J3525" s="1">
        <f>IF(COUNTIF($C$4:C3525,C3525)=1,1,0)</f>
        <v>1</v>
      </c>
      <c r="K3525" s="1">
        <f t="shared" ref="K3525:K3588" si="55">YEAR(D3525)</f>
        <v>2025</v>
      </c>
    </row>
    <row r="3526" spans="2:11" x14ac:dyDescent="0.45">
      <c r="B3526" s="1" t="s">
        <v>11</v>
      </c>
      <c r="C3526" s="1" t="s">
        <v>3502</v>
      </c>
      <c r="D3526" s="7">
        <v>44398</v>
      </c>
      <c r="E3526" s="7">
        <v>44407</v>
      </c>
      <c r="F3526" s="7">
        <v>44642</v>
      </c>
      <c r="G3526" s="1" t="s">
        <v>16</v>
      </c>
      <c r="H3526" s="8">
        <v>955933.53</v>
      </c>
      <c r="I3526" s="8">
        <v>577772.19999999995</v>
      </c>
      <c r="J3526" s="1">
        <f>IF(COUNTIF($C$4:C3526,C3526)=1,1,0)</f>
        <v>1</v>
      </c>
      <c r="K3526" s="1">
        <f t="shared" si="55"/>
        <v>2021</v>
      </c>
    </row>
    <row r="3527" spans="2:11" x14ac:dyDescent="0.45">
      <c r="B3527" s="1" t="s">
        <v>11</v>
      </c>
      <c r="C3527" s="1" t="s">
        <v>3503</v>
      </c>
      <c r="D3527" s="7">
        <v>44205</v>
      </c>
      <c r="E3527" s="7">
        <v>44229</v>
      </c>
      <c r="F3527" s="7">
        <v>44357</v>
      </c>
      <c r="G3527" s="1" t="s">
        <v>16</v>
      </c>
      <c r="H3527" s="8">
        <v>1954380.93</v>
      </c>
      <c r="I3527" s="8">
        <v>1256704.97</v>
      </c>
      <c r="J3527" s="1">
        <f>IF(COUNTIF($C$4:C3527,C3527)=1,1,0)</f>
        <v>1</v>
      </c>
      <c r="K3527" s="1">
        <f t="shared" si="55"/>
        <v>2021</v>
      </c>
    </row>
    <row r="3528" spans="2:11" x14ac:dyDescent="0.45">
      <c r="B3528" s="1" t="s">
        <v>11</v>
      </c>
      <c r="C3528" s="1" t="s">
        <v>3504</v>
      </c>
      <c r="D3528" s="7">
        <v>45468</v>
      </c>
      <c r="E3528" s="7">
        <v>45469</v>
      </c>
      <c r="F3528" s="7">
        <v>45502</v>
      </c>
      <c r="G3528" s="1" t="s">
        <v>44</v>
      </c>
      <c r="H3528" s="8">
        <v>73135766.709999993</v>
      </c>
      <c r="I3528" s="8">
        <v>37211857.039999999</v>
      </c>
      <c r="J3528" s="1">
        <f>IF(COUNTIF($C$4:C3528,C3528)=1,1,0)</f>
        <v>1</v>
      </c>
      <c r="K3528" s="1">
        <f t="shared" si="55"/>
        <v>2024</v>
      </c>
    </row>
    <row r="3529" spans="2:11" x14ac:dyDescent="0.45">
      <c r="B3529" s="1" t="s">
        <v>11</v>
      </c>
      <c r="C3529" s="1" t="s">
        <v>3505</v>
      </c>
      <c r="D3529" s="7">
        <v>46132</v>
      </c>
      <c r="E3529" s="7">
        <v>46146</v>
      </c>
      <c r="F3529" s="7">
        <v>46195</v>
      </c>
      <c r="G3529" s="1" t="s">
        <v>41</v>
      </c>
      <c r="H3529" s="8">
        <v>161123.69</v>
      </c>
      <c r="I3529" s="8">
        <v>124159.84</v>
      </c>
      <c r="J3529" s="1">
        <f>IF(COUNTIF($C$4:C3529,C3529)=1,1,0)</f>
        <v>1</v>
      </c>
      <c r="K3529" s="1">
        <f t="shared" si="55"/>
        <v>2026</v>
      </c>
    </row>
    <row r="3530" spans="2:11" x14ac:dyDescent="0.45">
      <c r="B3530" s="1" t="s">
        <v>11</v>
      </c>
      <c r="C3530" s="1" t="s">
        <v>3506</v>
      </c>
      <c r="D3530" s="7">
        <v>43163</v>
      </c>
      <c r="E3530" s="7">
        <v>43174</v>
      </c>
      <c r="F3530" s="7">
        <v>43187</v>
      </c>
      <c r="G3530" s="1" t="s">
        <v>38</v>
      </c>
      <c r="H3530" s="8">
        <v>72376.86</v>
      </c>
      <c r="I3530" s="8">
        <v>52213.51</v>
      </c>
      <c r="J3530" s="1">
        <f>IF(COUNTIF($C$4:C3530,C3530)=1,1,0)</f>
        <v>1</v>
      </c>
      <c r="K3530" s="1">
        <f t="shared" si="55"/>
        <v>2018</v>
      </c>
    </row>
    <row r="3531" spans="2:11" x14ac:dyDescent="0.45">
      <c r="B3531" s="1" t="s">
        <v>11</v>
      </c>
      <c r="C3531" s="1" t="s">
        <v>3507</v>
      </c>
      <c r="D3531" s="7">
        <v>44573</v>
      </c>
      <c r="E3531" s="7">
        <v>44599</v>
      </c>
      <c r="F3531" s="7">
        <v>44680</v>
      </c>
      <c r="G3531" s="1" t="s">
        <v>22</v>
      </c>
      <c r="H3531" s="8">
        <v>133524201.41</v>
      </c>
      <c r="I3531" s="8">
        <v>89238149.629999995</v>
      </c>
      <c r="J3531" s="1">
        <f>IF(COUNTIF($C$4:C3531,C3531)=1,1,0)</f>
        <v>1</v>
      </c>
      <c r="K3531" s="1">
        <f t="shared" si="55"/>
        <v>2022</v>
      </c>
    </row>
    <row r="3532" spans="2:11" x14ac:dyDescent="0.45">
      <c r="B3532" s="1" t="s">
        <v>11</v>
      </c>
      <c r="C3532" s="1" t="s">
        <v>3508</v>
      </c>
      <c r="D3532" s="7">
        <v>44285</v>
      </c>
      <c r="E3532" s="7">
        <v>44301</v>
      </c>
      <c r="F3532" s="7">
        <v>44376</v>
      </c>
      <c r="G3532" s="1" t="s">
        <v>22</v>
      </c>
      <c r="H3532" s="8">
        <v>21352498.489999998</v>
      </c>
      <c r="I3532" s="8">
        <v>11466915.039999999</v>
      </c>
      <c r="J3532" s="1">
        <f>IF(COUNTIF($C$4:C3532,C3532)=1,1,0)</f>
        <v>1</v>
      </c>
      <c r="K3532" s="1">
        <f t="shared" si="55"/>
        <v>2021</v>
      </c>
    </row>
    <row r="3533" spans="2:11" x14ac:dyDescent="0.45">
      <c r="B3533" s="1" t="s">
        <v>11</v>
      </c>
      <c r="C3533" s="1" t="s">
        <v>3509</v>
      </c>
      <c r="D3533" s="7">
        <v>45846</v>
      </c>
      <c r="E3533" s="7">
        <v>45863</v>
      </c>
      <c r="F3533" s="7">
        <v>45957</v>
      </c>
      <c r="G3533" s="1" t="s">
        <v>38</v>
      </c>
      <c r="H3533" s="8">
        <v>591158.92000000004</v>
      </c>
      <c r="I3533" s="8">
        <v>410312.78</v>
      </c>
      <c r="J3533" s="1">
        <f>IF(COUNTIF($C$4:C3533,C3533)=1,1,0)</f>
        <v>1</v>
      </c>
      <c r="K3533" s="1">
        <f t="shared" si="55"/>
        <v>2025</v>
      </c>
    </row>
    <row r="3534" spans="2:11" x14ac:dyDescent="0.45">
      <c r="B3534" s="1" t="s">
        <v>11</v>
      </c>
      <c r="C3534" s="1" t="s">
        <v>3510</v>
      </c>
      <c r="D3534" s="7">
        <v>44937</v>
      </c>
      <c r="E3534" s="7">
        <v>44962</v>
      </c>
      <c r="F3534" s="7">
        <v>45140</v>
      </c>
      <c r="G3534" s="1" t="s">
        <v>44</v>
      </c>
      <c r="H3534" s="8">
        <v>67381876.560000002</v>
      </c>
      <c r="I3534" s="8">
        <v>42879814.960000001</v>
      </c>
      <c r="J3534" s="1">
        <f>IF(COUNTIF($C$4:C3534,C3534)=1,1,0)</f>
        <v>1</v>
      </c>
      <c r="K3534" s="1">
        <f t="shared" si="55"/>
        <v>2023</v>
      </c>
    </row>
    <row r="3535" spans="2:11" x14ac:dyDescent="0.45">
      <c r="B3535" s="1" t="s">
        <v>11</v>
      </c>
      <c r="C3535" s="1" t="s">
        <v>3511</v>
      </c>
      <c r="D3535" s="7">
        <v>44293</v>
      </c>
      <c r="E3535" s="7">
        <v>44320</v>
      </c>
      <c r="F3535" s="7">
        <v>44447</v>
      </c>
      <c r="G3535" s="1" t="s">
        <v>212</v>
      </c>
      <c r="H3535" s="8">
        <v>78972249.019999996</v>
      </c>
      <c r="I3535" s="8">
        <v>22114863.469999999</v>
      </c>
      <c r="J3535" s="1">
        <f>IF(COUNTIF($C$4:C3535,C3535)=1,1,0)</f>
        <v>1</v>
      </c>
      <c r="K3535" s="1">
        <f t="shared" si="55"/>
        <v>2021</v>
      </c>
    </row>
    <row r="3536" spans="2:11" x14ac:dyDescent="0.45">
      <c r="B3536" s="1" t="s">
        <v>11</v>
      </c>
      <c r="C3536" s="1" t="s">
        <v>3512</v>
      </c>
      <c r="D3536" s="7">
        <v>45281</v>
      </c>
      <c r="E3536" s="7">
        <v>45287</v>
      </c>
      <c r="F3536" s="7">
        <v>45425</v>
      </c>
      <c r="G3536" s="1" t="s">
        <v>16</v>
      </c>
      <c r="H3536" s="8">
        <v>487173.91</v>
      </c>
      <c r="I3536" s="8">
        <v>309875.09999999998</v>
      </c>
      <c r="J3536" s="1">
        <f>IF(COUNTIF($C$4:C3536,C3536)=1,1,0)</f>
        <v>1</v>
      </c>
      <c r="K3536" s="1">
        <f t="shared" si="55"/>
        <v>2023</v>
      </c>
    </row>
    <row r="3537" spans="2:11" x14ac:dyDescent="0.45">
      <c r="B3537" s="1" t="s">
        <v>11</v>
      </c>
      <c r="C3537" s="1" t="s">
        <v>3513</v>
      </c>
      <c r="D3537" s="7">
        <v>45040</v>
      </c>
      <c r="E3537" s="7">
        <v>45053</v>
      </c>
      <c r="F3537" s="7">
        <v>45104</v>
      </c>
      <c r="G3537" s="1" t="s">
        <v>16</v>
      </c>
      <c r="H3537" s="8">
        <v>627043.11</v>
      </c>
      <c r="I3537" s="8">
        <v>409561.89</v>
      </c>
      <c r="J3537" s="1">
        <f>IF(COUNTIF($C$4:C3537,C3537)=1,1,0)</f>
        <v>1</v>
      </c>
      <c r="K3537" s="1">
        <f t="shared" si="55"/>
        <v>2023</v>
      </c>
    </row>
    <row r="3538" spans="2:11" x14ac:dyDescent="0.45">
      <c r="B3538" s="1" t="s">
        <v>11</v>
      </c>
      <c r="C3538" s="1" t="s">
        <v>3514</v>
      </c>
      <c r="D3538" s="7">
        <v>45680</v>
      </c>
      <c r="E3538" s="7">
        <v>45688</v>
      </c>
      <c r="F3538" s="7">
        <v>45785</v>
      </c>
      <c r="G3538" s="1" t="s">
        <v>20</v>
      </c>
      <c r="H3538" s="8">
        <v>539519.09</v>
      </c>
      <c r="I3538" s="8">
        <v>357081.67</v>
      </c>
      <c r="J3538" s="1">
        <f>IF(COUNTIF($C$4:C3538,C3538)=1,1,0)</f>
        <v>1</v>
      </c>
      <c r="K3538" s="1">
        <f t="shared" si="55"/>
        <v>2025</v>
      </c>
    </row>
    <row r="3539" spans="2:11" x14ac:dyDescent="0.45">
      <c r="B3539" s="1" t="s">
        <v>11</v>
      </c>
      <c r="C3539" s="1" t="s">
        <v>3515</v>
      </c>
      <c r="D3539" s="7">
        <v>46009</v>
      </c>
      <c r="E3539" s="7">
        <v>46030</v>
      </c>
      <c r="F3539" s="7">
        <v>46177</v>
      </c>
      <c r="G3539" s="1" t="s">
        <v>38</v>
      </c>
      <c r="H3539" s="8">
        <v>810929.98</v>
      </c>
      <c r="I3539" s="8">
        <v>673978.67</v>
      </c>
      <c r="J3539" s="1">
        <f>IF(COUNTIF($C$4:C3539,C3539)=1,1,0)</f>
        <v>1</v>
      </c>
      <c r="K3539" s="1">
        <f t="shared" si="55"/>
        <v>2025</v>
      </c>
    </row>
    <row r="3540" spans="2:11" x14ac:dyDescent="0.45">
      <c r="B3540" s="1" t="s">
        <v>11</v>
      </c>
      <c r="C3540" s="1" t="s">
        <v>3516</v>
      </c>
      <c r="D3540" s="7">
        <v>43809</v>
      </c>
      <c r="E3540" s="7">
        <v>43831</v>
      </c>
      <c r="F3540" s="7">
        <v>43876</v>
      </c>
      <c r="G3540" s="1" t="s">
        <v>22</v>
      </c>
      <c r="H3540" s="8">
        <v>26223514.149999999</v>
      </c>
      <c r="I3540" s="8">
        <v>13328019.09</v>
      </c>
      <c r="J3540" s="1">
        <f>IF(COUNTIF($C$4:C3540,C3540)=1,1,0)</f>
        <v>1</v>
      </c>
      <c r="K3540" s="1">
        <f t="shared" si="55"/>
        <v>2019</v>
      </c>
    </row>
    <row r="3541" spans="2:11" x14ac:dyDescent="0.45">
      <c r="B3541" s="1" t="s">
        <v>11</v>
      </c>
      <c r="C3541" s="1" t="s">
        <v>3517</v>
      </c>
      <c r="D3541" s="7">
        <v>44029</v>
      </c>
      <c r="E3541" s="7">
        <v>44034</v>
      </c>
      <c r="F3541" s="7">
        <v>44137</v>
      </c>
      <c r="G3541" s="1" t="s">
        <v>13</v>
      </c>
      <c r="H3541" s="8">
        <v>449088.88</v>
      </c>
      <c r="I3541" s="8">
        <v>323435.95</v>
      </c>
      <c r="J3541" s="1">
        <f>IF(COUNTIF($C$4:C3541,C3541)=1,1,0)</f>
        <v>1</v>
      </c>
      <c r="K3541" s="1">
        <f t="shared" si="55"/>
        <v>2020</v>
      </c>
    </row>
    <row r="3542" spans="2:11" x14ac:dyDescent="0.45">
      <c r="B3542" s="1" t="s">
        <v>11</v>
      </c>
      <c r="C3542" s="1" t="s">
        <v>3518</v>
      </c>
      <c r="D3542" s="7">
        <v>45722</v>
      </c>
      <c r="E3542" s="7">
        <v>45751</v>
      </c>
      <c r="F3542" s="7">
        <v>45806</v>
      </c>
      <c r="G3542" s="1" t="s">
        <v>212</v>
      </c>
      <c r="H3542" s="8">
        <v>28329929.07</v>
      </c>
      <c r="I3542" s="8">
        <v>18299880.350000001</v>
      </c>
      <c r="J3542" s="1">
        <f>IF(COUNTIF($C$4:C3542,C3542)=1,1,0)</f>
        <v>1</v>
      </c>
      <c r="K3542" s="1">
        <f t="shared" si="55"/>
        <v>2025</v>
      </c>
    </row>
    <row r="3543" spans="2:11" x14ac:dyDescent="0.45">
      <c r="B3543" s="1" t="s">
        <v>11</v>
      </c>
      <c r="C3543" s="1" t="s">
        <v>3519</v>
      </c>
      <c r="D3543" s="7">
        <v>44245</v>
      </c>
      <c r="E3543" s="7">
        <v>44260</v>
      </c>
      <c r="F3543" s="7">
        <v>44489</v>
      </c>
      <c r="G3543" s="1" t="s">
        <v>44</v>
      </c>
      <c r="H3543" s="8">
        <v>150074741.62</v>
      </c>
      <c r="I3543" s="8">
        <v>51887681.960000001</v>
      </c>
      <c r="J3543" s="1">
        <f>IF(COUNTIF($C$4:C3543,C3543)=1,1,0)</f>
        <v>1</v>
      </c>
      <c r="K3543" s="1">
        <f t="shared" si="55"/>
        <v>2021</v>
      </c>
    </row>
    <row r="3544" spans="2:11" x14ac:dyDescent="0.45">
      <c r="B3544" s="1" t="s">
        <v>11</v>
      </c>
      <c r="C3544" s="1" t="s">
        <v>3520</v>
      </c>
      <c r="D3544" s="7">
        <v>45347</v>
      </c>
      <c r="E3544" s="7">
        <v>45354</v>
      </c>
      <c r="F3544" s="7">
        <v>45517</v>
      </c>
      <c r="G3544" s="1" t="s">
        <v>22</v>
      </c>
      <c r="H3544" s="8">
        <v>39785573.549999997</v>
      </c>
      <c r="I3544" s="8">
        <v>16619620.189999999</v>
      </c>
      <c r="J3544" s="1">
        <f>IF(COUNTIF($C$4:C3544,C3544)=1,1,0)</f>
        <v>1</v>
      </c>
      <c r="K3544" s="1">
        <f t="shared" si="55"/>
        <v>2024</v>
      </c>
    </row>
    <row r="3545" spans="2:11" x14ac:dyDescent="0.45">
      <c r="B3545" s="1" t="s">
        <v>11</v>
      </c>
      <c r="C3545" s="1" t="s">
        <v>3521</v>
      </c>
      <c r="D3545" s="7">
        <v>45473</v>
      </c>
      <c r="E3545" s="7">
        <v>45502</v>
      </c>
      <c r="F3545" s="7">
        <v>45568</v>
      </c>
      <c r="G3545" s="1" t="s">
        <v>22</v>
      </c>
      <c r="H3545" s="8">
        <v>42322181.079999998</v>
      </c>
      <c r="I3545" s="8">
        <v>31955998.84</v>
      </c>
      <c r="J3545" s="1">
        <f>IF(COUNTIF($C$4:C3545,C3545)=1,1,0)</f>
        <v>1</v>
      </c>
      <c r="K3545" s="1">
        <f t="shared" si="55"/>
        <v>2024</v>
      </c>
    </row>
    <row r="3546" spans="2:11" x14ac:dyDescent="0.45">
      <c r="B3546" s="1" t="s">
        <v>11</v>
      </c>
      <c r="C3546" s="1" t="s">
        <v>3522</v>
      </c>
      <c r="D3546" s="7">
        <v>45775</v>
      </c>
      <c r="E3546" s="7">
        <v>45795</v>
      </c>
      <c r="F3546" s="7">
        <v>45952</v>
      </c>
      <c r="G3546" s="1" t="s">
        <v>41</v>
      </c>
      <c r="H3546" s="8">
        <v>995788.25</v>
      </c>
      <c r="I3546" s="8">
        <v>779163.23</v>
      </c>
      <c r="J3546" s="1">
        <f>IF(COUNTIF($C$4:C3546,C3546)=1,1,0)</f>
        <v>1</v>
      </c>
      <c r="K3546" s="1">
        <f t="shared" si="55"/>
        <v>2025</v>
      </c>
    </row>
    <row r="3547" spans="2:11" x14ac:dyDescent="0.45">
      <c r="B3547" s="1" t="s">
        <v>11</v>
      </c>
      <c r="C3547" s="1" t="s">
        <v>3523</v>
      </c>
      <c r="D3547" s="7">
        <v>45848</v>
      </c>
      <c r="E3547" s="7">
        <v>45862</v>
      </c>
      <c r="F3547" s="7">
        <v>45990</v>
      </c>
      <c r="G3547" s="1" t="s">
        <v>22</v>
      </c>
      <c r="H3547" s="8">
        <v>16752520.380000001</v>
      </c>
      <c r="I3547" s="8">
        <v>9456447.8599999994</v>
      </c>
      <c r="J3547" s="1">
        <f>IF(COUNTIF($C$4:C3547,C3547)=1,1,0)</f>
        <v>1</v>
      </c>
      <c r="K3547" s="1">
        <f t="shared" si="55"/>
        <v>2025</v>
      </c>
    </row>
    <row r="3548" spans="2:11" x14ac:dyDescent="0.45">
      <c r="B3548" s="1" t="s">
        <v>11</v>
      </c>
      <c r="C3548" s="1" t="s">
        <v>3524</v>
      </c>
      <c r="D3548" s="7">
        <v>45924</v>
      </c>
      <c r="E3548" s="7">
        <v>45951</v>
      </c>
      <c r="F3548" s="7">
        <v>46163</v>
      </c>
      <c r="G3548" s="1" t="s">
        <v>22</v>
      </c>
      <c r="H3548" s="8">
        <v>11057395.029999999</v>
      </c>
      <c r="I3548" s="8">
        <v>6913229.04</v>
      </c>
      <c r="J3548" s="1">
        <f>IF(COUNTIF($C$4:C3548,C3548)=1,1,0)</f>
        <v>1</v>
      </c>
      <c r="K3548" s="1">
        <f t="shared" si="55"/>
        <v>2025</v>
      </c>
    </row>
    <row r="3549" spans="2:11" x14ac:dyDescent="0.45">
      <c r="B3549" s="1" t="s">
        <v>11</v>
      </c>
      <c r="C3549" s="1" t="s">
        <v>3525</v>
      </c>
      <c r="D3549" s="7">
        <v>43439</v>
      </c>
      <c r="E3549" s="7">
        <v>43449</v>
      </c>
      <c r="F3549" s="7">
        <v>43666</v>
      </c>
      <c r="G3549" s="1" t="s">
        <v>44</v>
      </c>
      <c r="H3549" s="8">
        <v>82130911.450000003</v>
      </c>
      <c r="I3549" s="8">
        <v>31958509.370000001</v>
      </c>
      <c r="J3549" s="1">
        <f>IF(COUNTIF($C$4:C3549,C3549)=1,1,0)</f>
        <v>1</v>
      </c>
      <c r="K3549" s="1">
        <f t="shared" si="55"/>
        <v>2018</v>
      </c>
    </row>
    <row r="3550" spans="2:11" x14ac:dyDescent="0.45">
      <c r="B3550" s="1" t="s">
        <v>11</v>
      </c>
      <c r="C3550" s="1" t="s">
        <v>3526</v>
      </c>
      <c r="D3550" s="7">
        <v>45795</v>
      </c>
      <c r="E3550" s="7">
        <v>45797</v>
      </c>
      <c r="F3550" s="7">
        <v>45921</v>
      </c>
      <c r="G3550" s="1" t="s">
        <v>212</v>
      </c>
      <c r="H3550" s="8">
        <v>51171283.32</v>
      </c>
      <c r="I3550" s="8">
        <v>29400516.469999999</v>
      </c>
      <c r="J3550" s="1">
        <f>IF(COUNTIF($C$4:C3550,C3550)=1,1,0)</f>
        <v>1</v>
      </c>
      <c r="K3550" s="1">
        <f t="shared" si="55"/>
        <v>2025</v>
      </c>
    </row>
    <row r="3551" spans="2:11" x14ac:dyDescent="0.45">
      <c r="B3551" s="1" t="s">
        <v>11</v>
      </c>
      <c r="C3551" s="1" t="s">
        <v>3527</v>
      </c>
      <c r="D3551" s="7">
        <v>44991</v>
      </c>
      <c r="E3551" s="7">
        <v>45002</v>
      </c>
      <c r="F3551" s="7">
        <v>45108</v>
      </c>
      <c r="G3551" s="1" t="s">
        <v>18</v>
      </c>
      <c r="H3551" s="8">
        <v>1661092.44</v>
      </c>
      <c r="I3551" s="8">
        <v>1284306.67</v>
      </c>
      <c r="J3551" s="1">
        <f>IF(COUNTIF($C$4:C3551,C3551)=1,1,0)</f>
        <v>1</v>
      </c>
      <c r="K3551" s="1">
        <f t="shared" si="55"/>
        <v>2023</v>
      </c>
    </row>
    <row r="3552" spans="2:11" x14ac:dyDescent="0.45">
      <c r="B3552" s="1" t="s">
        <v>11</v>
      </c>
      <c r="C3552" s="1" t="s">
        <v>3528</v>
      </c>
      <c r="D3552" s="7">
        <v>43464</v>
      </c>
      <c r="E3552" s="7">
        <v>43479</v>
      </c>
      <c r="F3552" s="7">
        <v>43598</v>
      </c>
      <c r="G3552" s="1" t="s">
        <v>212</v>
      </c>
      <c r="H3552" s="8">
        <v>16212341.84</v>
      </c>
      <c r="I3552" s="8">
        <v>11134815.619999999</v>
      </c>
      <c r="J3552" s="1">
        <f>IF(COUNTIF($C$4:C3552,C3552)=1,1,0)</f>
        <v>1</v>
      </c>
      <c r="K3552" s="1">
        <f t="shared" si="55"/>
        <v>2018</v>
      </c>
    </row>
    <row r="3553" spans="2:11" x14ac:dyDescent="0.45">
      <c r="B3553" s="1" t="s">
        <v>11</v>
      </c>
      <c r="C3553" s="1" t="s">
        <v>3529</v>
      </c>
      <c r="D3553" s="7">
        <v>44811</v>
      </c>
      <c r="E3553" s="7">
        <v>44824</v>
      </c>
      <c r="F3553" s="7">
        <v>45034</v>
      </c>
      <c r="G3553" s="1" t="s">
        <v>38</v>
      </c>
      <c r="H3553" s="8">
        <v>1203718.02</v>
      </c>
      <c r="I3553" s="8">
        <v>1009832.47</v>
      </c>
      <c r="J3553" s="1">
        <f>IF(COUNTIF($C$4:C3553,C3553)=1,1,0)</f>
        <v>1</v>
      </c>
      <c r="K3553" s="1">
        <f t="shared" si="55"/>
        <v>2022</v>
      </c>
    </row>
    <row r="3554" spans="2:11" x14ac:dyDescent="0.45">
      <c r="B3554" s="1" t="s">
        <v>11</v>
      </c>
      <c r="C3554" s="1" t="s">
        <v>3530</v>
      </c>
      <c r="D3554" s="7">
        <v>45436</v>
      </c>
      <c r="E3554" s="7">
        <v>45440</v>
      </c>
      <c r="F3554" s="7">
        <v>45648</v>
      </c>
      <c r="G3554" s="1" t="s">
        <v>13</v>
      </c>
      <c r="H3554" s="8">
        <v>157925.26999999999</v>
      </c>
      <c r="I3554" s="8">
        <v>138235.60999999999</v>
      </c>
      <c r="J3554" s="1">
        <f>IF(COUNTIF($C$4:C3554,C3554)=1,1,0)</f>
        <v>1</v>
      </c>
      <c r="K3554" s="1">
        <f t="shared" si="55"/>
        <v>2024</v>
      </c>
    </row>
    <row r="3555" spans="2:11" x14ac:dyDescent="0.45">
      <c r="B3555" s="1" t="s">
        <v>11</v>
      </c>
      <c r="C3555" s="1" t="s">
        <v>3531</v>
      </c>
      <c r="D3555" s="7">
        <v>44625</v>
      </c>
      <c r="E3555" s="7">
        <v>44650</v>
      </c>
      <c r="F3555" s="7">
        <v>44820</v>
      </c>
      <c r="G3555" s="1" t="s">
        <v>41</v>
      </c>
      <c r="H3555" s="8">
        <v>210337.27</v>
      </c>
      <c r="I3555" s="8">
        <v>180286.56</v>
      </c>
      <c r="J3555" s="1">
        <f>IF(COUNTIF($C$4:C3555,C3555)=1,1,0)</f>
        <v>1</v>
      </c>
      <c r="K3555" s="1">
        <f t="shared" si="55"/>
        <v>2022</v>
      </c>
    </row>
    <row r="3556" spans="2:11" x14ac:dyDescent="0.45">
      <c r="B3556" s="1" t="s">
        <v>11</v>
      </c>
      <c r="C3556" s="1" t="s">
        <v>3532</v>
      </c>
      <c r="D3556" s="7">
        <v>44715</v>
      </c>
      <c r="E3556" s="7">
        <v>44724</v>
      </c>
      <c r="F3556" s="7">
        <v>44789</v>
      </c>
      <c r="G3556" s="1" t="s">
        <v>13</v>
      </c>
      <c r="H3556" s="8">
        <v>244838.52</v>
      </c>
      <c r="I3556" s="8">
        <v>216820.81</v>
      </c>
      <c r="J3556" s="1">
        <f>IF(COUNTIF($C$4:C3556,C3556)=1,1,0)</f>
        <v>1</v>
      </c>
      <c r="K3556" s="1">
        <f t="shared" si="55"/>
        <v>2022</v>
      </c>
    </row>
    <row r="3557" spans="2:11" x14ac:dyDescent="0.45">
      <c r="B3557" s="1" t="s">
        <v>11</v>
      </c>
      <c r="C3557" s="1" t="s">
        <v>3533</v>
      </c>
      <c r="D3557" s="7">
        <v>44821</v>
      </c>
      <c r="E3557" s="7">
        <v>44837</v>
      </c>
      <c r="F3557" s="7">
        <v>44849</v>
      </c>
      <c r="G3557" s="1" t="s">
        <v>18</v>
      </c>
      <c r="H3557" s="8">
        <v>1238265.7</v>
      </c>
      <c r="I3557" s="8">
        <v>833840.05</v>
      </c>
      <c r="J3557" s="1">
        <f>IF(COUNTIF($C$4:C3557,C3557)=1,1,0)</f>
        <v>1</v>
      </c>
      <c r="K3557" s="1">
        <f t="shared" si="55"/>
        <v>2022</v>
      </c>
    </row>
    <row r="3558" spans="2:11" x14ac:dyDescent="0.45">
      <c r="B3558" s="1" t="s">
        <v>11</v>
      </c>
      <c r="C3558" s="1" t="s">
        <v>3534</v>
      </c>
      <c r="D3558" s="7">
        <v>44674</v>
      </c>
      <c r="E3558" s="7">
        <v>44687</v>
      </c>
      <c r="F3558" s="7">
        <v>44841</v>
      </c>
      <c r="G3558" s="1" t="s">
        <v>18</v>
      </c>
      <c r="H3558" s="8">
        <v>1187785.08</v>
      </c>
      <c r="I3558" s="8">
        <v>1041890.57</v>
      </c>
      <c r="J3558" s="1">
        <f>IF(COUNTIF($C$4:C3558,C3558)=1,1,0)</f>
        <v>1</v>
      </c>
      <c r="K3558" s="1">
        <f t="shared" si="55"/>
        <v>2022</v>
      </c>
    </row>
    <row r="3559" spans="2:11" x14ac:dyDescent="0.45">
      <c r="B3559" s="1" t="s">
        <v>11</v>
      </c>
      <c r="C3559" s="1" t="s">
        <v>3535</v>
      </c>
      <c r="D3559" s="7">
        <v>44200</v>
      </c>
      <c r="E3559" s="7">
        <v>44213</v>
      </c>
      <c r="F3559" s="7">
        <v>44355</v>
      </c>
      <c r="G3559" s="1" t="s">
        <v>38</v>
      </c>
      <c r="H3559" s="8">
        <v>471998.8</v>
      </c>
      <c r="I3559" s="8">
        <v>349321.09</v>
      </c>
      <c r="J3559" s="1">
        <f>IF(COUNTIF($C$4:C3559,C3559)=1,1,0)</f>
        <v>1</v>
      </c>
      <c r="K3559" s="1">
        <f t="shared" si="55"/>
        <v>2021</v>
      </c>
    </row>
    <row r="3560" spans="2:11" x14ac:dyDescent="0.45">
      <c r="B3560" s="1" t="s">
        <v>11</v>
      </c>
      <c r="C3560" s="1" t="s">
        <v>3536</v>
      </c>
      <c r="D3560" s="7">
        <v>44470</v>
      </c>
      <c r="E3560" s="7">
        <v>44493</v>
      </c>
      <c r="F3560" s="7">
        <v>44579</v>
      </c>
      <c r="G3560" s="1" t="s">
        <v>20</v>
      </c>
      <c r="H3560" s="8">
        <v>1575654.36</v>
      </c>
      <c r="I3560" s="8">
        <v>1159491.08</v>
      </c>
      <c r="J3560" s="1">
        <f>IF(COUNTIF($C$4:C3560,C3560)=1,1,0)</f>
        <v>1</v>
      </c>
      <c r="K3560" s="1">
        <f t="shared" si="55"/>
        <v>2021</v>
      </c>
    </row>
    <row r="3561" spans="2:11" x14ac:dyDescent="0.45">
      <c r="B3561" s="1" t="s">
        <v>11</v>
      </c>
      <c r="C3561" s="1" t="s">
        <v>3537</v>
      </c>
      <c r="D3561" s="7">
        <v>44410</v>
      </c>
      <c r="E3561" s="7">
        <v>44424</v>
      </c>
      <c r="F3561" s="7">
        <v>44648</v>
      </c>
      <c r="G3561" s="1" t="s">
        <v>44</v>
      </c>
      <c r="H3561" s="8">
        <v>102245015.3</v>
      </c>
      <c r="I3561" s="8">
        <v>70330486.849999994</v>
      </c>
      <c r="J3561" s="1">
        <f>IF(COUNTIF($C$4:C3561,C3561)=1,1,0)</f>
        <v>1</v>
      </c>
      <c r="K3561" s="1">
        <f t="shared" si="55"/>
        <v>2021</v>
      </c>
    </row>
    <row r="3562" spans="2:11" x14ac:dyDescent="0.45">
      <c r="B3562" s="1" t="s">
        <v>11</v>
      </c>
      <c r="C3562" s="1" t="s">
        <v>3538</v>
      </c>
      <c r="D3562" s="7">
        <v>44762</v>
      </c>
      <c r="E3562" s="7">
        <v>44773</v>
      </c>
      <c r="F3562" s="7">
        <v>44979</v>
      </c>
      <c r="G3562" s="1" t="s">
        <v>38</v>
      </c>
      <c r="H3562" s="8">
        <v>2683549.4</v>
      </c>
      <c r="I3562" s="8">
        <v>1926802.31</v>
      </c>
      <c r="J3562" s="1">
        <f>IF(COUNTIF($C$4:C3562,C3562)=1,1,0)</f>
        <v>1</v>
      </c>
      <c r="K3562" s="1">
        <f t="shared" si="55"/>
        <v>2022</v>
      </c>
    </row>
    <row r="3563" spans="2:11" x14ac:dyDescent="0.45">
      <c r="B3563" s="1" t="s">
        <v>11</v>
      </c>
      <c r="C3563" s="1" t="s">
        <v>3539</v>
      </c>
      <c r="D3563" s="7">
        <v>44059</v>
      </c>
      <c r="E3563" s="7">
        <v>44088</v>
      </c>
      <c r="F3563" s="7">
        <v>44160</v>
      </c>
      <c r="G3563" s="1" t="s">
        <v>44</v>
      </c>
      <c r="H3563" s="8">
        <v>47651308.450000003</v>
      </c>
      <c r="I3563" s="8">
        <v>32970017.140000001</v>
      </c>
      <c r="J3563" s="1">
        <f>IF(COUNTIF($C$4:C3563,C3563)=1,1,0)</f>
        <v>1</v>
      </c>
      <c r="K3563" s="1">
        <f t="shared" si="55"/>
        <v>2020</v>
      </c>
    </row>
    <row r="3564" spans="2:11" x14ac:dyDescent="0.45">
      <c r="B3564" s="1" t="s">
        <v>11</v>
      </c>
      <c r="C3564" s="1" t="s">
        <v>3540</v>
      </c>
      <c r="D3564" s="7">
        <v>44026</v>
      </c>
      <c r="E3564" s="7">
        <v>44048</v>
      </c>
      <c r="F3564" s="7">
        <v>44255</v>
      </c>
      <c r="G3564" s="1" t="s">
        <v>44</v>
      </c>
      <c r="H3564" s="8">
        <v>30324446.449999999</v>
      </c>
      <c r="I3564" s="8">
        <v>14452617.35</v>
      </c>
      <c r="J3564" s="1">
        <f>IF(COUNTIF($C$4:C3564,C3564)=1,1,0)</f>
        <v>1</v>
      </c>
      <c r="K3564" s="1">
        <f t="shared" si="55"/>
        <v>2020</v>
      </c>
    </row>
    <row r="3565" spans="2:11" x14ac:dyDescent="0.45">
      <c r="B3565" s="1" t="s">
        <v>11</v>
      </c>
      <c r="C3565" s="1" t="s">
        <v>3541</v>
      </c>
      <c r="D3565" s="7">
        <v>43246</v>
      </c>
      <c r="E3565" s="7">
        <v>43260</v>
      </c>
      <c r="F3565" s="7">
        <v>43468</v>
      </c>
      <c r="G3565" s="1" t="s">
        <v>41</v>
      </c>
      <c r="H3565" s="8">
        <v>36919.480000000003</v>
      </c>
      <c r="I3565" s="8">
        <v>25290.19</v>
      </c>
      <c r="J3565" s="1">
        <f>IF(COUNTIF($C$4:C3565,C3565)=1,1,0)</f>
        <v>1</v>
      </c>
      <c r="K3565" s="1">
        <f t="shared" si="55"/>
        <v>2018</v>
      </c>
    </row>
    <row r="3566" spans="2:11" x14ac:dyDescent="0.45">
      <c r="B3566" s="1" t="s">
        <v>11</v>
      </c>
      <c r="C3566" s="1" t="s">
        <v>3542</v>
      </c>
      <c r="D3566" s="7">
        <v>46208</v>
      </c>
      <c r="E3566" s="7">
        <v>46228</v>
      </c>
      <c r="F3566" s="7">
        <v>46448</v>
      </c>
      <c r="G3566" s="1" t="s">
        <v>38</v>
      </c>
      <c r="H3566" s="8">
        <v>823976.51</v>
      </c>
      <c r="I3566" s="8">
        <v>660381.43999999994</v>
      </c>
      <c r="J3566" s="1">
        <f>IF(COUNTIF($C$4:C3566,C3566)=1,1,0)</f>
        <v>1</v>
      </c>
      <c r="K3566" s="1">
        <f t="shared" si="55"/>
        <v>2026</v>
      </c>
    </row>
    <row r="3567" spans="2:11" x14ac:dyDescent="0.45">
      <c r="B3567" s="1" t="s">
        <v>11</v>
      </c>
      <c r="C3567" s="1" t="s">
        <v>3543</v>
      </c>
      <c r="D3567" s="7">
        <v>43579</v>
      </c>
      <c r="E3567" s="7">
        <v>43603</v>
      </c>
      <c r="F3567" s="7">
        <v>43742</v>
      </c>
      <c r="G3567" s="1" t="s">
        <v>212</v>
      </c>
      <c r="H3567" s="8">
        <v>83793016.430000007</v>
      </c>
      <c r="I3567" s="8">
        <v>48489611.93</v>
      </c>
      <c r="J3567" s="1">
        <f>IF(COUNTIF($C$4:C3567,C3567)=1,1,0)</f>
        <v>1</v>
      </c>
      <c r="K3567" s="1">
        <f t="shared" si="55"/>
        <v>2019</v>
      </c>
    </row>
    <row r="3568" spans="2:11" x14ac:dyDescent="0.45">
      <c r="B3568" s="1" t="s">
        <v>11</v>
      </c>
      <c r="C3568" s="1" t="s">
        <v>3544</v>
      </c>
      <c r="D3568" s="7">
        <v>44255</v>
      </c>
      <c r="E3568" s="7">
        <v>44280</v>
      </c>
      <c r="F3568" s="7">
        <v>44336</v>
      </c>
      <c r="G3568" s="1" t="s">
        <v>44</v>
      </c>
      <c r="H3568" s="8">
        <v>220780344.30000001</v>
      </c>
      <c r="I3568" s="8">
        <v>159223811.74000001</v>
      </c>
      <c r="J3568" s="1">
        <f>IF(COUNTIF($C$4:C3568,C3568)=1,1,0)</f>
        <v>1</v>
      </c>
      <c r="K3568" s="1">
        <f t="shared" si="55"/>
        <v>2021</v>
      </c>
    </row>
    <row r="3569" spans="2:11" x14ac:dyDescent="0.45">
      <c r="B3569" s="1" t="s">
        <v>11</v>
      </c>
      <c r="C3569" s="1" t="s">
        <v>3545</v>
      </c>
      <c r="D3569" s="7">
        <v>44618</v>
      </c>
      <c r="E3569" s="7">
        <v>44633</v>
      </c>
      <c r="F3569" s="7">
        <v>44782</v>
      </c>
      <c r="G3569" s="1" t="s">
        <v>18</v>
      </c>
      <c r="H3569" s="8">
        <v>1965706.25</v>
      </c>
      <c r="I3569" s="8">
        <v>1768095.96</v>
      </c>
      <c r="J3569" s="1">
        <f>IF(COUNTIF($C$4:C3569,C3569)=1,1,0)</f>
        <v>1</v>
      </c>
      <c r="K3569" s="1">
        <f t="shared" si="55"/>
        <v>2022</v>
      </c>
    </row>
    <row r="3570" spans="2:11" x14ac:dyDescent="0.45">
      <c r="B3570" s="1" t="s">
        <v>11</v>
      </c>
      <c r="C3570" s="1" t="s">
        <v>3546</v>
      </c>
      <c r="D3570" s="7">
        <v>44616</v>
      </c>
      <c r="E3570" s="7">
        <v>44623</v>
      </c>
      <c r="F3570" s="7">
        <v>44710</v>
      </c>
      <c r="G3570" s="1" t="s">
        <v>22</v>
      </c>
      <c r="H3570" s="8">
        <v>21510094.960000001</v>
      </c>
      <c r="I3570" s="8">
        <v>13014839.85</v>
      </c>
      <c r="J3570" s="1">
        <f>IF(COUNTIF($C$4:C3570,C3570)=1,1,0)</f>
        <v>1</v>
      </c>
      <c r="K3570" s="1">
        <f t="shared" si="55"/>
        <v>2022</v>
      </c>
    </row>
    <row r="3571" spans="2:11" x14ac:dyDescent="0.45">
      <c r="B3571" s="1" t="s">
        <v>11</v>
      </c>
      <c r="C3571" s="1" t="s">
        <v>3547</v>
      </c>
      <c r="D3571" s="7">
        <v>44987</v>
      </c>
      <c r="E3571" s="7">
        <v>44990</v>
      </c>
      <c r="F3571" s="7">
        <v>45106</v>
      </c>
      <c r="G3571" s="1" t="s">
        <v>38</v>
      </c>
      <c r="H3571" s="8">
        <v>2951605.31</v>
      </c>
      <c r="I3571" s="8">
        <v>2504720.34</v>
      </c>
      <c r="J3571" s="1">
        <f>IF(COUNTIF($C$4:C3571,C3571)=1,1,0)</f>
        <v>1</v>
      </c>
      <c r="K3571" s="1">
        <f t="shared" si="55"/>
        <v>2023</v>
      </c>
    </row>
    <row r="3572" spans="2:11" x14ac:dyDescent="0.45">
      <c r="B3572" s="1" t="s">
        <v>11</v>
      </c>
      <c r="C3572" s="1" t="s">
        <v>3548</v>
      </c>
      <c r="D3572" s="7">
        <v>44639</v>
      </c>
      <c r="E3572" s="7">
        <v>44657</v>
      </c>
      <c r="F3572" s="7">
        <v>44807</v>
      </c>
      <c r="G3572" s="1" t="s">
        <v>18</v>
      </c>
      <c r="H3572" s="8">
        <v>1090192.94</v>
      </c>
      <c r="I3572" s="8">
        <v>921779.23</v>
      </c>
      <c r="J3572" s="1">
        <f>IF(COUNTIF($C$4:C3572,C3572)=1,1,0)</f>
        <v>1</v>
      </c>
      <c r="K3572" s="1">
        <f t="shared" si="55"/>
        <v>2022</v>
      </c>
    </row>
    <row r="3573" spans="2:11" x14ac:dyDescent="0.45">
      <c r="B3573" s="1" t="s">
        <v>11</v>
      </c>
      <c r="C3573" s="1" t="s">
        <v>3549</v>
      </c>
      <c r="D3573" s="7">
        <v>45189</v>
      </c>
      <c r="E3573" s="7">
        <v>45189</v>
      </c>
      <c r="F3573" s="7">
        <v>45395</v>
      </c>
      <c r="G3573" s="1" t="s">
        <v>44</v>
      </c>
      <c r="H3573" s="8">
        <v>409818246.37</v>
      </c>
      <c r="I3573" s="8">
        <v>227730210.53999999</v>
      </c>
      <c r="J3573" s="1">
        <f>IF(COUNTIF($C$4:C3573,C3573)=1,1,0)</f>
        <v>1</v>
      </c>
      <c r="K3573" s="1">
        <f t="shared" si="55"/>
        <v>2023</v>
      </c>
    </row>
    <row r="3574" spans="2:11" x14ac:dyDescent="0.45">
      <c r="B3574" s="1" t="s">
        <v>11</v>
      </c>
      <c r="C3574" s="1" t="s">
        <v>3550</v>
      </c>
      <c r="D3574" s="7">
        <v>44180</v>
      </c>
      <c r="E3574" s="7">
        <v>44183</v>
      </c>
      <c r="F3574" s="7">
        <v>44304</v>
      </c>
      <c r="G3574" s="1" t="s">
        <v>18</v>
      </c>
      <c r="H3574" s="8">
        <v>1339909.19</v>
      </c>
      <c r="I3574" s="8">
        <v>947984.2</v>
      </c>
      <c r="J3574" s="1">
        <f>IF(COUNTIF($C$4:C3574,C3574)=1,1,0)</f>
        <v>1</v>
      </c>
      <c r="K3574" s="1">
        <f t="shared" si="55"/>
        <v>2020</v>
      </c>
    </row>
    <row r="3575" spans="2:11" x14ac:dyDescent="0.45">
      <c r="B3575" s="1" t="s">
        <v>11</v>
      </c>
      <c r="C3575" s="1" t="s">
        <v>3551</v>
      </c>
      <c r="D3575" s="7">
        <v>45944</v>
      </c>
      <c r="E3575" s="7">
        <v>45960</v>
      </c>
      <c r="F3575" s="7">
        <v>46166</v>
      </c>
      <c r="G3575" s="1" t="s">
        <v>44</v>
      </c>
      <c r="H3575" s="8">
        <v>105073586.95999999</v>
      </c>
      <c r="I3575" s="8">
        <v>71135845.150000006</v>
      </c>
      <c r="J3575" s="1">
        <f>IF(COUNTIF($C$4:C3575,C3575)=1,1,0)</f>
        <v>1</v>
      </c>
      <c r="K3575" s="1">
        <f t="shared" si="55"/>
        <v>2025</v>
      </c>
    </row>
    <row r="3576" spans="2:11" x14ac:dyDescent="0.45">
      <c r="B3576" s="1" t="s">
        <v>11</v>
      </c>
      <c r="C3576" s="1" t="s">
        <v>3552</v>
      </c>
      <c r="D3576" s="7">
        <v>44444</v>
      </c>
      <c r="E3576" s="7">
        <v>44474</v>
      </c>
      <c r="F3576" s="7">
        <v>44541</v>
      </c>
      <c r="G3576" s="1" t="s">
        <v>44</v>
      </c>
      <c r="H3576" s="8">
        <v>56497627.189999998</v>
      </c>
      <c r="I3576" s="8">
        <v>21355882.5</v>
      </c>
      <c r="J3576" s="1">
        <f>IF(COUNTIF($C$4:C3576,C3576)=1,1,0)</f>
        <v>1</v>
      </c>
      <c r="K3576" s="1">
        <f t="shared" si="55"/>
        <v>2021</v>
      </c>
    </row>
    <row r="3577" spans="2:11" x14ac:dyDescent="0.45">
      <c r="B3577" s="1" t="s">
        <v>11</v>
      </c>
      <c r="C3577" s="1" t="s">
        <v>3553</v>
      </c>
      <c r="D3577" s="7">
        <v>45601</v>
      </c>
      <c r="E3577" s="7">
        <v>45629</v>
      </c>
      <c r="F3577" s="7">
        <v>45724</v>
      </c>
      <c r="G3577" s="1" t="s">
        <v>18</v>
      </c>
      <c r="H3577" s="8">
        <v>1879499.9</v>
      </c>
      <c r="I3577" s="8">
        <v>1168375.08</v>
      </c>
      <c r="J3577" s="1">
        <f>IF(COUNTIF($C$4:C3577,C3577)=1,1,0)</f>
        <v>1</v>
      </c>
      <c r="K3577" s="1">
        <f t="shared" si="55"/>
        <v>2024</v>
      </c>
    </row>
    <row r="3578" spans="2:11" x14ac:dyDescent="0.45">
      <c r="B3578" s="1" t="s">
        <v>11</v>
      </c>
      <c r="C3578" s="1" t="s">
        <v>3554</v>
      </c>
      <c r="D3578" s="7">
        <v>45369</v>
      </c>
      <c r="E3578" s="7">
        <v>45371</v>
      </c>
      <c r="F3578" s="7">
        <v>45518</v>
      </c>
      <c r="G3578" s="1" t="s">
        <v>22</v>
      </c>
      <c r="H3578" s="8">
        <v>4167881.24</v>
      </c>
      <c r="I3578" s="8">
        <v>3031340.76</v>
      </c>
      <c r="J3578" s="1">
        <f>IF(COUNTIF($C$4:C3578,C3578)=1,1,0)</f>
        <v>1</v>
      </c>
      <c r="K3578" s="1">
        <f t="shared" si="55"/>
        <v>2024</v>
      </c>
    </row>
    <row r="3579" spans="2:11" x14ac:dyDescent="0.45">
      <c r="B3579" s="1" t="s">
        <v>11</v>
      </c>
      <c r="C3579" s="1" t="s">
        <v>3555</v>
      </c>
      <c r="D3579" s="7">
        <v>45630</v>
      </c>
      <c r="E3579" s="7">
        <v>45635</v>
      </c>
      <c r="F3579" s="7">
        <v>45670</v>
      </c>
      <c r="G3579" s="1" t="s">
        <v>41</v>
      </c>
      <c r="H3579" s="8">
        <v>390690.6</v>
      </c>
      <c r="I3579" s="8">
        <v>322752.34000000003</v>
      </c>
      <c r="J3579" s="1">
        <f>IF(COUNTIF($C$4:C3579,C3579)=1,1,0)</f>
        <v>1</v>
      </c>
      <c r="K3579" s="1">
        <f t="shared" si="55"/>
        <v>2024</v>
      </c>
    </row>
    <row r="3580" spans="2:11" x14ac:dyDescent="0.45">
      <c r="B3580" s="1" t="s">
        <v>11</v>
      </c>
      <c r="C3580" s="1" t="s">
        <v>3556</v>
      </c>
      <c r="D3580" s="7">
        <v>45966</v>
      </c>
      <c r="E3580" s="7">
        <v>45969</v>
      </c>
      <c r="F3580" s="7">
        <v>46024</v>
      </c>
      <c r="G3580" s="1" t="s">
        <v>20</v>
      </c>
      <c r="H3580" s="8">
        <v>558537.51</v>
      </c>
      <c r="I3580" s="8">
        <v>365045.2</v>
      </c>
      <c r="J3580" s="1">
        <f>IF(COUNTIF($C$4:C3580,C3580)=1,1,0)</f>
        <v>1</v>
      </c>
      <c r="K3580" s="1">
        <f t="shared" si="55"/>
        <v>2025</v>
      </c>
    </row>
    <row r="3581" spans="2:11" x14ac:dyDescent="0.45">
      <c r="B3581" s="1" t="s">
        <v>11</v>
      </c>
      <c r="C3581" s="1" t="s">
        <v>3557</v>
      </c>
      <c r="D3581" s="7">
        <v>45930</v>
      </c>
      <c r="E3581" s="7">
        <v>45937</v>
      </c>
      <c r="F3581" s="7">
        <v>46142</v>
      </c>
      <c r="G3581" s="1" t="s">
        <v>13</v>
      </c>
      <c r="H3581" s="8">
        <v>1023832.14</v>
      </c>
      <c r="I3581" s="8">
        <v>644608.84</v>
      </c>
      <c r="J3581" s="1">
        <f>IF(COUNTIF($C$4:C3581,C3581)=1,1,0)</f>
        <v>1</v>
      </c>
      <c r="K3581" s="1">
        <f t="shared" si="55"/>
        <v>2025</v>
      </c>
    </row>
    <row r="3582" spans="2:11" x14ac:dyDescent="0.45">
      <c r="B3582" s="1" t="s">
        <v>11</v>
      </c>
      <c r="C3582" s="1" t="s">
        <v>3558</v>
      </c>
      <c r="D3582" s="7">
        <v>43726</v>
      </c>
      <c r="E3582" s="7">
        <v>43732</v>
      </c>
      <c r="F3582" s="7">
        <v>43850</v>
      </c>
      <c r="G3582" s="1" t="s">
        <v>212</v>
      </c>
      <c r="H3582" s="8">
        <v>31478681.27</v>
      </c>
      <c r="I3582" s="8">
        <v>17591973.210000001</v>
      </c>
      <c r="J3582" s="1">
        <f>IF(COUNTIF($C$4:C3582,C3582)=1,1,0)</f>
        <v>1</v>
      </c>
      <c r="K3582" s="1">
        <f t="shared" si="55"/>
        <v>2019</v>
      </c>
    </row>
    <row r="3583" spans="2:11" x14ac:dyDescent="0.45">
      <c r="B3583" s="1" t="s">
        <v>11</v>
      </c>
      <c r="C3583" s="1" t="s">
        <v>3559</v>
      </c>
      <c r="D3583" s="7">
        <v>43651</v>
      </c>
      <c r="E3583" s="7">
        <v>43667</v>
      </c>
      <c r="F3583" s="7">
        <v>43853</v>
      </c>
      <c r="G3583" s="1" t="s">
        <v>18</v>
      </c>
      <c r="H3583" s="8">
        <v>945045.19</v>
      </c>
      <c r="I3583" s="8">
        <v>754234.16</v>
      </c>
      <c r="J3583" s="1">
        <f>IF(COUNTIF($C$4:C3583,C3583)=1,1,0)</f>
        <v>1</v>
      </c>
      <c r="K3583" s="1">
        <f t="shared" si="55"/>
        <v>2019</v>
      </c>
    </row>
    <row r="3584" spans="2:11" x14ac:dyDescent="0.45">
      <c r="B3584" s="1" t="s">
        <v>11</v>
      </c>
      <c r="C3584" s="1" t="s">
        <v>3560</v>
      </c>
      <c r="D3584" s="7">
        <v>43963</v>
      </c>
      <c r="E3584" s="7">
        <v>43973</v>
      </c>
      <c r="F3584" s="7">
        <v>44130</v>
      </c>
      <c r="G3584" s="1" t="s">
        <v>41</v>
      </c>
      <c r="H3584" s="8">
        <v>122928.64</v>
      </c>
      <c r="I3584" s="8">
        <v>85337.58</v>
      </c>
      <c r="J3584" s="1">
        <f>IF(COUNTIF($C$4:C3584,C3584)=1,1,0)</f>
        <v>1</v>
      </c>
      <c r="K3584" s="1">
        <f t="shared" si="55"/>
        <v>2020</v>
      </c>
    </row>
    <row r="3585" spans="2:11" x14ac:dyDescent="0.45">
      <c r="B3585" s="1" t="s">
        <v>11</v>
      </c>
      <c r="C3585" s="1" t="s">
        <v>3561</v>
      </c>
      <c r="D3585" s="7">
        <v>45071</v>
      </c>
      <c r="E3585" s="7">
        <v>45098</v>
      </c>
      <c r="F3585" s="7">
        <v>45194</v>
      </c>
      <c r="G3585" s="1" t="s">
        <v>41</v>
      </c>
      <c r="H3585" s="8">
        <v>39523.620000000003</v>
      </c>
      <c r="I3585" s="8">
        <v>32642.33</v>
      </c>
      <c r="J3585" s="1">
        <f>IF(COUNTIF($C$4:C3585,C3585)=1,1,0)</f>
        <v>1</v>
      </c>
      <c r="K3585" s="1">
        <f t="shared" si="55"/>
        <v>2023</v>
      </c>
    </row>
    <row r="3586" spans="2:11" x14ac:dyDescent="0.45">
      <c r="B3586" s="1" t="s">
        <v>11</v>
      </c>
      <c r="C3586" s="1" t="s">
        <v>3562</v>
      </c>
      <c r="D3586" s="7">
        <v>45364</v>
      </c>
      <c r="E3586" s="7">
        <v>45364</v>
      </c>
      <c r="F3586" s="7">
        <v>45419</v>
      </c>
      <c r="G3586" s="1" t="s">
        <v>16</v>
      </c>
      <c r="H3586" s="8">
        <v>2186467.7599999998</v>
      </c>
      <c r="I3586" s="8">
        <v>1462753.81</v>
      </c>
      <c r="J3586" s="1">
        <f>IF(COUNTIF($C$4:C3586,C3586)=1,1,0)</f>
        <v>1</v>
      </c>
      <c r="K3586" s="1">
        <f t="shared" si="55"/>
        <v>2024</v>
      </c>
    </row>
    <row r="3587" spans="2:11" x14ac:dyDescent="0.45">
      <c r="B3587" s="1" t="s">
        <v>11</v>
      </c>
      <c r="C3587" s="1" t="s">
        <v>3563</v>
      </c>
      <c r="D3587" s="7">
        <v>43662</v>
      </c>
      <c r="E3587" s="7">
        <v>43677</v>
      </c>
      <c r="F3587" s="7">
        <v>43841</v>
      </c>
      <c r="G3587" s="1" t="s">
        <v>16</v>
      </c>
      <c r="H3587" s="8">
        <v>355482.69</v>
      </c>
      <c r="I3587" s="8">
        <v>240845.96</v>
      </c>
      <c r="J3587" s="1">
        <f>IF(COUNTIF($C$4:C3587,C3587)=1,1,0)</f>
        <v>1</v>
      </c>
      <c r="K3587" s="1">
        <f t="shared" si="55"/>
        <v>2019</v>
      </c>
    </row>
    <row r="3588" spans="2:11" x14ac:dyDescent="0.45">
      <c r="B3588" s="1" t="s">
        <v>11</v>
      </c>
      <c r="C3588" s="1" t="s">
        <v>3564</v>
      </c>
      <c r="D3588" s="7">
        <v>44695</v>
      </c>
      <c r="E3588" s="7">
        <v>44711</v>
      </c>
      <c r="F3588" s="7">
        <v>44899</v>
      </c>
      <c r="G3588" s="1" t="s">
        <v>41</v>
      </c>
      <c r="H3588" s="8">
        <v>141606.29</v>
      </c>
      <c r="I3588" s="8">
        <v>121094.1</v>
      </c>
      <c r="J3588" s="1">
        <f>IF(COUNTIF($C$4:C3588,C3588)=1,1,0)</f>
        <v>1</v>
      </c>
      <c r="K3588" s="1">
        <f t="shared" si="55"/>
        <v>2022</v>
      </c>
    </row>
    <row r="3589" spans="2:11" x14ac:dyDescent="0.45">
      <c r="B3589" s="1" t="s">
        <v>11</v>
      </c>
      <c r="C3589" s="1" t="s">
        <v>3565</v>
      </c>
      <c r="D3589" s="7">
        <v>45487</v>
      </c>
      <c r="E3589" s="7">
        <v>45488</v>
      </c>
      <c r="F3589" s="7">
        <v>45565</v>
      </c>
      <c r="G3589" s="1" t="s">
        <v>16</v>
      </c>
      <c r="H3589" s="8">
        <v>4043078.53</v>
      </c>
      <c r="I3589" s="8">
        <v>2256306.17</v>
      </c>
      <c r="J3589" s="1">
        <f>IF(COUNTIF($C$4:C3589,C3589)=1,1,0)</f>
        <v>1</v>
      </c>
      <c r="K3589" s="1">
        <f t="shared" ref="K3589:K3652" si="56">YEAR(D3589)</f>
        <v>2024</v>
      </c>
    </row>
    <row r="3590" spans="2:11" x14ac:dyDescent="0.45">
      <c r="B3590" s="1" t="s">
        <v>11</v>
      </c>
      <c r="C3590" s="1" t="s">
        <v>3566</v>
      </c>
      <c r="D3590" s="7">
        <v>44703</v>
      </c>
      <c r="E3590" s="7">
        <v>44727</v>
      </c>
      <c r="F3590" s="7">
        <v>44936</v>
      </c>
      <c r="G3590" s="1" t="s">
        <v>16</v>
      </c>
      <c r="H3590" s="8">
        <v>7403183.5700000003</v>
      </c>
      <c r="I3590" s="8">
        <v>5810845.4900000002</v>
      </c>
      <c r="J3590" s="1">
        <f>IF(COUNTIF($C$4:C3590,C3590)=1,1,0)</f>
        <v>1</v>
      </c>
      <c r="K3590" s="1">
        <f t="shared" si="56"/>
        <v>2022</v>
      </c>
    </row>
    <row r="3591" spans="2:11" x14ac:dyDescent="0.45">
      <c r="B3591" s="1" t="s">
        <v>11</v>
      </c>
      <c r="C3591" s="1" t="s">
        <v>3567</v>
      </c>
      <c r="D3591" s="7">
        <v>44974</v>
      </c>
      <c r="E3591" s="7">
        <v>44977</v>
      </c>
      <c r="F3591" s="7">
        <v>45135</v>
      </c>
      <c r="G3591" s="1" t="s">
        <v>20</v>
      </c>
      <c r="H3591" s="8">
        <v>573920.6</v>
      </c>
      <c r="I3591" s="8">
        <v>436039.3</v>
      </c>
      <c r="J3591" s="1">
        <f>IF(COUNTIF($C$4:C3591,C3591)=1,1,0)</f>
        <v>1</v>
      </c>
      <c r="K3591" s="1">
        <f t="shared" si="56"/>
        <v>2023</v>
      </c>
    </row>
    <row r="3592" spans="2:11" x14ac:dyDescent="0.45">
      <c r="B3592" s="1" t="s">
        <v>11</v>
      </c>
      <c r="C3592" s="1" t="s">
        <v>3568</v>
      </c>
      <c r="D3592" s="7">
        <v>43933</v>
      </c>
      <c r="E3592" s="7">
        <v>43957</v>
      </c>
      <c r="F3592" s="7">
        <v>44160</v>
      </c>
      <c r="G3592" s="1" t="s">
        <v>20</v>
      </c>
      <c r="H3592" s="8">
        <v>776647.27</v>
      </c>
      <c r="I3592" s="8">
        <v>479975.51</v>
      </c>
      <c r="J3592" s="1">
        <f>IF(COUNTIF($C$4:C3592,C3592)=1,1,0)</f>
        <v>1</v>
      </c>
      <c r="K3592" s="1">
        <f t="shared" si="56"/>
        <v>2020</v>
      </c>
    </row>
    <row r="3593" spans="2:11" x14ac:dyDescent="0.45">
      <c r="B3593" s="1" t="s">
        <v>11</v>
      </c>
      <c r="C3593" s="1" t="s">
        <v>3569</v>
      </c>
      <c r="D3593" s="7">
        <v>44445</v>
      </c>
      <c r="E3593" s="7">
        <v>44469</v>
      </c>
      <c r="F3593" s="7">
        <v>44673</v>
      </c>
      <c r="G3593" s="1" t="s">
        <v>22</v>
      </c>
      <c r="H3593" s="8">
        <v>89666797.849999994</v>
      </c>
      <c r="I3593" s="8">
        <v>58104978.100000001</v>
      </c>
      <c r="J3593" s="1">
        <f>IF(COUNTIF($C$4:C3593,C3593)=1,1,0)</f>
        <v>1</v>
      </c>
      <c r="K3593" s="1">
        <f t="shared" si="56"/>
        <v>2021</v>
      </c>
    </row>
    <row r="3594" spans="2:11" x14ac:dyDescent="0.45">
      <c r="B3594" s="1" t="s">
        <v>11</v>
      </c>
      <c r="C3594" s="1" t="s">
        <v>3570</v>
      </c>
      <c r="D3594" s="7">
        <v>43839</v>
      </c>
      <c r="E3594" s="7">
        <v>43861</v>
      </c>
      <c r="F3594" s="7">
        <v>43999</v>
      </c>
      <c r="G3594" s="1" t="s">
        <v>41</v>
      </c>
      <c r="H3594" s="8">
        <v>191494.01</v>
      </c>
      <c r="I3594" s="8">
        <v>156809.81</v>
      </c>
      <c r="J3594" s="1">
        <f>IF(COUNTIF($C$4:C3594,C3594)=1,1,0)</f>
        <v>1</v>
      </c>
      <c r="K3594" s="1">
        <f t="shared" si="56"/>
        <v>2020</v>
      </c>
    </row>
    <row r="3595" spans="2:11" x14ac:dyDescent="0.45">
      <c r="B3595" s="1" t="s">
        <v>11</v>
      </c>
      <c r="C3595" s="1" t="s">
        <v>3571</v>
      </c>
      <c r="D3595" s="7">
        <v>43977</v>
      </c>
      <c r="E3595" s="7">
        <v>43984</v>
      </c>
      <c r="F3595" s="7">
        <v>44164</v>
      </c>
      <c r="G3595" s="1" t="s">
        <v>22</v>
      </c>
      <c r="H3595" s="8">
        <v>3738300.13</v>
      </c>
      <c r="I3595" s="8">
        <v>1264759.03</v>
      </c>
      <c r="J3595" s="1">
        <f>IF(COUNTIF($C$4:C3595,C3595)=1,1,0)</f>
        <v>1</v>
      </c>
      <c r="K3595" s="1">
        <f t="shared" si="56"/>
        <v>2020</v>
      </c>
    </row>
    <row r="3596" spans="2:11" x14ac:dyDescent="0.45">
      <c r="B3596" s="1" t="s">
        <v>11</v>
      </c>
      <c r="C3596" s="1" t="s">
        <v>3572</v>
      </c>
      <c r="D3596" s="7">
        <v>45286</v>
      </c>
      <c r="E3596" s="7">
        <v>45310</v>
      </c>
      <c r="F3596" s="7">
        <v>45394</v>
      </c>
      <c r="G3596" s="1" t="s">
        <v>44</v>
      </c>
      <c r="H3596" s="8">
        <v>557365467.23000002</v>
      </c>
      <c r="I3596" s="8">
        <v>221695688.08000001</v>
      </c>
      <c r="J3596" s="1">
        <f>IF(COUNTIF($C$4:C3596,C3596)=1,1,0)</f>
        <v>1</v>
      </c>
      <c r="K3596" s="1">
        <f t="shared" si="56"/>
        <v>2023</v>
      </c>
    </row>
    <row r="3597" spans="2:11" x14ac:dyDescent="0.45">
      <c r="B3597" s="1" t="s">
        <v>11</v>
      </c>
      <c r="C3597" s="1" t="s">
        <v>3573</v>
      </c>
      <c r="D3597" s="7">
        <v>44782</v>
      </c>
      <c r="E3597" s="7">
        <v>44787</v>
      </c>
      <c r="F3597" s="7">
        <v>45005</v>
      </c>
      <c r="G3597" s="1" t="s">
        <v>18</v>
      </c>
      <c r="H3597" s="8">
        <v>1419872.54</v>
      </c>
      <c r="I3597" s="8">
        <v>971621.44</v>
      </c>
      <c r="J3597" s="1">
        <f>IF(COUNTIF($C$4:C3597,C3597)=1,1,0)</f>
        <v>1</v>
      </c>
      <c r="K3597" s="1">
        <f t="shared" si="56"/>
        <v>2022</v>
      </c>
    </row>
    <row r="3598" spans="2:11" x14ac:dyDescent="0.45">
      <c r="B3598" s="1" t="s">
        <v>11</v>
      </c>
      <c r="C3598" s="1" t="s">
        <v>3574</v>
      </c>
      <c r="D3598" s="7">
        <v>43416</v>
      </c>
      <c r="E3598" s="7">
        <v>43432</v>
      </c>
      <c r="F3598" s="7">
        <v>43525</v>
      </c>
      <c r="G3598" s="1" t="s">
        <v>16</v>
      </c>
      <c r="H3598" s="8">
        <v>511926.94</v>
      </c>
      <c r="I3598" s="8">
        <v>423148.29</v>
      </c>
      <c r="J3598" s="1">
        <f>IF(COUNTIF($C$4:C3598,C3598)=1,1,0)</f>
        <v>1</v>
      </c>
      <c r="K3598" s="1">
        <f t="shared" si="56"/>
        <v>2018</v>
      </c>
    </row>
    <row r="3599" spans="2:11" x14ac:dyDescent="0.45">
      <c r="B3599" s="1" t="s">
        <v>11</v>
      </c>
      <c r="C3599" s="1" t="s">
        <v>3575</v>
      </c>
      <c r="D3599" s="7">
        <v>45453</v>
      </c>
      <c r="E3599" s="7">
        <v>45479</v>
      </c>
      <c r="F3599" s="7">
        <v>45614</v>
      </c>
      <c r="G3599" s="1" t="s">
        <v>44</v>
      </c>
      <c r="H3599" s="8">
        <v>203589369.80000001</v>
      </c>
      <c r="I3599" s="8">
        <v>102650410.28</v>
      </c>
      <c r="J3599" s="1">
        <f>IF(COUNTIF($C$4:C3599,C3599)=1,1,0)</f>
        <v>1</v>
      </c>
      <c r="K3599" s="1">
        <f t="shared" si="56"/>
        <v>2024</v>
      </c>
    </row>
    <row r="3600" spans="2:11" x14ac:dyDescent="0.45">
      <c r="B3600" s="1" t="s">
        <v>11</v>
      </c>
      <c r="C3600" s="1" t="s">
        <v>3576</v>
      </c>
      <c r="D3600" s="7">
        <v>44639</v>
      </c>
      <c r="E3600" s="7">
        <v>44650</v>
      </c>
      <c r="F3600" s="7">
        <v>44670</v>
      </c>
      <c r="G3600" s="1" t="s">
        <v>20</v>
      </c>
      <c r="H3600" s="8">
        <v>1245028.8700000001</v>
      </c>
      <c r="I3600" s="8">
        <v>751330.78</v>
      </c>
      <c r="J3600" s="1">
        <f>IF(COUNTIF($C$4:C3600,C3600)=1,1,0)</f>
        <v>1</v>
      </c>
      <c r="K3600" s="1">
        <f t="shared" si="56"/>
        <v>2022</v>
      </c>
    </row>
    <row r="3601" spans="2:11" x14ac:dyDescent="0.45">
      <c r="B3601" s="1" t="s">
        <v>11</v>
      </c>
      <c r="C3601" s="1" t="s">
        <v>3577</v>
      </c>
      <c r="D3601" s="7">
        <v>45478</v>
      </c>
      <c r="E3601" s="7">
        <v>45481</v>
      </c>
      <c r="F3601" s="7">
        <v>45607</v>
      </c>
      <c r="G3601" s="1" t="s">
        <v>22</v>
      </c>
      <c r="H3601" s="8">
        <v>97387325.430000007</v>
      </c>
      <c r="I3601" s="8">
        <v>39182894.310000002</v>
      </c>
      <c r="J3601" s="1">
        <f>IF(COUNTIF($C$4:C3601,C3601)=1,1,0)</f>
        <v>1</v>
      </c>
      <c r="K3601" s="1">
        <f t="shared" si="56"/>
        <v>2024</v>
      </c>
    </row>
    <row r="3602" spans="2:11" x14ac:dyDescent="0.45">
      <c r="B3602" s="1" t="s">
        <v>11</v>
      </c>
      <c r="C3602" s="1" t="s">
        <v>3578</v>
      </c>
      <c r="D3602" s="7">
        <v>45071</v>
      </c>
      <c r="E3602" s="7">
        <v>45091</v>
      </c>
      <c r="F3602" s="7">
        <v>45307</v>
      </c>
      <c r="G3602" s="1" t="s">
        <v>16</v>
      </c>
      <c r="H3602" s="8">
        <v>2162568.52</v>
      </c>
      <c r="I3602" s="8">
        <v>1251994.6000000001</v>
      </c>
      <c r="J3602" s="1">
        <f>IF(COUNTIF($C$4:C3602,C3602)=1,1,0)</f>
        <v>1</v>
      </c>
      <c r="K3602" s="1">
        <f t="shared" si="56"/>
        <v>2023</v>
      </c>
    </row>
    <row r="3603" spans="2:11" x14ac:dyDescent="0.45">
      <c r="B3603" s="1" t="s">
        <v>11</v>
      </c>
      <c r="C3603" s="1" t="s">
        <v>3579</v>
      </c>
      <c r="D3603" s="7">
        <v>45750</v>
      </c>
      <c r="E3603" s="7">
        <v>45750</v>
      </c>
      <c r="F3603" s="7">
        <v>45860</v>
      </c>
      <c r="G3603" s="1" t="s">
        <v>20</v>
      </c>
      <c r="H3603" s="8">
        <v>161007.42000000001</v>
      </c>
      <c r="I3603" s="8">
        <v>102550.34</v>
      </c>
      <c r="J3603" s="1">
        <f>IF(COUNTIF($C$4:C3603,C3603)=1,1,0)</f>
        <v>1</v>
      </c>
      <c r="K3603" s="1">
        <f t="shared" si="56"/>
        <v>2025</v>
      </c>
    </row>
    <row r="3604" spans="2:11" x14ac:dyDescent="0.45">
      <c r="B3604" s="1" t="s">
        <v>11</v>
      </c>
      <c r="C3604" s="1" t="s">
        <v>3580</v>
      </c>
      <c r="D3604" s="7">
        <v>45802</v>
      </c>
      <c r="E3604" s="7">
        <v>45821</v>
      </c>
      <c r="F3604" s="7">
        <v>46005</v>
      </c>
      <c r="G3604" s="1" t="s">
        <v>13</v>
      </c>
      <c r="H3604" s="8">
        <v>569709.19999999995</v>
      </c>
      <c r="I3604" s="8">
        <v>407695.5</v>
      </c>
      <c r="J3604" s="1">
        <f>IF(COUNTIF($C$4:C3604,C3604)=1,1,0)</f>
        <v>1</v>
      </c>
      <c r="K3604" s="1">
        <f t="shared" si="56"/>
        <v>2025</v>
      </c>
    </row>
    <row r="3605" spans="2:11" x14ac:dyDescent="0.45">
      <c r="B3605" s="1" t="s">
        <v>11</v>
      </c>
      <c r="C3605" s="1" t="s">
        <v>3581</v>
      </c>
      <c r="D3605" s="7">
        <v>45797</v>
      </c>
      <c r="E3605" s="7">
        <v>45800</v>
      </c>
      <c r="F3605" s="7">
        <v>45901</v>
      </c>
      <c r="G3605" s="1" t="s">
        <v>212</v>
      </c>
      <c r="H3605" s="8">
        <v>25776099.510000002</v>
      </c>
      <c r="I3605" s="8">
        <v>10578249.029999999</v>
      </c>
      <c r="J3605" s="1">
        <f>IF(COUNTIF($C$4:C3605,C3605)=1,1,0)</f>
        <v>1</v>
      </c>
      <c r="K3605" s="1">
        <f t="shared" si="56"/>
        <v>2025</v>
      </c>
    </row>
    <row r="3606" spans="2:11" x14ac:dyDescent="0.45">
      <c r="B3606" s="1" t="s">
        <v>11</v>
      </c>
      <c r="C3606" s="1" t="s">
        <v>3582</v>
      </c>
      <c r="D3606" s="7">
        <v>44080</v>
      </c>
      <c r="E3606" s="7">
        <v>44095</v>
      </c>
      <c r="F3606" s="7">
        <v>44157</v>
      </c>
      <c r="G3606" s="1" t="s">
        <v>41</v>
      </c>
      <c r="H3606" s="8">
        <v>197526.72</v>
      </c>
      <c r="I3606" s="8">
        <v>160759.51</v>
      </c>
      <c r="J3606" s="1">
        <f>IF(COUNTIF($C$4:C3606,C3606)=1,1,0)</f>
        <v>1</v>
      </c>
      <c r="K3606" s="1">
        <f t="shared" si="56"/>
        <v>2020</v>
      </c>
    </row>
    <row r="3607" spans="2:11" x14ac:dyDescent="0.45">
      <c r="B3607" s="1" t="s">
        <v>11</v>
      </c>
      <c r="C3607" s="1" t="s">
        <v>3583</v>
      </c>
      <c r="D3607" s="7">
        <v>43521</v>
      </c>
      <c r="E3607" s="7">
        <v>43541</v>
      </c>
      <c r="F3607" s="7">
        <v>43625</v>
      </c>
      <c r="G3607" s="1" t="s">
        <v>44</v>
      </c>
      <c r="H3607" s="8">
        <v>209411913.84</v>
      </c>
      <c r="I3607" s="8">
        <v>136985363.78</v>
      </c>
      <c r="J3607" s="1">
        <f>IF(COUNTIF($C$4:C3607,C3607)=1,1,0)</f>
        <v>1</v>
      </c>
      <c r="K3607" s="1">
        <f t="shared" si="56"/>
        <v>2019</v>
      </c>
    </row>
    <row r="3608" spans="2:11" x14ac:dyDescent="0.45">
      <c r="B3608" s="1" t="s">
        <v>11</v>
      </c>
      <c r="C3608" s="1" t="s">
        <v>3584</v>
      </c>
      <c r="D3608" s="7">
        <v>43383</v>
      </c>
      <c r="E3608" s="7">
        <v>43393</v>
      </c>
      <c r="F3608" s="7">
        <v>43518</v>
      </c>
      <c r="G3608" s="1" t="s">
        <v>44</v>
      </c>
      <c r="H3608" s="8">
        <v>246208520.28999999</v>
      </c>
      <c r="I3608" s="8">
        <v>163708044.77000001</v>
      </c>
      <c r="J3608" s="1">
        <f>IF(COUNTIF($C$4:C3608,C3608)=1,1,0)</f>
        <v>1</v>
      </c>
      <c r="K3608" s="1">
        <f t="shared" si="56"/>
        <v>2018</v>
      </c>
    </row>
    <row r="3609" spans="2:11" x14ac:dyDescent="0.45">
      <c r="B3609" s="1" t="s">
        <v>11</v>
      </c>
      <c r="C3609" s="1" t="s">
        <v>3585</v>
      </c>
      <c r="D3609" s="7">
        <v>45444</v>
      </c>
      <c r="E3609" s="7">
        <v>45453</v>
      </c>
      <c r="F3609" s="7">
        <v>45685</v>
      </c>
      <c r="G3609" s="1" t="s">
        <v>16</v>
      </c>
      <c r="H3609" s="8">
        <v>657593.32999999996</v>
      </c>
      <c r="I3609" s="8">
        <v>372098.49</v>
      </c>
      <c r="J3609" s="1">
        <f>IF(COUNTIF($C$4:C3609,C3609)=1,1,0)</f>
        <v>1</v>
      </c>
      <c r="K3609" s="1">
        <f t="shared" si="56"/>
        <v>2024</v>
      </c>
    </row>
    <row r="3610" spans="2:11" x14ac:dyDescent="0.45">
      <c r="B3610" s="1" t="s">
        <v>11</v>
      </c>
      <c r="C3610" s="1" t="s">
        <v>3586</v>
      </c>
      <c r="D3610" s="7">
        <v>44447</v>
      </c>
      <c r="E3610" s="7">
        <v>44468</v>
      </c>
      <c r="F3610" s="7">
        <v>44547</v>
      </c>
      <c r="G3610" s="1" t="s">
        <v>13</v>
      </c>
      <c r="H3610" s="8">
        <v>209248.87</v>
      </c>
      <c r="I3610" s="8">
        <v>143984.44</v>
      </c>
      <c r="J3610" s="1">
        <f>IF(COUNTIF($C$4:C3610,C3610)=1,1,0)</f>
        <v>1</v>
      </c>
      <c r="K3610" s="1">
        <f t="shared" si="56"/>
        <v>2021</v>
      </c>
    </row>
    <row r="3611" spans="2:11" x14ac:dyDescent="0.45">
      <c r="B3611" s="1" t="s">
        <v>11</v>
      </c>
      <c r="C3611" s="1" t="s">
        <v>3587</v>
      </c>
      <c r="D3611" s="7">
        <v>44549</v>
      </c>
      <c r="E3611" s="7">
        <v>44565</v>
      </c>
      <c r="F3611" s="7">
        <v>44689</v>
      </c>
      <c r="G3611" s="1" t="s">
        <v>22</v>
      </c>
      <c r="H3611" s="8">
        <v>34823391.770000003</v>
      </c>
      <c r="I3611" s="8">
        <v>22116417.640000001</v>
      </c>
      <c r="J3611" s="1">
        <f>IF(COUNTIF($C$4:C3611,C3611)=1,1,0)</f>
        <v>1</v>
      </c>
      <c r="K3611" s="1">
        <f t="shared" si="56"/>
        <v>2021</v>
      </c>
    </row>
    <row r="3612" spans="2:11" x14ac:dyDescent="0.45">
      <c r="B3612" s="1" t="s">
        <v>11</v>
      </c>
      <c r="C3612" s="1" t="s">
        <v>3588</v>
      </c>
      <c r="D3612" s="7">
        <v>43785</v>
      </c>
      <c r="E3612" s="7">
        <v>43787</v>
      </c>
      <c r="F3612" s="7">
        <v>43973</v>
      </c>
      <c r="G3612" s="1" t="s">
        <v>44</v>
      </c>
      <c r="H3612" s="8">
        <v>150209690.71000001</v>
      </c>
      <c r="I3612" s="8">
        <v>111001703.59999999</v>
      </c>
      <c r="J3612" s="1">
        <f>IF(COUNTIF($C$4:C3612,C3612)=1,1,0)</f>
        <v>1</v>
      </c>
      <c r="K3612" s="1">
        <f t="shared" si="56"/>
        <v>2019</v>
      </c>
    </row>
    <row r="3613" spans="2:11" x14ac:dyDescent="0.45">
      <c r="B3613" s="1" t="s">
        <v>11</v>
      </c>
      <c r="C3613" s="1" t="s">
        <v>3589</v>
      </c>
      <c r="D3613" s="7">
        <v>44332</v>
      </c>
      <c r="E3613" s="7">
        <v>44340</v>
      </c>
      <c r="F3613" s="7">
        <v>44349</v>
      </c>
      <c r="G3613" s="1" t="s">
        <v>18</v>
      </c>
      <c r="H3613" s="8">
        <v>5338986.37</v>
      </c>
      <c r="I3613" s="8">
        <v>4286186.12</v>
      </c>
      <c r="J3613" s="1">
        <f>IF(COUNTIF($C$4:C3613,C3613)=1,1,0)</f>
        <v>1</v>
      </c>
      <c r="K3613" s="1">
        <f t="shared" si="56"/>
        <v>2021</v>
      </c>
    </row>
    <row r="3614" spans="2:11" x14ac:dyDescent="0.45">
      <c r="B3614" s="1" t="s">
        <v>11</v>
      </c>
      <c r="C3614" s="1" t="s">
        <v>3590</v>
      </c>
      <c r="D3614" s="7">
        <v>44358</v>
      </c>
      <c r="E3614" s="7">
        <v>44377</v>
      </c>
      <c r="F3614" s="7">
        <v>44532</v>
      </c>
      <c r="G3614" s="1" t="s">
        <v>44</v>
      </c>
      <c r="H3614" s="8">
        <v>26924041.09</v>
      </c>
      <c r="I3614" s="8">
        <v>18297245.239999998</v>
      </c>
      <c r="J3614" s="1">
        <f>IF(COUNTIF($C$4:C3614,C3614)=1,1,0)</f>
        <v>1</v>
      </c>
      <c r="K3614" s="1">
        <f t="shared" si="56"/>
        <v>2021</v>
      </c>
    </row>
    <row r="3615" spans="2:11" x14ac:dyDescent="0.45">
      <c r="B3615" s="1" t="s">
        <v>11</v>
      </c>
      <c r="C3615" s="1" t="s">
        <v>3591</v>
      </c>
      <c r="D3615" s="7">
        <v>44931</v>
      </c>
      <c r="E3615" s="7">
        <v>44959</v>
      </c>
      <c r="F3615" s="7">
        <v>45146</v>
      </c>
      <c r="G3615" s="1" t="s">
        <v>18</v>
      </c>
      <c r="H3615" s="8">
        <v>936893.97</v>
      </c>
      <c r="I3615" s="8">
        <v>793531.96</v>
      </c>
      <c r="J3615" s="1">
        <f>IF(COUNTIF($C$4:C3615,C3615)=1,1,0)</f>
        <v>1</v>
      </c>
      <c r="K3615" s="1">
        <f t="shared" si="56"/>
        <v>2023</v>
      </c>
    </row>
    <row r="3616" spans="2:11" x14ac:dyDescent="0.45">
      <c r="B3616" s="1" t="s">
        <v>11</v>
      </c>
      <c r="C3616" s="1" t="s">
        <v>3592</v>
      </c>
      <c r="D3616" s="7">
        <v>45706</v>
      </c>
      <c r="E3616" s="7">
        <v>45734</v>
      </c>
      <c r="F3616" s="7">
        <v>45810</v>
      </c>
      <c r="G3616" s="1" t="s">
        <v>20</v>
      </c>
      <c r="H3616" s="8">
        <v>6402156.25</v>
      </c>
      <c r="I3616" s="8">
        <v>4181831.53</v>
      </c>
      <c r="J3616" s="1">
        <f>IF(COUNTIF($C$4:C3616,C3616)=1,1,0)</f>
        <v>1</v>
      </c>
      <c r="K3616" s="1">
        <f t="shared" si="56"/>
        <v>2025</v>
      </c>
    </row>
    <row r="3617" spans="2:11" x14ac:dyDescent="0.45">
      <c r="B3617" s="1" t="s">
        <v>11</v>
      </c>
      <c r="C3617" s="1" t="s">
        <v>3593</v>
      </c>
      <c r="D3617" s="7">
        <v>44083</v>
      </c>
      <c r="E3617" s="7">
        <v>44092</v>
      </c>
      <c r="F3617" s="7">
        <v>44248</v>
      </c>
      <c r="G3617" s="1" t="s">
        <v>41</v>
      </c>
      <c r="H3617" s="8">
        <v>629015.28</v>
      </c>
      <c r="I3617" s="8">
        <v>468484.37</v>
      </c>
      <c r="J3617" s="1">
        <f>IF(COUNTIF($C$4:C3617,C3617)=1,1,0)</f>
        <v>1</v>
      </c>
      <c r="K3617" s="1">
        <f t="shared" si="56"/>
        <v>2020</v>
      </c>
    </row>
    <row r="3618" spans="2:11" x14ac:dyDescent="0.45">
      <c r="B3618" s="1" t="s">
        <v>11</v>
      </c>
      <c r="C3618" s="1" t="s">
        <v>3594</v>
      </c>
      <c r="D3618" s="7">
        <v>45717</v>
      </c>
      <c r="E3618" s="7">
        <v>45745</v>
      </c>
      <c r="F3618" s="7">
        <v>45901</v>
      </c>
      <c r="G3618" s="1" t="s">
        <v>41</v>
      </c>
      <c r="H3618" s="8">
        <v>446158.72</v>
      </c>
      <c r="I3618" s="8">
        <v>341989.15</v>
      </c>
      <c r="J3618" s="1">
        <f>IF(COUNTIF($C$4:C3618,C3618)=1,1,0)</f>
        <v>1</v>
      </c>
      <c r="K3618" s="1">
        <f t="shared" si="56"/>
        <v>2025</v>
      </c>
    </row>
    <row r="3619" spans="2:11" x14ac:dyDescent="0.45">
      <c r="B3619" s="1" t="s">
        <v>11</v>
      </c>
      <c r="C3619" s="1" t="s">
        <v>3595</v>
      </c>
      <c r="D3619" s="7">
        <v>45863</v>
      </c>
      <c r="E3619" s="7">
        <v>45866</v>
      </c>
      <c r="F3619" s="7">
        <v>46101</v>
      </c>
      <c r="G3619" s="1" t="s">
        <v>22</v>
      </c>
      <c r="H3619" s="8">
        <v>49382404.789999999</v>
      </c>
      <c r="I3619" s="8">
        <v>36305897.280000001</v>
      </c>
      <c r="J3619" s="1">
        <f>IF(COUNTIF($C$4:C3619,C3619)=1,1,0)</f>
        <v>1</v>
      </c>
      <c r="K3619" s="1">
        <f t="shared" si="56"/>
        <v>2025</v>
      </c>
    </row>
    <row r="3620" spans="2:11" x14ac:dyDescent="0.45">
      <c r="B3620" s="1" t="s">
        <v>11</v>
      </c>
      <c r="C3620" s="1" t="s">
        <v>3596</v>
      </c>
      <c r="D3620" s="7">
        <v>44200</v>
      </c>
      <c r="E3620" s="7">
        <v>44205</v>
      </c>
      <c r="F3620" s="7">
        <v>44375</v>
      </c>
      <c r="G3620" s="1" t="s">
        <v>22</v>
      </c>
      <c r="H3620" s="8">
        <v>20730793.260000002</v>
      </c>
      <c r="I3620" s="8">
        <v>11742201.439999999</v>
      </c>
      <c r="J3620" s="1">
        <f>IF(COUNTIF($C$4:C3620,C3620)=1,1,0)</f>
        <v>1</v>
      </c>
      <c r="K3620" s="1">
        <f t="shared" si="56"/>
        <v>2021</v>
      </c>
    </row>
    <row r="3621" spans="2:11" x14ac:dyDescent="0.45">
      <c r="B3621" s="1" t="s">
        <v>11</v>
      </c>
      <c r="C3621" s="1" t="s">
        <v>3597</v>
      </c>
      <c r="D3621" s="7">
        <v>46113</v>
      </c>
      <c r="E3621" s="7">
        <v>46134</v>
      </c>
      <c r="F3621" s="7">
        <v>46237</v>
      </c>
      <c r="G3621" s="1" t="s">
        <v>212</v>
      </c>
      <c r="H3621" s="8">
        <v>33422735.75</v>
      </c>
      <c r="I3621" s="8">
        <v>22382368.719999999</v>
      </c>
      <c r="J3621" s="1">
        <f>IF(COUNTIF($C$4:C3621,C3621)=1,1,0)</f>
        <v>1</v>
      </c>
      <c r="K3621" s="1">
        <f t="shared" si="56"/>
        <v>2026</v>
      </c>
    </row>
    <row r="3622" spans="2:11" x14ac:dyDescent="0.45">
      <c r="B3622" s="1" t="s">
        <v>11</v>
      </c>
      <c r="C3622" s="1" t="s">
        <v>3598</v>
      </c>
      <c r="D3622" s="7">
        <v>44733</v>
      </c>
      <c r="E3622" s="7">
        <v>44745</v>
      </c>
      <c r="F3622" s="7">
        <v>44870</v>
      </c>
      <c r="G3622" s="1" t="s">
        <v>20</v>
      </c>
      <c r="H3622" s="8">
        <v>151304.57999999999</v>
      </c>
      <c r="I3622" s="8">
        <v>102010.54</v>
      </c>
      <c r="J3622" s="1">
        <f>IF(COUNTIF($C$4:C3622,C3622)=1,1,0)</f>
        <v>1</v>
      </c>
      <c r="K3622" s="1">
        <f t="shared" si="56"/>
        <v>2022</v>
      </c>
    </row>
    <row r="3623" spans="2:11" x14ac:dyDescent="0.45">
      <c r="B3623" s="1" t="s">
        <v>11</v>
      </c>
      <c r="C3623" s="1" t="s">
        <v>3599</v>
      </c>
      <c r="D3623" s="7">
        <v>45093</v>
      </c>
      <c r="E3623" s="7">
        <v>45101</v>
      </c>
      <c r="F3623" s="7">
        <v>45240</v>
      </c>
      <c r="G3623" s="1" t="s">
        <v>212</v>
      </c>
      <c r="H3623" s="8">
        <v>5941019.96</v>
      </c>
      <c r="I3623" s="8">
        <v>4286042.9800000004</v>
      </c>
      <c r="J3623" s="1">
        <f>IF(COUNTIF($C$4:C3623,C3623)=1,1,0)</f>
        <v>1</v>
      </c>
      <c r="K3623" s="1">
        <f t="shared" si="56"/>
        <v>2023</v>
      </c>
    </row>
    <row r="3624" spans="2:11" x14ac:dyDescent="0.45">
      <c r="B3624" s="1" t="s">
        <v>11</v>
      </c>
      <c r="C3624" s="1" t="s">
        <v>3600</v>
      </c>
      <c r="D3624" s="7">
        <v>43262</v>
      </c>
      <c r="E3624" s="7">
        <v>43283</v>
      </c>
      <c r="F3624" s="7">
        <v>43464</v>
      </c>
      <c r="G3624" s="1" t="s">
        <v>41</v>
      </c>
      <c r="H3624" s="8">
        <v>233244.83</v>
      </c>
      <c r="I3624" s="8">
        <v>190293.72</v>
      </c>
      <c r="J3624" s="1">
        <f>IF(COUNTIF($C$4:C3624,C3624)=1,1,0)</f>
        <v>1</v>
      </c>
      <c r="K3624" s="1">
        <f t="shared" si="56"/>
        <v>2018</v>
      </c>
    </row>
    <row r="3625" spans="2:11" x14ac:dyDescent="0.45">
      <c r="B3625" s="1" t="s">
        <v>11</v>
      </c>
      <c r="C3625" s="1" t="s">
        <v>3601</v>
      </c>
      <c r="D3625" s="7">
        <v>43496</v>
      </c>
      <c r="E3625" s="7">
        <v>43525</v>
      </c>
      <c r="F3625" s="7">
        <v>43734</v>
      </c>
      <c r="G3625" s="1" t="s">
        <v>41</v>
      </c>
      <c r="H3625" s="8">
        <v>27464.99</v>
      </c>
      <c r="I3625" s="8">
        <v>22001.38</v>
      </c>
      <c r="J3625" s="1">
        <f>IF(COUNTIF($C$4:C3625,C3625)=1,1,0)</f>
        <v>1</v>
      </c>
      <c r="K3625" s="1">
        <f t="shared" si="56"/>
        <v>2019</v>
      </c>
    </row>
    <row r="3626" spans="2:11" x14ac:dyDescent="0.45">
      <c r="B3626" s="1" t="s">
        <v>11</v>
      </c>
      <c r="C3626" s="1" t="s">
        <v>3602</v>
      </c>
      <c r="D3626" s="7">
        <v>44839</v>
      </c>
      <c r="E3626" s="7">
        <v>44856</v>
      </c>
      <c r="F3626" s="7">
        <v>44897</v>
      </c>
      <c r="G3626" s="1" t="s">
        <v>22</v>
      </c>
      <c r="H3626" s="8">
        <v>3508996.87</v>
      </c>
      <c r="I3626" s="8">
        <v>1909620.87</v>
      </c>
      <c r="J3626" s="1">
        <f>IF(COUNTIF($C$4:C3626,C3626)=1,1,0)</f>
        <v>1</v>
      </c>
      <c r="K3626" s="1">
        <f t="shared" si="56"/>
        <v>2022</v>
      </c>
    </row>
    <row r="3627" spans="2:11" x14ac:dyDescent="0.45">
      <c r="B3627" s="1" t="s">
        <v>11</v>
      </c>
      <c r="C3627" s="1" t="s">
        <v>3603</v>
      </c>
      <c r="D3627" s="7">
        <v>44797</v>
      </c>
      <c r="E3627" s="7">
        <v>44805</v>
      </c>
      <c r="F3627" s="7">
        <v>44902</v>
      </c>
      <c r="G3627" s="1" t="s">
        <v>41</v>
      </c>
      <c r="H3627" s="8">
        <v>1203217.5</v>
      </c>
      <c r="I3627" s="8">
        <v>844450.84</v>
      </c>
      <c r="J3627" s="1">
        <f>IF(COUNTIF($C$4:C3627,C3627)=1,1,0)</f>
        <v>1</v>
      </c>
      <c r="K3627" s="1">
        <f t="shared" si="56"/>
        <v>2022</v>
      </c>
    </row>
    <row r="3628" spans="2:11" x14ac:dyDescent="0.45">
      <c r="B3628" s="1" t="s">
        <v>11</v>
      </c>
      <c r="C3628" s="1" t="s">
        <v>3604</v>
      </c>
      <c r="D3628" s="7">
        <v>43866</v>
      </c>
      <c r="E3628" s="7">
        <v>43892</v>
      </c>
      <c r="F3628" s="7">
        <v>44037</v>
      </c>
      <c r="G3628" s="1" t="s">
        <v>20</v>
      </c>
      <c r="H3628" s="8">
        <v>146707.76999999999</v>
      </c>
      <c r="I3628" s="8">
        <v>89907.88</v>
      </c>
      <c r="J3628" s="1">
        <f>IF(COUNTIF($C$4:C3628,C3628)=1,1,0)</f>
        <v>1</v>
      </c>
      <c r="K3628" s="1">
        <f t="shared" si="56"/>
        <v>2020</v>
      </c>
    </row>
    <row r="3629" spans="2:11" x14ac:dyDescent="0.45">
      <c r="B3629" s="1" t="s">
        <v>11</v>
      </c>
      <c r="C3629" s="1" t="s">
        <v>3605</v>
      </c>
      <c r="D3629" s="7">
        <v>43746</v>
      </c>
      <c r="E3629" s="7">
        <v>43748</v>
      </c>
      <c r="F3629" s="7">
        <v>43908</v>
      </c>
      <c r="G3629" s="1" t="s">
        <v>13</v>
      </c>
      <c r="H3629" s="8">
        <v>214349.46</v>
      </c>
      <c r="I3629" s="8">
        <v>150815</v>
      </c>
      <c r="J3629" s="1">
        <f>IF(COUNTIF($C$4:C3629,C3629)=1,1,0)</f>
        <v>1</v>
      </c>
      <c r="K3629" s="1">
        <f t="shared" si="56"/>
        <v>2019</v>
      </c>
    </row>
    <row r="3630" spans="2:11" x14ac:dyDescent="0.45">
      <c r="B3630" s="1" t="s">
        <v>11</v>
      </c>
      <c r="C3630" s="1" t="s">
        <v>3606</v>
      </c>
      <c r="D3630" s="7">
        <v>45595</v>
      </c>
      <c r="E3630" s="7">
        <v>45610</v>
      </c>
      <c r="F3630" s="7">
        <v>45709</v>
      </c>
      <c r="G3630" s="1" t="s">
        <v>18</v>
      </c>
      <c r="H3630" s="8">
        <v>1891801.04</v>
      </c>
      <c r="I3630" s="8">
        <v>1099287.1299999999</v>
      </c>
      <c r="J3630" s="1">
        <f>IF(COUNTIF($C$4:C3630,C3630)=1,1,0)</f>
        <v>1</v>
      </c>
      <c r="K3630" s="1">
        <f t="shared" si="56"/>
        <v>2024</v>
      </c>
    </row>
    <row r="3631" spans="2:11" x14ac:dyDescent="0.45">
      <c r="B3631" s="1" t="s">
        <v>11</v>
      </c>
      <c r="C3631" s="1" t="s">
        <v>3607</v>
      </c>
      <c r="D3631" s="7">
        <v>44961</v>
      </c>
      <c r="E3631" s="7">
        <v>44970</v>
      </c>
      <c r="F3631" s="7">
        <v>45115</v>
      </c>
      <c r="G3631" s="1" t="s">
        <v>22</v>
      </c>
      <c r="H3631" s="8">
        <v>48121316.939999998</v>
      </c>
      <c r="I3631" s="8">
        <v>12821548.609999999</v>
      </c>
      <c r="J3631" s="1">
        <f>IF(COUNTIF($C$4:C3631,C3631)=1,1,0)</f>
        <v>1</v>
      </c>
      <c r="K3631" s="1">
        <f t="shared" si="56"/>
        <v>2023</v>
      </c>
    </row>
    <row r="3632" spans="2:11" x14ac:dyDescent="0.45">
      <c r="B3632" s="1" t="s">
        <v>11</v>
      </c>
      <c r="C3632" s="1" t="s">
        <v>3608</v>
      </c>
      <c r="D3632" s="7">
        <v>45481</v>
      </c>
      <c r="E3632" s="7">
        <v>45494</v>
      </c>
      <c r="F3632" s="7">
        <v>45578</v>
      </c>
      <c r="G3632" s="1" t="s">
        <v>16</v>
      </c>
      <c r="H3632" s="8">
        <v>557220.13</v>
      </c>
      <c r="I3632" s="8">
        <v>388271.54</v>
      </c>
      <c r="J3632" s="1">
        <f>IF(COUNTIF($C$4:C3632,C3632)=1,1,0)</f>
        <v>1</v>
      </c>
      <c r="K3632" s="1">
        <f t="shared" si="56"/>
        <v>2024</v>
      </c>
    </row>
    <row r="3633" spans="2:11" x14ac:dyDescent="0.45">
      <c r="B3633" s="1" t="s">
        <v>11</v>
      </c>
      <c r="C3633" s="1" t="s">
        <v>3609</v>
      </c>
      <c r="D3633" s="7">
        <v>44574</v>
      </c>
      <c r="E3633" s="7">
        <v>44575</v>
      </c>
      <c r="F3633" s="7">
        <v>44662</v>
      </c>
      <c r="G3633" s="1" t="s">
        <v>20</v>
      </c>
      <c r="H3633" s="8">
        <v>738514.09</v>
      </c>
      <c r="I3633" s="8">
        <v>534373.99</v>
      </c>
      <c r="J3633" s="1">
        <f>IF(COUNTIF($C$4:C3633,C3633)=1,1,0)</f>
        <v>1</v>
      </c>
      <c r="K3633" s="1">
        <f t="shared" si="56"/>
        <v>2022</v>
      </c>
    </row>
    <row r="3634" spans="2:11" x14ac:dyDescent="0.45">
      <c r="B3634" s="1" t="s">
        <v>11</v>
      </c>
      <c r="C3634" s="1" t="s">
        <v>3610</v>
      </c>
      <c r="D3634" s="7">
        <v>44316</v>
      </c>
      <c r="E3634" s="7">
        <v>44330</v>
      </c>
      <c r="F3634" s="7">
        <v>44442</v>
      </c>
      <c r="G3634" s="1" t="s">
        <v>44</v>
      </c>
      <c r="H3634" s="8">
        <v>29367987.07</v>
      </c>
      <c r="I3634" s="8">
        <v>23062171</v>
      </c>
      <c r="J3634" s="1">
        <f>IF(COUNTIF($C$4:C3634,C3634)=1,1,0)</f>
        <v>1</v>
      </c>
      <c r="K3634" s="1">
        <f t="shared" si="56"/>
        <v>2021</v>
      </c>
    </row>
    <row r="3635" spans="2:11" x14ac:dyDescent="0.45">
      <c r="B3635" s="1" t="s">
        <v>11</v>
      </c>
      <c r="C3635" s="1" t="s">
        <v>3611</v>
      </c>
      <c r="D3635" s="7">
        <v>45011</v>
      </c>
      <c r="E3635" s="7">
        <v>45026</v>
      </c>
      <c r="F3635" s="7">
        <v>45076</v>
      </c>
      <c r="G3635" s="1" t="s">
        <v>41</v>
      </c>
      <c r="H3635" s="8">
        <v>112961.08</v>
      </c>
      <c r="I3635" s="8">
        <v>89540.33</v>
      </c>
      <c r="J3635" s="1">
        <f>IF(COUNTIF($C$4:C3635,C3635)=1,1,0)</f>
        <v>1</v>
      </c>
      <c r="K3635" s="1">
        <f t="shared" si="56"/>
        <v>2023</v>
      </c>
    </row>
    <row r="3636" spans="2:11" x14ac:dyDescent="0.45">
      <c r="B3636" s="1" t="s">
        <v>11</v>
      </c>
      <c r="C3636" s="1" t="s">
        <v>3612</v>
      </c>
      <c r="D3636" s="7">
        <v>44189</v>
      </c>
      <c r="E3636" s="7">
        <v>44208</v>
      </c>
      <c r="F3636" s="7">
        <v>44322</v>
      </c>
      <c r="G3636" s="1" t="s">
        <v>38</v>
      </c>
      <c r="H3636" s="8">
        <v>334840.45</v>
      </c>
      <c r="I3636" s="8">
        <v>289329.59999999998</v>
      </c>
      <c r="J3636" s="1">
        <f>IF(COUNTIF($C$4:C3636,C3636)=1,1,0)</f>
        <v>1</v>
      </c>
      <c r="K3636" s="1">
        <f t="shared" si="56"/>
        <v>2020</v>
      </c>
    </row>
    <row r="3637" spans="2:11" x14ac:dyDescent="0.45">
      <c r="B3637" s="1" t="s">
        <v>11</v>
      </c>
      <c r="C3637" s="1" t="s">
        <v>3613</v>
      </c>
      <c r="D3637" s="7">
        <v>45872</v>
      </c>
      <c r="E3637" s="7">
        <v>45898</v>
      </c>
      <c r="F3637" s="7">
        <v>45938</v>
      </c>
      <c r="G3637" s="1" t="s">
        <v>20</v>
      </c>
      <c r="H3637" s="8">
        <v>1574574.01</v>
      </c>
      <c r="I3637" s="8">
        <v>1118803.1299999999</v>
      </c>
      <c r="J3637" s="1">
        <f>IF(COUNTIF($C$4:C3637,C3637)=1,1,0)</f>
        <v>1</v>
      </c>
      <c r="K3637" s="1">
        <f t="shared" si="56"/>
        <v>2025</v>
      </c>
    </row>
    <row r="3638" spans="2:11" x14ac:dyDescent="0.45">
      <c r="B3638" s="1" t="s">
        <v>11</v>
      </c>
      <c r="C3638" s="1" t="s">
        <v>3614</v>
      </c>
      <c r="D3638" s="7">
        <v>43753</v>
      </c>
      <c r="E3638" s="7">
        <v>43761</v>
      </c>
      <c r="F3638" s="7">
        <v>43783</v>
      </c>
      <c r="G3638" s="1" t="s">
        <v>212</v>
      </c>
      <c r="H3638" s="8">
        <v>18417766.710000001</v>
      </c>
      <c r="I3638" s="8">
        <v>9192430.9199999999</v>
      </c>
      <c r="J3638" s="1">
        <f>IF(COUNTIF($C$4:C3638,C3638)=1,1,0)</f>
        <v>1</v>
      </c>
      <c r="K3638" s="1">
        <f t="shared" si="56"/>
        <v>2019</v>
      </c>
    </row>
    <row r="3639" spans="2:11" x14ac:dyDescent="0.45">
      <c r="B3639" s="1" t="s">
        <v>11</v>
      </c>
      <c r="C3639" s="1" t="s">
        <v>3615</v>
      </c>
      <c r="D3639" s="7">
        <v>44918</v>
      </c>
      <c r="E3639" s="7">
        <v>44920</v>
      </c>
      <c r="F3639" s="7">
        <v>45017</v>
      </c>
      <c r="G3639" s="1" t="s">
        <v>22</v>
      </c>
      <c r="H3639" s="8">
        <v>1408077.99</v>
      </c>
      <c r="I3639" s="8">
        <v>606020.18000000005</v>
      </c>
      <c r="J3639" s="1">
        <f>IF(COUNTIF($C$4:C3639,C3639)=1,1,0)</f>
        <v>1</v>
      </c>
      <c r="K3639" s="1">
        <f t="shared" si="56"/>
        <v>2022</v>
      </c>
    </row>
    <row r="3640" spans="2:11" x14ac:dyDescent="0.45">
      <c r="B3640" s="1" t="s">
        <v>11</v>
      </c>
      <c r="C3640" s="1" t="s">
        <v>3616</v>
      </c>
      <c r="D3640" s="7">
        <v>44453</v>
      </c>
      <c r="E3640" s="7">
        <v>44453</v>
      </c>
      <c r="F3640" s="7">
        <v>44537</v>
      </c>
      <c r="G3640" s="1" t="s">
        <v>212</v>
      </c>
      <c r="H3640" s="8">
        <v>37142552.93</v>
      </c>
      <c r="I3640" s="8">
        <v>15879703.65</v>
      </c>
      <c r="J3640" s="1">
        <f>IF(COUNTIF($C$4:C3640,C3640)=1,1,0)</f>
        <v>1</v>
      </c>
      <c r="K3640" s="1">
        <f t="shared" si="56"/>
        <v>2021</v>
      </c>
    </row>
    <row r="3641" spans="2:11" x14ac:dyDescent="0.45">
      <c r="B3641" s="1" t="s">
        <v>11</v>
      </c>
      <c r="C3641" s="1" t="s">
        <v>3617</v>
      </c>
      <c r="D3641" s="7">
        <v>46044</v>
      </c>
      <c r="E3641" s="7">
        <v>46055</v>
      </c>
      <c r="F3641" s="7">
        <v>46106</v>
      </c>
      <c r="G3641" s="1" t="s">
        <v>41</v>
      </c>
      <c r="H3641" s="8">
        <v>316235.06</v>
      </c>
      <c r="I3641" s="8">
        <v>266896.03000000003</v>
      </c>
      <c r="J3641" s="1">
        <f>IF(COUNTIF($C$4:C3641,C3641)=1,1,0)</f>
        <v>1</v>
      </c>
      <c r="K3641" s="1">
        <f t="shared" si="56"/>
        <v>2026</v>
      </c>
    </row>
    <row r="3642" spans="2:11" x14ac:dyDescent="0.45">
      <c r="B3642" s="1" t="s">
        <v>11</v>
      </c>
      <c r="C3642" s="1" t="s">
        <v>3618</v>
      </c>
      <c r="D3642" s="7">
        <v>45486</v>
      </c>
      <c r="E3642" s="7">
        <v>45488</v>
      </c>
      <c r="F3642" s="7">
        <v>45652</v>
      </c>
      <c r="G3642" s="1" t="s">
        <v>22</v>
      </c>
      <c r="H3642" s="8">
        <v>87324100.310000002</v>
      </c>
      <c r="I3642" s="8">
        <v>33069657.809999999</v>
      </c>
      <c r="J3642" s="1">
        <f>IF(COUNTIF($C$4:C3642,C3642)=1,1,0)</f>
        <v>1</v>
      </c>
      <c r="K3642" s="1">
        <f t="shared" si="56"/>
        <v>2024</v>
      </c>
    </row>
    <row r="3643" spans="2:11" x14ac:dyDescent="0.45">
      <c r="B3643" s="1" t="s">
        <v>11</v>
      </c>
      <c r="C3643" s="1" t="s">
        <v>3619</v>
      </c>
      <c r="D3643" s="7">
        <v>43773</v>
      </c>
      <c r="E3643" s="7">
        <v>43793</v>
      </c>
      <c r="F3643" s="7">
        <v>43865</v>
      </c>
      <c r="G3643" s="1" t="s">
        <v>20</v>
      </c>
      <c r="H3643" s="8">
        <v>292800.43</v>
      </c>
      <c r="I3643" s="8">
        <v>221915.54</v>
      </c>
      <c r="J3643" s="1">
        <f>IF(COUNTIF($C$4:C3643,C3643)=1,1,0)</f>
        <v>1</v>
      </c>
      <c r="K3643" s="1">
        <f t="shared" si="56"/>
        <v>2019</v>
      </c>
    </row>
    <row r="3644" spans="2:11" x14ac:dyDescent="0.45">
      <c r="B3644" s="1" t="s">
        <v>11</v>
      </c>
      <c r="C3644" s="1" t="s">
        <v>3620</v>
      </c>
      <c r="D3644" s="7">
        <v>44660</v>
      </c>
      <c r="E3644" s="7">
        <v>44689</v>
      </c>
      <c r="F3644" s="7">
        <v>44704</v>
      </c>
      <c r="G3644" s="1" t="s">
        <v>16</v>
      </c>
      <c r="H3644" s="8">
        <v>859799.56</v>
      </c>
      <c r="I3644" s="8">
        <v>642968.18000000005</v>
      </c>
      <c r="J3644" s="1">
        <f>IF(COUNTIF($C$4:C3644,C3644)=1,1,0)</f>
        <v>1</v>
      </c>
      <c r="K3644" s="1">
        <f t="shared" si="56"/>
        <v>2022</v>
      </c>
    </row>
    <row r="3645" spans="2:11" x14ac:dyDescent="0.45">
      <c r="B3645" s="1" t="s">
        <v>11</v>
      </c>
      <c r="C3645" s="1" t="s">
        <v>3621</v>
      </c>
      <c r="D3645" s="7">
        <v>44919</v>
      </c>
      <c r="E3645" s="7">
        <v>44921</v>
      </c>
      <c r="F3645" s="7">
        <v>45074</v>
      </c>
      <c r="G3645" s="1" t="s">
        <v>20</v>
      </c>
      <c r="H3645" s="8">
        <v>948594.18</v>
      </c>
      <c r="I3645" s="8">
        <v>694099.63</v>
      </c>
      <c r="J3645" s="1">
        <f>IF(COUNTIF($C$4:C3645,C3645)=1,1,0)</f>
        <v>1</v>
      </c>
      <c r="K3645" s="1">
        <f t="shared" si="56"/>
        <v>2022</v>
      </c>
    </row>
    <row r="3646" spans="2:11" x14ac:dyDescent="0.45">
      <c r="B3646" s="1" t="s">
        <v>11</v>
      </c>
      <c r="C3646" s="1" t="s">
        <v>3622</v>
      </c>
      <c r="D3646" s="7">
        <v>45887</v>
      </c>
      <c r="E3646" s="7">
        <v>45897</v>
      </c>
      <c r="F3646" s="7">
        <v>45960</v>
      </c>
      <c r="G3646" s="1" t="s">
        <v>13</v>
      </c>
      <c r="H3646" s="8">
        <v>173822.68</v>
      </c>
      <c r="I3646" s="8">
        <v>138986.67000000001</v>
      </c>
      <c r="J3646" s="1">
        <f>IF(COUNTIF($C$4:C3646,C3646)=1,1,0)</f>
        <v>1</v>
      </c>
      <c r="K3646" s="1">
        <f t="shared" si="56"/>
        <v>2025</v>
      </c>
    </row>
    <row r="3647" spans="2:11" x14ac:dyDescent="0.45">
      <c r="B3647" s="1" t="s">
        <v>11</v>
      </c>
      <c r="C3647" s="1" t="s">
        <v>3623</v>
      </c>
      <c r="D3647" s="7">
        <v>43485</v>
      </c>
      <c r="E3647" s="7">
        <v>43495</v>
      </c>
      <c r="F3647" s="7">
        <v>43730</v>
      </c>
      <c r="G3647" s="1" t="s">
        <v>16</v>
      </c>
      <c r="H3647" s="8">
        <v>848608.61</v>
      </c>
      <c r="I3647" s="8">
        <v>581820.63</v>
      </c>
      <c r="J3647" s="1">
        <f>IF(COUNTIF($C$4:C3647,C3647)=1,1,0)</f>
        <v>1</v>
      </c>
      <c r="K3647" s="1">
        <f t="shared" si="56"/>
        <v>2019</v>
      </c>
    </row>
    <row r="3648" spans="2:11" x14ac:dyDescent="0.45">
      <c r="B3648" s="1" t="s">
        <v>11</v>
      </c>
      <c r="C3648" s="1" t="s">
        <v>3624</v>
      </c>
      <c r="D3648" s="7">
        <v>43892</v>
      </c>
      <c r="E3648" s="7">
        <v>43899</v>
      </c>
      <c r="F3648" s="7">
        <v>44043</v>
      </c>
      <c r="G3648" s="1" t="s">
        <v>22</v>
      </c>
      <c r="H3648" s="8">
        <v>24493647.460000001</v>
      </c>
      <c r="I3648" s="8">
        <v>15543691.51</v>
      </c>
      <c r="J3648" s="1">
        <f>IF(COUNTIF($C$4:C3648,C3648)=1,1,0)</f>
        <v>1</v>
      </c>
      <c r="K3648" s="1">
        <f t="shared" si="56"/>
        <v>2020</v>
      </c>
    </row>
    <row r="3649" spans="2:11" x14ac:dyDescent="0.45">
      <c r="B3649" s="1" t="s">
        <v>11</v>
      </c>
      <c r="C3649" s="1" t="s">
        <v>3625</v>
      </c>
      <c r="D3649" s="7">
        <v>45651</v>
      </c>
      <c r="E3649" s="7">
        <v>45669</v>
      </c>
      <c r="F3649" s="7">
        <v>45813</v>
      </c>
      <c r="G3649" s="1" t="s">
        <v>18</v>
      </c>
      <c r="H3649" s="8">
        <v>2135170.54</v>
      </c>
      <c r="I3649" s="8">
        <v>1487981.95</v>
      </c>
      <c r="J3649" s="1">
        <f>IF(COUNTIF($C$4:C3649,C3649)=1,1,0)</f>
        <v>1</v>
      </c>
      <c r="K3649" s="1">
        <f t="shared" si="56"/>
        <v>2024</v>
      </c>
    </row>
    <row r="3650" spans="2:11" x14ac:dyDescent="0.45">
      <c r="B3650" s="1" t="s">
        <v>11</v>
      </c>
      <c r="C3650" s="1" t="s">
        <v>3626</v>
      </c>
      <c r="D3650" s="7">
        <v>45470</v>
      </c>
      <c r="E3650" s="7">
        <v>45498</v>
      </c>
      <c r="F3650" s="7">
        <v>45720</v>
      </c>
      <c r="G3650" s="1" t="s">
        <v>13</v>
      </c>
      <c r="H3650" s="8">
        <v>38384.910000000003</v>
      </c>
      <c r="I3650" s="8">
        <v>27338.79</v>
      </c>
      <c r="J3650" s="1">
        <f>IF(COUNTIF($C$4:C3650,C3650)=1,1,0)</f>
        <v>1</v>
      </c>
      <c r="K3650" s="1">
        <f t="shared" si="56"/>
        <v>2024</v>
      </c>
    </row>
    <row r="3651" spans="2:11" x14ac:dyDescent="0.45">
      <c r="B3651" s="1" t="s">
        <v>11</v>
      </c>
      <c r="C3651" s="1" t="s">
        <v>3627</v>
      </c>
      <c r="D3651" s="7">
        <v>44455</v>
      </c>
      <c r="E3651" s="7">
        <v>44457</v>
      </c>
      <c r="F3651" s="7">
        <v>44541</v>
      </c>
      <c r="G3651" s="1" t="s">
        <v>16</v>
      </c>
      <c r="H3651" s="8">
        <v>2346227.5</v>
      </c>
      <c r="I3651" s="8">
        <v>1446576.04</v>
      </c>
      <c r="J3651" s="1">
        <f>IF(COUNTIF($C$4:C3651,C3651)=1,1,0)</f>
        <v>1</v>
      </c>
      <c r="K3651" s="1">
        <f t="shared" si="56"/>
        <v>2021</v>
      </c>
    </row>
    <row r="3652" spans="2:11" x14ac:dyDescent="0.45">
      <c r="B3652" s="1" t="s">
        <v>11</v>
      </c>
      <c r="C3652" s="1" t="s">
        <v>3628</v>
      </c>
      <c r="D3652" s="7">
        <v>44956</v>
      </c>
      <c r="E3652" s="7">
        <v>44957</v>
      </c>
      <c r="F3652" s="7">
        <v>45034</v>
      </c>
      <c r="G3652" s="1" t="s">
        <v>212</v>
      </c>
      <c r="H3652" s="8">
        <v>50817493.240000002</v>
      </c>
      <c r="I3652" s="8">
        <v>32187880.039999999</v>
      </c>
      <c r="J3652" s="1">
        <f>IF(COUNTIF($C$4:C3652,C3652)=1,1,0)</f>
        <v>1</v>
      </c>
      <c r="K3652" s="1">
        <f t="shared" si="56"/>
        <v>2023</v>
      </c>
    </row>
    <row r="3653" spans="2:11" x14ac:dyDescent="0.45">
      <c r="B3653" s="1" t="s">
        <v>11</v>
      </c>
      <c r="C3653" s="1" t="s">
        <v>3629</v>
      </c>
      <c r="D3653" s="7">
        <v>44337</v>
      </c>
      <c r="E3653" s="7">
        <v>44363</v>
      </c>
      <c r="F3653" s="7">
        <v>44439</v>
      </c>
      <c r="G3653" s="1" t="s">
        <v>44</v>
      </c>
      <c r="H3653" s="8">
        <v>235180457.03999999</v>
      </c>
      <c r="I3653" s="8">
        <v>87798192.769999996</v>
      </c>
      <c r="J3653" s="1">
        <f>IF(COUNTIF($C$4:C3653,C3653)=1,1,0)</f>
        <v>1</v>
      </c>
      <c r="K3653" s="1">
        <f t="shared" ref="K3653:K3716" si="57">YEAR(D3653)</f>
        <v>2021</v>
      </c>
    </row>
    <row r="3654" spans="2:11" x14ac:dyDescent="0.45">
      <c r="B3654" s="1" t="s">
        <v>11</v>
      </c>
      <c r="C3654" s="1" t="s">
        <v>3630</v>
      </c>
      <c r="D3654" s="7">
        <v>44634</v>
      </c>
      <c r="E3654" s="7">
        <v>44653</v>
      </c>
      <c r="F3654" s="7">
        <v>44724</v>
      </c>
      <c r="G3654" s="1" t="s">
        <v>22</v>
      </c>
      <c r="H3654" s="8">
        <v>16599440.5</v>
      </c>
      <c r="I3654" s="8">
        <v>11893253.529999999</v>
      </c>
      <c r="J3654" s="1">
        <f>IF(COUNTIF($C$4:C3654,C3654)=1,1,0)</f>
        <v>1</v>
      </c>
      <c r="K3654" s="1">
        <f t="shared" si="57"/>
        <v>2022</v>
      </c>
    </row>
    <row r="3655" spans="2:11" x14ac:dyDescent="0.45">
      <c r="B3655" s="1" t="s">
        <v>11</v>
      </c>
      <c r="C3655" s="1" t="s">
        <v>3631</v>
      </c>
      <c r="D3655" s="7">
        <v>44807</v>
      </c>
      <c r="E3655" s="7">
        <v>44814</v>
      </c>
      <c r="F3655" s="7">
        <v>44939</v>
      </c>
      <c r="G3655" s="1" t="s">
        <v>13</v>
      </c>
      <c r="H3655" s="8">
        <v>517521.89</v>
      </c>
      <c r="I3655" s="8">
        <v>408634.06</v>
      </c>
      <c r="J3655" s="1">
        <f>IF(COUNTIF($C$4:C3655,C3655)=1,1,0)</f>
        <v>1</v>
      </c>
      <c r="K3655" s="1">
        <f t="shared" si="57"/>
        <v>2022</v>
      </c>
    </row>
    <row r="3656" spans="2:11" x14ac:dyDescent="0.45">
      <c r="B3656" s="1" t="s">
        <v>11</v>
      </c>
      <c r="C3656" s="1" t="s">
        <v>3632</v>
      </c>
      <c r="D3656" s="7">
        <v>45519</v>
      </c>
      <c r="E3656" s="7">
        <v>45527</v>
      </c>
      <c r="F3656" s="7">
        <v>45626</v>
      </c>
      <c r="G3656" s="1" t="s">
        <v>16</v>
      </c>
      <c r="H3656" s="8">
        <v>540618.89</v>
      </c>
      <c r="I3656" s="8">
        <v>378231.42</v>
      </c>
      <c r="J3656" s="1">
        <f>IF(COUNTIF($C$4:C3656,C3656)=1,1,0)</f>
        <v>1</v>
      </c>
      <c r="K3656" s="1">
        <f t="shared" si="57"/>
        <v>2024</v>
      </c>
    </row>
    <row r="3657" spans="2:11" x14ac:dyDescent="0.45">
      <c r="B3657" s="1" t="s">
        <v>11</v>
      </c>
      <c r="C3657" s="1" t="s">
        <v>3633</v>
      </c>
      <c r="D3657" s="7">
        <v>45804</v>
      </c>
      <c r="E3657" s="7">
        <v>45806</v>
      </c>
      <c r="F3657" s="7">
        <v>46038</v>
      </c>
      <c r="G3657" s="1" t="s">
        <v>41</v>
      </c>
      <c r="H3657" s="8">
        <v>219488.15</v>
      </c>
      <c r="I3657" s="8">
        <v>160343.85</v>
      </c>
      <c r="J3657" s="1">
        <f>IF(COUNTIF($C$4:C3657,C3657)=1,1,0)</f>
        <v>1</v>
      </c>
      <c r="K3657" s="1">
        <f t="shared" si="57"/>
        <v>2025</v>
      </c>
    </row>
    <row r="3658" spans="2:11" x14ac:dyDescent="0.45">
      <c r="B3658" s="1" t="s">
        <v>11</v>
      </c>
      <c r="C3658" s="1" t="s">
        <v>3634</v>
      </c>
      <c r="D3658" s="7">
        <v>44051</v>
      </c>
      <c r="E3658" s="7">
        <v>44055</v>
      </c>
      <c r="F3658" s="7">
        <v>44137</v>
      </c>
      <c r="G3658" s="1" t="s">
        <v>38</v>
      </c>
      <c r="H3658" s="8">
        <v>238518.41</v>
      </c>
      <c r="I3658" s="8">
        <v>193586.91</v>
      </c>
      <c r="J3658" s="1">
        <f>IF(COUNTIF($C$4:C3658,C3658)=1,1,0)</f>
        <v>1</v>
      </c>
      <c r="K3658" s="1">
        <f t="shared" si="57"/>
        <v>2020</v>
      </c>
    </row>
    <row r="3659" spans="2:11" x14ac:dyDescent="0.45">
      <c r="B3659" s="1" t="s">
        <v>11</v>
      </c>
      <c r="C3659" s="1" t="s">
        <v>3635</v>
      </c>
      <c r="D3659" s="7">
        <v>44993</v>
      </c>
      <c r="E3659" s="7">
        <v>45018</v>
      </c>
      <c r="F3659" s="7">
        <v>45156</v>
      </c>
      <c r="G3659" s="1" t="s">
        <v>44</v>
      </c>
      <c r="H3659" s="8">
        <v>175219014.43000001</v>
      </c>
      <c r="I3659" s="8">
        <v>132120826.25</v>
      </c>
      <c r="J3659" s="1">
        <f>IF(COUNTIF($C$4:C3659,C3659)=1,1,0)</f>
        <v>1</v>
      </c>
      <c r="K3659" s="1">
        <f t="shared" si="57"/>
        <v>2023</v>
      </c>
    </row>
    <row r="3660" spans="2:11" x14ac:dyDescent="0.45">
      <c r="B3660" s="1" t="s">
        <v>11</v>
      </c>
      <c r="C3660" s="1" t="s">
        <v>3636</v>
      </c>
      <c r="D3660" s="7">
        <v>43936</v>
      </c>
      <c r="E3660" s="7">
        <v>43937</v>
      </c>
      <c r="F3660" s="7">
        <v>43954</v>
      </c>
      <c r="G3660" s="1" t="s">
        <v>212</v>
      </c>
      <c r="H3660" s="8">
        <v>3314708.27</v>
      </c>
      <c r="I3660" s="8">
        <v>2111794.0499999998</v>
      </c>
      <c r="J3660" s="1">
        <f>IF(COUNTIF($C$4:C3660,C3660)=1,1,0)</f>
        <v>1</v>
      </c>
      <c r="K3660" s="1">
        <f t="shared" si="57"/>
        <v>2020</v>
      </c>
    </row>
    <row r="3661" spans="2:11" x14ac:dyDescent="0.45">
      <c r="B3661" s="1" t="s">
        <v>11</v>
      </c>
      <c r="C3661" s="1" t="s">
        <v>3637</v>
      </c>
      <c r="D3661" s="7">
        <v>44803</v>
      </c>
      <c r="E3661" s="7">
        <v>44825</v>
      </c>
      <c r="F3661" s="7">
        <v>45039</v>
      </c>
      <c r="G3661" s="1" t="s">
        <v>212</v>
      </c>
      <c r="H3661" s="8">
        <v>29236416.43</v>
      </c>
      <c r="I3661" s="8">
        <v>13344743.189999999</v>
      </c>
      <c r="J3661" s="1">
        <f>IF(COUNTIF($C$4:C3661,C3661)=1,1,0)</f>
        <v>1</v>
      </c>
      <c r="K3661" s="1">
        <f t="shared" si="57"/>
        <v>2022</v>
      </c>
    </row>
    <row r="3662" spans="2:11" x14ac:dyDescent="0.45">
      <c r="B3662" s="1" t="s">
        <v>11</v>
      </c>
      <c r="C3662" s="1" t="s">
        <v>3638</v>
      </c>
      <c r="D3662" s="7">
        <v>45175</v>
      </c>
      <c r="E3662" s="7">
        <v>45191</v>
      </c>
      <c r="F3662" s="7">
        <v>45357</v>
      </c>
      <c r="G3662" s="1" t="s">
        <v>44</v>
      </c>
      <c r="H3662" s="8">
        <v>383094665.11000001</v>
      </c>
      <c r="I3662" s="8">
        <v>272721309.05000001</v>
      </c>
      <c r="J3662" s="1">
        <f>IF(COUNTIF($C$4:C3662,C3662)=1,1,0)</f>
        <v>1</v>
      </c>
      <c r="K3662" s="1">
        <f t="shared" si="57"/>
        <v>2023</v>
      </c>
    </row>
    <row r="3663" spans="2:11" x14ac:dyDescent="0.45">
      <c r="B3663" s="1" t="s">
        <v>11</v>
      </c>
      <c r="C3663" s="1" t="s">
        <v>3639</v>
      </c>
      <c r="D3663" s="7">
        <v>45798</v>
      </c>
      <c r="E3663" s="7">
        <v>45804</v>
      </c>
      <c r="F3663" s="7">
        <v>45936</v>
      </c>
      <c r="G3663" s="1" t="s">
        <v>20</v>
      </c>
      <c r="H3663" s="8">
        <v>4623295.8</v>
      </c>
      <c r="I3663" s="8">
        <v>2968183.37</v>
      </c>
      <c r="J3663" s="1">
        <f>IF(COUNTIF($C$4:C3663,C3663)=1,1,0)</f>
        <v>1</v>
      </c>
      <c r="K3663" s="1">
        <f t="shared" si="57"/>
        <v>2025</v>
      </c>
    </row>
    <row r="3664" spans="2:11" x14ac:dyDescent="0.45">
      <c r="B3664" s="1" t="s">
        <v>11</v>
      </c>
      <c r="C3664" s="1" t="s">
        <v>3640</v>
      </c>
      <c r="D3664" s="7">
        <v>46020</v>
      </c>
      <c r="E3664" s="7">
        <v>46024</v>
      </c>
      <c r="F3664" s="7">
        <v>46237</v>
      </c>
      <c r="G3664" s="1" t="s">
        <v>38</v>
      </c>
      <c r="H3664" s="8">
        <v>54956.959999999999</v>
      </c>
      <c r="I3664" s="8">
        <v>35106.33</v>
      </c>
      <c r="J3664" s="1">
        <f>IF(COUNTIF($C$4:C3664,C3664)=1,1,0)</f>
        <v>1</v>
      </c>
      <c r="K3664" s="1">
        <f t="shared" si="57"/>
        <v>2025</v>
      </c>
    </row>
    <row r="3665" spans="2:11" x14ac:dyDescent="0.45">
      <c r="B3665" s="1" t="s">
        <v>11</v>
      </c>
      <c r="C3665" s="1" t="s">
        <v>3641</v>
      </c>
      <c r="D3665" s="7">
        <v>43819</v>
      </c>
      <c r="E3665" s="7">
        <v>43836</v>
      </c>
      <c r="F3665" s="7">
        <v>43975</v>
      </c>
      <c r="G3665" s="1" t="s">
        <v>44</v>
      </c>
      <c r="H3665" s="8">
        <v>125261519.19</v>
      </c>
      <c r="I3665" s="8">
        <v>47013421.140000001</v>
      </c>
      <c r="J3665" s="1">
        <f>IF(COUNTIF($C$4:C3665,C3665)=1,1,0)</f>
        <v>1</v>
      </c>
      <c r="K3665" s="1">
        <f t="shared" si="57"/>
        <v>2019</v>
      </c>
    </row>
    <row r="3666" spans="2:11" x14ac:dyDescent="0.45">
      <c r="B3666" s="1" t="s">
        <v>11</v>
      </c>
      <c r="C3666" s="1" t="s">
        <v>3642</v>
      </c>
      <c r="D3666" s="7">
        <v>46168</v>
      </c>
      <c r="E3666" s="7">
        <v>46187</v>
      </c>
      <c r="F3666" s="7">
        <v>46357</v>
      </c>
      <c r="G3666" s="1" t="s">
        <v>38</v>
      </c>
      <c r="H3666" s="8">
        <v>290400.34999999998</v>
      </c>
      <c r="I3666" s="8">
        <v>228179.88</v>
      </c>
      <c r="J3666" s="1">
        <f>IF(COUNTIF($C$4:C3666,C3666)=1,1,0)</f>
        <v>1</v>
      </c>
      <c r="K3666" s="1">
        <f t="shared" si="57"/>
        <v>2026</v>
      </c>
    </row>
    <row r="3667" spans="2:11" x14ac:dyDescent="0.45">
      <c r="B3667" s="1" t="s">
        <v>11</v>
      </c>
      <c r="C3667" s="1" t="s">
        <v>3643</v>
      </c>
      <c r="D3667" s="7">
        <v>43987</v>
      </c>
      <c r="E3667" s="7">
        <v>44014</v>
      </c>
      <c r="F3667" s="7">
        <v>44155</v>
      </c>
      <c r="G3667" s="1" t="s">
        <v>41</v>
      </c>
      <c r="H3667" s="8">
        <v>1145531.3400000001</v>
      </c>
      <c r="I3667" s="8">
        <v>796201.56</v>
      </c>
      <c r="J3667" s="1">
        <f>IF(COUNTIF($C$4:C3667,C3667)=1,1,0)</f>
        <v>1</v>
      </c>
      <c r="K3667" s="1">
        <f t="shared" si="57"/>
        <v>2020</v>
      </c>
    </row>
    <row r="3668" spans="2:11" x14ac:dyDescent="0.45">
      <c r="B3668" s="1" t="s">
        <v>11</v>
      </c>
      <c r="C3668" s="1" t="s">
        <v>3644</v>
      </c>
      <c r="D3668" s="7">
        <v>45975</v>
      </c>
      <c r="E3668" s="7">
        <v>45997</v>
      </c>
      <c r="F3668" s="7">
        <v>46009</v>
      </c>
      <c r="G3668" s="1" t="s">
        <v>22</v>
      </c>
      <c r="H3668" s="8">
        <v>12514672.07</v>
      </c>
      <c r="I3668" s="8">
        <v>7329717.0599999996</v>
      </c>
      <c r="J3668" s="1">
        <f>IF(COUNTIF($C$4:C3668,C3668)=1,1,0)</f>
        <v>1</v>
      </c>
      <c r="K3668" s="1">
        <f t="shared" si="57"/>
        <v>2025</v>
      </c>
    </row>
    <row r="3669" spans="2:11" x14ac:dyDescent="0.45">
      <c r="B3669" s="1" t="s">
        <v>11</v>
      </c>
      <c r="C3669" s="1" t="s">
        <v>3645</v>
      </c>
      <c r="D3669" s="7">
        <v>44171</v>
      </c>
      <c r="E3669" s="7">
        <v>44200</v>
      </c>
      <c r="F3669" s="7">
        <v>44289</v>
      </c>
      <c r="G3669" s="1" t="s">
        <v>18</v>
      </c>
      <c r="H3669" s="8">
        <v>1847223.59</v>
      </c>
      <c r="I3669" s="8">
        <v>1208749.8799999999</v>
      </c>
      <c r="J3669" s="1">
        <f>IF(COUNTIF($C$4:C3669,C3669)=1,1,0)</f>
        <v>1</v>
      </c>
      <c r="K3669" s="1">
        <f t="shared" si="57"/>
        <v>2020</v>
      </c>
    </row>
    <row r="3670" spans="2:11" x14ac:dyDescent="0.45">
      <c r="B3670" s="1" t="s">
        <v>11</v>
      </c>
      <c r="C3670" s="1" t="s">
        <v>3646</v>
      </c>
      <c r="D3670" s="7">
        <v>45326</v>
      </c>
      <c r="E3670" s="7">
        <v>45326</v>
      </c>
      <c r="F3670" s="7">
        <v>45529</v>
      </c>
      <c r="G3670" s="1" t="s">
        <v>212</v>
      </c>
      <c r="H3670" s="8">
        <v>36446661.119999997</v>
      </c>
      <c r="I3670" s="8">
        <v>14624449.34</v>
      </c>
      <c r="J3670" s="1">
        <f>IF(COUNTIF($C$4:C3670,C3670)=1,1,0)</f>
        <v>1</v>
      </c>
      <c r="K3670" s="1">
        <f t="shared" si="57"/>
        <v>2024</v>
      </c>
    </row>
    <row r="3671" spans="2:11" x14ac:dyDescent="0.45">
      <c r="B3671" s="1" t="s">
        <v>11</v>
      </c>
      <c r="C3671" s="1" t="s">
        <v>3647</v>
      </c>
      <c r="D3671" s="7">
        <v>44155</v>
      </c>
      <c r="E3671" s="7">
        <v>44166</v>
      </c>
      <c r="F3671" s="7">
        <v>44362</v>
      </c>
      <c r="G3671" s="1" t="s">
        <v>44</v>
      </c>
      <c r="H3671" s="8">
        <v>114781442.45</v>
      </c>
      <c r="I3671" s="8">
        <v>71807963.200000003</v>
      </c>
      <c r="J3671" s="1">
        <f>IF(COUNTIF($C$4:C3671,C3671)=1,1,0)</f>
        <v>1</v>
      </c>
      <c r="K3671" s="1">
        <f t="shared" si="57"/>
        <v>2020</v>
      </c>
    </row>
    <row r="3672" spans="2:11" x14ac:dyDescent="0.45">
      <c r="B3672" s="1" t="s">
        <v>11</v>
      </c>
      <c r="C3672" s="1" t="s">
        <v>3648</v>
      </c>
      <c r="D3672" s="7">
        <v>45494</v>
      </c>
      <c r="E3672" s="7">
        <v>45519</v>
      </c>
      <c r="F3672" s="7">
        <v>45720</v>
      </c>
      <c r="G3672" s="1" t="s">
        <v>41</v>
      </c>
      <c r="H3672" s="8">
        <v>188375.37</v>
      </c>
      <c r="I3672" s="8">
        <v>153375.74</v>
      </c>
      <c r="J3672" s="1">
        <f>IF(COUNTIF($C$4:C3672,C3672)=1,1,0)</f>
        <v>1</v>
      </c>
      <c r="K3672" s="1">
        <f t="shared" si="57"/>
        <v>2024</v>
      </c>
    </row>
    <row r="3673" spans="2:11" x14ac:dyDescent="0.45">
      <c r="B3673" s="1" t="s">
        <v>11</v>
      </c>
      <c r="C3673" s="1" t="s">
        <v>3649</v>
      </c>
      <c r="D3673" s="7">
        <v>45117</v>
      </c>
      <c r="E3673" s="7">
        <v>45122</v>
      </c>
      <c r="F3673" s="7">
        <v>45357</v>
      </c>
      <c r="G3673" s="1" t="s">
        <v>38</v>
      </c>
      <c r="H3673" s="8">
        <v>199054.27</v>
      </c>
      <c r="I3673" s="8">
        <v>134638.07</v>
      </c>
      <c r="J3673" s="1">
        <f>IF(COUNTIF($C$4:C3673,C3673)=1,1,0)</f>
        <v>1</v>
      </c>
      <c r="K3673" s="1">
        <f t="shared" si="57"/>
        <v>2023</v>
      </c>
    </row>
    <row r="3674" spans="2:11" x14ac:dyDescent="0.45">
      <c r="B3674" s="1" t="s">
        <v>11</v>
      </c>
      <c r="C3674" s="1" t="s">
        <v>3650</v>
      </c>
      <c r="D3674" s="7">
        <v>46044</v>
      </c>
      <c r="E3674" s="7">
        <v>46068</v>
      </c>
      <c r="F3674" s="7">
        <v>46101</v>
      </c>
      <c r="G3674" s="1" t="s">
        <v>38</v>
      </c>
      <c r="H3674" s="8">
        <v>267766.94</v>
      </c>
      <c r="I3674" s="8">
        <v>216992.06</v>
      </c>
      <c r="J3674" s="1">
        <f>IF(COUNTIF($C$4:C3674,C3674)=1,1,0)</f>
        <v>1</v>
      </c>
      <c r="K3674" s="1">
        <f t="shared" si="57"/>
        <v>2026</v>
      </c>
    </row>
    <row r="3675" spans="2:11" x14ac:dyDescent="0.45">
      <c r="B3675" s="1" t="s">
        <v>11</v>
      </c>
      <c r="C3675" s="1" t="s">
        <v>3651</v>
      </c>
      <c r="D3675" s="7">
        <v>44807</v>
      </c>
      <c r="E3675" s="7">
        <v>44816</v>
      </c>
      <c r="F3675" s="7">
        <v>44902</v>
      </c>
      <c r="G3675" s="1" t="s">
        <v>38</v>
      </c>
      <c r="H3675" s="8">
        <v>454277.2</v>
      </c>
      <c r="I3675" s="8">
        <v>360405.56</v>
      </c>
      <c r="J3675" s="1">
        <f>IF(COUNTIF($C$4:C3675,C3675)=1,1,0)</f>
        <v>1</v>
      </c>
      <c r="K3675" s="1">
        <f t="shared" si="57"/>
        <v>2022</v>
      </c>
    </row>
    <row r="3676" spans="2:11" x14ac:dyDescent="0.45">
      <c r="B3676" s="1" t="s">
        <v>11</v>
      </c>
      <c r="C3676" s="1" t="s">
        <v>3652</v>
      </c>
      <c r="D3676" s="7">
        <v>43245</v>
      </c>
      <c r="E3676" s="7">
        <v>43250</v>
      </c>
      <c r="F3676" s="7">
        <v>43482</v>
      </c>
      <c r="G3676" s="1" t="s">
        <v>22</v>
      </c>
      <c r="H3676" s="8">
        <v>3163884.71</v>
      </c>
      <c r="I3676" s="8">
        <v>2046651.45</v>
      </c>
      <c r="J3676" s="1">
        <f>IF(COUNTIF($C$4:C3676,C3676)=1,1,0)</f>
        <v>1</v>
      </c>
      <c r="K3676" s="1">
        <f t="shared" si="57"/>
        <v>2018</v>
      </c>
    </row>
    <row r="3677" spans="2:11" x14ac:dyDescent="0.45">
      <c r="B3677" s="1" t="s">
        <v>11</v>
      </c>
      <c r="C3677" s="1" t="s">
        <v>3653</v>
      </c>
      <c r="D3677" s="7">
        <v>44166</v>
      </c>
      <c r="E3677" s="7">
        <v>44183</v>
      </c>
      <c r="F3677" s="7">
        <v>44307</v>
      </c>
      <c r="G3677" s="1" t="s">
        <v>22</v>
      </c>
      <c r="H3677" s="8">
        <v>11140101.49</v>
      </c>
      <c r="I3677" s="8">
        <v>8058747.2999999998</v>
      </c>
      <c r="J3677" s="1">
        <f>IF(COUNTIF($C$4:C3677,C3677)=1,1,0)</f>
        <v>1</v>
      </c>
      <c r="K3677" s="1">
        <f t="shared" si="57"/>
        <v>2020</v>
      </c>
    </row>
    <row r="3678" spans="2:11" x14ac:dyDescent="0.45">
      <c r="B3678" s="1" t="s">
        <v>11</v>
      </c>
      <c r="C3678" s="1" t="s">
        <v>3654</v>
      </c>
      <c r="D3678" s="7">
        <v>44917</v>
      </c>
      <c r="E3678" s="7">
        <v>44939</v>
      </c>
      <c r="F3678" s="7">
        <v>45141</v>
      </c>
      <c r="G3678" s="1" t="s">
        <v>20</v>
      </c>
      <c r="H3678" s="8">
        <v>882683.23</v>
      </c>
      <c r="I3678" s="8">
        <v>564240.34</v>
      </c>
      <c r="J3678" s="1">
        <f>IF(COUNTIF($C$4:C3678,C3678)=1,1,0)</f>
        <v>1</v>
      </c>
      <c r="K3678" s="1">
        <f t="shared" si="57"/>
        <v>2022</v>
      </c>
    </row>
    <row r="3679" spans="2:11" x14ac:dyDescent="0.45">
      <c r="B3679" s="1" t="s">
        <v>11</v>
      </c>
      <c r="C3679" s="1" t="s">
        <v>3655</v>
      </c>
      <c r="D3679" s="7">
        <v>43825</v>
      </c>
      <c r="E3679" s="7">
        <v>43838</v>
      </c>
      <c r="F3679" s="7">
        <v>44006</v>
      </c>
      <c r="G3679" s="1" t="s">
        <v>22</v>
      </c>
      <c r="H3679" s="8">
        <v>16299174.039999999</v>
      </c>
      <c r="I3679" s="8">
        <v>9440947.0999999996</v>
      </c>
      <c r="J3679" s="1">
        <f>IF(COUNTIF($C$4:C3679,C3679)=1,1,0)</f>
        <v>1</v>
      </c>
      <c r="K3679" s="1">
        <f t="shared" si="57"/>
        <v>2019</v>
      </c>
    </row>
    <row r="3680" spans="2:11" x14ac:dyDescent="0.45">
      <c r="B3680" s="1" t="s">
        <v>11</v>
      </c>
      <c r="C3680" s="1" t="s">
        <v>3656</v>
      </c>
      <c r="D3680" s="7">
        <v>45602</v>
      </c>
      <c r="E3680" s="7">
        <v>45627</v>
      </c>
      <c r="F3680" s="7">
        <v>45802</v>
      </c>
      <c r="G3680" s="1" t="s">
        <v>18</v>
      </c>
      <c r="H3680" s="8">
        <v>2909552.66</v>
      </c>
      <c r="I3680" s="8">
        <v>2148680.09</v>
      </c>
      <c r="J3680" s="1">
        <f>IF(COUNTIF($C$4:C3680,C3680)=1,1,0)</f>
        <v>1</v>
      </c>
      <c r="K3680" s="1">
        <f t="shared" si="57"/>
        <v>2024</v>
      </c>
    </row>
    <row r="3681" spans="2:11" x14ac:dyDescent="0.45">
      <c r="B3681" s="1" t="s">
        <v>11</v>
      </c>
      <c r="C3681" s="1" t="s">
        <v>3657</v>
      </c>
      <c r="D3681" s="7">
        <v>44306</v>
      </c>
      <c r="E3681" s="7">
        <v>44307</v>
      </c>
      <c r="F3681" s="7">
        <v>44408</v>
      </c>
      <c r="G3681" s="1" t="s">
        <v>16</v>
      </c>
      <c r="H3681" s="8">
        <v>6344451.4299999997</v>
      </c>
      <c r="I3681" s="8">
        <v>4571383.54</v>
      </c>
      <c r="J3681" s="1">
        <f>IF(COUNTIF($C$4:C3681,C3681)=1,1,0)</f>
        <v>1</v>
      </c>
      <c r="K3681" s="1">
        <f t="shared" si="57"/>
        <v>2021</v>
      </c>
    </row>
    <row r="3682" spans="2:11" x14ac:dyDescent="0.45">
      <c r="B3682" s="1" t="s">
        <v>11</v>
      </c>
      <c r="C3682" s="1" t="s">
        <v>3658</v>
      </c>
      <c r="D3682" s="7">
        <v>45229</v>
      </c>
      <c r="E3682" s="7">
        <v>45258</v>
      </c>
      <c r="F3682" s="7">
        <v>45276</v>
      </c>
      <c r="G3682" s="1" t="s">
        <v>20</v>
      </c>
      <c r="H3682" s="8">
        <v>312591.53000000003</v>
      </c>
      <c r="I3682" s="8">
        <v>236502.33</v>
      </c>
      <c r="J3682" s="1">
        <f>IF(COUNTIF($C$4:C3682,C3682)=1,1,0)</f>
        <v>1</v>
      </c>
      <c r="K3682" s="1">
        <f t="shared" si="57"/>
        <v>2023</v>
      </c>
    </row>
    <row r="3683" spans="2:11" x14ac:dyDescent="0.45">
      <c r="B3683" s="1" t="s">
        <v>11</v>
      </c>
      <c r="C3683" s="1" t="s">
        <v>3659</v>
      </c>
      <c r="D3683" s="7">
        <v>45183</v>
      </c>
      <c r="E3683" s="7">
        <v>45209</v>
      </c>
      <c r="F3683" s="7">
        <v>45227</v>
      </c>
      <c r="G3683" s="1" t="s">
        <v>20</v>
      </c>
      <c r="H3683" s="8">
        <v>312143.7</v>
      </c>
      <c r="I3683" s="8">
        <v>222982.29</v>
      </c>
      <c r="J3683" s="1">
        <f>IF(COUNTIF($C$4:C3683,C3683)=1,1,0)</f>
        <v>1</v>
      </c>
      <c r="K3683" s="1">
        <f t="shared" si="57"/>
        <v>2023</v>
      </c>
    </row>
    <row r="3684" spans="2:11" x14ac:dyDescent="0.45">
      <c r="B3684" s="1" t="s">
        <v>11</v>
      </c>
      <c r="C3684" s="1" t="s">
        <v>3660</v>
      </c>
      <c r="D3684" s="7">
        <v>43867</v>
      </c>
      <c r="E3684" s="7">
        <v>43886</v>
      </c>
      <c r="F3684" s="7">
        <v>44068</v>
      </c>
      <c r="G3684" s="1" t="s">
        <v>212</v>
      </c>
      <c r="H3684" s="8">
        <v>20426384.93</v>
      </c>
      <c r="I3684" s="8">
        <v>10563215.02</v>
      </c>
      <c r="J3684" s="1">
        <f>IF(COUNTIF($C$4:C3684,C3684)=1,1,0)</f>
        <v>1</v>
      </c>
      <c r="K3684" s="1">
        <f t="shared" si="57"/>
        <v>2020</v>
      </c>
    </row>
    <row r="3685" spans="2:11" x14ac:dyDescent="0.45">
      <c r="B3685" s="1" t="s">
        <v>11</v>
      </c>
      <c r="C3685" s="1" t="s">
        <v>3661</v>
      </c>
      <c r="D3685" s="7">
        <v>43777</v>
      </c>
      <c r="E3685" s="7">
        <v>43789</v>
      </c>
      <c r="F3685" s="7">
        <v>43923</v>
      </c>
      <c r="G3685" s="1" t="s">
        <v>13</v>
      </c>
      <c r="H3685" s="8">
        <v>487991.43</v>
      </c>
      <c r="I3685" s="8">
        <v>337678.54</v>
      </c>
      <c r="J3685" s="1">
        <f>IF(COUNTIF($C$4:C3685,C3685)=1,1,0)</f>
        <v>1</v>
      </c>
      <c r="K3685" s="1">
        <f t="shared" si="57"/>
        <v>2019</v>
      </c>
    </row>
    <row r="3686" spans="2:11" x14ac:dyDescent="0.45">
      <c r="B3686" s="1" t="s">
        <v>11</v>
      </c>
      <c r="C3686" s="1" t="s">
        <v>3662</v>
      </c>
      <c r="D3686" s="7">
        <v>45725</v>
      </c>
      <c r="E3686" s="7">
        <v>45733</v>
      </c>
      <c r="F3686" s="7">
        <v>45817</v>
      </c>
      <c r="G3686" s="1" t="s">
        <v>22</v>
      </c>
      <c r="H3686" s="8">
        <v>95029848</v>
      </c>
      <c r="I3686" s="8">
        <v>49460586.619999997</v>
      </c>
      <c r="J3686" s="1">
        <f>IF(COUNTIF($C$4:C3686,C3686)=1,1,0)</f>
        <v>1</v>
      </c>
      <c r="K3686" s="1">
        <f t="shared" si="57"/>
        <v>2025</v>
      </c>
    </row>
    <row r="3687" spans="2:11" x14ac:dyDescent="0.45">
      <c r="B3687" s="1" t="s">
        <v>11</v>
      </c>
      <c r="C3687" s="1" t="s">
        <v>3663</v>
      </c>
      <c r="D3687" s="7">
        <v>44010</v>
      </c>
      <c r="E3687" s="7">
        <v>44011</v>
      </c>
      <c r="F3687" s="7">
        <v>44127</v>
      </c>
      <c r="G3687" s="1" t="s">
        <v>16</v>
      </c>
      <c r="H3687" s="8">
        <v>4919128.17</v>
      </c>
      <c r="I3687" s="8">
        <v>3248679.02</v>
      </c>
      <c r="J3687" s="1">
        <f>IF(COUNTIF($C$4:C3687,C3687)=1,1,0)</f>
        <v>1</v>
      </c>
      <c r="K3687" s="1">
        <f t="shared" si="57"/>
        <v>2020</v>
      </c>
    </row>
    <row r="3688" spans="2:11" x14ac:dyDescent="0.45">
      <c r="B3688" s="1" t="s">
        <v>11</v>
      </c>
      <c r="C3688" s="1" t="s">
        <v>3664</v>
      </c>
      <c r="D3688" s="7">
        <v>44883</v>
      </c>
      <c r="E3688" s="7">
        <v>44904</v>
      </c>
      <c r="F3688" s="7">
        <v>44967</v>
      </c>
      <c r="G3688" s="1" t="s">
        <v>13</v>
      </c>
      <c r="H3688" s="8">
        <v>42242.559999999998</v>
      </c>
      <c r="I3688" s="8">
        <v>33891.440000000002</v>
      </c>
      <c r="J3688" s="1">
        <f>IF(COUNTIF($C$4:C3688,C3688)=1,1,0)</f>
        <v>1</v>
      </c>
      <c r="K3688" s="1">
        <f t="shared" si="57"/>
        <v>2022</v>
      </c>
    </row>
    <row r="3689" spans="2:11" x14ac:dyDescent="0.45">
      <c r="B3689" s="1" t="s">
        <v>11</v>
      </c>
      <c r="C3689" s="1" t="s">
        <v>3665</v>
      </c>
      <c r="D3689" s="7">
        <v>43826</v>
      </c>
      <c r="E3689" s="7">
        <v>43832</v>
      </c>
      <c r="F3689" s="7">
        <v>43981</v>
      </c>
      <c r="G3689" s="1" t="s">
        <v>18</v>
      </c>
      <c r="H3689" s="8">
        <v>557300.93999999994</v>
      </c>
      <c r="I3689" s="8">
        <v>369206.57</v>
      </c>
      <c r="J3689" s="1">
        <f>IF(COUNTIF($C$4:C3689,C3689)=1,1,0)</f>
        <v>1</v>
      </c>
      <c r="K3689" s="1">
        <f t="shared" si="57"/>
        <v>2019</v>
      </c>
    </row>
    <row r="3690" spans="2:11" x14ac:dyDescent="0.45">
      <c r="B3690" s="1" t="s">
        <v>11</v>
      </c>
      <c r="C3690" s="1" t="s">
        <v>3666</v>
      </c>
      <c r="D3690" s="7">
        <v>44267</v>
      </c>
      <c r="E3690" s="7">
        <v>44295</v>
      </c>
      <c r="F3690" s="7">
        <v>44397</v>
      </c>
      <c r="G3690" s="1" t="s">
        <v>38</v>
      </c>
      <c r="H3690" s="8">
        <v>541125.16</v>
      </c>
      <c r="I3690" s="8">
        <v>433561.2</v>
      </c>
      <c r="J3690" s="1">
        <f>IF(COUNTIF($C$4:C3690,C3690)=1,1,0)</f>
        <v>1</v>
      </c>
      <c r="K3690" s="1">
        <f t="shared" si="57"/>
        <v>2021</v>
      </c>
    </row>
    <row r="3691" spans="2:11" x14ac:dyDescent="0.45">
      <c r="B3691" s="1" t="s">
        <v>11</v>
      </c>
      <c r="C3691" s="1" t="s">
        <v>3667</v>
      </c>
      <c r="D3691" s="7">
        <v>43605</v>
      </c>
      <c r="E3691" s="7">
        <v>43632</v>
      </c>
      <c r="F3691" s="7">
        <v>43745</v>
      </c>
      <c r="G3691" s="1" t="s">
        <v>212</v>
      </c>
      <c r="H3691" s="8">
        <v>4050925.58</v>
      </c>
      <c r="I3691" s="8">
        <v>2554063.29</v>
      </c>
      <c r="J3691" s="1">
        <f>IF(COUNTIF($C$4:C3691,C3691)=1,1,0)</f>
        <v>1</v>
      </c>
      <c r="K3691" s="1">
        <f t="shared" si="57"/>
        <v>2019</v>
      </c>
    </row>
    <row r="3692" spans="2:11" x14ac:dyDescent="0.45">
      <c r="B3692" s="1" t="s">
        <v>11</v>
      </c>
      <c r="C3692" s="1" t="s">
        <v>3668</v>
      </c>
      <c r="D3692" s="7">
        <v>43788</v>
      </c>
      <c r="E3692" s="7">
        <v>43815</v>
      </c>
      <c r="F3692" s="7">
        <v>43987</v>
      </c>
      <c r="G3692" s="1" t="s">
        <v>41</v>
      </c>
      <c r="H3692" s="8">
        <v>801531.97</v>
      </c>
      <c r="I3692" s="8">
        <v>619737.37</v>
      </c>
      <c r="J3692" s="1">
        <f>IF(COUNTIF($C$4:C3692,C3692)=1,1,0)</f>
        <v>1</v>
      </c>
      <c r="K3692" s="1">
        <f t="shared" si="57"/>
        <v>2019</v>
      </c>
    </row>
    <row r="3693" spans="2:11" x14ac:dyDescent="0.45">
      <c r="B3693" s="1" t="s">
        <v>11</v>
      </c>
      <c r="C3693" s="1" t="s">
        <v>3669</v>
      </c>
      <c r="D3693" s="7">
        <v>44090</v>
      </c>
      <c r="E3693" s="7">
        <v>44097</v>
      </c>
      <c r="F3693" s="7">
        <v>44314</v>
      </c>
      <c r="G3693" s="1" t="s">
        <v>13</v>
      </c>
      <c r="H3693" s="8">
        <v>645949.43000000005</v>
      </c>
      <c r="I3693" s="8">
        <v>441776.68</v>
      </c>
      <c r="J3693" s="1">
        <f>IF(COUNTIF($C$4:C3693,C3693)=1,1,0)</f>
        <v>1</v>
      </c>
      <c r="K3693" s="1">
        <f t="shared" si="57"/>
        <v>2020</v>
      </c>
    </row>
    <row r="3694" spans="2:11" x14ac:dyDescent="0.45">
      <c r="B3694" s="1" t="s">
        <v>11</v>
      </c>
      <c r="C3694" s="1" t="s">
        <v>3670</v>
      </c>
      <c r="D3694" s="7">
        <v>43932</v>
      </c>
      <c r="E3694" s="7">
        <v>43932</v>
      </c>
      <c r="F3694" s="7">
        <v>44057</v>
      </c>
      <c r="G3694" s="1" t="s">
        <v>20</v>
      </c>
      <c r="H3694" s="8">
        <v>368553.61</v>
      </c>
      <c r="I3694" s="8">
        <v>288977.57</v>
      </c>
      <c r="J3694" s="1">
        <f>IF(COUNTIF($C$4:C3694,C3694)=1,1,0)</f>
        <v>1</v>
      </c>
      <c r="K3694" s="1">
        <f t="shared" si="57"/>
        <v>2020</v>
      </c>
    </row>
    <row r="3695" spans="2:11" x14ac:dyDescent="0.45">
      <c r="B3695" s="1" t="s">
        <v>11</v>
      </c>
      <c r="C3695" s="1" t="s">
        <v>3671</v>
      </c>
      <c r="D3695" s="7">
        <v>43718</v>
      </c>
      <c r="E3695" s="7">
        <v>43747</v>
      </c>
      <c r="F3695" s="7">
        <v>43909</v>
      </c>
      <c r="G3695" s="1" t="s">
        <v>38</v>
      </c>
      <c r="H3695" s="8">
        <v>116957.28</v>
      </c>
      <c r="I3695" s="8">
        <v>99073.35</v>
      </c>
      <c r="J3695" s="1">
        <f>IF(COUNTIF($C$4:C3695,C3695)=1,1,0)</f>
        <v>1</v>
      </c>
      <c r="K3695" s="1">
        <f t="shared" si="57"/>
        <v>2019</v>
      </c>
    </row>
    <row r="3696" spans="2:11" x14ac:dyDescent="0.45">
      <c r="B3696" s="1" t="s">
        <v>11</v>
      </c>
      <c r="C3696" s="1" t="s">
        <v>3672</v>
      </c>
      <c r="D3696" s="7">
        <v>46023</v>
      </c>
      <c r="E3696" s="7">
        <v>46034</v>
      </c>
      <c r="F3696" s="7">
        <v>46224</v>
      </c>
      <c r="G3696" s="1" t="s">
        <v>38</v>
      </c>
      <c r="H3696" s="8">
        <v>877165</v>
      </c>
      <c r="I3696" s="8">
        <v>626221.72</v>
      </c>
      <c r="J3696" s="1">
        <f>IF(COUNTIF($C$4:C3696,C3696)=1,1,0)</f>
        <v>1</v>
      </c>
      <c r="K3696" s="1">
        <f t="shared" si="57"/>
        <v>2026</v>
      </c>
    </row>
    <row r="3697" spans="2:11" x14ac:dyDescent="0.45">
      <c r="B3697" s="1" t="s">
        <v>11</v>
      </c>
      <c r="C3697" s="1" t="s">
        <v>3673</v>
      </c>
      <c r="D3697" s="7">
        <v>45396</v>
      </c>
      <c r="E3697" s="7">
        <v>45420</v>
      </c>
      <c r="F3697" s="7">
        <v>45607</v>
      </c>
      <c r="G3697" s="1" t="s">
        <v>212</v>
      </c>
      <c r="H3697" s="8">
        <v>51807954.670000002</v>
      </c>
      <c r="I3697" s="8">
        <v>25458757.579999998</v>
      </c>
      <c r="J3697" s="1">
        <f>IF(COUNTIF($C$4:C3697,C3697)=1,1,0)</f>
        <v>1</v>
      </c>
      <c r="K3697" s="1">
        <f t="shared" si="57"/>
        <v>2024</v>
      </c>
    </row>
    <row r="3698" spans="2:11" x14ac:dyDescent="0.45">
      <c r="B3698" s="1" t="s">
        <v>11</v>
      </c>
      <c r="C3698" s="1" t="s">
        <v>3674</v>
      </c>
      <c r="D3698" s="7">
        <v>44471</v>
      </c>
      <c r="E3698" s="7">
        <v>44482</v>
      </c>
      <c r="F3698" s="7">
        <v>44499</v>
      </c>
      <c r="G3698" s="1" t="s">
        <v>212</v>
      </c>
      <c r="H3698" s="8">
        <v>57059597.200000003</v>
      </c>
      <c r="I3698" s="8">
        <v>42564589.439999998</v>
      </c>
      <c r="J3698" s="1">
        <f>IF(COUNTIF($C$4:C3698,C3698)=1,1,0)</f>
        <v>1</v>
      </c>
      <c r="K3698" s="1">
        <f t="shared" si="57"/>
        <v>2021</v>
      </c>
    </row>
    <row r="3699" spans="2:11" x14ac:dyDescent="0.45">
      <c r="B3699" s="1" t="s">
        <v>11</v>
      </c>
      <c r="C3699" s="1" t="s">
        <v>3675</v>
      </c>
      <c r="D3699" s="7">
        <v>46033</v>
      </c>
      <c r="E3699" s="7">
        <v>46059</v>
      </c>
      <c r="F3699" s="7">
        <v>46157</v>
      </c>
      <c r="G3699" s="1" t="s">
        <v>13</v>
      </c>
      <c r="H3699" s="8">
        <v>1686878.58</v>
      </c>
      <c r="I3699" s="8">
        <v>1111686.3</v>
      </c>
      <c r="J3699" s="1">
        <f>IF(COUNTIF($C$4:C3699,C3699)=1,1,0)</f>
        <v>1</v>
      </c>
      <c r="K3699" s="1">
        <f t="shared" si="57"/>
        <v>2026</v>
      </c>
    </row>
    <row r="3700" spans="2:11" x14ac:dyDescent="0.45">
      <c r="B3700" s="1" t="s">
        <v>11</v>
      </c>
      <c r="C3700" s="1" t="s">
        <v>3676</v>
      </c>
      <c r="D3700" s="7">
        <v>43895</v>
      </c>
      <c r="E3700" s="7">
        <v>43907</v>
      </c>
      <c r="F3700" s="7">
        <v>44012</v>
      </c>
      <c r="G3700" s="1" t="s">
        <v>212</v>
      </c>
      <c r="H3700" s="8">
        <v>41310446.909999996</v>
      </c>
      <c r="I3700" s="8">
        <v>24819122.530000001</v>
      </c>
      <c r="J3700" s="1">
        <f>IF(COUNTIF($C$4:C3700,C3700)=1,1,0)</f>
        <v>1</v>
      </c>
      <c r="K3700" s="1">
        <f t="shared" si="57"/>
        <v>2020</v>
      </c>
    </row>
    <row r="3701" spans="2:11" x14ac:dyDescent="0.45">
      <c r="B3701" s="1" t="s">
        <v>11</v>
      </c>
      <c r="C3701" s="1" t="s">
        <v>3677</v>
      </c>
      <c r="D3701" s="7">
        <v>44741</v>
      </c>
      <c r="E3701" s="7">
        <v>44761</v>
      </c>
      <c r="F3701" s="7">
        <v>44793</v>
      </c>
      <c r="G3701" s="1" t="s">
        <v>212</v>
      </c>
      <c r="H3701" s="8">
        <v>8866834.9900000002</v>
      </c>
      <c r="I3701" s="8">
        <v>2548910.4500000002</v>
      </c>
      <c r="J3701" s="1">
        <f>IF(COUNTIF($C$4:C3701,C3701)=1,1,0)</f>
        <v>1</v>
      </c>
      <c r="K3701" s="1">
        <f t="shared" si="57"/>
        <v>2022</v>
      </c>
    </row>
    <row r="3702" spans="2:11" x14ac:dyDescent="0.45">
      <c r="B3702" s="1" t="s">
        <v>11</v>
      </c>
      <c r="C3702" s="1" t="s">
        <v>3678</v>
      </c>
      <c r="D3702" s="7">
        <v>43736</v>
      </c>
      <c r="E3702" s="7">
        <v>43758</v>
      </c>
      <c r="F3702" s="7">
        <v>43781</v>
      </c>
      <c r="G3702" s="1" t="s">
        <v>20</v>
      </c>
      <c r="H3702" s="8">
        <v>137920.38</v>
      </c>
      <c r="I3702" s="8">
        <v>95104.43</v>
      </c>
      <c r="J3702" s="1">
        <f>IF(COUNTIF($C$4:C3702,C3702)=1,1,0)</f>
        <v>1</v>
      </c>
      <c r="K3702" s="1">
        <f t="shared" si="57"/>
        <v>2019</v>
      </c>
    </row>
    <row r="3703" spans="2:11" x14ac:dyDescent="0.45">
      <c r="B3703" s="1" t="s">
        <v>11</v>
      </c>
      <c r="C3703" s="1" t="s">
        <v>3679</v>
      </c>
      <c r="D3703" s="7">
        <v>43366</v>
      </c>
      <c r="E3703" s="7">
        <v>43379</v>
      </c>
      <c r="F3703" s="7">
        <v>43431</v>
      </c>
      <c r="G3703" s="1" t="s">
        <v>41</v>
      </c>
      <c r="H3703" s="8">
        <v>105482.81</v>
      </c>
      <c r="I3703" s="8">
        <v>78576.66</v>
      </c>
      <c r="J3703" s="1">
        <f>IF(COUNTIF($C$4:C3703,C3703)=1,1,0)</f>
        <v>1</v>
      </c>
      <c r="K3703" s="1">
        <f t="shared" si="57"/>
        <v>2018</v>
      </c>
    </row>
    <row r="3704" spans="2:11" x14ac:dyDescent="0.45">
      <c r="B3704" s="1" t="s">
        <v>11</v>
      </c>
      <c r="C3704" s="1" t="s">
        <v>3680</v>
      </c>
      <c r="D3704" s="7">
        <v>44522</v>
      </c>
      <c r="E3704" s="7">
        <v>44549</v>
      </c>
      <c r="F3704" s="7">
        <v>44662</v>
      </c>
      <c r="G3704" s="1" t="s">
        <v>18</v>
      </c>
      <c r="H3704" s="8">
        <v>4564978.4000000004</v>
      </c>
      <c r="I3704" s="8">
        <v>3128747.77</v>
      </c>
      <c r="J3704" s="1">
        <f>IF(COUNTIF($C$4:C3704,C3704)=1,1,0)</f>
        <v>1</v>
      </c>
      <c r="K3704" s="1">
        <f t="shared" si="57"/>
        <v>2021</v>
      </c>
    </row>
    <row r="3705" spans="2:11" x14ac:dyDescent="0.45">
      <c r="B3705" s="1" t="s">
        <v>11</v>
      </c>
      <c r="C3705" s="1" t="s">
        <v>3681</v>
      </c>
      <c r="D3705" s="7">
        <v>43763</v>
      </c>
      <c r="E3705" s="7">
        <v>43768</v>
      </c>
      <c r="F3705" s="7">
        <v>43943</v>
      </c>
      <c r="G3705" s="1" t="s">
        <v>22</v>
      </c>
      <c r="H3705" s="8">
        <v>6826575.1600000001</v>
      </c>
      <c r="I3705" s="8">
        <v>4722895.54</v>
      </c>
      <c r="J3705" s="1">
        <f>IF(COUNTIF($C$4:C3705,C3705)=1,1,0)</f>
        <v>1</v>
      </c>
      <c r="K3705" s="1">
        <f t="shared" si="57"/>
        <v>2019</v>
      </c>
    </row>
    <row r="3706" spans="2:11" x14ac:dyDescent="0.45">
      <c r="B3706" s="1" t="s">
        <v>11</v>
      </c>
      <c r="C3706" s="1" t="s">
        <v>3682</v>
      </c>
      <c r="D3706" s="7">
        <v>43979</v>
      </c>
      <c r="E3706" s="7">
        <v>43987</v>
      </c>
      <c r="F3706" s="7">
        <v>44032</v>
      </c>
      <c r="G3706" s="1" t="s">
        <v>212</v>
      </c>
      <c r="H3706" s="8">
        <v>150943419.28999999</v>
      </c>
      <c r="I3706" s="8">
        <v>66144514.899999999</v>
      </c>
      <c r="J3706" s="1">
        <f>IF(COUNTIF($C$4:C3706,C3706)=1,1,0)</f>
        <v>1</v>
      </c>
      <c r="K3706" s="1">
        <f t="shared" si="57"/>
        <v>2020</v>
      </c>
    </row>
    <row r="3707" spans="2:11" x14ac:dyDescent="0.45">
      <c r="B3707" s="1" t="s">
        <v>11</v>
      </c>
      <c r="C3707" s="1" t="s">
        <v>3683</v>
      </c>
      <c r="D3707" s="7">
        <v>44994</v>
      </c>
      <c r="E3707" s="7">
        <v>44999</v>
      </c>
      <c r="F3707" s="7">
        <v>45178</v>
      </c>
      <c r="G3707" s="1" t="s">
        <v>18</v>
      </c>
      <c r="H3707" s="8">
        <v>3734932</v>
      </c>
      <c r="I3707" s="8">
        <v>2793189.77</v>
      </c>
      <c r="J3707" s="1">
        <f>IF(COUNTIF($C$4:C3707,C3707)=1,1,0)</f>
        <v>1</v>
      </c>
      <c r="K3707" s="1">
        <f t="shared" si="57"/>
        <v>2023</v>
      </c>
    </row>
    <row r="3708" spans="2:11" x14ac:dyDescent="0.45">
      <c r="B3708" s="1" t="s">
        <v>11</v>
      </c>
      <c r="C3708" s="1" t="s">
        <v>3684</v>
      </c>
      <c r="D3708" s="7">
        <v>44042</v>
      </c>
      <c r="E3708" s="7">
        <v>44046</v>
      </c>
      <c r="F3708" s="7">
        <v>44203</v>
      </c>
      <c r="G3708" s="1" t="s">
        <v>18</v>
      </c>
      <c r="H3708" s="8">
        <v>1563720.87</v>
      </c>
      <c r="I3708" s="8">
        <v>1120979.1499999999</v>
      </c>
      <c r="J3708" s="1">
        <f>IF(COUNTIF($C$4:C3708,C3708)=1,1,0)</f>
        <v>1</v>
      </c>
      <c r="K3708" s="1">
        <f t="shared" si="57"/>
        <v>2020</v>
      </c>
    </row>
    <row r="3709" spans="2:11" x14ac:dyDescent="0.45">
      <c r="B3709" s="1" t="s">
        <v>11</v>
      </c>
      <c r="C3709" s="1" t="s">
        <v>3685</v>
      </c>
      <c r="D3709" s="7">
        <v>45970</v>
      </c>
      <c r="E3709" s="7">
        <v>45983</v>
      </c>
      <c r="F3709" s="7">
        <v>46004</v>
      </c>
      <c r="G3709" s="1" t="s">
        <v>18</v>
      </c>
      <c r="H3709" s="8">
        <v>1226420.48</v>
      </c>
      <c r="I3709" s="8">
        <v>1035022.08</v>
      </c>
      <c r="J3709" s="1">
        <f>IF(COUNTIF($C$4:C3709,C3709)=1,1,0)</f>
        <v>1</v>
      </c>
      <c r="K3709" s="1">
        <f t="shared" si="57"/>
        <v>2025</v>
      </c>
    </row>
    <row r="3710" spans="2:11" x14ac:dyDescent="0.45">
      <c r="B3710" s="1" t="s">
        <v>11</v>
      </c>
      <c r="C3710" s="1" t="s">
        <v>3686</v>
      </c>
      <c r="D3710" s="7">
        <v>45349</v>
      </c>
      <c r="E3710" s="7">
        <v>45371</v>
      </c>
      <c r="F3710" s="7">
        <v>45381</v>
      </c>
      <c r="G3710" s="1" t="s">
        <v>20</v>
      </c>
      <c r="H3710" s="8">
        <v>1107143.6299999999</v>
      </c>
      <c r="I3710" s="8">
        <v>764179.24</v>
      </c>
      <c r="J3710" s="1">
        <f>IF(COUNTIF($C$4:C3710,C3710)=1,1,0)</f>
        <v>1</v>
      </c>
      <c r="K3710" s="1">
        <f t="shared" si="57"/>
        <v>2024</v>
      </c>
    </row>
    <row r="3711" spans="2:11" x14ac:dyDescent="0.45">
      <c r="B3711" s="1" t="s">
        <v>11</v>
      </c>
      <c r="C3711" s="1" t="s">
        <v>3687</v>
      </c>
      <c r="D3711" s="7">
        <v>43982</v>
      </c>
      <c r="E3711" s="7">
        <v>44011</v>
      </c>
      <c r="F3711" s="7">
        <v>44032</v>
      </c>
      <c r="G3711" s="1" t="s">
        <v>212</v>
      </c>
      <c r="H3711" s="8">
        <v>6419217.1699999999</v>
      </c>
      <c r="I3711" s="8">
        <v>4330368.5199999996</v>
      </c>
      <c r="J3711" s="1">
        <f>IF(COUNTIF($C$4:C3711,C3711)=1,1,0)</f>
        <v>1</v>
      </c>
      <c r="K3711" s="1">
        <f t="shared" si="57"/>
        <v>2020</v>
      </c>
    </row>
    <row r="3712" spans="2:11" x14ac:dyDescent="0.45">
      <c r="B3712" s="1" t="s">
        <v>11</v>
      </c>
      <c r="C3712" s="1" t="s">
        <v>3688</v>
      </c>
      <c r="D3712" s="7">
        <v>44912</v>
      </c>
      <c r="E3712" s="7">
        <v>44925</v>
      </c>
      <c r="F3712" s="7">
        <v>45117</v>
      </c>
      <c r="G3712" s="1" t="s">
        <v>41</v>
      </c>
      <c r="H3712" s="8">
        <v>368948.36</v>
      </c>
      <c r="I3712" s="8">
        <v>306355.37</v>
      </c>
      <c r="J3712" s="1">
        <f>IF(COUNTIF($C$4:C3712,C3712)=1,1,0)</f>
        <v>1</v>
      </c>
      <c r="K3712" s="1">
        <f t="shared" si="57"/>
        <v>2022</v>
      </c>
    </row>
    <row r="3713" spans="2:11" x14ac:dyDescent="0.45">
      <c r="B3713" s="1" t="s">
        <v>11</v>
      </c>
      <c r="C3713" s="1" t="s">
        <v>3689</v>
      </c>
      <c r="D3713" s="7">
        <v>45640</v>
      </c>
      <c r="E3713" s="7">
        <v>45641</v>
      </c>
      <c r="F3713" s="7">
        <v>45881</v>
      </c>
      <c r="G3713" s="1" t="s">
        <v>41</v>
      </c>
      <c r="H3713" s="8">
        <v>170689.16</v>
      </c>
      <c r="I3713" s="8">
        <v>139001.23000000001</v>
      </c>
      <c r="J3713" s="1">
        <f>IF(COUNTIF($C$4:C3713,C3713)=1,1,0)</f>
        <v>1</v>
      </c>
      <c r="K3713" s="1">
        <f t="shared" si="57"/>
        <v>2024</v>
      </c>
    </row>
    <row r="3714" spans="2:11" x14ac:dyDescent="0.45">
      <c r="B3714" s="1" t="s">
        <v>11</v>
      </c>
      <c r="C3714" s="1" t="s">
        <v>3690</v>
      </c>
      <c r="D3714" s="7">
        <v>45375</v>
      </c>
      <c r="E3714" s="7">
        <v>45404</v>
      </c>
      <c r="F3714" s="7">
        <v>45604</v>
      </c>
      <c r="G3714" s="1" t="s">
        <v>16</v>
      </c>
      <c r="H3714" s="8">
        <v>11708183.27</v>
      </c>
      <c r="I3714" s="8">
        <v>8053330.5300000003</v>
      </c>
      <c r="J3714" s="1">
        <f>IF(COUNTIF($C$4:C3714,C3714)=1,1,0)</f>
        <v>1</v>
      </c>
      <c r="K3714" s="1">
        <f t="shared" si="57"/>
        <v>2024</v>
      </c>
    </row>
    <row r="3715" spans="2:11" x14ac:dyDescent="0.45">
      <c r="B3715" s="1" t="s">
        <v>11</v>
      </c>
      <c r="C3715" s="1" t="s">
        <v>3691</v>
      </c>
      <c r="D3715" s="7">
        <v>44184</v>
      </c>
      <c r="E3715" s="7">
        <v>44211</v>
      </c>
      <c r="F3715" s="7">
        <v>44396</v>
      </c>
      <c r="G3715" s="1" t="s">
        <v>41</v>
      </c>
      <c r="H3715" s="8">
        <v>117433.65</v>
      </c>
      <c r="I3715" s="8">
        <v>98695.39</v>
      </c>
      <c r="J3715" s="1">
        <f>IF(COUNTIF($C$4:C3715,C3715)=1,1,0)</f>
        <v>1</v>
      </c>
      <c r="K3715" s="1">
        <f t="shared" si="57"/>
        <v>2020</v>
      </c>
    </row>
    <row r="3716" spans="2:11" x14ac:dyDescent="0.45">
      <c r="B3716" s="1" t="s">
        <v>11</v>
      </c>
      <c r="C3716" s="1" t="s">
        <v>3692</v>
      </c>
      <c r="D3716" s="7">
        <v>43868</v>
      </c>
      <c r="E3716" s="7">
        <v>43883</v>
      </c>
      <c r="F3716" s="7">
        <v>43919</v>
      </c>
      <c r="G3716" s="1" t="s">
        <v>38</v>
      </c>
      <c r="H3716" s="8">
        <v>161378.98000000001</v>
      </c>
      <c r="I3716" s="8">
        <v>105303.71</v>
      </c>
      <c r="J3716" s="1">
        <f>IF(COUNTIF($C$4:C3716,C3716)=1,1,0)</f>
        <v>1</v>
      </c>
      <c r="K3716" s="1">
        <f t="shared" si="57"/>
        <v>2020</v>
      </c>
    </row>
    <row r="3717" spans="2:11" x14ac:dyDescent="0.45">
      <c r="B3717" s="1" t="s">
        <v>11</v>
      </c>
      <c r="C3717" s="1" t="s">
        <v>3693</v>
      </c>
      <c r="D3717" s="7">
        <v>45259</v>
      </c>
      <c r="E3717" s="7">
        <v>45279</v>
      </c>
      <c r="F3717" s="7">
        <v>45295</v>
      </c>
      <c r="G3717" s="1" t="s">
        <v>212</v>
      </c>
      <c r="H3717" s="8">
        <v>15703777.23</v>
      </c>
      <c r="I3717" s="8">
        <v>7042206.8300000001</v>
      </c>
      <c r="J3717" s="1">
        <f>IF(COUNTIF($C$4:C3717,C3717)=1,1,0)</f>
        <v>1</v>
      </c>
      <c r="K3717" s="1">
        <f t="shared" ref="K3717:K3780" si="58">YEAR(D3717)</f>
        <v>2023</v>
      </c>
    </row>
    <row r="3718" spans="2:11" x14ac:dyDescent="0.45">
      <c r="B3718" s="1" t="s">
        <v>11</v>
      </c>
      <c r="C3718" s="1" t="s">
        <v>3694</v>
      </c>
      <c r="D3718" s="7">
        <v>44909</v>
      </c>
      <c r="E3718" s="7">
        <v>44932</v>
      </c>
      <c r="F3718" s="7">
        <v>44941</v>
      </c>
      <c r="G3718" s="1" t="s">
        <v>16</v>
      </c>
      <c r="H3718" s="8">
        <v>3323587.44</v>
      </c>
      <c r="I3718" s="8">
        <v>2600233.96</v>
      </c>
      <c r="J3718" s="1">
        <f>IF(COUNTIF($C$4:C3718,C3718)=1,1,0)</f>
        <v>1</v>
      </c>
      <c r="K3718" s="1">
        <f t="shared" si="58"/>
        <v>2022</v>
      </c>
    </row>
    <row r="3719" spans="2:11" x14ac:dyDescent="0.45">
      <c r="B3719" s="1" t="s">
        <v>11</v>
      </c>
      <c r="C3719" s="1" t="s">
        <v>3695</v>
      </c>
      <c r="D3719" s="7">
        <v>44849</v>
      </c>
      <c r="E3719" s="7">
        <v>44862</v>
      </c>
      <c r="F3719" s="7">
        <v>44902</v>
      </c>
      <c r="G3719" s="1" t="s">
        <v>38</v>
      </c>
      <c r="H3719" s="8">
        <v>912436.94</v>
      </c>
      <c r="I3719" s="8">
        <v>697533.41</v>
      </c>
      <c r="J3719" s="1">
        <f>IF(COUNTIF($C$4:C3719,C3719)=1,1,0)</f>
        <v>1</v>
      </c>
      <c r="K3719" s="1">
        <f t="shared" si="58"/>
        <v>2022</v>
      </c>
    </row>
    <row r="3720" spans="2:11" x14ac:dyDescent="0.45">
      <c r="B3720" s="1" t="s">
        <v>11</v>
      </c>
      <c r="C3720" s="1" t="s">
        <v>3696</v>
      </c>
      <c r="D3720" s="7">
        <v>44705</v>
      </c>
      <c r="E3720" s="7">
        <v>44706</v>
      </c>
      <c r="F3720" s="7">
        <v>44908</v>
      </c>
      <c r="G3720" s="1" t="s">
        <v>41</v>
      </c>
      <c r="H3720" s="8">
        <v>347288.12</v>
      </c>
      <c r="I3720" s="8">
        <v>301337.3</v>
      </c>
      <c r="J3720" s="1">
        <f>IF(COUNTIF($C$4:C3720,C3720)=1,1,0)</f>
        <v>1</v>
      </c>
      <c r="K3720" s="1">
        <f t="shared" si="58"/>
        <v>2022</v>
      </c>
    </row>
    <row r="3721" spans="2:11" x14ac:dyDescent="0.45">
      <c r="B3721" s="1" t="s">
        <v>11</v>
      </c>
      <c r="C3721" s="1" t="s">
        <v>3697</v>
      </c>
      <c r="D3721" s="7">
        <v>44532</v>
      </c>
      <c r="E3721" s="7">
        <v>44550</v>
      </c>
      <c r="F3721" s="7">
        <v>44595</v>
      </c>
      <c r="G3721" s="1" t="s">
        <v>212</v>
      </c>
      <c r="H3721" s="8">
        <v>13495448.289999999</v>
      </c>
      <c r="I3721" s="8">
        <v>3218538.98</v>
      </c>
      <c r="J3721" s="1">
        <f>IF(COUNTIF($C$4:C3721,C3721)=1,1,0)</f>
        <v>1</v>
      </c>
      <c r="K3721" s="1">
        <f t="shared" si="58"/>
        <v>2021</v>
      </c>
    </row>
    <row r="3722" spans="2:11" x14ac:dyDescent="0.45">
      <c r="B3722" s="1" t="s">
        <v>11</v>
      </c>
      <c r="C3722" s="1" t="s">
        <v>3698</v>
      </c>
      <c r="D3722" s="7">
        <v>43599</v>
      </c>
      <c r="E3722" s="7">
        <v>43610</v>
      </c>
      <c r="F3722" s="7">
        <v>43838</v>
      </c>
      <c r="G3722" s="1" t="s">
        <v>212</v>
      </c>
      <c r="H3722" s="8">
        <v>6404560.2699999996</v>
      </c>
      <c r="I3722" s="8">
        <v>2794500</v>
      </c>
      <c r="J3722" s="1">
        <f>IF(COUNTIF($C$4:C3722,C3722)=1,1,0)</f>
        <v>1</v>
      </c>
      <c r="K3722" s="1">
        <f t="shared" si="58"/>
        <v>2019</v>
      </c>
    </row>
    <row r="3723" spans="2:11" x14ac:dyDescent="0.45">
      <c r="B3723" s="1" t="s">
        <v>11</v>
      </c>
      <c r="C3723" s="1" t="s">
        <v>3699</v>
      </c>
      <c r="D3723" s="7">
        <v>45523</v>
      </c>
      <c r="E3723" s="7">
        <v>45531</v>
      </c>
      <c r="F3723" s="7">
        <v>45723</v>
      </c>
      <c r="G3723" s="1" t="s">
        <v>16</v>
      </c>
      <c r="H3723" s="8">
        <v>792757.75</v>
      </c>
      <c r="I3723" s="8">
        <v>423254.73</v>
      </c>
      <c r="J3723" s="1">
        <f>IF(COUNTIF($C$4:C3723,C3723)=1,1,0)</f>
        <v>1</v>
      </c>
      <c r="K3723" s="1">
        <f t="shared" si="58"/>
        <v>2024</v>
      </c>
    </row>
    <row r="3724" spans="2:11" x14ac:dyDescent="0.45">
      <c r="B3724" s="1" t="s">
        <v>11</v>
      </c>
      <c r="C3724" s="1" t="s">
        <v>3700</v>
      </c>
      <c r="D3724" s="7">
        <v>45971</v>
      </c>
      <c r="E3724" s="7">
        <v>45982</v>
      </c>
      <c r="F3724" s="7">
        <v>46109</v>
      </c>
      <c r="G3724" s="1" t="s">
        <v>22</v>
      </c>
      <c r="H3724" s="8">
        <v>4798621.24</v>
      </c>
      <c r="I3724" s="8">
        <v>2555594.2000000002</v>
      </c>
      <c r="J3724" s="1">
        <f>IF(COUNTIF($C$4:C3724,C3724)=1,1,0)</f>
        <v>1</v>
      </c>
      <c r="K3724" s="1">
        <f t="shared" si="58"/>
        <v>2025</v>
      </c>
    </row>
    <row r="3725" spans="2:11" x14ac:dyDescent="0.45">
      <c r="B3725" s="1" t="s">
        <v>11</v>
      </c>
      <c r="C3725" s="1" t="s">
        <v>3701</v>
      </c>
      <c r="D3725" s="7">
        <v>44977</v>
      </c>
      <c r="E3725" s="7">
        <v>45004</v>
      </c>
      <c r="F3725" s="7">
        <v>45229</v>
      </c>
      <c r="G3725" s="1" t="s">
        <v>13</v>
      </c>
      <c r="H3725" s="8">
        <v>661449.88</v>
      </c>
      <c r="I3725" s="8">
        <v>466210.03</v>
      </c>
      <c r="J3725" s="1">
        <f>IF(COUNTIF($C$4:C3725,C3725)=1,1,0)</f>
        <v>1</v>
      </c>
      <c r="K3725" s="1">
        <f t="shared" si="58"/>
        <v>2023</v>
      </c>
    </row>
    <row r="3726" spans="2:11" x14ac:dyDescent="0.45">
      <c r="B3726" s="1" t="s">
        <v>11</v>
      </c>
      <c r="C3726" s="1" t="s">
        <v>3702</v>
      </c>
      <c r="D3726" s="7">
        <v>44568</v>
      </c>
      <c r="E3726" s="7">
        <v>44576</v>
      </c>
      <c r="F3726" s="7">
        <v>44585</v>
      </c>
      <c r="G3726" s="1" t="s">
        <v>16</v>
      </c>
      <c r="H3726" s="8">
        <v>581871.88</v>
      </c>
      <c r="I3726" s="8">
        <v>383723.2</v>
      </c>
      <c r="J3726" s="1">
        <f>IF(COUNTIF($C$4:C3726,C3726)=1,1,0)</f>
        <v>1</v>
      </c>
      <c r="K3726" s="1">
        <f t="shared" si="58"/>
        <v>2022</v>
      </c>
    </row>
    <row r="3727" spans="2:11" x14ac:dyDescent="0.45">
      <c r="B3727" s="1" t="s">
        <v>11</v>
      </c>
      <c r="C3727" s="1" t="s">
        <v>3703</v>
      </c>
      <c r="D3727" s="7">
        <v>46216</v>
      </c>
      <c r="E3727" s="7">
        <v>46217</v>
      </c>
      <c r="F3727" s="7">
        <v>46398</v>
      </c>
      <c r="G3727" s="1" t="s">
        <v>41</v>
      </c>
      <c r="H3727" s="8">
        <v>53142.57</v>
      </c>
      <c r="I3727" s="8">
        <v>42551.96</v>
      </c>
      <c r="J3727" s="1">
        <f>IF(COUNTIF($C$4:C3727,C3727)=1,1,0)</f>
        <v>1</v>
      </c>
      <c r="K3727" s="1">
        <f t="shared" si="58"/>
        <v>2026</v>
      </c>
    </row>
    <row r="3728" spans="2:11" x14ac:dyDescent="0.45">
      <c r="B3728" s="1" t="s">
        <v>11</v>
      </c>
      <c r="C3728" s="1" t="s">
        <v>3704</v>
      </c>
      <c r="D3728" s="7">
        <v>43755</v>
      </c>
      <c r="E3728" s="7">
        <v>43756</v>
      </c>
      <c r="F3728" s="7">
        <v>43916</v>
      </c>
      <c r="G3728" s="1" t="s">
        <v>38</v>
      </c>
      <c r="H3728" s="8">
        <v>61456</v>
      </c>
      <c r="I3728" s="8">
        <v>51341.72</v>
      </c>
      <c r="J3728" s="1">
        <f>IF(COUNTIF($C$4:C3728,C3728)=1,1,0)</f>
        <v>1</v>
      </c>
      <c r="K3728" s="1">
        <f t="shared" si="58"/>
        <v>2019</v>
      </c>
    </row>
    <row r="3729" spans="2:11" x14ac:dyDescent="0.45">
      <c r="B3729" s="1" t="s">
        <v>11</v>
      </c>
      <c r="C3729" s="1" t="s">
        <v>3705</v>
      </c>
      <c r="D3729" s="7">
        <v>44056</v>
      </c>
      <c r="E3729" s="7">
        <v>44074</v>
      </c>
      <c r="F3729" s="7">
        <v>44221</v>
      </c>
      <c r="G3729" s="1" t="s">
        <v>212</v>
      </c>
      <c r="H3729" s="8">
        <v>50859304.990000002</v>
      </c>
      <c r="I3729" s="8">
        <v>32290814.23</v>
      </c>
      <c r="J3729" s="1">
        <f>IF(COUNTIF($C$4:C3729,C3729)=1,1,0)</f>
        <v>1</v>
      </c>
      <c r="K3729" s="1">
        <f t="shared" si="58"/>
        <v>2020</v>
      </c>
    </row>
    <row r="3730" spans="2:11" x14ac:dyDescent="0.45">
      <c r="B3730" s="1" t="s">
        <v>11</v>
      </c>
      <c r="C3730" s="1" t="s">
        <v>3706</v>
      </c>
      <c r="D3730" s="7">
        <v>43853</v>
      </c>
      <c r="E3730" s="7">
        <v>43858</v>
      </c>
      <c r="F3730" s="7">
        <v>43884</v>
      </c>
      <c r="G3730" s="1" t="s">
        <v>38</v>
      </c>
      <c r="H3730" s="8">
        <v>2587869.73</v>
      </c>
      <c r="I3730" s="8">
        <v>2197418.44</v>
      </c>
      <c r="J3730" s="1">
        <f>IF(COUNTIF($C$4:C3730,C3730)=1,1,0)</f>
        <v>1</v>
      </c>
      <c r="K3730" s="1">
        <f t="shared" si="58"/>
        <v>2020</v>
      </c>
    </row>
    <row r="3731" spans="2:11" x14ac:dyDescent="0.45">
      <c r="B3731" s="1" t="s">
        <v>11</v>
      </c>
      <c r="C3731" s="1" t="s">
        <v>3707</v>
      </c>
      <c r="D3731" s="7">
        <v>46102</v>
      </c>
      <c r="E3731" s="7">
        <v>46123</v>
      </c>
      <c r="F3731" s="7">
        <v>46317</v>
      </c>
      <c r="G3731" s="1" t="s">
        <v>18</v>
      </c>
      <c r="H3731" s="8">
        <v>17300853.870000001</v>
      </c>
      <c r="I3731" s="8">
        <v>13753780.48</v>
      </c>
      <c r="J3731" s="1">
        <f>IF(COUNTIF($C$4:C3731,C3731)=1,1,0)</f>
        <v>1</v>
      </c>
      <c r="K3731" s="1">
        <f t="shared" si="58"/>
        <v>2026</v>
      </c>
    </row>
    <row r="3732" spans="2:11" x14ac:dyDescent="0.45">
      <c r="B3732" s="1" t="s">
        <v>11</v>
      </c>
      <c r="C3732" s="1" t="s">
        <v>3708</v>
      </c>
      <c r="D3732" s="7">
        <v>43295</v>
      </c>
      <c r="E3732" s="7">
        <v>43308</v>
      </c>
      <c r="F3732" s="7">
        <v>43522</v>
      </c>
      <c r="G3732" s="1" t="s">
        <v>38</v>
      </c>
      <c r="H3732" s="8">
        <v>1621552.9</v>
      </c>
      <c r="I3732" s="8">
        <v>1379996.39</v>
      </c>
      <c r="J3732" s="1">
        <f>IF(COUNTIF($C$4:C3732,C3732)=1,1,0)</f>
        <v>1</v>
      </c>
      <c r="K3732" s="1">
        <f t="shared" si="58"/>
        <v>2018</v>
      </c>
    </row>
    <row r="3733" spans="2:11" x14ac:dyDescent="0.45">
      <c r="B3733" s="1" t="s">
        <v>11</v>
      </c>
      <c r="C3733" s="1" t="s">
        <v>3709</v>
      </c>
      <c r="D3733" s="7">
        <v>46040</v>
      </c>
      <c r="E3733" s="7">
        <v>46067</v>
      </c>
      <c r="F3733" s="7">
        <v>46248</v>
      </c>
      <c r="G3733" s="1" t="s">
        <v>38</v>
      </c>
      <c r="H3733" s="8">
        <v>750790.21</v>
      </c>
      <c r="I3733" s="8">
        <v>483765.98</v>
      </c>
      <c r="J3733" s="1">
        <f>IF(COUNTIF($C$4:C3733,C3733)=1,1,0)</f>
        <v>1</v>
      </c>
      <c r="K3733" s="1">
        <f t="shared" si="58"/>
        <v>2026</v>
      </c>
    </row>
    <row r="3734" spans="2:11" x14ac:dyDescent="0.45">
      <c r="B3734" s="1" t="s">
        <v>11</v>
      </c>
      <c r="C3734" s="1" t="s">
        <v>3710</v>
      </c>
      <c r="D3734" s="7">
        <v>45439</v>
      </c>
      <c r="E3734" s="7">
        <v>45462</v>
      </c>
      <c r="F3734" s="7">
        <v>45472</v>
      </c>
      <c r="G3734" s="1" t="s">
        <v>16</v>
      </c>
      <c r="H3734" s="8">
        <v>2350249.09</v>
      </c>
      <c r="I3734" s="8">
        <v>1529045.37</v>
      </c>
      <c r="J3734" s="1">
        <f>IF(COUNTIF($C$4:C3734,C3734)=1,1,0)</f>
        <v>1</v>
      </c>
      <c r="K3734" s="1">
        <f t="shared" si="58"/>
        <v>2024</v>
      </c>
    </row>
    <row r="3735" spans="2:11" x14ac:dyDescent="0.45">
      <c r="B3735" s="1" t="s">
        <v>11</v>
      </c>
      <c r="C3735" s="1" t="s">
        <v>3711</v>
      </c>
      <c r="D3735" s="7">
        <v>43832</v>
      </c>
      <c r="E3735" s="7">
        <v>43843</v>
      </c>
      <c r="F3735" s="7">
        <v>43947</v>
      </c>
      <c r="G3735" s="1" t="s">
        <v>20</v>
      </c>
      <c r="H3735" s="8">
        <v>1503552.78</v>
      </c>
      <c r="I3735" s="8">
        <v>965171.78</v>
      </c>
      <c r="J3735" s="1">
        <f>IF(COUNTIF($C$4:C3735,C3735)=1,1,0)</f>
        <v>1</v>
      </c>
      <c r="K3735" s="1">
        <f t="shared" si="58"/>
        <v>2020</v>
      </c>
    </row>
    <row r="3736" spans="2:11" x14ac:dyDescent="0.45">
      <c r="B3736" s="1" t="s">
        <v>11</v>
      </c>
      <c r="C3736" s="1" t="s">
        <v>3712</v>
      </c>
      <c r="D3736" s="7">
        <v>43744</v>
      </c>
      <c r="E3736" s="7">
        <v>43771</v>
      </c>
      <c r="F3736" s="7">
        <v>43935</v>
      </c>
      <c r="G3736" s="1" t="s">
        <v>20</v>
      </c>
      <c r="H3736" s="8">
        <v>853472.25</v>
      </c>
      <c r="I3736" s="8">
        <v>584779.06999999995</v>
      </c>
      <c r="J3736" s="1">
        <f>IF(COUNTIF($C$4:C3736,C3736)=1,1,0)</f>
        <v>1</v>
      </c>
      <c r="K3736" s="1">
        <f t="shared" si="58"/>
        <v>2019</v>
      </c>
    </row>
    <row r="3737" spans="2:11" x14ac:dyDescent="0.45">
      <c r="B3737" s="1" t="s">
        <v>11</v>
      </c>
      <c r="C3737" s="1" t="s">
        <v>3713</v>
      </c>
      <c r="D3737" s="7">
        <v>45641</v>
      </c>
      <c r="E3737" s="7">
        <v>45648</v>
      </c>
      <c r="F3737" s="7">
        <v>45831</v>
      </c>
      <c r="G3737" s="1" t="s">
        <v>41</v>
      </c>
      <c r="H3737" s="8">
        <v>23681.58</v>
      </c>
      <c r="I3737" s="8">
        <v>20791.560000000001</v>
      </c>
      <c r="J3737" s="1">
        <f>IF(COUNTIF($C$4:C3737,C3737)=1,1,0)</f>
        <v>1</v>
      </c>
      <c r="K3737" s="1">
        <f t="shared" si="58"/>
        <v>2024</v>
      </c>
    </row>
    <row r="3738" spans="2:11" x14ac:dyDescent="0.45">
      <c r="B3738" s="1" t="s">
        <v>11</v>
      </c>
      <c r="C3738" s="1" t="s">
        <v>3714</v>
      </c>
      <c r="D3738" s="7">
        <v>43233</v>
      </c>
      <c r="E3738" s="7">
        <v>43254</v>
      </c>
      <c r="F3738" s="7">
        <v>43438</v>
      </c>
      <c r="G3738" s="1" t="s">
        <v>16</v>
      </c>
      <c r="H3738" s="8">
        <v>609082.43000000005</v>
      </c>
      <c r="I3738" s="8">
        <v>441629.21</v>
      </c>
      <c r="J3738" s="1">
        <f>IF(COUNTIF($C$4:C3738,C3738)=1,1,0)</f>
        <v>1</v>
      </c>
      <c r="K3738" s="1">
        <f t="shared" si="58"/>
        <v>2018</v>
      </c>
    </row>
    <row r="3739" spans="2:11" x14ac:dyDescent="0.45">
      <c r="B3739" s="1" t="s">
        <v>11</v>
      </c>
      <c r="C3739" s="1" t="s">
        <v>3715</v>
      </c>
      <c r="D3739" s="7">
        <v>44174</v>
      </c>
      <c r="E3739" s="7">
        <v>44198</v>
      </c>
      <c r="F3739" s="7">
        <v>44270</v>
      </c>
      <c r="G3739" s="1" t="s">
        <v>13</v>
      </c>
      <c r="H3739" s="8">
        <v>806779.43</v>
      </c>
      <c r="I3739" s="8">
        <v>603130.69999999995</v>
      </c>
      <c r="J3739" s="1">
        <f>IF(COUNTIF($C$4:C3739,C3739)=1,1,0)</f>
        <v>1</v>
      </c>
      <c r="K3739" s="1">
        <f t="shared" si="58"/>
        <v>2020</v>
      </c>
    </row>
    <row r="3740" spans="2:11" x14ac:dyDescent="0.45">
      <c r="B3740" s="1" t="s">
        <v>11</v>
      </c>
      <c r="C3740" s="1" t="s">
        <v>3716</v>
      </c>
      <c r="D3740" s="7">
        <v>44074</v>
      </c>
      <c r="E3740" s="7">
        <v>44084</v>
      </c>
      <c r="F3740" s="7">
        <v>44176</v>
      </c>
      <c r="G3740" s="1" t="s">
        <v>212</v>
      </c>
      <c r="H3740" s="8">
        <v>17291101.75</v>
      </c>
      <c r="I3740" s="8">
        <v>10795752.289999999</v>
      </c>
      <c r="J3740" s="1">
        <f>IF(COUNTIF($C$4:C3740,C3740)=1,1,0)</f>
        <v>1</v>
      </c>
      <c r="K3740" s="1">
        <f t="shared" si="58"/>
        <v>2020</v>
      </c>
    </row>
    <row r="3741" spans="2:11" x14ac:dyDescent="0.45">
      <c r="B3741" s="1" t="s">
        <v>11</v>
      </c>
      <c r="C3741" s="1" t="s">
        <v>3717</v>
      </c>
      <c r="D3741" s="7">
        <v>43439</v>
      </c>
      <c r="E3741" s="7">
        <v>43454</v>
      </c>
      <c r="F3741" s="7">
        <v>43665</v>
      </c>
      <c r="G3741" s="1" t="s">
        <v>13</v>
      </c>
      <c r="H3741" s="8">
        <v>853400.02</v>
      </c>
      <c r="I3741" s="8">
        <v>585932.82999999996</v>
      </c>
      <c r="J3741" s="1">
        <f>IF(COUNTIF($C$4:C3741,C3741)=1,1,0)</f>
        <v>1</v>
      </c>
      <c r="K3741" s="1">
        <f t="shared" si="58"/>
        <v>2018</v>
      </c>
    </row>
    <row r="3742" spans="2:11" x14ac:dyDescent="0.45">
      <c r="B3742" s="1" t="s">
        <v>11</v>
      </c>
      <c r="C3742" s="1" t="s">
        <v>3718</v>
      </c>
      <c r="D3742" s="7">
        <v>44242</v>
      </c>
      <c r="E3742" s="7">
        <v>44265</v>
      </c>
      <c r="F3742" s="7">
        <v>44444</v>
      </c>
      <c r="G3742" s="1" t="s">
        <v>16</v>
      </c>
      <c r="H3742" s="8">
        <v>11649183.5</v>
      </c>
      <c r="I3742" s="8">
        <v>7527249.5499999998</v>
      </c>
      <c r="J3742" s="1">
        <f>IF(COUNTIF($C$4:C3742,C3742)=1,1,0)</f>
        <v>1</v>
      </c>
      <c r="K3742" s="1">
        <f t="shared" si="58"/>
        <v>2021</v>
      </c>
    </row>
    <row r="3743" spans="2:11" x14ac:dyDescent="0.45">
      <c r="B3743" s="1" t="s">
        <v>11</v>
      </c>
      <c r="C3743" s="1" t="s">
        <v>3719</v>
      </c>
      <c r="D3743" s="7">
        <v>44291</v>
      </c>
      <c r="E3743" s="7">
        <v>44312</v>
      </c>
      <c r="F3743" s="7">
        <v>44426</v>
      </c>
      <c r="G3743" s="1" t="s">
        <v>20</v>
      </c>
      <c r="H3743" s="8">
        <v>199309.48</v>
      </c>
      <c r="I3743" s="8">
        <v>119891.36</v>
      </c>
      <c r="J3743" s="1">
        <f>IF(COUNTIF($C$4:C3743,C3743)=1,1,0)</f>
        <v>1</v>
      </c>
      <c r="K3743" s="1">
        <f t="shared" si="58"/>
        <v>2021</v>
      </c>
    </row>
    <row r="3744" spans="2:11" x14ac:dyDescent="0.45">
      <c r="B3744" s="1" t="s">
        <v>11</v>
      </c>
      <c r="C3744" s="1" t="s">
        <v>3720</v>
      </c>
      <c r="D3744" s="7">
        <v>44147</v>
      </c>
      <c r="E3744" s="7">
        <v>44177</v>
      </c>
      <c r="F3744" s="7">
        <v>44385</v>
      </c>
      <c r="G3744" s="1" t="s">
        <v>16</v>
      </c>
      <c r="H3744" s="8">
        <v>4964713.8</v>
      </c>
      <c r="I3744" s="8">
        <v>3617314.64</v>
      </c>
      <c r="J3744" s="1">
        <f>IF(COUNTIF($C$4:C3744,C3744)=1,1,0)</f>
        <v>1</v>
      </c>
      <c r="K3744" s="1">
        <f t="shared" si="58"/>
        <v>2020</v>
      </c>
    </row>
    <row r="3745" spans="2:11" x14ac:dyDescent="0.45">
      <c r="B3745" s="1" t="s">
        <v>11</v>
      </c>
      <c r="C3745" s="1" t="s">
        <v>3721</v>
      </c>
      <c r="D3745" s="7">
        <v>45745</v>
      </c>
      <c r="E3745" s="7">
        <v>45752</v>
      </c>
      <c r="F3745" s="7">
        <v>45883</v>
      </c>
      <c r="G3745" s="1" t="s">
        <v>212</v>
      </c>
      <c r="H3745" s="8">
        <v>21171887.079999998</v>
      </c>
      <c r="I3745" s="8">
        <v>14192358.6</v>
      </c>
      <c r="J3745" s="1">
        <f>IF(COUNTIF($C$4:C3745,C3745)=1,1,0)</f>
        <v>1</v>
      </c>
      <c r="K3745" s="1">
        <f t="shared" si="58"/>
        <v>2025</v>
      </c>
    </row>
    <row r="3746" spans="2:11" x14ac:dyDescent="0.45">
      <c r="B3746" s="1" t="s">
        <v>11</v>
      </c>
      <c r="C3746" s="1" t="s">
        <v>3722</v>
      </c>
      <c r="D3746" s="7">
        <v>46033</v>
      </c>
      <c r="E3746" s="7">
        <v>46037</v>
      </c>
      <c r="F3746" s="7">
        <v>46060</v>
      </c>
      <c r="G3746" s="1" t="s">
        <v>13</v>
      </c>
      <c r="H3746" s="8">
        <v>159339.1</v>
      </c>
      <c r="I3746" s="8">
        <v>114431.01</v>
      </c>
      <c r="J3746" s="1">
        <f>IF(COUNTIF($C$4:C3746,C3746)=1,1,0)</f>
        <v>1</v>
      </c>
      <c r="K3746" s="1">
        <f t="shared" si="58"/>
        <v>2026</v>
      </c>
    </row>
    <row r="3747" spans="2:11" x14ac:dyDescent="0.45">
      <c r="B3747" s="1" t="s">
        <v>11</v>
      </c>
      <c r="C3747" s="1" t="s">
        <v>3723</v>
      </c>
      <c r="D3747" s="7">
        <v>43982</v>
      </c>
      <c r="E3747" s="7">
        <v>43996</v>
      </c>
      <c r="F3747" s="7">
        <v>44078</v>
      </c>
      <c r="G3747" s="1" t="s">
        <v>16</v>
      </c>
      <c r="H3747" s="8">
        <v>4757744.37</v>
      </c>
      <c r="I3747" s="8">
        <v>3181615.79</v>
      </c>
      <c r="J3747" s="1">
        <f>IF(COUNTIF($C$4:C3747,C3747)=1,1,0)</f>
        <v>1</v>
      </c>
      <c r="K3747" s="1">
        <f t="shared" si="58"/>
        <v>2020</v>
      </c>
    </row>
    <row r="3748" spans="2:11" x14ac:dyDescent="0.45">
      <c r="B3748" s="1" t="s">
        <v>11</v>
      </c>
      <c r="C3748" s="1" t="s">
        <v>3724</v>
      </c>
      <c r="D3748" s="7">
        <v>45691</v>
      </c>
      <c r="E3748" s="7">
        <v>45697</v>
      </c>
      <c r="F3748" s="7">
        <v>45892</v>
      </c>
      <c r="G3748" s="1" t="s">
        <v>1348</v>
      </c>
      <c r="H3748" s="8">
        <v>47695956.469999999</v>
      </c>
      <c r="I3748" s="8">
        <v>23784901.350000001</v>
      </c>
      <c r="J3748" s="1">
        <f>IF(COUNTIF($C$4:C3748,C3748)=1,1,0)</f>
        <v>1</v>
      </c>
      <c r="K3748" s="1">
        <f t="shared" si="58"/>
        <v>2025</v>
      </c>
    </row>
    <row r="3749" spans="2:11" x14ac:dyDescent="0.45">
      <c r="B3749" s="1" t="s">
        <v>11</v>
      </c>
      <c r="C3749" s="1" t="s">
        <v>3725</v>
      </c>
      <c r="D3749" s="7">
        <v>45779</v>
      </c>
      <c r="E3749" s="7">
        <v>45802</v>
      </c>
      <c r="F3749" s="7">
        <v>45917</v>
      </c>
      <c r="G3749" s="1" t="s">
        <v>38</v>
      </c>
      <c r="H3749" s="8">
        <v>99397.42</v>
      </c>
      <c r="I3749" s="8">
        <v>80692.55</v>
      </c>
      <c r="J3749" s="1">
        <f>IF(COUNTIF($C$4:C3749,C3749)=1,1,0)</f>
        <v>1</v>
      </c>
      <c r="K3749" s="1">
        <f t="shared" si="58"/>
        <v>2025</v>
      </c>
    </row>
    <row r="3750" spans="2:11" x14ac:dyDescent="0.45">
      <c r="B3750" s="1" t="s">
        <v>11</v>
      </c>
      <c r="C3750" s="1" t="s">
        <v>3726</v>
      </c>
      <c r="D3750" s="7">
        <v>43955</v>
      </c>
      <c r="E3750" s="7">
        <v>43985</v>
      </c>
      <c r="F3750" s="7">
        <v>44123</v>
      </c>
      <c r="G3750" s="1" t="s">
        <v>41</v>
      </c>
      <c r="H3750" s="8">
        <v>72917.929999999993</v>
      </c>
      <c r="I3750" s="8">
        <v>51367.68</v>
      </c>
      <c r="J3750" s="1">
        <f>IF(COUNTIF($C$4:C3750,C3750)=1,1,0)</f>
        <v>1</v>
      </c>
      <c r="K3750" s="1">
        <f t="shared" si="58"/>
        <v>2020</v>
      </c>
    </row>
    <row r="3751" spans="2:11" x14ac:dyDescent="0.45">
      <c r="B3751" s="1" t="s">
        <v>11</v>
      </c>
      <c r="C3751" s="1" t="s">
        <v>3727</v>
      </c>
      <c r="D3751" s="7">
        <v>44209</v>
      </c>
      <c r="E3751" s="7">
        <v>44222</v>
      </c>
      <c r="F3751" s="7">
        <v>44257</v>
      </c>
      <c r="G3751" s="1" t="s">
        <v>16</v>
      </c>
      <c r="H3751" s="8">
        <v>3262738.67</v>
      </c>
      <c r="I3751" s="8">
        <v>2690184.39</v>
      </c>
      <c r="J3751" s="1">
        <f>IF(COUNTIF($C$4:C3751,C3751)=1,1,0)</f>
        <v>1</v>
      </c>
      <c r="K3751" s="1">
        <f t="shared" si="58"/>
        <v>2021</v>
      </c>
    </row>
    <row r="3752" spans="2:11" x14ac:dyDescent="0.45">
      <c r="B3752" s="1" t="s">
        <v>11</v>
      </c>
      <c r="C3752" s="1" t="s">
        <v>3728</v>
      </c>
      <c r="D3752" s="7">
        <v>45996</v>
      </c>
      <c r="E3752" s="7">
        <v>46005</v>
      </c>
      <c r="F3752" s="7">
        <v>46126</v>
      </c>
      <c r="G3752" s="1" t="s">
        <v>22</v>
      </c>
      <c r="H3752" s="8">
        <v>98472506.040000007</v>
      </c>
      <c r="I3752" s="8">
        <v>60127209.619999997</v>
      </c>
      <c r="J3752" s="1">
        <f>IF(COUNTIF($C$4:C3752,C3752)=1,1,0)</f>
        <v>1</v>
      </c>
      <c r="K3752" s="1">
        <f t="shared" si="58"/>
        <v>2025</v>
      </c>
    </row>
    <row r="3753" spans="2:11" x14ac:dyDescent="0.45">
      <c r="B3753" s="1" t="s">
        <v>11</v>
      </c>
      <c r="C3753" s="1" t="s">
        <v>3729</v>
      </c>
      <c r="D3753" s="7">
        <v>45911</v>
      </c>
      <c r="E3753" s="7">
        <v>45936</v>
      </c>
      <c r="F3753" s="7">
        <v>45984</v>
      </c>
      <c r="G3753" s="1" t="s">
        <v>22</v>
      </c>
      <c r="H3753" s="8">
        <v>1817528.93</v>
      </c>
      <c r="I3753" s="8">
        <v>784536.27</v>
      </c>
      <c r="J3753" s="1">
        <f>IF(COUNTIF($C$4:C3753,C3753)=1,1,0)</f>
        <v>1</v>
      </c>
      <c r="K3753" s="1">
        <f t="shared" si="58"/>
        <v>2025</v>
      </c>
    </row>
    <row r="3754" spans="2:11" x14ac:dyDescent="0.45">
      <c r="B3754" s="1" t="s">
        <v>11</v>
      </c>
      <c r="C3754" s="1" t="s">
        <v>3730</v>
      </c>
      <c r="D3754" s="7">
        <v>43652</v>
      </c>
      <c r="E3754" s="7">
        <v>43664</v>
      </c>
      <c r="F3754" s="7">
        <v>43786</v>
      </c>
      <c r="G3754" s="1" t="s">
        <v>22</v>
      </c>
      <c r="H3754" s="8">
        <v>29525328.039999999</v>
      </c>
      <c r="I3754" s="8">
        <v>9457048.3100000005</v>
      </c>
      <c r="J3754" s="1">
        <f>IF(COUNTIF($C$4:C3754,C3754)=1,1,0)</f>
        <v>1</v>
      </c>
      <c r="K3754" s="1">
        <f t="shared" si="58"/>
        <v>2019</v>
      </c>
    </row>
    <row r="3755" spans="2:11" x14ac:dyDescent="0.45">
      <c r="B3755" s="1" t="s">
        <v>11</v>
      </c>
      <c r="C3755" s="1" t="s">
        <v>3340</v>
      </c>
      <c r="D3755" s="7">
        <v>43430</v>
      </c>
      <c r="E3755" s="7">
        <v>43437</v>
      </c>
      <c r="F3755" s="7">
        <v>43621</v>
      </c>
      <c r="G3755" s="1" t="s">
        <v>1348</v>
      </c>
      <c r="H3755" s="8">
        <v>8086467.9000000004</v>
      </c>
      <c r="I3755" s="8">
        <v>5676013.4800000004</v>
      </c>
      <c r="J3755" s="1">
        <f>IF(COUNTIF($C$4:C3755,C3755)=1,1,0)</f>
        <v>0</v>
      </c>
      <c r="K3755" s="1">
        <f t="shared" si="58"/>
        <v>2018</v>
      </c>
    </row>
    <row r="3756" spans="2:11" x14ac:dyDescent="0.45">
      <c r="B3756" s="1" t="s">
        <v>11</v>
      </c>
      <c r="C3756" s="1" t="s">
        <v>3731</v>
      </c>
      <c r="D3756" s="7">
        <v>44637</v>
      </c>
      <c r="E3756" s="7">
        <v>44659</v>
      </c>
      <c r="F3756" s="7">
        <v>44877</v>
      </c>
      <c r="G3756" s="1" t="s">
        <v>20</v>
      </c>
      <c r="H3756" s="8">
        <v>1343964.24</v>
      </c>
      <c r="I3756" s="8">
        <v>775220.21</v>
      </c>
      <c r="J3756" s="1">
        <f>IF(COUNTIF($C$4:C3756,C3756)=1,1,0)</f>
        <v>1</v>
      </c>
      <c r="K3756" s="1">
        <f t="shared" si="58"/>
        <v>2022</v>
      </c>
    </row>
    <row r="3757" spans="2:11" x14ac:dyDescent="0.45">
      <c r="B3757" s="1" t="s">
        <v>11</v>
      </c>
      <c r="C3757" s="1" t="s">
        <v>3732</v>
      </c>
      <c r="D3757" s="7">
        <v>44920</v>
      </c>
      <c r="E3757" s="7">
        <v>44926</v>
      </c>
      <c r="F3757" s="7">
        <v>45030</v>
      </c>
      <c r="G3757" s="1" t="s">
        <v>13</v>
      </c>
      <c r="H3757" s="8">
        <v>1234236.1299999999</v>
      </c>
      <c r="I3757" s="8">
        <v>898182.07</v>
      </c>
      <c r="J3757" s="1">
        <f>IF(COUNTIF($C$4:C3757,C3757)=1,1,0)</f>
        <v>1</v>
      </c>
      <c r="K3757" s="1">
        <f t="shared" si="58"/>
        <v>2022</v>
      </c>
    </row>
    <row r="3758" spans="2:11" x14ac:dyDescent="0.45">
      <c r="B3758" s="1" t="s">
        <v>11</v>
      </c>
      <c r="C3758" s="1" t="s">
        <v>3733</v>
      </c>
      <c r="D3758" s="7">
        <v>46021</v>
      </c>
      <c r="E3758" s="7">
        <v>46032</v>
      </c>
      <c r="F3758" s="7">
        <v>46220</v>
      </c>
      <c r="G3758" s="1" t="s">
        <v>22</v>
      </c>
      <c r="H3758" s="8">
        <v>83743545.5</v>
      </c>
      <c r="I3758" s="8">
        <v>56541715.509999998</v>
      </c>
      <c r="J3758" s="1">
        <f>IF(COUNTIF($C$4:C3758,C3758)=1,1,0)</f>
        <v>1</v>
      </c>
      <c r="K3758" s="1">
        <f t="shared" si="58"/>
        <v>2025</v>
      </c>
    </row>
    <row r="3759" spans="2:11" x14ac:dyDescent="0.45">
      <c r="B3759" s="1" t="s">
        <v>11</v>
      </c>
      <c r="C3759" s="1" t="s">
        <v>3734</v>
      </c>
      <c r="D3759" s="7">
        <v>45593</v>
      </c>
      <c r="E3759" s="7">
        <v>45601</v>
      </c>
      <c r="F3759" s="7">
        <v>45697</v>
      </c>
      <c r="G3759" s="1" t="s">
        <v>18</v>
      </c>
      <c r="H3759" s="8">
        <v>7108753.96</v>
      </c>
      <c r="I3759" s="8">
        <v>4660548.01</v>
      </c>
      <c r="J3759" s="1">
        <f>IF(COUNTIF($C$4:C3759,C3759)=1,1,0)</f>
        <v>1</v>
      </c>
      <c r="K3759" s="1">
        <f t="shared" si="58"/>
        <v>2024</v>
      </c>
    </row>
    <row r="3760" spans="2:11" x14ac:dyDescent="0.45">
      <c r="B3760" s="1" t="s">
        <v>11</v>
      </c>
      <c r="C3760" s="1" t="s">
        <v>3735</v>
      </c>
      <c r="D3760" s="7">
        <v>44261</v>
      </c>
      <c r="E3760" s="7">
        <v>44271</v>
      </c>
      <c r="F3760" s="7">
        <v>44468</v>
      </c>
      <c r="G3760" s="1" t="s">
        <v>13</v>
      </c>
      <c r="H3760" s="8">
        <v>651746.75</v>
      </c>
      <c r="I3760" s="8">
        <v>529162.30000000005</v>
      </c>
      <c r="J3760" s="1">
        <f>IF(COUNTIF($C$4:C3760,C3760)=1,1,0)</f>
        <v>1</v>
      </c>
      <c r="K3760" s="1">
        <f t="shared" si="58"/>
        <v>2021</v>
      </c>
    </row>
    <row r="3761" spans="2:11" x14ac:dyDescent="0.45">
      <c r="B3761" s="1" t="s">
        <v>11</v>
      </c>
      <c r="C3761" s="1" t="s">
        <v>3736</v>
      </c>
      <c r="D3761" s="7">
        <v>44365</v>
      </c>
      <c r="E3761" s="7">
        <v>44375</v>
      </c>
      <c r="F3761" s="7">
        <v>44399</v>
      </c>
      <c r="G3761" s="1" t="s">
        <v>44</v>
      </c>
      <c r="H3761" s="8">
        <v>46762763.210000001</v>
      </c>
      <c r="I3761" s="8">
        <v>18265745.780000001</v>
      </c>
      <c r="J3761" s="1">
        <f>IF(COUNTIF($C$4:C3761,C3761)=1,1,0)</f>
        <v>1</v>
      </c>
      <c r="K3761" s="1">
        <f t="shared" si="58"/>
        <v>2021</v>
      </c>
    </row>
    <row r="3762" spans="2:11" x14ac:dyDescent="0.45">
      <c r="B3762" s="1" t="s">
        <v>11</v>
      </c>
      <c r="C3762" s="1" t="s">
        <v>3737</v>
      </c>
      <c r="D3762" s="7">
        <v>44061</v>
      </c>
      <c r="E3762" s="7">
        <v>44061</v>
      </c>
      <c r="F3762" s="7">
        <v>44114</v>
      </c>
      <c r="G3762" s="1" t="s">
        <v>38</v>
      </c>
      <c r="H3762" s="8">
        <v>244629.88</v>
      </c>
      <c r="I3762" s="8">
        <v>186810.57</v>
      </c>
      <c r="J3762" s="1">
        <f>IF(COUNTIF($C$4:C3762,C3762)=1,1,0)</f>
        <v>1</v>
      </c>
      <c r="K3762" s="1">
        <f t="shared" si="58"/>
        <v>2020</v>
      </c>
    </row>
    <row r="3763" spans="2:11" x14ac:dyDescent="0.45">
      <c r="B3763" s="1" t="s">
        <v>11</v>
      </c>
      <c r="C3763" s="1" t="s">
        <v>3340</v>
      </c>
      <c r="D3763" s="7">
        <v>44685</v>
      </c>
      <c r="E3763" s="7">
        <v>44708</v>
      </c>
      <c r="F3763" s="7">
        <v>44825</v>
      </c>
      <c r="G3763" s="1" t="s">
        <v>1348</v>
      </c>
      <c r="H3763" s="8">
        <v>43882801.32</v>
      </c>
      <c r="I3763" s="8">
        <v>24004192.039999999</v>
      </c>
      <c r="J3763" s="1">
        <f>IF(COUNTIF($C$4:C3763,C3763)=1,1,0)</f>
        <v>0</v>
      </c>
      <c r="K3763" s="1">
        <f t="shared" si="58"/>
        <v>2022</v>
      </c>
    </row>
    <row r="3764" spans="2:11" x14ac:dyDescent="0.45">
      <c r="B3764" s="1" t="s">
        <v>11</v>
      </c>
      <c r="C3764" s="1" t="s">
        <v>3738</v>
      </c>
      <c r="D3764" s="7">
        <v>45802</v>
      </c>
      <c r="E3764" s="7">
        <v>45823</v>
      </c>
      <c r="F3764" s="7">
        <v>45979</v>
      </c>
      <c r="G3764" s="1" t="s">
        <v>44</v>
      </c>
      <c r="H3764" s="8">
        <v>176393610.31999999</v>
      </c>
      <c r="I3764" s="8">
        <v>133078275.93000001</v>
      </c>
      <c r="J3764" s="1">
        <f>IF(COUNTIF($C$4:C3764,C3764)=1,1,0)</f>
        <v>1</v>
      </c>
      <c r="K3764" s="1">
        <f t="shared" si="58"/>
        <v>2025</v>
      </c>
    </row>
    <row r="3765" spans="2:11" x14ac:dyDescent="0.45">
      <c r="B3765" s="1" t="s">
        <v>11</v>
      </c>
      <c r="C3765" s="1" t="s">
        <v>3739</v>
      </c>
      <c r="D3765" s="7">
        <v>43798</v>
      </c>
      <c r="E3765" s="7">
        <v>43798</v>
      </c>
      <c r="F3765" s="7">
        <v>43921</v>
      </c>
      <c r="G3765" s="1" t="s">
        <v>13</v>
      </c>
      <c r="H3765" s="8">
        <v>414659.9</v>
      </c>
      <c r="I3765" s="8">
        <v>358570.58</v>
      </c>
      <c r="J3765" s="1">
        <f>IF(COUNTIF($C$4:C3765,C3765)=1,1,0)</f>
        <v>1</v>
      </c>
      <c r="K3765" s="1">
        <f t="shared" si="58"/>
        <v>2019</v>
      </c>
    </row>
    <row r="3766" spans="2:11" x14ac:dyDescent="0.45">
      <c r="B3766" s="1" t="s">
        <v>11</v>
      </c>
      <c r="C3766" s="1" t="s">
        <v>3740</v>
      </c>
      <c r="D3766" s="7">
        <v>45286</v>
      </c>
      <c r="E3766" s="7">
        <v>45297</v>
      </c>
      <c r="F3766" s="7">
        <v>45480</v>
      </c>
      <c r="G3766" s="1" t="s">
        <v>22</v>
      </c>
      <c r="H3766" s="8">
        <v>30801404.920000002</v>
      </c>
      <c r="I3766" s="8">
        <v>11351914.460000001</v>
      </c>
      <c r="J3766" s="1">
        <f>IF(COUNTIF($C$4:C3766,C3766)=1,1,0)</f>
        <v>1</v>
      </c>
      <c r="K3766" s="1">
        <f t="shared" si="58"/>
        <v>2023</v>
      </c>
    </row>
    <row r="3767" spans="2:11" x14ac:dyDescent="0.45">
      <c r="B3767" s="1" t="s">
        <v>11</v>
      </c>
      <c r="C3767" s="1" t="s">
        <v>3741</v>
      </c>
      <c r="D3767" s="7">
        <v>44895</v>
      </c>
      <c r="E3767" s="7">
        <v>44903</v>
      </c>
      <c r="F3767" s="7">
        <v>45068</v>
      </c>
      <c r="G3767" s="1" t="s">
        <v>13</v>
      </c>
      <c r="H3767" s="8">
        <v>303099.89</v>
      </c>
      <c r="I3767" s="8">
        <v>222526.55</v>
      </c>
      <c r="J3767" s="1">
        <f>IF(COUNTIF($C$4:C3767,C3767)=1,1,0)</f>
        <v>1</v>
      </c>
      <c r="K3767" s="1">
        <f t="shared" si="58"/>
        <v>2022</v>
      </c>
    </row>
    <row r="3768" spans="2:11" x14ac:dyDescent="0.45">
      <c r="B3768" s="1" t="s">
        <v>11</v>
      </c>
      <c r="C3768" s="1" t="s">
        <v>3742</v>
      </c>
      <c r="D3768" s="7">
        <v>46129</v>
      </c>
      <c r="E3768" s="7">
        <v>46158</v>
      </c>
      <c r="F3768" s="7">
        <v>46214</v>
      </c>
      <c r="G3768" s="1" t="s">
        <v>38</v>
      </c>
      <c r="H3768" s="8">
        <v>685519.03</v>
      </c>
      <c r="I3768" s="8">
        <v>579984.79</v>
      </c>
      <c r="J3768" s="1">
        <f>IF(COUNTIF($C$4:C3768,C3768)=1,1,0)</f>
        <v>1</v>
      </c>
      <c r="K3768" s="1">
        <f t="shared" si="58"/>
        <v>2026</v>
      </c>
    </row>
    <row r="3769" spans="2:11" x14ac:dyDescent="0.45">
      <c r="B3769" s="1" t="s">
        <v>11</v>
      </c>
      <c r="C3769" s="1" t="s">
        <v>3340</v>
      </c>
      <c r="D3769" s="7">
        <v>44186</v>
      </c>
      <c r="E3769" s="7">
        <v>44212</v>
      </c>
      <c r="F3769" s="7">
        <v>44263</v>
      </c>
      <c r="G3769" s="1" t="s">
        <v>1348</v>
      </c>
      <c r="H3769" s="8">
        <v>11402092.01</v>
      </c>
      <c r="I3769" s="8">
        <v>6419667.8499999996</v>
      </c>
      <c r="J3769" s="1">
        <f>IF(COUNTIF($C$4:C3769,C3769)=1,1,0)</f>
        <v>0</v>
      </c>
      <c r="K3769" s="1">
        <f t="shared" si="58"/>
        <v>2020</v>
      </c>
    </row>
    <row r="3770" spans="2:11" x14ac:dyDescent="0.45">
      <c r="B3770" s="1" t="s">
        <v>11</v>
      </c>
      <c r="C3770" s="1" t="s">
        <v>3743</v>
      </c>
      <c r="D3770" s="7">
        <v>43430</v>
      </c>
      <c r="E3770" s="7">
        <v>43433</v>
      </c>
      <c r="F3770" s="7">
        <v>43557</v>
      </c>
      <c r="G3770" s="1" t="s">
        <v>38</v>
      </c>
      <c r="H3770" s="8">
        <v>831494.74</v>
      </c>
      <c r="I3770" s="8">
        <v>740703.86</v>
      </c>
      <c r="J3770" s="1">
        <f>IF(COUNTIF($C$4:C3770,C3770)=1,1,0)</f>
        <v>1</v>
      </c>
      <c r="K3770" s="1">
        <f t="shared" si="58"/>
        <v>2018</v>
      </c>
    </row>
    <row r="3771" spans="2:11" x14ac:dyDescent="0.45">
      <c r="B3771" s="1" t="s">
        <v>11</v>
      </c>
      <c r="C3771" s="1" t="s">
        <v>3744</v>
      </c>
      <c r="D3771" s="7">
        <v>44246</v>
      </c>
      <c r="E3771" s="7">
        <v>44266</v>
      </c>
      <c r="F3771" s="7">
        <v>44489</v>
      </c>
      <c r="G3771" s="1" t="s">
        <v>16</v>
      </c>
      <c r="H3771" s="8">
        <v>3342162.82</v>
      </c>
      <c r="I3771" s="8">
        <v>2387454.9300000002</v>
      </c>
      <c r="J3771" s="1">
        <f>IF(COUNTIF($C$4:C3771,C3771)=1,1,0)</f>
        <v>1</v>
      </c>
      <c r="K3771" s="1">
        <f t="shared" si="58"/>
        <v>2021</v>
      </c>
    </row>
    <row r="3772" spans="2:11" x14ac:dyDescent="0.45">
      <c r="B3772" s="1" t="s">
        <v>11</v>
      </c>
      <c r="C3772" s="1" t="s">
        <v>3745</v>
      </c>
      <c r="D3772" s="7">
        <v>45356</v>
      </c>
      <c r="E3772" s="7">
        <v>45357</v>
      </c>
      <c r="F3772" s="7">
        <v>45409</v>
      </c>
      <c r="G3772" s="1" t="s">
        <v>38</v>
      </c>
      <c r="H3772" s="8">
        <v>60935.62</v>
      </c>
      <c r="I3772" s="8">
        <v>52651.02</v>
      </c>
      <c r="J3772" s="1">
        <f>IF(COUNTIF($C$4:C3772,C3772)=1,1,0)</f>
        <v>1</v>
      </c>
      <c r="K3772" s="1">
        <f t="shared" si="58"/>
        <v>2024</v>
      </c>
    </row>
    <row r="3773" spans="2:11" x14ac:dyDescent="0.45">
      <c r="B3773" s="1" t="s">
        <v>11</v>
      </c>
      <c r="C3773" s="1" t="s">
        <v>3746</v>
      </c>
      <c r="D3773" s="7">
        <v>44018</v>
      </c>
      <c r="E3773" s="7">
        <v>44024</v>
      </c>
      <c r="F3773" s="7">
        <v>44096</v>
      </c>
      <c r="G3773" s="1" t="s">
        <v>18</v>
      </c>
      <c r="H3773" s="8">
        <v>2984634.35</v>
      </c>
      <c r="I3773" s="8">
        <v>2312126.1800000002</v>
      </c>
      <c r="J3773" s="1">
        <f>IF(COUNTIF($C$4:C3773,C3773)=1,1,0)</f>
        <v>1</v>
      </c>
      <c r="K3773" s="1">
        <f t="shared" si="58"/>
        <v>2020</v>
      </c>
    </row>
    <row r="3774" spans="2:11" x14ac:dyDescent="0.45">
      <c r="B3774" s="1" t="s">
        <v>11</v>
      </c>
      <c r="C3774" s="1" t="s">
        <v>3747</v>
      </c>
      <c r="D3774" s="7">
        <v>44100</v>
      </c>
      <c r="E3774" s="7">
        <v>44110</v>
      </c>
      <c r="F3774" s="7">
        <v>44311</v>
      </c>
      <c r="G3774" s="1" t="s">
        <v>13</v>
      </c>
      <c r="H3774" s="8">
        <v>233718.33</v>
      </c>
      <c r="I3774" s="8">
        <v>165206.9</v>
      </c>
      <c r="J3774" s="1">
        <f>IF(COUNTIF($C$4:C3774,C3774)=1,1,0)</f>
        <v>1</v>
      </c>
      <c r="K3774" s="1">
        <f t="shared" si="58"/>
        <v>2020</v>
      </c>
    </row>
    <row r="3775" spans="2:11" x14ac:dyDescent="0.45">
      <c r="B3775" s="1" t="s">
        <v>11</v>
      </c>
      <c r="C3775" s="1" t="s">
        <v>3748</v>
      </c>
      <c r="D3775" s="7">
        <v>44675</v>
      </c>
      <c r="E3775" s="7">
        <v>44686</v>
      </c>
      <c r="F3775" s="7">
        <v>44740</v>
      </c>
      <c r="G3775" s="1" t="s">
        <v>44</v>
      </c>
      <c r="H3775" s="8">
        <v>273263302.32999998</v>
      </c>
      <c r="I3775" s="8">
        <v>140058984.56</v>
      </c>
      <c r="J3775" s="1">
        <f>IF(COUNTIF($C$4:C3775,C3775)=1,1,0)</f>
        <v>1</v>
      </c>
      <c r="K3775" s="1">
        <f t="shared" si="58"/>
        <v>2022</v>
      </c>
    </row>
    <row r="3776" spans="2:11" x14ac:dyDescent="0.45">
      <c r="B3776" s="1" t="s">
        <v>11</v>
      </c>
      <c r="C3776" s="1" t="s">
        <v>3749</v>
      </c>
      <c r="D3776" s="7">
        <v>45727</v>
      </c>
      <c r="E3776" s="7">
        <v>45728</v>
      </c>
      <c r="F3776" s="7">
        <v>45825</v>
      </c>
      <c r="G3776" s="1" t="s">
        <v>38</v>
      </c>
      <c r="H3776" s="8">
        <v>680071.81</v>
      </c>
      <c r="I3776" s="8">
        <v>574356.30000000005</v>
      </c>
      <c r="J3776" s="1">
        <f>IF(COUNTIF($C$4:C3776,C3776)=1,1,0)</f>
        <v>1</v>
      </c>
      <c r="K3776" s="1">
        <f t="shared" si="58"/>
        <v>2025</v>
      </c>
    </row>
    <row r="3777" spans="2:11" x14ac:dyDescent="0.45">
      <c r="B3777" s="1" t="s">
        <v>11</v>
      </c>
      <c r="C3777" s="1" t="s">
        <v>3750</v>
      </c>
      <c r="D3777" s="7">
        <v>44362</v>
      </c>
      <c r="E3777" s="7">
        <v>44387</v>
      </c>
      <c r="F3777" s="7">
        <v>44591</v>
      </c>
      <c r="G3777" s="1" t="s">
        <v>20</v>
      </c>
      <c r="H3777" s="8">
        <v>790130.63</v>
      </c>
      <c r="I3777" s="8">
        <v>542471.43999999994</v>
      </c>
      <c r="J3777" s="1">
        <f>IF(COUNTIF($C$4:C3777,C3777)=1,1,0)</f>
        <v>1</v>
      </c>
      <c r="K3777" s="1">
        <f t="shared" si="58"/>
        <v>2021</v>
      </c>
    </row>
    <row r="3778" spans="2:11" x14ac:dyDescent="0.45">
      <c r="B3778" s="1" t="s">
        <v>11</v>
      </c>
      <c r="C3778" s="1" t="s">
        <v>3751</v>
      </c>
      <c r="D3778" s="7">
        <v>46070</v>
      </c>
      <c r="E3778" s="7">
        <v>46070</v>
      </c>
      <c r="F3778" s="7">
        <v>46163</v>
      </c>
      <c r="G3778" s="1" t="s">
        <v>22</v>
      </c>
      <c r="H3778" s="8">
        <v>29544107.870000001</v>
      </c>
      <c r="I3778" s="8">
        <v>15536102.09</v>
      </c>
      <c r="J3778" s="1">
        <f>IF(COUNTIF($C$4:C3778,C3778)=1,1,0)</f>
        <v>1</v>
      </c>
      <c r="K3778" s="1">
        <f t="shared" si="58"/>
        <v>2026</v>
      </c>
    </row>
    <row r="3779" spans="2:11" x14ac:dyDescent="0.45">
      <c r="B3779" s="1" t="s">
        <v>11</v>
      </c>
      <c r="C3779" s="1" t="s">
        <v>3752</v>
      </c>
      <c r="D3779" s="7">
        <v>45769</v>
      </c>
      <c r="E3779" s="7">
        <v>45785</v>
      </c>
      <c r="F3779" s="7">
        <v>45992</v>
      </c>
      <c r="G3779" s="1" t="s">
        <v>18</v>
      </c>
      <c r="H3779" s="8">
        <v>6641064.7400000002</v>
      </c>
      <c r="I3779" s="8">
        <v>5766236.6600000001</v>
      </c>
      <c r="J3779" s="1">
        <f>IF(COUNTIF($C$4:C3779,C3779)=1,1,0)</f>
        <v>1</v>
      </c>
      <c r="K3779" s="1">
        <f t="shared" si="58"/>
        <v>2025</v>
      </c>
    </row>
    <row r="3780" spans="2:11" x14ac:dyDescent="0.45">
      <c r="B3780" s="1" t="s">
        <v>11</v>
      </c>
      <c r="C3780" s="1" t="s">
        <v>3753</v>
      </c>
      <c r="D3780" s="7">
        <v>43326</v>
      </c>
      <c r="E3780" s="7">
        <v>43326</v>
      </c>
      <c r="F3780" s="7">
        <v>43552</v>
      </c>
      <c r="G3780" s="1" t="s">
        <v>20</v>
      </c>
      <c r="H3780" s="8">
        <v>1857216.55</v>
      </c>
      <c r="I3780" s="8">
        <v>1223864.25</v>
      </c>
      <c r="J3780" s="1">
        <f>IF(COUNTIF($C$4:C3780,C3780)=1,1,0)</f>
        <v>1</v>
      </c>
      <c r="K3780" s="1">
        <f t="shared" si="58"/>
        <v>2018</v>
      </c>
    </row>
    <row r="3781" spans="2:11" x14ac:dyDescent="0.45">
      <c r="B3781" s="1" t="s">
        <v>11</v>
      </c>
      <c r="C3781" s="1" t="s">
        <v>3754</v>
      </c>
      <c r="D3781" s="7">
        <v>45552</v>
      </c>
      <c r="E3781" s="7">
        <v>45570</v>
      </c>
      <c r="F3781" s="7">
        <v>45640</v>
      </c>
      <c r="G3781" s="1" t="s">
        <v>44</v>
      </c>
      <c r="H3781" s="8">
        <v>35656913.380000003</v>
      </c>
      <c r="I3781" s="8">
        <v>15309680.51</v>
      </c>
      <c r="J3781" s="1">
        <f>IF(COUNTIF($C$4:C3781,C3781)=1,1,0)</f>
        <v>1</v>
      </c>
      <c r="K3781" s="1">
        <f t="shared" ref="K3781:K3844" si="59">YEAR(D3781)</f>
        <v>2024</v>
      </c>
    </row>
    <row r="3782" spans="2:11" x14ac:dyDescent="0.45">
      <c r="B3782" s="1" t="s">
        <v>11</v>
      </c>
      <c r="C3782" s="1" t="s">
        <v>3755</v>
      </c>
      <c r="D3782" s="7">
        <v>45003</v>
      </c>
      <c r="E3782" s="7">
        <v>45007</v>
      </c>
      <c r="F3782" s="7">
        <v>45091</v>
      </c>
      <c r="G3782" s="1" t="s">
        <v>16</v>
      </c>
      <c r="H3782" s="8">
        <v>361777.64</v>
      </c>
      <c r="I3782" s="8">
        <v>218487.57</v>
      </c>
      <c r="J3782" s="1">
        <f>IF(COUNTIF($C$4:C3782,C3782)=1,1,0)</f>
        <v>1</v>
      </c>
      <c r="K3782" s="1">
        <f t="shared" si="59"/>
        <v>2023</v>
      </c>
    </row>
    <row r="3783" spans="2:11" x14ac:dyDescent="0.45">
      <c r="B3783" s="1" t="s">
        <v>11</v>
      </c>
      <c r="C3783" s="1" t="s">
        <v>3340</v>
      </c>
      <c r="D3783" s="7">
        <v>45083</v>
      </c>
      <c r="E3783" s="7">
        <v>45096</v>
      </c>
      <c r="F3783" s="7">
        <v>45218</v>
      </c>
      <c r="G3783" s="1" t="s">
        <v>1348</v>
      </c>
      <c r="H3783" s="8">
        <v>86407087.670000002</v>
      </c>
      <c r="I3783" s="8">
        <v>38799317.670000002</v>
      </c>
      <c r="J3783" s="1">
        <f>IF(COUNTIF($C$4:C3783,C3783)=1,1,0)</f>
        <v>0</v>
      </c>
      <c r="K3783" s="1">
        <f t="shared" si="59"/>
        <v>2023</v>
      </c>
    </row>
    <row r="3784" spans="2:11" x14ac:dyDescent="0.45">
      <c r="B3784" s="1" t="s">
        <v>11</v>
      </c>
      <c r="C3784" s="1" t="s">
        <v>3756</v>
      </c>
      <c r="D3784" s="7">
        <v>45388</v>
      </c>
      <c r="E3784" s="7">
        <v>45400</v>
      </c>
      <c r="F3784" s="7">
        <v>45573</v>
      </c>
      <c r="G3784" s="1" t="s">
        <v>44</v>
      </c>
      <c r="H3784" s="8">
        <v>389318699.85000002</v>
      </c>
      <c r="I3784" s="8">
        <v>206662508.30000001</v>
      </c>
      <c r="J3784" s="1">
        <f>IF(COUNTIF($C$4:C3784,C3784)=1,1,0)</f>
        <v>1</v>
      </c>
      <c r="K3784" s="1">
        <f t="shared" si="59"/>
        <v>2024</v>
      </c>
    </row>
    <row r="3785" spans="2:11" x14ac:dyDescent="0.45">
      <c r="B3785" s="1" t="s">
        <v>11</v>
      </c>
      <c r="C3785" s="1" t="s">
        <v>3757</v>
      </c>
      <c r="D3785" s="7">
        <v>45491</v>
      </c>
      <c r="E3785" s="7">
        <v>45516</v>
      </c>
      <c r="F3785" s="7">
        <v>45755</v>
      </c>
      <c r="G3785" s="1" t="s">
        <v>41</v>
      </c>
      <c r="H3785" s="8">
        <v>1024714.03</v>
      </c>
      <c r="I3785" s="8">
        <v>881213.37</v>
      </c>
      <c r="J3785" s="1">
        <f>IF(COUNTIF($C$4:C3785,C3785)=1,1,0)</f>
        <v>1</v>
      </c>
      <c r="K3785" s="1">
        <f t="shared" si="59"/>
        <v>2024</v>
      </c>
    </row>
    <row r="3786" spans="2:11" x14ac:dyDescent="0.45">
      <c r="B3786" s="1" t="s">
        <v>11</v>
      </c>
      <c r="C3786" s="1" t="s">
        <v>3758</v>
      </c>
      <c r="D3786" s="7">
        <v>45363</v>
      </c>
      <c r="E3786" s="7">
        <v>45376</v>
      </c>
      <c r="F3786" s="7">
        <v>45511</v>
      </c>
      <c r="G3786" s="1" t="s">
        <v>22</v>
      </c>
      <c r="H3786" s="8">
        <v>2578786.39</v>
      </c>
      <c r="I3786" s="8">
        <v>826404.31</v>
      </c>
      <c r="J3786" s="1">
        <f>IF(COUNTIF($C$4:C3786,C3786)=1,1,0)</f>
        <v>1</v>
      </c>
      <c r="K3786" s="1">
        <f t="shared" si="59"/>
        <v>2024</v>
      </c>
    </row>
    <row r="3787" spans="2:11" x14ac:dyDescent="0.45">
      <c r="B3787" s="1" t="s">
        <v>11</v>
      </c>
      <c r="C3787" s="1" t="s">
        <v>3759</v>
      </c>
      <c r="D3787" s="7">
        <v>43761</v>
      </c>
      <c r="E3787" s="7">
        <v>43770</v>
      </c>
      <c r="F3787" s="7">
        <v>43943</v>
      </c>
      <c r="G3787" s="1" t="s">
        <v>44</v>
      </c>
      <c r="H3787" s="8">
        <v>339709428.49000001</v>
      </c>
      <c r="I3787" s="8">
        <v>246893325.28999999</v>
      </c>
      <c r="J3787" s="1">
        <f>IF(COUNTIF($C$4:C3787,C3787)=1,1,0)</f>
        <v>1</v>
      </c>
      <c r="K3787" s="1">
        <f t="shared" si="59"/>
        <v>2019</v>
      </c>
    </row>
    <row r="3788" spans="2:11" x14ac:dyDescent="0.45">
      <c r="B3788" s="1" t="s">
        <v>11</v>
      </c>
      <c r="C3788" s="1" t="s">
        <v>3760</v>
      </c>
      <c r="D3788" s="7">
        <v>45889</v>
      </c>
      <c r="E3788" s="7">
        <v>45913</v>
      </c>
      <c r="F3788" s="7">
        <v>45927</v>
      </c>
      <c r="G3788" s="1" t="s">
        <v>20</v>
      </c>
      <c r="H3788" s="8">
        <v>538546.13</v>
      </c>
      <c r="I3788" s="8">
        <v>391145.85</v>
      </c>
      <c r="J3788" s="1">
        <f>IF(COUNTIF($C$4:C3788,C3788)=1,1,0)</f>
        <v>1</v>
      </c>
      <c r="K3788" s="1">
        <f t="shared" si="59"/>
        <v>2025</v>
      </c>
    </row>
    <row r="3789" spans="2:11" x14ac:dyDescent="0.45">
      <c r="B3789" s="1" t="s">
        <v>11</v>
      </c>
      <c r="C3789" s="1" t="s">
        <v>3761</v>
      </c>
      <c r="D3789" s="7">
        <v>44741</v>
      </c>
      <c r="E3789" s="7">
        <v>44769</v>
      </c>
      <c r="F3789" s="7">
        <v>44865</v>
      </c>
      <c r="G3789" s="1" t="s">
        <v>38</v>
      </c>
      <c r="H3789" s="8">
        <v>25403.09</v>
      </c>
      <c r="I3789" s="8">
        <v>18883.669999999998</v>
      </c>
      <c r="J3789" s="1">
        <f>IF(COUNTIF($C$4:C3789,C3789)=1,1,0)</f>
        <v>1</v>
      </c>
      <c r="K3789" s="1">
        <f t="shared" si="59"/>
        <v>2022</v>
      </c>
    </row>
    <row r="3790" spans="2:11" x14ac:dyDescent="0.45">
      <c r="B3790" s="1" t="s">
        <v>11</v>
      </c>
      <c r="C3790" s="1" t="s">
        <v>3762</v>
      </c>
      <c r="D3790" s="7">
        <v>44001</v>
      </c>
      <c r="E3790" s="7">
        <v>44027</v>
      </c>
      <c r="F3790" s="7">
        <v>44076</v>
      </c>
      <c r="G3790" s="1" t="s">
        <v>13</v>
      </c>
      <c r="H3790" s="8">
        <v>759864.69</v>
      </c>
      <c r="I3790" s="8">
        <v>565862.27</v>
      </c>
      <c r="J3790" s="1">
        <f>IF(COUNTIF($C$4:C3790,C3790)=1,1,0)</f>
        <v>1</v>
      </c>
      <c r="K3790" s="1">
        <f t="shared" si="59"/>
        <v>2020</v>
      </c>
    </row>
    <row r="3791" spans="2:11" x14ac:dyDescent="0.45">
      <c r="B3791" s="1" t="s">
        <v>11</v>
      </c>
      <c r="C3791" s="1" t="s">
        <v>3763</v>
      </c>
      <c r="D3791" s="7">
        <v>43616</v>
      </c>
      <c r="E3791" s="7">
        <v>43616</v>
      </c>
      <c r="F3791" s="7">
        <v>43689</v>
      </c>
      <c r="G3791" s="1" t="s">
        <v>16</v>
      </c>
      <c r="H3791" s="8">
        <v>2979616.03</v>
      </c>
      <c r="I3791" s="8">
        <v>2033618.9</v>
      </c>
      <c r="J3791" s="1">
        <f>IF(COUNTIF($C$4:C3791,C3791)=1,1,0)</f>
        <v>1</v>
      </c>
      <c r="K3791" s="1">
        <f t="shared" si="59"/>
        <v>2019</v>
      </c>
    </row>
    <row r="3792" spans="2:11" x14ac:dyDescent="0.45">
      <c r="B3792" s="1" t="s">
        <v>11</v>
      </c>
      <c r="C3792" s="1" t="s">
        <v>3752</v>
      </c>
      <c r="D3792" s="7">
        <v>45245</v>
      </c>
      <c r="E3792" s="7">
        <v>45269</v>
      </c>
      <c r="F3792" s="7">
        <v>45316</v>
      </c>
      <c r="G3792" s="1" t="s">
        <v>18</v>
      </c>
      <c r="H3792" s="8">
        <v>1053895.43</v>
      </c>
      <c r="I3792" s="8">
        <v>655481.12</v>
      </c>
      <c r="J3792" s="1">
        <f>IF(COUNTIF($C$4:C3792,C3792)=1,1,0)</f>
        <v>0</v>
      </c>
      <c r="K3792" s="1">
        <f t="shared" si="59"/>
        <v>2023</v>
      </c>
    </row>
    <row r="3793" spans="2:11" x14ac:dyDescent="0.45">
      <c r="B3793" s="1" t="s">
        <v>11</v>
      </c>
      <c r="C3793" s="1" t="s">
        <v>3340</v>
      </c>
      <c r="D3793" s="7">
        <v>45903</v>
      </c>
      <c r="E3793" s="7">
        <v>45933</v>
      </c>
      <c r="F3793" s="7">
        <v>46054</v>
      </c>
      <c r="G3793" s="1" t="s">
        <v>1348</v>
      </c>
      <c r="H3793" s="8">
        <v>58565021.200000003</v>
      </c>
      <c r="I3793" s="8">
        <v>32856116.059999999</v>
      </c>
      <c r="J3793" s="1">
        <f>IF(COUNTIF($C$4:C3793,C3793)=1,1,0)</f>
        <v>0</v>
      </c>
      <c r="K3793" s="1">
        <f t="shared" si="59"/>
        <v>2025</v>
      </c>
    </row>
    <row r="3794" spans="2:11" x14ac:dyDescent="0.45">
      <c r="B3794" s="1" t="s">
        <v>11</v>
      </c>
      <c r="C3794" s="1" t="s">
        <v>3764</v>
      </c>
      <c r="D3794" s="7">
        <v>44307</v>
      </c>
      <c r="E3794" s="7">
        <v>44319</v>
      </c>
      <c r="F3794" s="7">
        <v>44428</v>
      </c>
      <c r="G3794" s="1" t="s">
        <v>41</v>
      </c>
      <c r="H3794" s="8">
        <v>328930.53999999998</v>
      </c>
      <c r="I3794" s="8">
        <v>255776.75</v>
      </c>
      <c r="J3794" s="1">
        <f>IF(COUNTIF($C$4:C3794,C3794)=1,1,0)</f>
        <v>1</v>
      </c>
      <c r="K3794" s="1">
        <f t="shared" si="59"/>
        <v>2021</v>
      </c>
    </row>
    <row r="3795" spans="2:11" x14ac:dyDescent="0.45">
      <c r="B3795" s="1" t="s">
        <v>11</v>
      </c>
      <c r="C3795" s="1" t="s">
        <v>3765</v>
      </c>
      <c r="D3795" s="7">
        <v>45683</v>
      </c>
      <c r="E3795" s="7">
        <v>45683</v>
      </c>
      <c r="F3795" s="7">
        <v>45876</v>
      </c>
      <c r="G3795" s="1" t="s">
        <v>16</v>
      </c>
      <c r="H3795" s="8">
        <v>306505.63</v>
      </c>
      <c r="I3795" s="8">
        <v>168807.84</v>
      </c>
      <c r="J3795" s="1">
        <f>IF(COUNTIF($C$4:C3795,C3795)=1,1,0)</f>
        <v>1</v>
      </c>
      <c r="K3795" s="1">
        <f t="shared" si="59"/>
        <v>2025</v>
      </c>
    </row>
    <row r="3796" spans="2:11" x14ac:dyDescent="0.45">
      <c r="B3796" s="1" t="s">
        <v>11</v>
      </c>
      <c r="C3796" s="1" t="s">
        <v>3766</v>
      </c>
      <c r="D3796" s="7">
        <v>43729</v>
      </c>
      <c r="E3796" s="7">
        <v>43750</v>
      </c>
      <c r="F3796" s="7">
        <v>43981</v>
      </c>
      <c r="G3796" s="1" t="s">
        <v>18</v>
      </c>
      <c r="H3796" s="8">
        <v>1900053.93</v>
      </c>
      <c r="I3796" s="8">
        <v>1567452.36</v>
      </c>
      <c r="J3796" s="1">
        <f>IF(COUNTIF($C$4:C3796,C3796)=1,1,0)</f>
        <v>1</v>
      </c>
      <c r="K3796" s="1">
        <f t="shared" si="59"/>
        <v>2019</v>
      </c>
    </row>
    <row r="3797" spans="2:11" x14ac:dyDescent="0.45">
      <c r="B3797" s="1" t="s">
        <v>11</v>
      </c>
      <c r="C3797" s="1" t="s">
        <v>3767</v>
      </c>
      <c r="D3797" s="7">
        <v>45220</v>
      </c>
      <c r="E3797" s="7">
        <v>45246</v>
      </c>
      <c r="F3797" s="7">
        <v>45369</v>
      </c>
      <c r="G3797" s="1" t="s">
        <v>38</v>
      </c>
      <c r="H3797" s="8">
        <v>293750.67</v>
      </c>
      <c r="I3797" s="8">
        <v>224302.56</v>
      </c>
      <c r="J3797" s="1">
        <f>IF(COUNTIF($C$4:C3797,C3797)=1,1,0)</f>
        <v>1</v>
      </c>
      <c r="K3797" s="1">
        <f t="shared" si="59"/>
        <v>2023</v>
      </c>
    </row>
    <row r="3798" spans="2:11" x14ac:dyDescent="0.45">
      <c r="B3798" s="1" t="s">
        <v>11</v>
      </c>
      <c r="C3798" s="1" t="s">
        <v>3768</v>
      </c>
      <c r="D3798" s="7">
        <v>45678</v>
      </c>
      <c r="E3798" s="7">
        <v>45707</v>
      </c>
      <c r="F3798" s="7">
        <v>45784</v>
      </c>
      <c r="G3798" s="1" t="s">
        <v>16</v>
      </c>
      <c r="H3798" s="8">
        <v>1628964.34</v>
      </c>
      <c r="I3798" s="8">
        <v>1303420.48</v>
      </c>
      <c r="J3798" s="1">
        <f>IF(COUNTIF($C$4:C3798,C3798)=1,1,0)</f>
        <v>1</v>
      </c>
      <c r="K3798" s="1">
        <f t="shared" si="59"/>
        <v>2025</v>
      </c>
    </row>
    <row r="3799" spans="2:11" x14ac:dyDescent="0.45">
      <c r="B3799" s="1" t="s">
        <v>11</v>
      </c>
      <c r="C3799" s="1" t="s">
        <v>3769</v>
      </c>
      <c r="D3799" s="7">
        <v>45739</v>
      </c>
      <c r="E3799" s="7">
        <v>45764</v>
      </c>
      <c r="F3799" s="7">
        <v>45907</v>
      </c>
      <c r="G3799" s="1" t="s">
        <v>1348</v>
      </c>
      <c r="H3799" s="8">
        <v>64961142.240000002</v>
      </c>
      <c r="I3799" s="8">
        <v>40148152.119999997</v>
      </c>
      <c r="J3799" s="1">
        <f>IF(COUNTIF($C$4:C3799,C3799)=1,1,0)</f>
        <v>1</v>
      </c>
      <c r="K3799" s="1">
        <f t="shared" si="59"/>
        <v>2025</v>
      </c>
    </row>
    <row r="3800" spans="2:11" x14ac:dyDescent="0.45">
      <c r="B3800" s="1" t="s">
        <v>11</v>
      </c>
      <c r="C3800" s="1" t="s">
        <v>3770</v>
      </c>
      <c r="D3800" s="7">
        <v>45787</v>
      </c>
      <c r="E3800" s="7">
        <v>45810</v>
      </c>
      <c r="F3800" s="7">
        <v>45949</v>
      </c>
      <c r="G3800" s="1" t="s">
        <v>16</v>
      </c>
      <c r="H3800" s="8">
        <v>626848.21</v>
      </c>
      <c r="I3800" s="8">
        <v>422216.2</v>
      </c>
      <c r="J3800" s="1">
        <f>IF(COUNTIF($C$4:C3800,C3800)=1,1,0)</f>
        <v>1</v>
      </c>
      <c r="K3800" s="1">
        <f t="shared" si="59"/>
        <v>2025</v>
      </c>
    </row>
    <row r="3801" spans="2:11" x14ac:dyDescent="0.45">
      <c r="B3801" s="1" t="s">
        <v>11</v>
      </c>
      <c r="C3801" s="1" t="s">
        <v>3771</v>
      </c>
      <c r="D3801" s="7">
        <v>45826</v>
      </c>
      <c r="E3801" s="7">
        <v>45848</v>
      </c>
      <c r="F3801" s="7">
        <v>46046</v>
      </c>
      <c r="G3801" s="1" t="s">
        <v>18</v>
      </c>
      <c r="H3801" s="8">
        <v>4832385.7699999996</v>
      </c>
      <c r="I3801" s="8">
        <v>4005060.35</v>
      </c>
      <c r="J3801" s="1">
        <f>IF(COUNTIF($C$4:C3801,C3801)=1,1,0)</f>
        <v>1</v>
      </c>
      <c r="K3801" s="1">
        <f t="shared" si="59"/>
        <v>2025</v>
      </c>
    </row>
    <row r="3802" spans="2:11" x14ac:dyDescent="0.45">
      <c r="B3802" s="1" t="s">
        <v>11</v>
      </c>
      <c r="C3802" s="1" t="s">
        <v>3772</v>
      </c>
      <c r="D3802" s="7">
        <v>44252</v>
      </c>
      <c r="E3802" s="7">
        <v>44259</v>
      </c>
      <c r="F3802" s="7">
        <v>44341</v>
      </c>
      <c r="G3802" s="1" t="s">
        <v>13</v>
      </c>
      <c r="H3802" s="8">
        <v>97151.79</v>
      </c>
      <c r="I3802" s="8">
        <v>69307.22</v>
      </c>
      <c r="J3802" s="1">
        <f>IF(COUNTIF($C$4:C3802,C3802)=1,1,0)</f>
        <v>1</v>
      </c>
      <c r="K3802" s="1">
        <f t="shared" si="59"/>
        <v>2021</v>
      </c>
    </row>
    <row r="3803" spans="2:11" x14ac:dyDescent="0.45">
      <c r="B3803" s="1" t="s">
        <v>11</v>
      </c>
      <c r="C3803" s="1" t="s">
        <v>3773</v>
      </c>
      <c r="D3803" s="7">
        <v>45499</v>
      </c>
      <c r="E3803" s="7">
        <v>45512</v>
      </c>
      <c r="F3803" s="7">
        <v>45741</v>
      </c>
      <c r="G3803" s="1" t="s">
        <v>16</v>
      </c>
      <c r="H3803" s="8">
        <v>770431.24</v>
      </c>
      <c r="I3803" s="8">
        <v>528076.5</v>
      </c>
      <c r="J3803" s="1">
        <f>IF(COUNTIF($C$4:C3803,C3803)=1,1,0)</f>
        <v>1</v>
      </c>
      <c r="K3803" s="1">
        <f t="shared" si="59"/>
        <v>2024</v>
      </c>
    </row>
    <row r="3804" spans="2:11" x14ac:dyDescent="0.45">
      <c r="B3804" s="1" t="s">
        <v>11</v>
      </c>
      <c r="C3804" s="1" t="s">
        <v>3774</v>
      </c>
      <c r="D3804" s="7">
        <v>43602</v>
      </c>
      <c r="E3804" s="7">
        <v>43622</v>
      </c>
      <c r="F3804" s="7">
        <v>43819</v>
      </c>
      <c r="G3804" s="1" t="s">
        <v>1348</v>
      </c>
      <c r="H3804" s="8">
        <v>70410002.569999993</v>
      </c>
      <c r="I3804" s="8">
        <v>30101331.800000001</v>
      </c>
      <c r="J3804" s="1">
        <f>IF(COUNTIF($C$4:C3804,C3804)=1,1,0)</f>
        <v>1</v>
      </c>
      <c r="K3804" s="1">
        <f t="shared" si="59"/>
        <v>2019</v>
      </c>
    </row>
    <row r="3805" spans="2:11" x14ac:dyDescent="0.45">
      <c r="B3805" s="1" t="s">
        <v>11</v>
      </c>
      <c r="C3805" s="1" t="s">
        <v>3775</v>
      </c>
      <c r="D3805" s="7">
        <v>45064</v>
      </c>
      <c r="E3805" s="7">
        <v>45077</v>
      </c>
      <c r="F3805" s="7">
        <v>45136</v>
      </c>
      <c r="G3805" s="1" t="s">
        <v>13</v>
      </c>
      <c r="H3805" s="8">
        <v>464845.06</v>
      </c>
      <c r="I3805" s="8">
        <v>384841.27</v>
      </c>
      <c r="J3805" s="1">
        <f>IF(COUNTIF($C$4:C3805,C3805)=1,1,0)</f>
        <v>1</v>
      </c>
      <c r="K3805" s="1">
        <f t="shared" si="59"/>
        <v>2023</v>
      </c>
    </row>
    <row r="3806" spans="2:11" x14ac:dyDescent="0.45">
      <c r="B3806" s="1" t="s">
        <v>11</v>
      </c>
      <c r="C3806" s="1" t="s">
        <v>3776</v>
      </c>
      <c r="D3806" s="7">
        <v>45837</v>
      </c>
      <c r="E3806" s="7">
        <v>45840</v>
      </c>
      <c r="F3806" s="7">
        <v>45913</v>
      </c>
      <c r="G3806" s="1" t="s">
        <v>13</v>
      </c>
      <c r="H3806" s="8">
        <v>323769.14</v>
      </c>
      <c r="I3806" s="8">
        <v>267758.96999999997</v>
      </c>
      <c r="J3806" s="1">
        <f>IF(COUNTIF($C$4:C3806,C3806)=1,1,0)</f>
        <v>1</v>
      </c>
      <c r="K3806" s="1">
        <f t="shared" si="59"/>
        <v>2025</v>
      </c>
    </row>
    <row r="3807" spans="2:11" x14ac:dyDescent="0.45">
      <c r="B3807" s="1" t="s">
        <v>11</v>
      </c>
      <c r="C3807" s="1" t="s">
        <v>3777</v>
      </c>
      <c r="D3807" s="7">
        <v>46003</v>
      </c>
      <c r="E3807" s="7">
        <v>46016</v>
      </c>
      <c r="F3807" s="7">
        <v>46184</v>
      </c>
      <c r="G3807" s="1" t="s">
        <v>212</v>
      </c>
      <c r="H3807" s="8">
        <v>11458942.67</v>
      </c>
      <c r="I3807" s="8">
        <v>5087789.66</v>
      </c>
      <c r="J3807" s="1">
        <f>IF(COUNTIF($C$4:C3807,C3807)=1,1,0)</f>
        <v>1</v>
      </c>
      <c r="K3807" s="1">
        <f t="shared" si="59"/>
        <v>2025</v>
      </c>
    </row>
    <row r="3808" spans="2:11" x14ac:dyDescent="0.45">
      <c r="B3808" s="1" t="s">
        <v>11</v>
      </c>
      <c r="C3808" s="1" t="s">
        <v>3778</v>
      </c>
      <c r="D3808" s="7">
        <v>44405</v>
      </c>
      <c r="E3808" s="7">
        <v>44420</v>
      </c>
      <c r="F3808" s="7">
        <v>44534</v>
      </c>
      <c r="G3808" s="1" t="s">
        <v>38</v>
      </c>
      <c r="H3808" s="8">
        <v>148924.4</v>
      </c>
      <c r="I3808" s="8">
        <v>133228.01999999999</v>
      </c>
      <c r="J3808" s="1">
        <f>IF(COUNTIF($C$4:C3808,C3808)=1,1,0)</f>
        <v>1</v>
      </c>
      <c r="K3808" s="1">
        <f t="shared" si="59"/>
        <v>2021</v>
      </c>
    </row>
    <row r="3809" spans="2:11" x14ac:dyDescent="0.45">
      <c r="B3809" s="1" t="s">
        <v>11</v>
      </c>
      <c r="C3809" s="1" t="s">
        <v>3779</v>
      </c>
      <c r="D3809" s="7">
        <v>45676</v>
      </c>
      <c r="E3809" s="7">
        <v>45695</v>
      </c>
      <c r="F3809" s="7">
        <v>45830</v>
      </c>
      <c r="G3809" s="1" t="s">
        <v>20</v>
      </c>
      <c r="H3809" s="8">
        <v>483376.96</v>
      </c>
      <c r="I3809" s="8">
        <v>303635.7</v>
      </c>
      <c r="J3809" s="1">
        <f>IF(COUNTIF($C$4:C3809,C3809)=1,1,0)</f>
        <v>1</v>
      </c>
      <c r="K3809" s="1">
        <f t="shared" si="59"/>
        <v>2025</v>
      </c>
    </row>
    <row r="3810" spans="2:11" x14ac:dyDescent="0.45">
      <c r="B3810" s="1" t="s">
        <v>11</v>
      </c>
      <c r="C3810" s="1" t="s">
        <v>3780</v>
      </c>
      <c r="D3810" s="7">
        <v>44526</v>
      </c>
      <c r="E3810" s="7">
        <v>44533</v>
      </c>
      <c r="F3810" s="7">
        <v>44548</v>
      </c>
      <c r="G3810" s="1" t="s">
        <v>22</v>
      </c>
      <c r="H3810" s="8">
        <v>33973522.899999999</v>
      </c>
      <c r="I3810" s="8">
        <v>17578555.280000001</v>
      </c>
      <c r="J3810" s="1">
        <f>IF(COUNTIF($C$4:C3810,C3810)=1,1,0)</f>
        <v>1</v>
      </c>
      <c r="K3810" s="1">
        <f t="shared" si="59"/>
        <v>2021</v>
      </c>
    </row>
    <row r="3811" spans="2:11" x14ac:dyDescent="0.45">
      <c r="B3811" s="1" t="s">
        <v>11</v>
      </c>
      <c r="C3811" s="1" t="s">
        <v>3781</v>
      </c>
      <c r="D3811" s="7">
        <v>44506</v>
      </c>
      <c r="E3811" s="7">
        <v>44511</v>
      </c>
      <c r="F3811" s="7">
        <v>44631</v>
      </c>
      <c r="G3811" s="1" t="s">
        <v>16</v>
      </c>
      <c r="H3811" s="8">
        <v>13656319.279999999</v>
      </c>
      <c r="I3811" s="8">
        <v>9620960.9900000002</v>
      </c>
      <c r="J3811" s="1">
        <f>IF(COUNTIF($C$4:C3811,C3811)=1,1,0)</f>
        <v>1</v>
      </c>
      <c r="K3811" s="1">
        <f t="shared" si="59"/>
        <v>2021</v>
      </c>
    </row>
    <row r="3812" spans="2:11" x14ac:dyDescent="0.45">
      <c r="B3812" s="1" t="s">
        <v>11</v>
      </c>
      <c r="C3812" s="1" t="s">
        <v>3782</v>
      </c>
      <c r="D3812" s="7">
        <v>44374</v>
      </c>
      <c r="E3812" s="7">
        <v>44375</v>
      </c>
      <c r="F3812" s="7">
        <v>44502</v>
      </c>
      <c r="G3812" s="1" t="s">
        <v>16</v>
      </c>
      <c r="H3812" s="8">
        <v>916247.19</v>
      </c>
      <c r="I3812" s="8">
        <v>655174.56999999995</v>
      </c>
      <c r="J3812" s="1">
        <f>IF(COUNTIF($C$4:C3812,C3812)=1,1,0)</f>
        <v>1</v>
      </c>
      <c r="K3812" s="1">
        <f t="shared" si="59"/>
        <v>2021</v>
      </c>
    </row>
    <row r="3813" spans="2:11" x14ac:dyDescent="0.45">
      <c r="B3813" s="1" t="s">
        <v>11</v>
      </c>
      <c r="C3813" s="1" t="s">
        <v>3783</v>
      </c>
      <c r="D3813" s="7">
        <v>45610</v>
      </c>
      <c r="E3813" s="7">
        <v>45614</v>
      </c>
      <c r="F3813" s="7">
        <v>45670</v>
      </c>
      <c r="G3813" s="1" t="s">
        <v>1348</v>
      </c>
      <c r="H3813" s="8">
        <v>7595492.54</v>
      </c>
      <c r="I3813" s="8">
        <v>4991471.8499999996</v>
      </c>
      <c r="J3813" s="1">
        <f>IF(COUNTIF($C$4:C3813,C3813)=1,1,0)</f>
        <v>1</v>
      </c>
      <c r="K3813" s="1">
        <f t="shared" si="59"/>
        <v>2024</v>
      </c>
    </row>
    <row r="3814" spans="2:11" x14ac:dyDescent="0.45">
      <c r="B3814" s="1" t="s">
        <v>11</v>
      </c>
      <c r="C3814" s="1" t="s">
        <v>3784</v>
      </c>
      <c r="D3814" s="7">
        <v>45430</v>
      </c>
      <c r="E3814" s="7">
        <v>45446</v>
      </c>
      <c r="F3814" s="7">
        <v>45674</v>
      </c>
      <c r="G3814" s="1" t="s">
        <v>1348</v>
      </c>
      <c r="H3814" s="8">
        <v>75541340.950000003</v>
      </c>
      <c r="I3814" s="8">
        <v>36613154.450000003</v>
      </c>
      <c r="J3814" s="1">
        <f>IF(COUNTIF($C$4:C3814,C3814)=1,1,0)</f>
        <v>1</v>
      </c>
      <c r="K3814" s="1">
        <f t="shared" si="59"/>
        <v>2024</v>
      </c>
    </row>
    <row r="3815" spans="2:11" x14ac:dyDescent="0.45">
      <c r="B3815" s="1" t="s">
        <v>11</v>
      </c>
      <c r="C3815" s="1" t="s">
        <v>3785</v>
      </c>
      <c r="D3815" s="7">
        <v>45173</v>
      </c>
      <c r="E3815" s="7">
        <v>45203</v>
      </c>
      <c r="F3815" s="7">
        <v>45213</v>
      </c>
      <c r="G3815" s="1" t="s">
        <v>38</v>
      </c>
      <c r="H3815" s="8">
        <v>274661.94</v>
      </c>
      <c r="I3815" s="8">
        <v>239597.98</v>
      </c>
      <c r="J3815" s="1">
        <f>IF(COUNTIF($C$4:C3815,C3815)=1,1,0)</f>
        <v>1</v>
      </c>
      <c r="K3815" s="1">
        <f t="shared" si="59"/>
        <v>2023</v>
      </c>
    </row>
    <row r="3816" spans="2:11" x14ac:dyDescent="0.45">
      <c r="B3816" s="1" t="s">
        <v>11</v>
      </c>
      <c r="C3816" s="1" t="s">
        <v>3786</v>
      </c>
      <c r="D3816" s="7">
        <v>44953</v>
      </c>
      <c r="E3816" s="7">
        <v>44977</v>
      </c>
      <c r="F3816" s="7">
        <v>45091</v>
      </c>
      <c r="G3816" s="1" t="s">
        <v>13</v>
      </c>
      <c r="H3816" s="8">
        <v>764963.23</v>
      </c>
      <c r="I3816" s="8">
        <v>513182.43</v>
      </c>
      <c r="J3816" s="1">
        <f>IF(COUNTIF($C$4:C3816,C3816)=1,1,0)</f>
        <v>1</v>
      </c>
      <c r="K3816" s="1">
        <f t="shared" si="59"/>
        <v>2023</v>
      </c>
    </row>
    <row r="3817" spans="2:11" x14ac:dyDescent="0.45">
      <c r="B3817" s="1" t="s">
        <v>11</v>
      </c>
      <c r="C3817" s="1" t="s">
        <v>3787</v>
      </c>
      <c r="D3817" s="7">
        <v>44929</v>
      </c>
      <c r="E3817" s="7">
        <v>44954</v>
      </c>
      <c r="F3817" s="7">
        <v>45055</v>
      </c>
      <c r="G3817" s="1" t="s">
        <v>20</v>
      </c>
      <c r="H3817" s="8">
        <v>361607.97</v>
      </c>
      <c r="I3817" s="8">
        <v>230094.19</v>
      </c>
      <c r="J3817" s="1">
        <f>IF(COUNTIF($C$4:C3817,C3817)=1,1,0)</f>
        <v>1</v>
      </c>
      <c r="K3817" s="1">
        <f t="shared" si="59"/>
        <v>2023</v>
      </c>
    </row>
    <row r="3818" spans="2:11" x14ac:dyDescent="0.45">
      <c r="B3818" s="1" t="s">
        <v>11</v>
      </c>
      <c r="C3818" s="1" t="s">
        <v>3788</v>
      </c>
      <c r="D3818" s="7">
        <v>44159</v>
      </c>
      <c r="E3818" s="7">
        <v>44167</v>
      </c>
      <c r="F3818" s="7">
        <v>44339</v>
      </c>
      <c r="G3818" s="1" t="s">
        <v>18</v>
      </c>
      <c r="H3818" s="8">
        <v>899557.45</v>
      </c>
      <c r="I3818" s="8">
        <v>661899.15</v>
      </c>
      <c r="J3818" s="1">
        <f>IF(COUNTIF($C$4:C3818,C3818)=1,1,0)</f>
        <v>1</v>
      </c>
      <c r="K3818" s="1">
        <f t="shared" si="59"/>
        <v>2020</v>
      </c>
    </row>
    <row r="3819" spans="2:11" x14ac:dyDescent="0.45">
      <c r="B3819" s="1" t="s">
        <v>11</v>
      </c>
      <c r="C3819" s="1" t="s">
        <v>3789</v>
      </c>
      <c r="D3819" s="7">
        <v>45462</v>
      </c>
      <c r="E3819" s="7">
        <v>45478</v>
      </c>
      <c r="F3819" s="7">
        <v>45674</v>
      </c>
      <c r="G3819" s="1" t="s">
        <v>13</v>
      </c>
      <c r="H3819" s="8">
        <v>241091.77</v>
      </c>
      <c r="I3819" s="8">
        <v>171641.66</v>
      </c>
      <c r="J3819" s="1">
        <f>IF(COUNTIF($C$4:C3819,C3819)=1,1,0)</f>
        <v>1</v>
      </c>
      <c r="K3819" s="1">
        <f t="shared" si="59"/>
        <v>2024</v>
      </c>
    </row>
    <row r="3820" spans="2:11" x14ac:dyDescent="0.45">
      <c r="B3820" s="1" t="s">
        <v>11</v>
      </c>
      <c r="C3820" s="1" t="s">
        <v>3790</v>
      </c>
      <c r="D3820" s="7">
        <v>45052</v>
      </c>
      <c r="E3820" s="7">
        <v>45081</v>
      </c>
      <c r="F3820" s="7">
        <v>45266</v>
      </c>
      <c r="G3820" s="1" t="s">
        <v>16</v>
      </c>
      <c r="H3820" s="8">
        <v>995793.85</v>
      </c>
      <c r="I3820" s="8">
        <v>694358.65</v>
      </c>
      <c r="J3820" s="1">
        <f>IF(COUNTIF($C$4:C3820,C3820)=1,1,0)</f>
        <v>1</v>
      </c>
      <c r="K3820" s="1">
        <f t="shared" si="59"/>
        <v>2023</v>
      </c>
    </row>
    <row r="3821" spans="2:11" x14ac:dyDescent="0.45">
      <c r="B3821" s="1" t="s">
        <v>11</v>
      </c>
      <c r="C3821" s="1" t="s">
        <v>3791</v>
      </c>
      <c r="D3821" s="7">
        <v>44807</v>
      </c>
      <c r="E3821" s="7">
        <v>44807</v>
      </c>
      <c r="F3821" s="7">
        <v>44939</v>
      </c>
      <c r="G3821" s="1" t="s">
        <v>38</v>
      </c>
      <c r="H3821" s="8">
        <v>281919.71999999997</v>
      </c>
      <c r="I3821" s="8">
        <v>208454.6</v>
      </c>
      <c r="J3821" s="1">
        <f>IF(COUNTIF($C$4:C3821,C3821)=1,1,0)</f>
        <v>1</v>
      </c>
      <c r="K3821" s="1">
        <f t="shared" si="59"/>
        <v>2022</v>
      </c>
    </row>
    <row r="3822" spans="2:11" x14ac:dyDescent="0.45">
      <c r="B3822" s="1" t="s">
        <v>11</v>
      </c>
      <c r="C3822" s="1" t="s">
        <v>3792</v>
      </c>
      <c r="D3822" s="7">
        <v>45192</v>
      </c>
      <c r="E3822" s="7">
        <v>45221</v>
      </c>
      <c r="F3822" s="7">
        <v>45398</v>
      </c>
      <c r="G3822" s="1" t="s">
        <v>1348</v>
      </c>
      <c r="H3822" s="8">
        <v>2966573.69</v>
      </c>
      <c r="I3822" s="8">
        <v>1739725.77</v>
      </c>
      <c r="J3822" s="1">
        <f>IF(COUNTIF($C$4:C3822,C3822)=1,1,0)</f>
        <v>1</v>
      </c>
      <c r="K3822" s="1">
        <f t="shared" si="59"/>
        <v>2023</v>
      </c>
    </row>
    <row r="3823" spans="2:11" x14ac:dyDescent="0.45">
      <c r="B3823" s="1" t="s">
        <v>11</v>
      </c>
      <c r="C3823" s="1" t="s">
        <v>3793</v>
      </c>
      <c r="D3823" s="7">
        <v>45789</v>
      </c>
      <c r="E3823" s="7">
        <v>45816</v>
      </c>
      <c r="F3823" s="7">
        <v>45829</v>
      </c>
      <c r="G3823" s="1" t="s">
        <v>22</v>
      </c>
      <c r="H3823" s="8">
        <v>34074831.159999996</v>
      </c>
      <c r="I3823" s="8">
        <v>20114064.859999999</v>
      </c>
      <c r="J3823" s="1">
        <f>IF(COUNTIF($C$4:C3823,C3823)=1,1,0)</f>
        <v>1</v>
      </c>
      <c r="K3823" s="1">
        <f t="shared" si="59"/>
        <v>2025</v>
      </c>
    </row>
    <row r="3824" spans="2:11" x14ac:dyDescent="0.45">
      <c r="B3824" s="1" t="s">
        <v>11</v>
      </c>
      <c r="C3824" s="1" t="s">
        <v>3794</v>
      </c>
      <c r="D3824" s="7">
        <v>43743</v>
      </c>
      <c r="E3824" s="7">
        <v>43769</v>
      </c>
      <c r="F3824" s="7">
        <v>43803</v>
      </c>
      <c r="G3824" s="1" t="s">
        <v>13</v>
      </c>
      <c r="H3824" s="8">
        <v>347090.07</v>
      </c>
      <c r="I3824" s="8">
        <v>279246.34000000003</v>
      </c>
      <c r="J3824" s="1">
        <f>IF(COUNTIF($C$4:C3824,C3824)=1,1,0)</f>
        <v>1</v>
      </c>
      <c r="K3824" s="1">
        <f t="shared" si="59"/>
        <v>2019</v>
      </c>
    </row>
    <row r="3825" spans="2:11" x14ac:dyDescent="0.45">
      <c r="B3825" s="1" t="s">
        <v>11</v>
      </c>
      <c r="C3825" s="1" t="s">
        <v>3795</v>
      </c>
      <c r="D3825" s="7">
        <v>44116</v>
      </c>
      <c r="E3825" s="7">
        <v>44145</v>
      </c>
      <c r="F3825" s="7">
        <v>44277</v>
      </c>
      <c r="G3825" s="1" t="s">
        <v>18</v>
      </c>
      <c r="H3825" s="8">
        <v>2966996.41</v>
      </c>
      <c r="I3825" s="8">
        <v>1933342.96</v>
      </c>
      <c r="J3825" s="1">
        <f>IF(COUNTIF($C$4:C3825,C3825)=1,1,0)</f>
        <v>1</v>
      </c>
      <c r="K3825" s="1">
        <f t="shared" si="59"/>
        <v>2020</v>
      </c>
    </row>
    <row r="3826" spans="2:11" x14ac:dyDescent="0.45">
      <c r="B3826" s="1" t="s">
        <v>11</v>
      </c>
      <c r="C3826" s="1" t="s">
        <v>3796</v>
      </c>
      <c r="D3826" s="7">
        <v>45923</v>
      </c>
      <c r="E3826" s="7">
        <v>45952</v>
      </c>
      <c r="F3826" s="7">
        <v>46186</v>
      </c>
      <c r="G3826" s="1" t="s">
        <v>18</v>
      </c>
      <c r="H3826" s="8">
        <v>1469645.06</v>
      </c>
      <c r="I3826" s="8">
        <v>1030290.27</v>
      </c>
      <c r="J3826" s="1">
        <f>IF(COUNTIF($C$4:C3826,C3826)=1,1,0)</f>
        <v>1</v>
      </c>
      <c r="K3826" s="1">
        <f t="shared" si="59"/>
        <v>2025</v>
      </c>
    </row>
    <row r="3827" spans="2:11" x14ac:dyDescent="0.45">
      <c r="B3827" s="1" t="s">
        <v>11</v>
      </c>
      <c r="C3827" s="1" t="s">
        <v>3797</v>
      </c>
      <c r="D3827" s="7">
        <v>44955</v>
      </c>
      <c r="E3827" s="7">
        <v>44965</v>
      </c>
      <c r="F3827" s="7">
        <v>45087</v>
      </c>
      <c r="G3827" s="1" t="s">
        <v>1348</v>
      </c>
      <c r="H3827" s="8">
        <v>16018379.41</v>
      </c>
      <c r="I3827" s="8">
        <v>10599470.439999999</v>
      </c>
      <c r="J3827" s="1">
        <f>IF(COUNTIF($C$4:C3827,C3827)=1,1,0)</f>
        <v>1</v>
      </c>
      <c r="K3827" s="1">
        <f t="shared" si="59"/>
        <v>2023</v>
      </c>
    </row>
    <row r="3828" spans="2:11" x14ac:dyDescent="0.45">
      <c r="B3828" s="1" t="s">
        <v>11</v>
      </c>
      <c r="C3828" s="1" t="s">
        <v>3798</v>
      </c>
      <c r="D3828" s="7">
        <v>45270</v>
      </c>
      <c r="E3828" s="7">
        <v>45297</v>
      </c>
      <c r="F3828" s="7">
        <v>45321</v>
      </c>
      <c r="G3828" s="1" t="s">
        <v>22</v>
      </c>
      <c r="H3828" s="8">
        <v>22961472.879999999</v>
      </c>
      <c r="I3828" s="8">
        <v>9600805.5899999999</v>
      </c>
      <c r="J3828" s="1">
        <f>IF(COUNTIF($C$4:C3828,C3828)=1,1,0)</f>
        <v>1</v>
      </c>
      <c r="K3828" s="1">
        <f t="shared" si="59"/>
        <v>2023</v>
      </c>
    </row>
    <row r="3829" spans="2:11" x14ac:dyDescent="0.45">
      <c r="B3829" s="1" t="s">
        <v>11</v>
      </c>
      <c r="C3829" s="1" t="s">
        <v>3799</v>
      </c>
      <c r="D3829" s="7">
        <v>43397</v>
      </c>
      <c r="E3829" s="7">
        <v>43415</v>
      </c>
      <c r="F3829" s="7">
        <v>43524</v>
      </c>
      <c r="G3829" s="1" t="s">
        <v>38</v>
      </c>
      <c r="H3829" s="8">
        <v>384363.17</v>
      </c>
      <c r="I3829" s="8">
        <v>280356.96999999997</v>
      </c>
      <c r="J3829" s="1">
        <f>IF(COUNTIF($C$4:C3829,C3829)=1,1,0)</f>
        <v>1</v>
      </c>
      <c r="K3829" s="1">
        <f t="shared" si="59"/>
        <v>2018</v>
      </c>
    </row>
    <row r="3830" spans="2:11" x14ac:dyDescent="0.45">
      <c r="B3830" s="1" t="s">
        <v>11</v>
      </c>
      <c r="C3830" s="1" t="s">
        <v>3800</v>
      </c>
      <c r="D3830" s="7">
        <v>45862</v>
      </c>
      <c r="E3830" s="7">
        <v>45879</v>
      </c>
      <c r="F3830" s="7">
        <v>46000</v>
      </c>
      <c r="G3830" s="1" t="s">
        <v>38</v>
      </c>
      <c r="H3830" s="8">
        <v>1038730.53</v>
      </c>
      <c r="I3830" s="8">
        <v>834672.66</v>
      </c>
      <c r="J3830" s="1">
        <f>IF(COUNTIF($C$4:C3830,C3830)=1,1,0)</f>
        <v>1</v>
      </c>
      <c r="K3830" s="1">
        <f t="shared" si="59"/>
        <v>2025</v>
      </c>
    </row>
    <row r="3831" spans="2:11" x14ac:dyDescent="0.45">
      <c r="B3831" s="1" t="s">
        <v>11</v>
      </c>
      <c r="C3831" s="1" t="s">
        <v>3801</v>
      </c>
      <c r="D3831" s="7">
        <v>43174</v>
      </c>
      <c r="E3831" s="7">
        <v>43197</v>
      </c>
      <c r="F3831" s="7">
        <v>43261</v>
      </c>
      <c r="G3831" s="1" t="s">
        <v>13</v>
      </c>
      <c r="H3831" s="8">
        <v>322647.03999999998</v>
      </c>
      <c r="I3831" s="8">
        <v>198160.17</v>
      </c>
      <c r="J3831" s="1">
        <f>IF(COUNTIF($C$4:C3831,C3831)=1,1,0)</f>
        <v>1</v>
      </c>
      <c r="K3831" s="1">
        <f t="shared" si="59"/>
        <v>2018</v>
      </c>
    </row>
    <row r="3832" spans="2:11" x14ac:dyDescent="0.45">
      <c r="B3832" s="1" t="s">
        <v>11</v>
      </c>
      <c r="C3832" s="1" t="s">
        <v>3802</v>
      </c>
      <c r="D3832" s="7">
        <v>43937</v>
      </c>
      <c r="E3832" s="7">
        <v>43947</v>
      </c>
      <c r="F3832" s="7">
        <v>44042</v>
      </c>
      <c r="G3832" s="1" t="s">
        <v>13</v>
      </c>
      <c r="H3832" s="8">
        <v>291694.59999999998</v>
      </c>
      <c r="I3832" s="8">
        <v>261251.99</v>
      </c>
      <c r="J3832" s="1">
        <f>IF(COUNTIF($C$4:C3832,C3832)=1,1,0)</f>
        <v>1</v>
      </c>
      <c r="K3832" s="1">
        <f t="shared" si="59"/>
        <v>2020</v>
      </c>
    </row>
    <row r="3833" spans="2:11" x14ac:dyDescent="0.45">
      <c r="B3833" s="1" t="s">
        <v>11</v>
      </c>
      <c r="C3833" s="1" t="s">
        <v>3803</v>
      </c>
      <c r="D3833" s="7">
        <v>43361</v>
      </c>
      <c r="E3833" s="7">
        <v>43366</v>
      </c>
      <c r="F3833" s="7">
        <v>43598</v>
      </c>
      <c r="G3833" s="1" t="s">
        <v>13</v>
      </c>
      <c r="H3833" s="8">
        <v>130732.74</v>
      </c>
      <c r="I3833" s="8">
        <v>99187.37</v>
      </c>
      <c r="J3833" s="1">
        <f>IF(COUNTIF($C$4:C3833,C3833)=1,1,0)</f>
        <v>1</v>
      </c>
      <c r="K3833" s="1">
        <f t="shared" si="59"/>
        <v>2018</v>
      </c>
    </row>
    <row r="3834" spans="2:11" x14ac:dyDescent="0.45">
      <c r="B3834" s="1" t="s">
        <v>11</v>
      </c>
      <c r="C3834" s="1" t="s">
        <v>3804</v>
      </c>
      <c r="D3834" s="7">
        <v>44535</v>
      </c>
      <c r="E3834" s="7">
        <v>44550</v>
      </c>
      <c r="F3834" s="7">
        <v>44610</v>
      </c>
      <c r="G3834" s="1" t="s">
        <v>1348</v>
      </c>
      <c r="H3834" s="8">
        <v>37687615.310000002</v>
      </c>
      <c r="I3834" s="8">
        <v>15349231.619999999</v>
      </c>
      <c r="J3834" s="1">
        <f>IF(COUNTIF($C$4:C3834,C3834)=1,1,0)</f>
        <v>1</v>
      </c>
      <c r="K3834" s="1">
        <f t="shared" si="59"/>
        <v>2021</v>
      </c>
    </row>
    <row r="3835" spans="2:11" x14ac:dyDescent="0.45">
      <c r="B3835" s="1" t="s">
        <v>11</v>
      </c>
      <c r="C3835" s="1" t="s">
        <v>3805</v>
      </c>
      <c r="D3835" s="7">
        <v>44750</v>
      </c>
      <c r="E3835" s="7">
        <v>44770</v>
      </c>
      <c r="F3835" s="7">
        <v>44963</v>
      </c>
      <c r="G3835" s="1" t="s">
        <v>38</v>
      </c>
      <c r="H3835" s="8">
        <v>593493.22</v>
      </c>
      <c r="I3835" s="8">
        <v>463520.68</v>
      </c>
      <c r="J3835" s="1">
        <f>IF(COUNTIF($C$4:C3835,C3835)=1,1,0)</f>
        <v>1</v>
      </c>
      <c r="K3835" s="1">
        <f t="shared" si="59"/>
        <v>2022</v>
      </c>
    </row>
    <row r="3836" spans="2:11" x14ac:dyDescent="0.45">
      <c r="B3836" s="1" t="s">
        <v>11</v>
      </c>
      <c r="C3836" s="1" t="s">
        <v>3806</v>
      </c>
      <c r="D3836" s="7">
        <v>44225</v>
      </c>
      <c r="E3836" s="7">
        <v>44233</v>
      </c>
      <c r="F3836" s="7">
        <v>44359</v>
      </c>
      <c r="G3836" s="1" t="s">
        <v>20</v>
      </c>
      <c r="H3836" s="8">
        <v>1574303.43</v>
      </c>
      <c r="I3836" s="8">
        <v>1072133.3799999999</v>
      </c>
      <c r="J3836" s="1">
        <f>IF(COUNTIF($C$4:C3836,C3836)=1,1,0)</f>
        <v>1</v>
      </c>
      <c r="K3836" s="1">
        <f t="shared" si="59"/>
        <v>2021</v>
      </c>
    </row>
    <row r="3837" spans="2:11" x14ac:dyDescent="0.45">
      <c r="B3837" s="1" t="s">
        <v>11</v>
      </c>
      <c r="C3837" s="1" t="s">
        <v>3807</v>
      </c>
      <c r="D3837" s="7">
        <v>45919</v>
      </c>
      <c r="E3837" s="7">
        <v>45948</v>
      </c>
      <c r="F3837" s="7">
        <v>46128</v>
      </c>
      <c r="G3837" s="1" t="s">
        <v>16</v>
      </c>
      <c r="H3837" s="8">
        <v>2569252.66</v>
      </c>
      <c r="I3837" s="8">
        <v>1527748.67</v>
      </c>
      <c r="J3837" s="1">
        <f>IF(COUNTIF($C$4:C3837,C3837)=1,1,0)</f>
        <v>1</v>
      </c>
      <c r="K3837" s="1">
        <f t="shared" si="59"/>
        <v>2025</v>
      </c>
    </row>
    <row r="3838" spans="2:11" x14ac:dyDescent="0.45">
      <c r="B3838" s="1" t="s">
        <v>11</v>
      </c>
      <c r="C3838" s="1" t="s">
        <v>3808</v>
      </c>
      <c r="D3838" s="7">
        <v>44090</v>
      </c>
      <c r="E3838" s="7">
        <v>44120</v>
      </c>
      <c r="F3838" s="7">
        <v>44149</v>
      </c>
      <c r="G3838" s="1" t="s">
        <v>1348</v>
      </c>
      <c r="H3838" s="8">
        <v>170535355.94999999</v>
      </c>
      <c r="I3838" s="8">
        <v>102541413.45</v>
      </c>
      <c r="J3838" s="1">
        <f>IF(COUNTIF($C$4:C3838,C3838)=1,1,0)</f>
        <v>1</v>
      </c>
      <c r="K3838" s="1">
        <f t="shared" si="59"/>
        <v>2020</v>
      </c>
    </row>
    <row r="3839" spans="2:11" x14ac:dyDescent="0.45">
      <c r="B3839" s="1" t="s">
        <v>11</v>
      </c>
      <c r="C3839" s="1" t="s">
        <v>3809</v>
      </c>
      <c r="D3839" s="7">
        <v>44704</v>
      </c>
      <c r="E3839" s="7">
        <v>44732</v>
      </c>
      <c r="F3839" s="7">
        <v>44898</v>
      </c>
      <c r="G3839" s="1" t="s">
        <v>20</v>
      </c>
      <c r="H3839" s="8">
        <v>1305211.6399999999</v>
      </c>
      <c r="I3839" s="8">
        <v>640277.9</v>
      </c>
      <c r="J3839" s="1">
        <f>IF(COUNTIF($C$4:C3839,C3839)=1,1,0)</f>
        <v>1</v>
      </c>
      <c r="K3839" s="1">
        <f t="shared" si="59"/>
        <v>2022</v>
      </c>
    </row>
    <row r="3840" spans="2:11" x14ac:dyDescent="0.45">
      <c r="B3840" s="1" t="s">
        <v>11</v>
      </c>
      <c r="C3840" s="1" t="s">
        <v>3810</v>
      </c>
      <c r="D3840" s="7">
        <v>44965</v>
      </c>
      <c r="E3840" s="7">
        <v>44977</v>
      </c>
      <c r="F3840" s="7">
        <v>45080</v>
      </c>
      <c r="G3840" s="1" t="s">
        <v>1348</v>
      </c>
      <c r="H3840" s="8">
        <v>274012136.48000002</v>
      </c>
      <c r="I3840" s="8">
        <v>105942877.62</v>
      </c>
      <c r="J3840" s="1">
        <f>IF(COUNTIF($C$4:C3840,C3840)=1,1,0)</f>
        <v>1</v>
      </c>
      <c r="K3840" s="1">
        <f t="shared" si="59"/>
        <v>2023</v>
      </c>
    </row>
    <row r="3841" spans="2:11" x14ac:dyDescent="0.45">
      <c r="B3841" s="1" t="s">
        <v>11</v>
      </c>
      <c r="C3841" s="1" t="s">
        <v>3811</v>
      </c>
      <c r="D3841" s="7">
        <v>43964</v>
      </c>
      <c r="E3841" s="7">
        <v>43973</v>
      </c>
      <c r="F3841" s="7">
        <v>44203</v>
      </c>
      <c r="G3841" s="1" t="s">
        <v>20</v>
      </c>
      <c r="H3841" s="8">
        <v>556282.36</v>
      </c>
      <c r="I3841" s="8">
        <v>356858.1</v>
      </c>
      <c r="J3841" s="1">
        <f>IF(COUNTIF($C$4:C3841,C3841)=1,1,0)</f>
        <v>1</v>
      </c>
      <c r="K3841" s="1">
        <f t="shared" si="59"/>
        <v>2020</v>
      </c>
    </row>
    <row r="3842" spans="2:11" x14ac:dyDescent="0.45">
      <c r="B3842" s="1" t="s">
        <v>11</v>
      </c>
      <c r="C3842" s="1" t="s">
        <v>3812</v>
      </c>
      <c r="D3842" s="7">
        <v>45809</v>
      </c>
      <c r="E3842" s="7">
        <v>45839</v>
      </c>
      <c r="F3842" s="7">
        <v>46025</v>
      </c>
      <c r="G3842" s="1" t="s">
        <v>22</v>
      </c>
      <c r="H3842" s="8">
        <v>38460819.259999998</v>
      </c>
      <c r="I3842" s="8">
        <v>29488157.809999999</v>
      </c>
      <c r="J3842" s="1">
        <f>IF(COUNTIF($C$4:C3842,C3842)=1,1,0)</f>
        <v>1</v>
      </c>
      <c r="K3842" s="1">
        <f t="shared" si="59"/>
        <v>2025</v>
      </c>
    </row>
    <row r="3843" spans="2:11" x14ac:dyDescent="0.45">
      <c r="B3843" s="1" t="s">
        <v>11</v>
      </c>
      <c r="C3843" s="1" t="s">
        <v>3813</v>
      </c>
      <c r="D3843" s="7">
        <v>43405</v>
      </c>
      <c r="E3843" s="7">
        <v>43407</v>
      </c>
      <c r="F3843" s="7">
        <v>43552</v>
      </c>
      <c r="G3843" s="1" t="s">
        <v>41</v>
      </c>
      <c r="H3843" s="8">
        <v>272803.92</v>
      </c>
      <c r="I3843" s="8">
        <v>220031.49</v>
      </c>
      <c r="J3843" s="1">
        <f>IF(COUNTIF($C$4:C3843,C3843)=1,1,0)</f>
        <v>1</v>
      </c>
      <c r="K3843" s="1">
        <f t="shared" si="59"/>
        <v>2018</v>
      </c>
    </row>
    <row r="3844" spans="2:11" x14ac:dyDescent="0.45">
      <c r="B3844" s="1" t="s">
        <v>11</v>
      </c>
      <c r="C3844" s="1" t="s">
        <v>3814</v>
      </c>
      <c r="D3844" s="7">
        <v>45898</v>
      </c>
      <c r="E3844" s="7">
        <v>45918</v>
      </c>
      <c r="F3844" s="7">
        <v>45977</v>
      </c>
      <c r="G3844" s="1" t="s">
        <v>13</v>
      </c>
      <c r="H3844" s="8">
        <v>207240.66</v>
      </c>
      <c r="I3844" s="8">
        <v>182401.57</v>
      </c>
      <c r="J3844" s="1">
        <f>IF(COUNTIF($C$4:C3844,C3844)=1,1,0)</f>
        <v>1</v>
      </c>
      <c r="K3844" s="1">
        <f t="shared" si="59"/>
        <v>2025</v>
      </c>
    </row>
    <row r="3845" spans="2:11" x14ac:dyDescent="0.45">
      <c r="B3845" s="1" t="s">
        <v>11</v>
      </c>
      <c r="C3845" s="1" t="s">
        <v>3815</v>
      </c>
      <c r="D3845" s="7">
        <v>46092</v>
      </c>
      <c r="E3845" s="7">
        <v>46107</v>
      </c>
      <c r="F3845" s="7">
        <v>46298</v>
      </c>
      <c r="G3845" s="1" t="s">
        <v>212</v>
      </c>
      <c r="H3845" s="8">
        <v>103498139.63</v>
      </c>
      <c r="I3845" s="8">
        <v>43041186.259999998</v>
      </c>
      <c r="J3845" s="1">
        <f>IF(COUNTIF($C$4:C3845,C3845)=1,1,0)</f>
        <v>1</v>
      </c>
      <c r="K3845" s="1">
        <f t="shared" ref="K3845:K3908" si="60">YEAR(D3845)</f>
        <v>2026</v>
      </c>
    </row>
    <row r="3846" spans="2:11" x14ac:dyDescent="0.45">
      <c r="B3846" s="1" t="s">
        <v>11</v>
      </c>
      <c r="C3846" s="1" t="s">
        <v>3816</v>
      </c>
      <c r="D3846" s="7">
        <v>44125</v>
      </c>
      <c r="E3846" s="7">
        <v>44143</v>
      </c>
      <c r="F3846" s="7">
        <v>44350</v>
      </c>
      <c r="G3846" s="1" t="s">
        <v>41</v>
      </c>
      <c r="H3846" s="8">
        <v>455566.73</v>
      </c>
      <c r="I3846" s="8">
        <v>376428.24</v>
      </c>
      <c r="J3846" s="1">
        <f>IF(COUNTIF($C$4:C3846,C3846)=1,1,0)</f>
        <v>1</v>
      </c>
      <c r="K3846" s="1">
        <f t="shared" si="60"/>
        <v>2020</v>
      </c>
    </row>
    <row r="3847" spans="2:11" x14ac:dyDescent="0.45">
      <c r="B3847" s="1" t="s">
        <v>11</v>
      </c>
      <c r="C3847" s="1" t="s">
        <v>3817</v>
      </c>
      <c r="D3847" s="7">
        <v>44178</v>
      </c>
      <c r="E3847" s="7">
        <v>44206</v>
      </c>
      <c r="F3847" s="7">
        <v>44348</v>
      </c>
      <c r="G3847" s="1" t="s">
        <v>38</v>
      </c>
      <c r="H3847" s="8">
        <v>162662.54</v>
      </c>
      <c r="I3847" s="8">
        <v>113602.85</v>
      </c>
      <c r="J3847" s="1">
        <f>IF(COUNTIF($C$4:C3847,C3847)=1,1,0)</f>
        <v>1</v>
      </c>
      <c r="K3847" s="1">
        <f t="shared" si="60"/>
        <v>2020</v>
      </c>
    </row>
    <row r="3848" spans="2:11" x14ac:dyDescent="0.45">
      <c r="B3848" s="1" t="s">
        <v>11</v>
      </c>
      <c r="C3848" s="1" t="s">
        <v>3818</v>
      </c>
      <c r="D3848" s="7">
        <v>45033</v>
      </c>
      <c r="E3848" s="7">
        <v>45054</v>
      </c>
      <c r="F3848" s="7">
        <v>45275</v>
      </c>
      <c r="G3848" s="1" t="s">
        <v>41</v>
      </c>
      <c r="H3848" s="8">
        <v>95896.33</v>
      </c>
      <c r="I3848" s="8">
        <v>68408.3</v>
      </c>
      <c r="J3848" s="1">
        <f>IF(COUNTIF($C$4:C3848,C3848)=1,1,0)</f>
        <v>1</v>
      </c>
      <c r="K3848" s="1">
        <f t="shared" si="60"/>
        <v>2023</v>
      </c>
    </row>
    <row r="3849" spans="2:11" x14ac:dyDescent="0.45">
      <c r="B3849" s="1" t="s">
        <v>11</v>
      </c>
      <c r="C3849" s="1" t="s">
        <v>3819</v>
      </c>
      <c r="D3849" s="7">
        <v>43506</v>
      </c>
      <c r="E3849" s="7">
        <v>43507</v>
      </c>
      <c r="F3849" s="7">
        <v>43677</v>
      </c>
      <c r="G3849" s="1" t="s">
        <v>13</v>
      </c>
      <c r="H3849" s="8">
        <v>598760.34</v>
      </c>
      <c r="I3849" s="8">
        <v>522934.85</v>
      </c>
      <c r="J3849" s="1">
        <f>IF(COUNTIF($C$4:C3849,C3849)=1,1,0)</f>
        <v>1</v>
      </c>
      <c r="K3849" s="1">
        <f t="shared" si="60"/>
        <v>2019</v>
      </c>
    </row>
    <row r="3850" spans="2:11" x14ac:dyDescent="0.45">
      <c r="B3850" s="1" t="s">
        <v>11</v>
      </c>
      <c r="C3850" s="1" t="s">
        <v>3820</v>
      </c>
      <c r="D3850" s="7">
        <v>45082</v>
      </c>
      <c r="E3850" s="7">
        <v>45084</v>
      </c>
      <c r="F3850" s="7">
        <v>45168</v>
      </c>
      <c r="G3850" s="1" t="s">
        <v>212</v>
      </c>
      <c r="H3850" s="8">
        <v>32398797.949999999</v>
      </c>
      <c r="I3850" s="8">
        <v>17521779.289999999</v>
      </c>
      <c r="J3850" s="1">
        <f>IF(COUNTIF($C$4:C3850,C3850)=1,1,0)</f>
        <v>1</v>
      </c>
      <c r="K3850" s="1">
        <f t="shared" si="60"/>
        <v>2023</v>
      </c>
    </row>
    <row r="3851" spans="2:11" x14ac:dyDescent="0.45">
      <c r="B3851" s="1" t="s">
        <v>11</v>
      </c>
      <c r="C3851" s="1" t="s">
        <v>3821</v>
      </c>
      <c r="D3851" s="7">
        <v>45586</v>
      </c>
      <c r="E3851" s="7">
        <v>45601</v>
      </c>
      <c r="F3851" s="7">
        <v>45716</v>
      </c>
      <c r="G3851" s="1" t="s">
        <v>1348</v>
      </c>
      <c r="H3851" s="8">
        <v>19784318.670000002</v>
      </c>
      <c r="I3851" s="8">
        <v>12473659.039999999</v>
      </c>
      <c r="J3851" s="1">
        <f>IF(COUNTIF($C$4:C3851,C3851)=1,1,0)</f>
        <v>1</v>
      </c>
      <c r="K3851" s="1">
        <f t="shared" si="60"/>
        <v>2024</v>
      </c>
    </row>
    <row r="3852" spans="2:11" x14ac:dyDescent="0.45">
      <c r="B3852" s="1" t="s">
        <v>11</v>
      </c>
      <c r="C3852" s="1" t="s">
        <v>3822</v>
      </c>
      <c r="D3852" s="7">
        <v>43483</v>
      </c>
      <c r="E3852" s="7">
        <v>43488</v>
      </c>
      <c r="F3852" s="7">
        <v>43574</v>
      </c>
      <c r="G3852" s="1" t="s">
        <v>38</v>
      </c>
      <c r="H3852" s="8">
        <v>30440.33</v>
      </c>
      <c r="I3852" s="8">
        <v>25828.54</v>
      </c>
      <c r="J3852" s="1">
        <f>IF(COUNTIF($C$4:C3852,C3852)=1,1,0)</f>
        <v>1</v>
      </c>
      <c r="K3852" s="1">
        <f t="shared" si="60"/>
        <v>2019</v>
      </c>
    </row>
    <row r="3853" spans="2:11" x14ac:dyDescent="0.45">
      <c r="B3853" s="1" t="s">
        <v>11</v>
      </c>
      <c r="C3853" s="1" t="s">
        <v>3823</v>
      </c>
      <c r="D3853" s="7">
        <v>44145</v>
      </c>
      <c r="E3853" s="7">
        <v>44149</v>
      </c>
      <c r="F3853" s="7">
        <v>44224</v>
      </c>
      <c r="G3853" s="1" t="s">
        <v>212</v>
      </c>
      <c r="H3853" s="8">
        <v>11006024.310000001</v>
      </c>
      <c r="I3853" s="8">
        <v>6231035.54</v>
      </c>
      <c r="J3853" s="1">
        <f>IF(COUNTIF($C$4:C3853,C3853)=1,1,0)</f>
        <v>1</v>
      </c>
      <c r="K3853" s="1">
        <f t="shared" si="60"/>
        <v>2020</v>
      </c>
    </row>
    <row r="3854" spans="2:11" x14ac:dyDescent="0.45">
      <c r="B3854" s="1" t="s">
        <v>11</v>
      </c>
      <c r="C3854" s="1" t="s">
        <v>3824</v>
      </c>
      <c r="D3854" s="7">
        <v>43737</v>
      </c>
      <c r="E3854" s="7">
        <v>43763</v>
      </c>
      <c r="F3854" s="7">
        <v>43913</v>
      </c>
      <c r="G3854" s="1" t="s">
        <v>41</v>
      </c>
      <c r="H3854" s="8">
        <v>320634.59000000003</v>
      </c>
      <c r="I3854" s="8">
        <v>249572.2</v>
      </c>
      <c r="J3854" s="1">
        <f>IF(COUNTIF($C$4:C3854,C3854)=1,1,0)</f>
        <v>1</v>
      </c>
      <c r="K3854" s="1">
        <f t="shared" si="60"/>
        <v>2019</v>
      </c>
    </row>
    <row r="3855" spans="2:11" x14ac:dyDescent="0.45">
      <c r="B3855" s="1" t="s">
        <v>11</v>
      </c>
      <c r="C3855" s="1" t="s">
        <v>3825</v>
      </c>
      <c r="D3855" s="7">
        <v>44556</v>
      </c>
      <c r="E3855" s="7">
        <v>44561</v>
      </c>
      <c r="F3855" s="7">
        <v>44756</v>
      </c>
      <c r="G3855" s="1" t="s">
        <v>13</v>
      </c>
      <c r="H3855" s="8">
        <v>315013.84000000003</v>
      </c>
      <c r="I3855" s="8">
        <v>260988.85</v>
      </c>
      <c r="J3855" s="1">
        <f>IF(COUNTIF($C$4:C3855,C3855)=1,1,0)</f>
        <v>1</v>
      </c>
      <c r="K3855" s="1">
        <f t="shared" si="60"/>
        <v>2021</v>
      </c>
    </row>
    <row r="3856" spans="2:11" x14ac:dyDescent="0.45">
      <c r="B3856" s="1" t="s">
        <v>11</v>
      </c>
      <c r="C3856" s="1" t="s">
        <v>3826</v>
      </c>
      <c r="D3856" s="7">
        <v>43985</v>
      </c>
      <c r="E3856" s="7">
        <v>43986</v>
      </c>
      <c r="F3856" s="7">
        <v>44125</v>
      </c>
      <c r="G3856" s="1" t="s">
        <v>212</v>
      </c>
      <c r="H3856" s="8">
        <v>7376490.1500000004</v>
      </c>
      <c r="I3856" s="8">
        <v>2423095.52</v>
      </c>
      <c r="J3856" s="1">
        <f>IF(COUNTIF($C$4:C3856,C3856)=1,1,0)</f>
        <v>1</v>
      </c>
      <c r="K3856" s="1">
        <f t="shared" si="60"/>
        <v>2020</v>
      </c>
    </row>
    <row r="3857" spans="2:11" x14ac:dyDescent="0.45">
      <c r="B3857" s="1" t="s">
        <v>11</v>
      </c>
      <c r="C3857" s="1" t="s">
        <v>3827</v>
      </c>
      <c r="D3857" s="7">
        <v>45954</v>
      </c>
      <c r="E3857" s="7">
        <v>45981</v>
      </c>
      <c r="F3857" s="7">
        <v>46123</v>
      </c>
      <c r="G3857" s="1" t="s">
        <v>38</v>
      </c>
      <c r="H3857" s="8">
        <v>335416.32000000001</v>
      </c>
      <c r="I3857" s="8">
        <v>256852.76</v>
      </c>
      <c r="J3857" s="1">
        <f>IF(COUNTIF($C$4:C3857,C3857)=1,1,0)</f>
        <v>1</v>
      </c>
      <c r="K3857" s="1">
        <f t="shared" si="60"/>
        <v>2025</v>
      </c>
    </row>
    <row r="3858" spans="2:11" x14ac:dyDescent="0.45">
      <c r="B3858" s="1" t="s">
        <v>11</v>
      </c>
      <c r="C3858" s="1" t="s">
        <v>3828</v>
      </c>
      <c r="D3858" s="7">
        <v>45277</v>
      </c>
      <c r="E3858" s="7">
        <v>45296</v>
      </c>
      <c r="F3858" s="7">
        <v>45398</v>
      </c>
      <c r="G3858" s="1" t="s">
        <v>16</v>
      </c>
      <c r="H3858" s="8">
        <v>4234292.67</v>
      </c>
      <c r="I3858" s="8">
        <v>2794206.91</v>
      </c>
      <c r="J3858" s="1">
        <f>IF(COUNTIF($C$4:C3858,C3858)=1,1,0)</f>
        <v>1</v>
      </c>
      <c r="K3858" s="1">
        <f t="shared" si="60"/>
        <v>2023</v>
      </c>
    </row>
    <row r="3859" spans="2:11" x14ac:dyDescent="0.45">
      <c r="B3859" s="1" t="s">
        <v>11</v>
      </c>
      <c r="C3859" s="1" t="s">
        <v>3829</v>
      </c>
      <c r="D3859" s="7">
        <v>43527</v>
      </c>
      <c r="E3859" s="7">
        <v>43552</v>
      </c>
      <c r="F3859" s="7">
        <v>43720</v>
      </c>
      <c r="G3859" s="1" t="s">
        <v>16</v>
      </c>
      <c r="H3859" s="8">
        <v>315637.3</v>
      </c>
      <c r="I3859" s="8">
        <v>186041.21</v>
      </c>
      <c r="J3859" s="1">
        <f>IF(COUNTIF($C$4:C3859,C3859)=1,1,0)</f>
        <v>1</v>
      </c>
      <c r="K3859" s="1">
        <f t="shared" si="60"/>
        <v>2019</v>
      </c>
    </row>
    <row r="3860" spans="2:11" x14ac:dyDescent="0.45">
      <c r="B3860" s="1" t="s">
        <v>11</v>
      </c>
      <c r="C3860" s="1" t="s">
        <v>3830</v>
      </c>
      <c r="D3860" s="7">
        <v>44837</v>
      </c>
      <c r="E3860" s="7">
        <v>44845</v>
      </c>
      <c r="F3860" s="7">
        <v>44915</v>
      </c>
      <c r="G3860" s="1" t="s">
        <v>1348</v>
      </c>
      <c r="H3860" s="8">
        <v>46661287.5</v>
      </c>
      <c r="I3860" s="8">
        <v>17900734.09</v>
      </c>
      <c r="J3860" s="1">
        <f>IF(COUNTIF($C$4:C3860,C3860)=1,1,0)</f>
        <v>1</v>
      </c>
      <c r="K3860" s="1">
        <f t="shared" si="60"/>
        <v>2022</v>
      </c>
    </row>
    <row r="3861" spans="2:11" x14ac:dyDescent="0.45">
      <c r="B3861" s="1" t="s">
        <v>11</v>
      </c>
      <c r="C3861" s="1" t="s">
        <v>3831</v>
      </c>
      <c r="D3861" s="7">
        <v>44529</v>
      </c>
      <c r="E3861" s="7">
        <v>44546</v>
      </c>
      <c r="F3861" s="7">
        <v>44776</v>
      </c>
      <c r="G3861" s="1" t="s">
        <v>212</v>
      </c>
      <c r="H3861" s="8">
        <v>14299196.779999999</v>
      </c>
      <c r="I3861" s="8">
        <v>8734308.1199999992</v>
      </c>
      <c r="J3861" s="1">
        <f>IF(COUNTIF($C$4:C3861,C3861)=1,1,0)</f>
        <v>1</v>
      </c>
      <c r="K3861" s="1">
        <f t="shared" si="60"/>
        <v>2021</v>
      </c>
    </row>
    <row r="3862" spans="2:11" x14ac:dyDescent="0.45">
      <c r="B3862" s="1" t="s">
        <v>11</v>
      </c>
      <c r="C3862" s="1" t="s">
        <v>3832</v>
      </c>
      <c r="D3862" s="7">
        <v>44598</v>
      </c>
      <c r="E3862" s="7">
        <v>44607</v>
      </c>
      <c r="F3862" s="7">
        <v>44768</v>
      </c>
      <c r="G3862" s="1" t="s">
        <v>41</v>
      </c>
      <c r="H3862" s="8">
        <v>61219.93</v>
      </c>
      <c r="I3862" s="8">
        <v>44297.36</v>
      </c>
      <c r="J3862" s="1">
        <f>IF(COUNTIF($C$4:C3862,C3862)=1,1,0)</f>
        <v>1</v>
      </c>
      <c r="K3862" s="1">
        <f t="shared" si="60"/>
        <v>2022</v>
      </c>
    </row>
    <row r="3863" spans="2:11" x14ac:dyDescent="0.45">
      <c r="B3863" s="1" t="s">
        <v>11</v>
      </c>
      <c r="C3863" s="1" t="s">
        <v>3833</v>
      </c>
      <c r="D3863" s="7">
        <v>44338</v>
      </c>
      <c r="E3863" s="7">
        <v>44360</v>
      </c>
      <c r="F3863" s="7">
        <v>44427</v>
      </c>
      <c r="G3863" s="1" t="s">
        <v>20</v>
      </c>
      <c r="H3863" s="8">
        <v>307941.99</v>
      </c>
      <c r="I3863" s="8">
        <v>207561.71</v>
      </c>
      <c r="J3863" s="1">
        <f>IF(COUNTIF($C$4:C3863,C3863)=1,1,0)</f>
        <v>1</v>
      </c>
      <c r="K3863" s="1">
        <f t="shared" si="60"/>
        <v>2021</v>
      </c>
    </row>
    <row r="3864" spans="2:11" x14ac:dyDescent="0.45">
      <c r="B3864" s="1" t="s">
        <v>11</v>
      </c>
      <c r="C3864" s="1" t="s">
        <v>3834</v>
      </c>
      <c r="D3864" s="7">
        <v>44359</v>
      </c>
      <c r="E3864" s="7">
        <v>44378</v>
      </c>
      <c r="F3864" s="7">
        <v>44593</v>
      </c>
      <c r="G3864" s="1" t="s">
        <v>13</v>
      </c>
      <c r="H3864" s="8">
        <v>2104964.17</v>
      </c>
      <c r="I3864" s="8">
        <v>1583807.18</v>
      </c>
      <c r="J3864" s="1">
        <f>IF(COUNTIF($C$4:C3864,C3864)=1,1,0)</f>
        <v>1</v>
      </c>
      <c r="K3864" s="1">
        <f t="shared" si="60"/>
        <v>2021</v>
      </c>
    </row>
    <row r="3865" spans="2:11" x14ac:dyDescent="0.45">
      <c r="B3865" s="1" t="s">
        <v>11</v>
      </c>
      <c r="C3865" s="1" t="s">
        <v>3835</v>
      </c>
      <c r="D3865" s="7">
        <v>45332</v>
      </c>
      <c r="E3865" s="7">
        <v>45352</v>
      </c>
      <c r="F3865" s="7">
        <v>45364</v>
      </c>
      <c r="G3865" s="1" t="s">
        <v>212</v>
      </c>
      <c r="H3865" s="8">
        <v>14617607.02</v>
      </c>
      <c r="I3865" s="8">
        <v>7616530.3399999999</v>
      </c>
      <c r="J3865" s="1">
        <f>IF(COUNTIF($C$4:C3865,C3865)=1,1,0)</f>
        <v>1</v>
      </c>
      <c r="K3865" s="1">
        <f t="shared" si="60"/>
        <v>2024</v>
      </c>
    </row>
    <row r="3866" spans="2:11" x14ac:dyDescent="0.45">
      <c r="B3866" s="1" t="s">
        <v>11</v>
      </c>
      <c r="C3866" s="1" t="s">
        <v>3836</v>
      </c>
      <c r="D3866" s="7">
        <v>45298</v>
      </c>
      <c r="E3866" s="7">
        <v>45319</v>
      </c>
      <c r="F3866" s="7">
        <v>45508</v>
      </c>
      <c r="G3866" s="1" t="s">
        <v>22</v>
      </c>
      <c r="H3866" s="8">
        <v>21170768.800000001</v>
      </c>
      <c r="I3866" s="8">
        <v>16037481.59</v>
      </c>
      <c r="J3866" s="1">
        <f>IF(COUNTIF($C$4:C3866,C3866)=1,1,0)</f>
        <v>1</v>
      </c>
      <c r="K3866" s="1">
        <f t="shared" si="60"/>
        <v>2024</v>
      </c>
    </row>
    <row r="3867" spans="2:11" x14ac:dyDescent="0.45">
      <c r="B3867" s="1" t="s">
        <v>11</v>
      </c>
      <c r="C3867" s="1" t="s">
        <v>3837</v>
      </c>
      <c r="D3867" s="7">
        <v>45347</v>
      </c>
      <c r="E3867" s="7">
        <v>45356</v>
      </c>
      <c r="F3867" s="7">
        <v>45418</v>
      </c>
      <c r="G3867" s="1" t="s">
        <v>16</v>
      </c>
      <c r="H3867" s="8">
        <v>2632056.87</v>
      </c>
      <c r="I3867" s="8">
        <v>1657131.02</v>
      </c>
      <c r="J3867" s="1">
        <f>IF(COUNTIF($C$4:C3867,C3867)=1,1,0)</f>
        <v>1</v>
      </c>
      <c r="K3867" s="1">
        <f t="shared" si="60"/>
        <v>2024</v>
      </c>
    </row>
    <row r="3868" spans="2:11" x14ac:dyDescent="0.45">
      <c r="B3868" s="1" t="s">
        <v>11</v>
      </c>
      <c r="C3868" s="1" t="s">
        <v>3838</v>
      </c>
      <c r="D3868" s="7">
        <v>43857</v>
      </c>
      <c r="E3868" s="7">
        <v>43870</v>
      </c>
      <c r="F3868" s="7">
        <v>43933</v>
      </c>
      <c r="G3868" s="1" t="s">
        <v>38</v>
      </c>
      <c r="H3868" s="8">
        <v>352191.7</v>
      </c>
      <c r="I3868" s="8">
        <v>232972.52</v>
      </c>
      <c r="J3868" s="1">
        <f>IF(COUNTIF($C$4:C3868,C3868)=1,1,0)</f>
        <v>1</v>
      </c>
      <c r="K3868" s="1">
        <f t="shared" si="60"/>
        <v>2020</v>
      </c>
    </row>
    <row r="3869" spans="2:11" x14ac:dyDescent="0.45">
      <c r="B3869" s="1" t="s">
        <v>11</v>
      </c>
      <c r="C3869" s="1" t="s">
        <v>3839</v>
      </c>
      <c r="D3869" s="7">
        <v>45638</v>
      </c>
      <c r="E3869" s="7">
        <v>45653</v>
      </c>
      <c r="F3869" s="7">
        <v>45892</v>
      </c>
      <c r="G3869" s="1" t="s">
        <v>41</v>
      </c>
      <c r="H3869" s="8">
        <v>344212.74</v>
      </c>
      <c r="I3869" s="8">
        <v>237878.61</v>
      </c>
      <c r="J3869" s="1">
        <f>IF(COUNTIF($C$4:C3869,C3869)=1,1,0)</f>
        <v>1</v>
      </c>
      <c r="K3869" s="1">
        <f t="shared" si="60"/>
        <v>2024</v>
      </c>
    </row>
    <row r="3870" spans="2:11" x14ac:dyDescent="0.45">
      <c r="B3870" s="1" t="s">
        <v>11</v>
      </c>
      <c r="C3870" s="1" t="s">
        <v>3840</v>
      </c>
      <c r="D3870" s="7">
        <v>44467</v>
      </c>
      <c r="E3870" s="7">
        <v>44472</v>
      </c>
      <c r="F3870" s="7">
        <v>44561</v>
      </c>
      <c r="G3870" s="1" t="s">
        <v>41</v>
      </c>
      <c r="H3870" s="8">
        <v>149760.5</v>
      </c>
      <c r="I3870" s="8">
        <v>99910.82</v>
      </c>
      <c r="J3870" s="1">
        <f>IF(COUNTIF($C$4:C3870,C3870)=1,1,0)</f>
        <v>1</v>
      </c>
      <c r="K3870" s="1">
        <f t="shared" si="60"/>
        <v>2021</v>
      </c>
    </row>
    <row r="3871" spans="2:11" x14ac:dyDescent="0.45">
      <c r="B3871" s="1" t="s">
        <v>11</v>
      </c>
      <c r="C3871" s="1" t="s">
        <v>3841</v>
      </c>
      <c r="D3871" s="7">
        <v>44876</v>
      </c>
      <c r="E3871" s="7">
        <v>44884</v>
      </c>
      <c r="F3871" s="7">
        <v>44987</v>
      </c>
      <c r="G3871" s="1" t="s">
        <v>22</v>
      </c>
      <c r="H3871" s="8">
        <v>70819493.469999999</v>
      </c>
      <c r="I3871" s="8">
        <v>53720927.549999997</v>
      </c>
      <c r="J3871" s="1">
        <f>IF(COUNTIF($C$4:C3871,C3871)=1,1,0)</f>
        <v>1</v>
      </c>
      <c r="K3871" s="1">
        <f t="shared" si="60"/>
        <v>2022</v>
      </c>
    </row>
    <row r="3872" spans="2:11" x14ac:dyDescent="0.45">
      <c r="B3872" s="1" t="s">
        <v>11</v>
      </c>
      <c r="C3872" s="1" t="s">
        <v>3842</v>
      </c>
      <c r="D3872" s="7">
        <v>43813</v>
      </c>
      <c r="E3872" s="7">
        <v>43828</v>
      </c>
      <c r="F3872" s="7">
        <v>43876</v>
      </c>
      <c r="G3872" s="1" t="s">
        <v>38</v>
      </c>
      <c r="H3872" s="8">
        <v>635365.68999999994</v>
      </c>
      <c r="I3872" s="8">
        <v>551077.82999999996</v>
      </c>
      <c r="J3872" s="1">
        <f>IF(COUNTIF($C$4:C3872,C3872)=1,1,0)</f>
        <v>1</v>
      </c>
      <c r="K3872" s="1">
        <f t="shared" si="60"/>
        <v>2019</v>
      </c>
    </row>
    <row r="3873" spans="2:11" x14ac:dyDescent="0.45">
      <c r="B3873" s="1" t="s">
        <v>11</v>
      </c>
      <c r="C3873" s="1" t="s">
        <v>3843</v>
      </c>
      <c r="D3873" s="7">
        <v>45346</v>
      </c>
      <c r="E3873" s="7">
        <v>45370</v>
      </c>
      <c r="F3873" s="7">
        <v>45464</v>
      </c>
      <c r="G3873" s="1" t="s">
        <v>20</v>
      </c>
      <c r="H3873" s="8">
        <v>412850.83</v>
      </c>
      <c r="I3873" s="8">
        <v>277988.90000000002</v>
      </c>
      <c r="J3873" s="1">
        <f>IF(COUNTIF($C$4:C3873,C3873)=1,1,0)</f>
        <v>1</v>
      </c>
      <c r="K3873" s="1">
        <f t="shared" si="60"/>
        <v>2024</v>
      </c>
    </row>
    <row r="3874" spans="2:11" x14ac:dyDescent="0.45">
      <c r="B3874" s="1" t="s">
        <v>11</v>
      </c>
      <c r="C3874" s="1" t="s">
        <v>3844</v>
      </c>
      <c r="D3874" s="7">
        <v>43800</v>
      </c>
      <c r="E3874" s="7">
        <v>43827</v>
      </c>
      <c r="F3874" s="7">
        <v>43960</v>
      </c>
      <c r="G3874" s="1" t="s">
        <v>1348</v>
      </c>
      <c r="H3874" s="8">
        <v>58910824.789999999</v>
      </c>
      <c r="I3874" s="8">
        <v>31303719.73</v>
      </c>
      <c r="J3874" s="1">
        <f>IF(COUNTIF($C$4:C3874,C3874)=1,1,0)</f>
        <v>1</v>
      </c>
      <c r="K3874" s="1">
        <f t="shared" si="60"/>
        <v>2019</v>
      </c>
    </row>
    <row r="3875" spans="2:11" x14ac:dyDescent="0.45">
      <c r="B3875" s="1" t="s">
        <v>11</v>
      </c>
      <c r="C3875" s="1" t="s">
        <v>3845</v>
      </c>
      <c r="D3875" s="7">
        <v>44534</v>
      </c>
      <c r="E3875" s="7">
        <v>44564</v>
      </c>
      <c r="F3875" s="7">
        <v>44767</v>
      </c>
      <c r="G3875" s="1" t="s">
        <v>38</v>
      </c>
      <c r="H3875" s="8">
        <v>210651.96</v>
      </c>
      <c r="I3875" s="8">
        <v>165160.12</v>
      </c>
      <c r="J3875" s="1">
        <f>IF(COUNTIF($C$4:C3875,C3875)=1,1,0)</f>
        <v>1</v>
      </c>
      <c r="K3875" s="1">
        <f t="shared" si="60"/>
        <v>2021</v>
      </c>
    </row>
    <row r="3876" spans="2:11" x14ac:dyDescent="0.45">
      <c r="B3876" s="1" t="s">
        <v>11</v>
      </c>
      <c r="C3876" s="1" t="s">
        <v>3846</v>
      </c>
      <c r="D3876" s="7">
        <v>46097</v>
      </c>
      <c r="E3876" s="7">
        <v>46122</v>
      </c>
      <c r="F3876" s="7">
        <v>46159</v>
      </c>
      <c r="G3876" s="1" t="s">
        <v>1348</v>
      </c>
      <c r="H3876" s="8">
        <v>3505655.02</v>
      </c>
      <c r="I3876" s="8">
        <v>2218890.34</v>
      </c>
      <c r="J3876" s="1">
        <f>IF(COUNTIF($C$4:C3876,C3876)=1,1,0)</f>
        <v>1</v>
      </c>
      <c r="K3876" s="1">
        <f t="shared" si="60"/>
        <v>2026</v>
      </c>
    </row>
    <row r="3877" spans="2:11" x14ac:dyDescent="0.45">
      <c r="B3877" s="1" t="s">
        <v>11</v>
      </c>
      <c r="C3877" s="1" t="s">
        <v>3847</v>
      </c>
      <c r="D3877" s="7">
        <v>43273</v>
      </c>
      <c r="E3877" s="7">
        <v>43273</v>
      </c>
      <c r="F3877" s="7">
        <v>43284</v>
      </c>
      <c r="G3877" s="1" t="s">
        <v>16</v>
      </c>
      <c r="H3877" s="8">
        <v>13633121.5</v>
      </c>
      <c r="I3877" s="8">
        <v>8667883.3699999992</v>
      </c>
      <c r="J3877" s="1">
        <f>IF(COUNTIF($C$4:C3877,C3877)=1,1,0)</f>
        <v>1</v>
      </c>
      <c r="K3877" s="1">
        <f t="shared" si="60"/>
        <v>2018</v>
      </c>
    </row>
    <row r="3878" spans="2:11" x14ac:dyDescent="0.45">
      <c r="B3878" s="1" t="s">
        <v>11</v>
      </c>
      <c r="C3878" s="1" t="s">
        <v>3848</v>
      </c>
      <c r="D3878" s="7">
        <v>45368</v>
      </c>
      <c r="E3878" s="7">
        <v>45372</v>
      </c>
      <c r="F3878" s="7">
        <v>45562</v>
      </c>
      <c r="G3878" s="1" t="s">
        <v>22</v>
      </c>
      <c r="H3878" s="8">
        <v>23794097.34</v>
      </c>
      <c r="I3878" s="8">
        <v>11928906.6</v>
      </c>
      <c r="J3878" s="1">
        <f>IF(COUNTIF($C$4:C3878,C3878)=1,1,0)</f>
        <v>1</v>
      </c>
      <c r="K3878" s="1">
        <f t="shared" si="60"/>
        <v>2024</v>
      </c>
    </row>
    <row r="3879" spans="2:11" x14ac:dyDescent="0.45">
      <c r="B3879" s="1" t="s">
        <v>11</v>
      </c>
      <c r="C3879" s="1" t="s">
        <v>3849</v>
      </c>
      <c r="D3879" s="7">
        <v>44356</v>
      </c>
      <c r="E3879" s="7">
        <v>44368</v>
      </c>
      <c r="F3879" s="7">
        <v>44590</v>
      </c>
      <c r="G3879" s="1" t="s">
        <v>22</v>
      </c>
      <c r="H3879" s="8">
        <v>3304307.53</v>
      </c>
      <c r="I3879" s="8">
        <v>1702411.21</v>
      </c>
      <c r="J3879" s="1">
        <f>IF(COUNTIF($C$4:C3879,C3879)=1,1,0)</f>
        <v>1</v>
      </c>
      <c r="K3879" s="1">
        <f t="shared" si="60"/>
        <v>2021</v>
      </c>
    </row>
    <row r="3880" spans="2:11" x14ac:dyDescent="0.45">
      <c r="B3880" s="1" t="s">
        <v>11</v>
      </c>
      <c r="C3880" s="1" t="s">
        <v>3850</v>
      </c>
      <c r="D3880" s="7">
        <v>45573</v>
      </c>
      <c r="E3880" s="7">
        <v>45582</v>
      </c>
      <c r="F3880" s="7">
        <v>45672</v>
      </c>
      <c r="G3880" s="1" t="s">
        <v>13</v>
      </c>
      <c r="H3880" s="8">
        <v>775137.25</v>
      </c>
      <c r="I3880" s="8">
        <v>586814.55000000005</v>
      </c>
      <c r="J3880" s="1">
        <f>IF(COUNTIF($C$4:C3880,C3880)=1,1,0)</f>
        <v>1</v>
      </c>
      <c r="K3880" s="1">
        <f t="shared" si="60"/>
        <v>2024</v>
      </c>
    </row>
    <row r="3881" spans="2:11" x14ac:dyDescent="0.45">
      <c r="B3881" s="1" t="s">
        <v>11</v>
      </c>
      <c r="C3881" s="1" t="s">
        <v>3851</v>
      </c>
      <c r="D3881" s="7">
        <v>43975</v>
      </c>
      <c r="E3881" s="7">
        <v>43978</v>
      </c>
      <c r="F3881" s="7">
        <v>44080</v>
      </c>
      <c r="G3881" s="1" t="s">
        <v>212</v>
      </c>
      <c r="H3881" s="8">
        <v>38623736.219999999</v>
      </c>
      <c r="I3881" s="8">
        <v>12300044.029999999</v>
      </c>
      <c r="J3881" s="1">
        <f>IF(COUNTIF($C$4:C3881,C3881)=1,1,0)</f>
        <v>1</v>
      </c>
      <c r="K3881" s="1">
        <f t="shared" si="60"/>
        <v>2020</v>
      </c>
    </row>
    <row r="3882" spans="2:11" x14ac:dyDescent="0.45">
      <c r="B3882" s="1" t="s">
        <v>11</v>
      </c>
      <c r="C3882" s="1" t="s">
        <v>3852</v>
      </c>
      <c r="D3882" s="7">
        <v>43365</v>
      </c>
      <c r="E3882" s="7">
        <v>43376</v>
      </c>
      <c r="F3882" s="7">
        <v>43573</v>
      </c>
      <c r="G3882" s="1" t="s">
        <v>20</v>
      </c>
      <c r="H3882" s="8">
        <v>883188.66</v>
      </c>
      <c r="I3882" s="8">
        <v>599054.36</v>
      </c>
      <c r="J3882" s="1">
        <f>IF(COUNTIF($C$4:C3882,C3882)=1,1,0)</f>
        <v>1</v>
      </c>
      <c r="K3882" s="1">
        <f t="shared" si="60"/>
        <v>2018</v>
      </c>
    </row>
    <row r="3883" spans="2:11" x14ac:dyDescent="0.45">
      <c r="B3883" s="1" t="s">
        <v>11</v>
      </c>
      <c r="C3883" s="1" t="s">
        <v>3853</v>
      </c>
      <c r="D3883" s="7">
        <v>45109</v>
      </c>
      <c r="E3883" s="7">
        <v>45117</v>
      </c>
      <c r="F3883" s="7">
        <v>45341</v>
      </c>
      <c r="G3883" s="1" t="s">
        <v>16</v>
      </c>
      <c r="H3883" s="8">
        <v>3542448.87</v>
      </c>
      <c r="I3883" s="8">
        <v>2285290.64</v>
      </c>
      <c r="J3883" s="1">
        <f>IF(COUNTIF($C$4:C3883,C3883)=1,1,0)</f>
        <v>1</v>
      </c>
      <c r="K3883" s="1">
        <f t="shared" si="60"/>
        <v>2023</v>
      </c>
    </row>
    <row r="3884" spans="2:11" x14ac:dyDescent="0.45">
      <c r="B3884" s="1" t="s">
        <v>11</v>
      </c>
      <c r="C3884" s="1" t="s">
        <v>3854</v>
      </c>
      <c r="D3884" s="7">
        <v>45491</v>
      </c>
      <c r="E3884" s="7">
        <v>45521</v>
      </c>
      <c r="F3884" s="7">
        <v>45668</v>
      </c>
      <c r="G3884" s="1" t="s">
        <v>16</v>
      </c>
      <c r="H3884" s="8">
        <v>5521017.2199999997</v>
      </c>
      <c r="I3884" s="8">
        <v>3611444.06</v>
      </c>
      <c r="J3884" s="1">
        <f>IF(COUNTIF($C$4:C3884,C3884)=1,1,0)</f>
        <v>1</v>
      </c>
      <c r="K3884" s="1">
        <f t="shared" si="60"/>
        <v>2024</v>
      </c>
    </row>
    <row r="3885" spans="2:11" x14ac:dyDescent="0.45">
      <c r="B3885" s="1" t="s">
        <v>11</v>
      </c>
      <c r="C3885" s="1" t="s">
        <v>3855</v>
      </c>
      <c r="D3885" s="7">
        <v>44546</v>
      </c>
      <c r="E3885" s="7">
        <v>44563</v>
      </c>
      <c r="F3885" s="7">
        <v>44721</v>
      </c>
      <c r="G3885" s="1" t="s">
        <v>41</v>
      </c>
      <c r="H3885" s="8">
        <v>176568.64</v>
      </c>
      <c r="I3885" s="8">
        <v>139134.23000000001</v>
      </c>
      <c r="J3885" s="1">
        <f>IF(COUNTIF($C$4:C3885,C3885)=1,1,0)</f>
        <v>1</v>
      </c>
      <c r="K3885" s="1">
        <f t="shared" si="60"/>
        <v>2021</v>
      </c>
    </row>
    <row r="3886" spans="2:11" x14ac:dyDescent="0.45">
      <c r="B3886" s="1" t="s">
        <v>11</v>
      </c>
      <c r="C3886" s="1" t="s">
        <v>3856</v>
      </c>
      <c r="D3886" s="7">
        <v>44109</v>
      </c>
      <c r="E3886" s="7">
        <v>44115</v>
      </c>
      <c r="F3886" s="7">
        <v>44259</v>
      </c>
      <c r="G3886" s="1" t="s">
        <v>20</v>
      </c>
      <c r="H3886" s="8">
        <v>502992.11</v>
      </c>
      <c r="I3886" s="8">
        <v>259601.85</v>
      </c>
      <c r="J3886" s="1">
        <f>IF(COUNTIF($C$4:C3886,C3886)=1,1,0)</f>
        <v>1</v>
      </c>
      <c r="K3886" s="1">
        <f t="shared" si="60"/>
        <v>2020</v>
      </c>
    </row>
    <row r="3887" spans="2:11" x14ac:dyDescent="0.45">
      <c r="B3887" s="1" t="s">
        <v>11</v>
      </c>
      <c r="C3887" s="1" t="s">
        <v>3857</v>
      </c>
      <c r="D3887" s="7">
        <v>44702</v>
      </c>
      <c r="E3887" s="7">
        <v>44713</v>
      </c>
      <c r="F3887" s="7">
        <v>44750</v>
      </c>
      <c r="G3887" s="1" t="s">
        <v>41</v>
      </c>
      <c r="H3887" s="8">
        <v>197875.41</v>
      </c>
      <c r="I3887" s="8">
        <v>134452.85999999999</v>
      </c>
      <c r="J3887" s="1">
        <f>IF(COUNTIF($C$4:C3887,C3887)=1,1,0)</f>
        <v>1</v>
      </c>
      <c r="K3887" s="1">
        <f t="shared" si="60"/>
        <v>2022</v>
      </c>
    </row>
    <row r="3888" spans="2:11" x14ac:dyDescent="0.45">
      <c r="B3888" s="1" t="s">
        <v>11</v>
      </c>
      <c r="C3888" s="1" t="s">
        <v>3858</v>
      </c>
      <c r="D3888" s="7">
        <v>46088</v>
      </c>
      <c r="E3888" s="7">
        <v>46103</v>
      </c>
      <c r="F3888" s="7">
        <v>46305</v>
      </c>
      <c r="G3888" s="1" t="s">
        <v>16</v>
      </c>
      <c r="H3888" s="8">
        <v>85628.75</v>
      </c>
      <c r="I3888" s="8">
        <v>48355.1</v>
      </c>
      <c r="J3888" s="1">
        <f>IF(COUNTIF($C$4:C3888,C3888)=1,1,0)</f>
        <v>1</v>
      </c>
      <c r="K3888" s="1">
        <f t="shared" si="60"/>
        <v>2026</v>
      </c>
    </row>
    <row r="3889" spans="2:11" x14ac:dyDescent="0.45">
      <c r="B3889" s="1" t="s">
        <v>11</v>
      </c>
      <c r="C3889" s="1" t="s">
        <v>3859</v>
      </c>
      <c r="D3889" s="7">
        <v>45151</v>
      </c>
      <c r="E3889" s="7">
        <v>45155</v>
      </c>
      <c r="F3889" s="7">
        <v>45264</v>
      </c>
      <c r="G3889" s="1" t="s">
        <v>1348</v>
      </c>
      <c r="H3889" s="8">
        <v>229872961.47</v>
      </c>
      <c r="I3889" s="8">
        <v>166738759.5</v>
      </c>
      <c r="J3889" s="1">
        <f>IF(COUNTIF($C$4:C3889,C3889)=1,1,0)</f>
        <v>1</v>
      </c>
      <c r="K3889" s="1">
        <f t="shared" si="60"/>
        <v>2023</v>
      </c>
    </row>
    <row r="3890" spans="2:11" x14ac:dyDescent="0.45">
      <c r="B3890" s="1" t="s">
        <v>11</v>
      </c>
      <c r="C3890" s="1" t="s">
        <v>3860</v>
      </c>
      <c r="D3890" s="7">
        <v>43668</v>
      </c>
      <c r="E3890" s="7">
        <v>43680</v>
      </c>
      <c r="F3890" s="7">
        <v>43846</v>
      </c>
      <c r="G3890" s="1" t="s">
        <v>16</v>
      </c>
      <c r="H3890" s="8">
        <v>1814139.07</v>
      </c>
      <c r="I3890" s="8">
        <v>1160857.8500000001</v>
      </c>
      <c r="J3890" s="1">
        <f>IF(COUNTIF($C$4:C3890,C3890)=1,1,0)</f>
        <v>1</v>
      </c>
      <c r="K3890" s="1">
        <f t="shared" si="60"/>
        <v>2019</v>
      </c>
    </row>
    <row r="3891" spans="2:11" x14ac:dyDescent="0.45">
      <c r="B3891" s="1" t="s">
        <v>11</v>
      </c>
      <c r="C3891" s="1" t="s">
        <v>3861</v>
      </c>
      <c r="D3891" s="7">
        <v>44385</v>
      </c>
      <c r="E3891" s="7">
        <v>44415</v>
      </c>
      <c r="F3891" s="7">
        <v>44584</v>
      </c>
      <c r="G3891" s="1" t="s">
        <v>20</v>
      </c>
      <c r="H3891" s="8">
        <v>843762.36</v>
      </c>
      <c r="I3891" s="8">
        <v>620934.15</v>
      </c>
      <c r="J3891" s="1">
        <f>IF(COUNTIF($C$4:C3891,C3891)=1,1,0)</f>
        <v>1</v>
      </c>
      <c r="K3891" s="1">
        <f t="shared" si="60"/>
        <v>2021</v>
      </c>
    </row>
    <row r="3892" spans="2:11" x14ac:dyDescent="0.45">
      <c r="B3892" s="1" t="s">
        <v>11</v>
      </c>
      <c r="C3892" s="1" t="s">
        <v>3862</v>
      </c>
      <c r="D3892" s="7">
        <v>43914</v>
      </c>
      <c r="E3892" s="7">
        <v>43917</v>
      </c>
      <c r="F3892" s="7">
        <v>43960</v>
      </c>
      <c r="G3892" s="1" t="s">
        <v>38</v>
      </c>
      <c r="H3892" s="8">
        <v>323930.84999999998</v>
      </c>
      <c r="I3892" s="8">
        <v>229229.53</v>
      </c>
      <c r="J3892" s="1">
        <f>IF(COUNTIF($C$4:C3892,C3892)=1,1,0)</f>
        <v>1</v>
      </c>
      <c r="K3892" s="1">
        <f t="shared" si="60"/>
        <v>2020</v>
      </c>
    </row>
    <row r="3893" spans="2:11" x14ac:dyDescent="0.45">
      <c r="B3893" s="1" t="s">
        <v>11</v>
      </c>
      <c r="C3893" s="1" t="s">
        <v>3863</v>
      </c>
      <c r="D3893" s="7">
        <v>43484</v>
      </c>
      <c r="E3893" s="7">
        <v>43496</v>
      </c>
      <c r="F3893" s="7">
        <v>43515</v>
      </c>
      <c r="G3893" s="1" t="s">
        <v>22</v>
      </c>
      <c r="H3893" s="8">
        <v>69972090.620000005</v>
      </c>
      <c r="I3893" s="8">
        <v>36083796.270000003</v>
      </c>
      <c r="J3893" s="1">
        <f>IF(COUNTIF($C$4:C3893,C3893)=1,1,0)</f>
        <v>1</v>
      </c>
      <c r="K3893" s="1">
        <f t="shared" si="60"/>
        <v>2019</v>
      </c>
    </row>
    <row r="3894" spans="2:11" x14ac:dyDescent="0.45">
      <c r="B3894" s="1" t="s">
        <v>11</v>
      </c>
      <c r="C3894" s="1" t="s">
        <v>3864</v>
      </c>
      <c r="D3894" s="7">
        <v>45500</v>
      </c>
      <c r="E3894" s="7">
        <v>45504</v>
      </c>
      <c r="F3894" s="7">
        <v>45532</v>
      </c>
      <c r="G3894" s="1" t="s">
        <v>22</v>
      </c>
      <c r="H3894" s="8">
        <v>6336364.0599999996</v>
      </c>
      <c r="I3894" s="8">
        <v>3808211.42</v>
      </c>
      <c r="J3894" s="1">
        <f>IF(COUNTIF($C$4:C3894,C3894)=1,1,0)</f>
        <v>1</v>
      </c>
      <c r="K3894" s="1">
        <f t="shared" si="60"/>
        <v>2024</v>
      </c>
    </row>
    <row r="3895" spans="2:11" x14ac:dyDescent="0.45">
      <c r="B3895" s="1" t="s">
        <v>11</v>
      </c>
      <c r="C3895" s="1" t="s">
        <v>3865</v>
      </c>
      <c r="D3895" s="7">
        <v>43464</v>
      </c>
      <c r="E3895" s="7">
        <v>43469</v>
      </c>
      <c r="F3895" s="7">
        <v>43672</v>
      </c>
      <c r="G3895" s="1" t="s">
        <v>22</v>
      </c>
      <c r="H3895" s="8">
        <v>19578326.460000001</v>
      </c>
      <c r="I3895" s="8">
        <v>11166218.52</v>
      </c>
      <c r="J3895" s="1">
        <f>IF(COUNTIF($C$4:C3895,C3895)=1,1,0)</f>
        <v>1</v>
      </c>
      <c r="K3895" s="1">
        <f t="shared" si="60"/>
        <v>2018</v>
      </c>
    </row>
    <row r="3896" spans="2:11" x14ac:dyDescent="0.45">
      <c r="B3896" s="1" t="s">
        <v>11</v>
      </c>
      <c r="C3896" s="1" t="s">
        <v>3866</v>
      </c>
      <c r="D3896" s="7">
        <v>46279</v>
      </c>
      <c r="E3896" s="7">
        <v>46280</v>
      </c>
      <c r="F3896" s="7">
        <v>46496</v>
      </c>
      <c r="G3896" s="1" t="s">
        <v>22</v>
      </c>
      <c r="H3896" s="8">
        <v>117341995.86</v>
      </c>
      <c r="I3896" s="8">
        <v>85052689.530000001</v>
      </c>
      <c r="J3896" s="1">
        <f>IF(COUNTIF($C$4:C3896,C3896)=1,1,0)</f>
        <v>1</v>
      </c>
      <c r="K3896" s="1">
        <f t="shared" si="60"/>
        <v>2026</v>
      </c>
    </row>
    <row r="3897" spans="2:11" x14ac:dyDescent="0.45">
      <c r="B3897" s="1" t="s">
        <v>11</v>
      </c>
      <c r="C3897" s="1" t="s">
        <v>3867</v>
      </c>
      <c r="D3897" s="7">
        <v>44396</v>
      </c>
      <c r="E3897" s="7">
        <v>44412</v>
      </c>
      <c r="F3897" s="7">
        <v>44584</v>
      </c>
      <c r="G3897" s="1" t="s">
        <v>16</v>
      </c>
      <c r="H3897" s="8">
        <v>1702569.91</v>
      </c>
      <c r="I3897" s="8">
        <v>1203154.04</v>
      </c>
      <c r="J3897" s="1">
        <f>IF(COUNTIF($C$4:C3897,C3897)=1,1,0)</f>
        <v>1</v>
      </c>
      <c r="K3897" s="1">
        <f t="shared" si="60"/>
        <v>2021</v>
      </c>
    </row>
    <row r="3898" spans="2:11" x14ac:dyDescent="0.45">
      <c r="B3898" s="1" t="s">
        <v>11</v>
      </c>
      <c r="C3898" s="1" t="s">
        <v>3868</v>
      </c>
      <c r="D3898" s="7">
        <v>44928</v>
      </c>
      <c r="E3898" s="7">
        <v>44947</v>
      </c>
      <c r="F3898" s="7">
        <v>45102</v>
      </c>
      <c r="G3898" s="1" t="s">
        <v>22</v>
      </c>
      <c r="H3898" s="8">
        <v>67285861.599999994</v>
      </c>
      <c r="I3898" s="8">
        <v>38386873.149999999</v>
      </c>
      <c r="J3898" s="1">
        <f>IF(COUNTIF($C$4:C3898,C3898)=1,1,0)</f>
        <v>1</v>
      </c>
      <c r="K3898" s="1">
        <f t="shared" si="60"/>
        <v>2023</v>
      </c>
    </row>
    <row r="3899" spans="2:11" x14ac:dyDescent="0.45">
      <c r="B3899" s="1" t="s">
        <v>11</v>
      </c>
      <c r="C3899" s="1" t="s">
        <v>3869</v>
      </c>
      <c r="D3899" s="7">
        <v>44732</v>
      </c>
      <c r="E3899" s="7">
        <v>44737</v>
      </c>
      <c r="F3899" s="7">
        <v>44958</v>
      </c>
      <c r="G3899" s="1" t="s">
        <v>13</v>
      </c>
      <c r="H3899" s="8">
        <v>529468.56999999995</v>
      </c>
      <c r="I3899" s="8">
        <v>403116.23</v>
      </c>
      <c r="J3899" s="1">
        <f>IF(COUNTIF($C$4:C3899,C3899)=1,1,0)</f>
        <v>1</v>
      </c>
      <c r="K3899" s="1">
        <f t="shared" si="60"/>
        <v>2022</v>
      </c>
    </row>
    <row r="3900" spans="2:11" x14ac:dyDescent="0.45">
      <c r="B3900" s="1" t="s">
        <v>11</v>
      </c>
      <c r="C3900" s="1" t="s">
        <v>3870</v>
      </c>
      <c r="D3900" s="7">
        <v>45004</v>
      </c>
      <c r="E3900" s="7">
        <v>45007</v>
      </c>
      <c r="F3900" s="7">
        <v>45104</v>
      </c>
      <c r="G3900" s="1" t="s">
        <v>22</v>
      </c>
      <c r="H3900" s="8">
        <v>12338173.1</v>
      </c>
      <c r="I3900" s="8">
        <v>7176905.25</v>
      </c>
      <c r="J3900" s="1">
        <f>IF(COUNTIF($C$4:C3900,C3900)=1,1,0)</f>
        <v>1</v>
      </c>
      <c r="K3900" s="1">
        <f t="shared" si="60"/>
        <v>2023</v>
      </c>
    </row>
    <row r="3901" spans="2:11" x14ac:dyDescent="0.45">
      <c r="B3901" s="1" t="s">
        <v>11</v>
      </c>
      <c r="C3901" s="1" t="s">
        <v>3871</v>
      </c>
      <c r="D3901" s="7">
        <v>44579</v>
      </c>
      <c r="E3901" s="7">
        <v>44582</v>
      </c>
      <c r="F3901" s="7">
        <v>44620</v>
      </c>
      <c r="G3901" s="1" t="s">
        <v>20</v>
      </c>
      <c r="H3901" s="8">
        <v>127693.27</v>
      </c>
      <c r="I3901" s="8">
        <v>77431.759999999995</v>
      </c>
      <c r="J3901" s="1">
        <f>IF(COUNTIF($C$4:C3901,C3901)=1,1,0)</f>
        <v>1</v>
      </c>
      <c r="K3901" s="1">
        <f t="shared" si="60"/>
        <v>2022</v>
      </c>
    </row>
    <row r="3902" spans="2:11" x14ac:dyDescent="0.45">
      <c r="B3902" s="1" t="s">
        <v>11</v>
      </c>
      <c r="C3902" s="1" t="s">
        <v>3872</v>
      </c>
      <c r="D3902" s="7">
        <v>44847</v>
      </c>
      <c r="E3902" s="7">
        <v>44851</v>
      </c>
      <c r="F3902" s="7">
        <v>44981</v>
      </c>
      <c r="G3902" s="1" t="s">
        <v>1348</v>
      </c>
      <c r="H3902" s="8">
        <v>3132357.1</v>
      </c>
      <c r="I3902" s="8">
        <v>2024333.98</v>
      </c>
      <c r="J3902" s="1">
        <f>IF(COUNTIF($C$4:C3902,C3902)=1,1,0)</f>
        <v>1</v>
      </c>
      <c r="K3902" s="1">
        <f t="shared" si="60"/>
        <v>2022</v>
      </c>
    </row>
    <row r="3903" spans="2:11" x14ac:dyDescent="0.45">
      <c r="B3903" s="1" t="s">
        <v>11</v>
      </c>
      <c r="C3903" s="1" t="s">
        <v>3873</v>
      </c>
      <c r="D3903" s="7">
        <v>43827</v>
      </c>
      <c r="E3903" s="7">
        <v>43836</v>
      </c>
      <c r="F3903" s="7">
        <v>43845</v>
      </c>
      <c r="G3903" s="1" t="s">
        <v>41</v>
      </c>
      <c r="H3903" s="8">
        <v>141876.20000000001</v>
      </c>
      <c r="I3903" s="8">
        <v>92155.65</v>
      </c>
      <c r="J3903" s="1">
        <f>IF(COUNTIF($C$4:C3903,C3903)=1,1,0)</f>
        <v>1</v>
      </c>
      <c r="K3903" s="1">
        <f t="shared" si="60"/>
        <v>2019</v>
      </c>
    </row>
    <row r="3904" spans="2:11" x14ac:dyDescent="0.45">
      <c r="B3904" s="1" t="s">
        <v>11</v>
      </c>
      <c r="C3904" s="1" t="s">
        <v>3874</v>
      </c>
      <c r="D3904" s="7">
        <v>45874</v>
      </c>
      <c r="E3904" s="7">
        <v>45893</v>
      </c>
      <c r="F3904" s="7">
        <v>46023</v>
      </c>
      <c r="G3904" s="1" t="s">
        <v>22</v>
      </c>
      <c r="H3904" s="8">
        <v>11357057.380000001</v>
      </c>
      <c r="I3904" s="8">
        <v>5296495.62</v>
      </c>
      <c r="J3904" s="1">
        <f>IF(COUNTIF($C$4:C3904,C3904)=1,1,0)</f>
        <v>1</v>
      </c>
      <c r="K3904" s="1">
        <f t="shared" si="60"/>
        <v>2025</v>
      </c>
    </row>
    <row r="3905" spans="2:11" x14ac:dyDescent="0.45">
      <c r="B3905" s="1" t="s">
        <v>11</v>
      </c>
      <c r="C3905" s="1" t="s">
        <v>3875</v>
      </c>
      <c r="D3905" s="7">
        <v>45165</v>
      </c>
      <c r="E3905" s="7">
        <v>45189</v>
      </c>
      <c r="F3905" s="7">
        <v>45408</v>
      </c>
      <c r="G3905" s="1" t="s">
        <v>16</v>
      </c>
      <c r="H3905" s="8">
        <v>347135.44</v>
      </c>
      <c r="I3905" s="8">
        <v>251076.87</v>
      </c>
      <c r="J3905" s="1">
        <f>IF(COUNTIF($C$4:C3905,C3905)=1,1,0)</f>
        <v>1</v>
      </c>
      <c r="K3905" s="1">
        <f t="shared" si="60"/>
        <v>2023</v>
      </c>
    </row>
    <row r="3906" spans="2:11" x14ac:dyDescent="0.45">
      <c r="B3906" s="1" t="s">
        <v>11</v>
      </c>
      <c r="C3906" s="1" t="s">
        <v>3876</v>
      </c>
      <c r="D3906" s="7">
        <v>43578</v>
      </c>
      <c r="E3906" s="7">
        <v>43595</v>
      </c>
      <c r="F3906" s="7">
        <v>43781</v>
      </c>
      <c r="G3906" s="1" t="s">
        <v>1348</v>
      </c>
      <c r="H3906" s="8">
        <v>711345.62</v>
      </c>
      <c r="I3906" s="8">
        <v>496599.27</v>
      </c>
      <c r="J3906" s="1">
        <f>IF(COUNTIF($C$4:C3906,C3906)=1,1,0)</f>
        <v>1</v>
      </c>
      <c r="K3906" s="1">
        <f t="shared" si="60"/>
        <v>2019</v>
      </c>
    </row>
    <row r="3907" spans="2:11" x14ac:dyDescent="0.45">
      <c r="B3907" s="1" t="s">
        <v>11</v>
      </c>
      <c r="C3907" s="1" t="s">
        <v>3877</v>
      </c>
      <c r="D3907" s="7">
        <v>43259</v>
      </c>
      <c r="E3907" s="7">
        <v>43262</v>
      </c>
      <c r="F3907" s="7">
        <v>43290</v>
      </c>
      <c r="G3907" s="1" t="s">
        <v>16</v>
      </c>
      <c r="H3907" s="8">
        <v>3633835.16</v>
      </c>
      <c r="I3907" s="8">
        <v>2932612.12</v>
      </c>
      <c r="J3907" s="1">
        <f>IF(COUNTIF($C$4:C3907,C3907)=1,1,0)</f>
        <v>1</v>
      </c>
      <c r="K3907" s="1">
        <f t="shared" si="60"/>
        <v>2018</v>
      </c>
    </row>
    <row r="3908" spans="2:11" x14ac:dyDescent="0.45">
      <c r="B3908" s="1" t="s">
        <v>11</v>
      </c>
      <c r="C3908" s="1" t="s">
        <v>3878</v>
      </c>
      <c r="D3908" s="7">
        <v>44062</v>
      </c>
      <c r="E3908" s="7">
        <v>44062</v>
      </c>
      <c r="F3908" s="7">
        <v>44209</v>
      </c>
      <c r="G3908" s="1" t="s">
        <v>212</v>
      </c>
      <c r="H3908" s="8">
        <v>83898310.959999993</v>
      </c>
      <c r="I3908" s="8">
        <v>28559963.710000001</v>
      </c>
      <c r="J3908" s="1">
        <f>IF(COUNTIF($C$4:C3908,C3908)=1,1,0)</f>
        <v>1</v>
      </c>
      <c r="K3908" s="1">
        <f t="shared" si="60"/>
        <v>2020</v>
      </c>
    </row>
    <row r="3909" spans="2:11" x14ac:dyDescent="0.45">
      <c r="B3909" s="1" t="s">
        <v>11</v>
      </c>
      <c r="C3909" s="1" t="s">
        <v>3879</v>
      </c>
      <c r="D3909" s="7">
        <v>44474</v>
      </c>
      <c r="E3909" s="7">
        <v>44487</v>
      </c>
      <c r="F3909" s="7">
        <v>44696</v>
      </c>
      <c r="G3909" s="1" t="s">
        <v>13</v>
      </c>
      <c r="H3909" s="8">
        <v>382520.96</v>
      </c>
      <c r="I3909" s="8">
        <v>285154.51</v>
      </c>
      <c r="J3909" s="1">
        <f>IF(COUNTIF($C$4:C3909,C3909)=1,1,0)</f>
        <v>1</v>
      </c>
      <c r="K3909" s="1">
        <f t="shared" ref="K3909:K3972" si="61">YEAR(D3909)</f>
        <v>2021</v>
      </c>
    </row>
    <row r="3910" spans="2:11" x14ac:dyDescent="0.45">
      <c r="B3910" s="1" t="s">
        <v>11</v>
      </c>
      <c r="C3910" s="1" t="s">
        <v>3880</v>
      </c>
      <c r="D3910" s="7">
        <v>45683</v>
      </c>
      <c r="E3910" s="7">
        <v>45691</v>
      </c>
      <c r="F3910" s="7">
        <v>45857</v>
      </c>
      <c r="G3910" s="1" t="s">
        <v>22</v>
      </c>
      <c r="H3910" s="8">
        <v>10248031.43</v>
      </c>
      <c r="I3910" s="8">
        <v>3730156.48</v>
      </c>
      <c r="J3910" s="1">
        <f>IF(COUNTIF($C$4:C3910,C3910)=1,1,0)</f>
        <v>1</v>
      </c>
      <c r="K3910" s="1">
        <f t="shared" si="61"/>
        <v>2025</v>
      </c>
    </row>
    <row r="3911" spans="2:11" x14ac:dyDescent="0.45">
      <c r="B3911" s="1" t="s">
        <v>11</v>
      </c>
      <c r="C3911" s="1" t="s">
        <v>3881</v>
      </c>
      <c r="D3911" s="7">
        <v>45826</v>
      </c>
      <c r="E3911" s="7">
        <v>45855</v>
      </c>
      <c r="F3911" s="7">
        <v>46079</v>
      </c>
      <c r="G3911" s="1" t="s">
        <v>212</v>
      </c>
      <c r="H3911" s="8">
        <v>58963337.950000003</v>
      </c>
      <c r="I3911" s="8">
        <v>43405265.590000004</v>
      </c>
      <c r="J3911" s="1">
        <f>IF(COUNTIF($C$4:C3911,C3911)=1,1,0)</f>
        <v>1</v>
      </c>
      <c r="K3911" s="1">
        <f t="shared" si="61"/>
        <v>2025</v>
      </c>
    </row>
    <row r="3912" spans="2:11" x14ac:dyDescent="0.45">
      <c r="B3912" s="1" t="s">
        <v>11</v>
      </c>
      <c r="C3912" s="1" t="s">
        <v>3882</v>
      </c>
      <c r="D3912" s="7">
        <v>46301</v>
      </c>
      <c r="E3912" s="7">
        <v>46306</v>
      </c>
      <c r="F3912" s="7">
        <v>46402</v>
      </c>
      <c r="G3912" s="1" t="s">
        <v>38</v>
      </c>
      <c r="H3912" s="8">
        <v>215959.57</v>
      </c>
      <c r="I3912" s="8">
        <v>140633.95000000001</v>
      </c>
      <c r="J3912" s="1">
        <f>IF(COUNTIF($C$4:C3912,C3912)=1,1,0)</f>
        <v>1</v>
      </c>
      <c r="K3912" s="1">
        <f t="shared" si="61"/>
        <v>2026</v>
      </c>
    </row>
    <row r="3913" spans="2:11" x14ac:dyDescent="0.45">
      <c r="B3913" s="1" t="s">
        <v>11</v>
      </c>
      <c r="C3913" s="1" t="s">
        <v>3883</v>
      </c>
      <c r="D3913" s="7">
        <v>43636</v>
      </c>
      <c r="E3913" s="7">
        <v>43637</v>
      </c>
      <c r="F3913" s="7">
        <v>43818</v>
      </c>
      <c r="G3913" s="1" t="s">
        <v>41</v>
      </c>
      <c r="H3913" s="8">
        <v>96073.84</v>
      </c>
      <c r="I3913" s="8">
        <v>68156.570000000007</v>
      </c>
      <c r="J3913" s="1">
        <f>IF(COUNTIF($C$4:C3913,C3913)=1,1,0)</f>
        <v>1</v>
      </c>
      <c r="K3913" s="1">
        <f t="shared" si="61"/>
        <v>2019</v>
      </c>
    </row>
    <row r="3914" spans="2:11" x14ac:dyDescent="0.45">
      <c r="B3914" s="1" t="s">
        <v>11</v>
      </c>
      <c r="C3914" s="1" t="s">
        <v>3884</v>
      </c>
      <c r="D3914" s="7">
        <v>45159</v>
      </c>
      <c r="E3914" s="7">
        <v>45175</v>
      </c>
      <c r="F3914" s="7">
        <v>45377</v>
      </c>
      <c r="G3914" s="1" t="s">
        <v>20</v>
      </c>
      <c r="H3914" s="8">
        <v>1021788.3</v>
      </c>
      <c r="I3914" s="8">
        <v>658996.75</v>
      </c>
      <c r="J3914" s="1">
        <f>IF(COUNTIF($C$4:C3914,C3914)=1,1,0)</f>
        <v>1</v>
      </c>
      <c r="K3914" s="1">
        <f t="shared" si="61"/>
        <v>2023</v>
      </c>
    </row>
    <row r="3915" spans="2:11" x14ac:dyDescent="0.45">
      <c r="B3915" s="1" t="s">
        <v>11</v>
      </c>
      <c r="C3915" s="1" t="s">
        <v>3885</v>
      </c>
      <c r="D3915" s="7">
        <v>46187</v>
      </c>
      <c r="E3915" s="7">
        <v>46203</v>
      </c>
      <c r="F3915" s="7">
        <v>46283</v>
      </c>
      <c r="G3915" s="1" t="s">
        <v>13</v>
      </c>
      <c r="H3915" s="8">
        <v>283306.34999999998</v>
      </c>
      <c r="I3915" s="8">
        <v>224425.81</v>
      </c>
      <c r="J3915" s="1">
        <f>IF(COUNTIF($C$4:C3915,C3915)=1,1,0)</f>
        <v>1</v>
      </c>
      <c r="K3915" s="1">
        <f t="shared" si="61"/>
        <v>2026</v>
      </c>
    </row>
    <row r="3916" spans="2:11" x14ac:dyDescent="0.45">
      <c r="B3916" s="1" t="s">
        <v>11</v>
      </c>
      <c r="C3916" s="1" t="s">
        <v>3886</v>
      </c>
      <c r="D3916" s="7">
        <v>45470</v>
      </c>
      <c r="E3916" s="7">
        <v>45483</v>
      </c>
      <c r="F3916" s="7">
        <v>45516</v>
      </c>
      <c r="G3916" s="1" t="s">
        <v>22</v>
      </c>
      <c r="H3916" s="8">
        <v>23123211.84</v>
      </c>
      <c r="I3916" s="8">
        <v>16706224.75</v>
      </c>
      <c r="J3916" s="1">
        <f>IF(COUNTIF($C$4:C3916,C3916)=1,1,0)</f>
        <v>1</v>
      </c>
      <c r="K3916" s="1">
        <f t="shared" si="61"/>
        <v>2024</v>
      </c>
    </row>
    <row r="3917" spans="2:11" x14ac:dyDescent="0.45">
      <c r="B3917" s="1" t="s">
        <v>11</v>
      </c>
      <c r="C3917" s="1" t="s">
        <v>3887</v>
      </c>
      <c r="D3917" s="7">
        <v>43822</v>
      </c>
      <c r="E3917" s="7">
        <v>43848</v>
      </c>
      <c r="F3917" s="7">
        <v>44052</v>
      </c>
      <c r="G3917" s="1" t="s">
        <v>38</v>
      </c>
      <c r="H3917" s="8">
        <v>942803.87</v>
      </c>
      <c r="I3917" s="8">
        <v>716714.32</v>
      </c>
      <c r="J3917" s="1">
        <f>IF(COUNTIF($C$4:C3917,C3917)=1,1,0)</f>
        <v>1</v>
      </c>
      <c r="K3917" s="1">
        <f t="shared" si="61"/>
        <v>2019</v>
      </c>
    </row>
    <row r="3918" spans="2:11" x14ac:dyDescent="0.45">
      <c r="B3918" s="1" t="s">
        <v>11</v>
      </c>
      <c r="C3918" s="1" t="s">
        <v>3888</v>
      </c>
      <c r="D3918" s="7">
        <v>44025</v>
      </c>
      <c r="E3918" s="7">
        <v>44043</v>
      </c>
      <c r="F3918" s="7">
        <v>44106</v>
      </c>
      <c r="G3918" s="1" t="s">
        <v>212</v>
      </c>
      <c r="H3918" s="8">
        <v>22320871.98</v>
      </c>
      <c r="I3918" s="8">
        <v>10675472.57</v>
      </c>
      <c r="J3918" s="1">
        <f>IF(COUNTIF($C$4:C3918,C3918)=1,1,0)</f>
        <v>1</v>
      </c>
      <c r="K3918" s="1">
        <f t="shared" si="61"/>
        <v>2020</v>
      </c>
    </row>
    <row r="3919" spans="2:11" x14ac:dyDescent="0.45">
      <c r="B3919" s="1" t="s">
        <v>11</v>
      </c>
      <c r="C3919" s="1" t="s">
        <v>3889</v>
      </c>
      <c r="D3919" s="7">
        <v>43829</v>
      </c>
      <c r="E3919" s="7">
        <v>43851</v>
      </c>
      <c r="F3919" s="7">
        <v>43947</v>
      </c>
      <c r="G3919" s="1" t="s">
        <v>13</v>
      </c>
      <c r="H3919" s="8">
        <v>337216.3</v>
      </c>
      <c r="I3919" s="8">
        <v>284738.74</v>
      </c>
      <c r="J3919" s="1">
        <f>IF(COUNTIF($C$4:C3919,C3919)=1,1,0)</f>
        <v>1</v>
      </c>
      <c r="K3919" s="1">
        <f t="shared" si="61"/>
        <v>2019</v>
      </c>
    </row>
    <row r="3920" spans="2:11" x14ac:dyDescent="0.45">
      <c r="B3920" s="1" t="s">
        <v>11</v>
      </c>
      <c r="C3920" s="1" t="s">
        <v>3890</v>
      </c>
      <c r="D3920" s="7">
        <v>44851</v>
      </c>
      <c r="E3920" s="7">
        <v>44853</v>
      </c>
      <c r="F3920" s="7">
        <v>44870</v>
      </c>
      <c r="G3920" s="1" t="s">
        <v>38</v>
      </c>
      <c r="H3920" s="8">
        <v>1088566.3700000001</v>
      </c>
      <c r="I3920" s="8">
        <v>848638.75</v>
      </c>
      <c r="J3920" s="1">
        <f>IF(COUNTIF($C$4:C3920,C3920)=1,1,0)</f>
        <v>1</v>
      </c>
      <c r="K3920" s="1">
        <f t="shared" si="61"/>
        <v>2022</v>
      </c>
    </row>
    <row r="3921" spans="2:11" x14ac:dyDescent="0.45">
      <c r="B3921" s="1" t="s">
        <v>11</v>
      </c>
      <c r="C3921" s="1" t="s">
        <v>3891</v>
      </c>
      <c r="D3921" s="7">
        <v>45664</v>
      </c>
      <c r="E3921" s="7">
        <v>45669</v>
      </c>
      <c r="F3921" s="7">
        <v>45893</v>
      </c>
      <c r="G3921" s="1" t="s">
        <v>41</v>
      </c>
      <c r="H3921" s="8">
        <v>155362.85999999999</v>
      </c>
      <c r="I3921" s="8">
        <v>119028.04</v>
      </c>
      <c r="J3921" s="1">
        <f>IF(COUNTIF($C$4:C3921,C3921)=1,1,0)</f>
        <v>1</v>
      </c>
      <c r="K3921" s="1">
        <f t="shared" si="61"/>
        <v>2025</v>
      </c>
    </row>
    <row r="3922" spans="2:11" x14ac:dyDescent="0.45">
      <c r="B3922" s="1" t="s">
        <v>11</v>
      </c>
      <c r="C3922" s="1" t="s">
        <v>3892</v>
      </c>
      <c r="D3922" s="7">
        <v>45673</v>
      </c>
      <c r="E3922" s="7">
        <v>45673</v>
      </c>
      <c r="F3922" s="7">
        <v>45730</v>
      </c>
      <c r="G3922" s="1" t="s">
        <v>13</v>
      </c>
      <c r="H3922" s="8">
        <v>854183.14</v>
      </c>
      <c r="I3922" s="8">
        <v>641180.25</v>
      </c>
      <c r="J3922" s="1">
        <f>IF(COUNTIF($C$4:C3922,C3922)=1,1,0)</f>
        <v>1</v>
      </c>
      <c r="K3922" s="1">
        <f t="shared" si="61"/>
        <v>2025</v>
      </c>
    </row>
    <row r="3923" spans="2:11" x14ac:dyDescent="0.45">
      <c r="B3923" s="1" t="s">
        <v>11</v>
      </c>
      <c r="C3923" s="1" t="s">
        <v>3893</v>
      </c>
      <c r="D3923" s="7">
        <v>45502</v>
      </c>
      <c r="E3923" s="7">
        <v>45508</v>
      </c>
      <c r="F3923" s="7">
        <v>45728</v>
      </c>
      <c r="G3923" s="1" t="s">
        <v>13</v>
      </c>
      <c r="H3923" s="8">
        <v>474717.2</v>
      </c>
      <c r="I3923" s="8">
        <v>361760.88</v>
      </c>
      <c r="J3923" s="1">
        <f>IF(COUNTIF($C$4:C3923,C3923)=1,1,0)</f>
        <v>1</v>
      </c>
      <c r="K3923" s="1">
        <f t="shared" si="61"/>
        <v>2024</v>
      </c>
    </row>
    <row r="3924" spans="2:11" x14ac:dyDescent="0.45">
      <c r="B3924" s="1" t="s">
        <v>11</v>
      </c>
      <c r="C3924" s="1" t="s">
        <v>3894</v>
      </c>
      <c r="D3924" s="7">
        <v>44129</v>
      </c>
      <c r="E3924" s="7">
        <v>44151</v>
      </c>
      <c r="F3924" s="7">
        <v>44359</v>
      </c>
      <c r="G3924" s="1" t="s">
        <v>20</v>
      </c>
      <c r="H3924" s="8">
        <v>441884.79</v>
      </c>
      <c r="I3924" s="8">
        <v>322701.34999999998</v>
      </c>
      <c r="J3924" s="1">
        <f>IF(COUNTIF($C$4:C3924,C3924)=1,1,0)</f>
        <v>1</v>
      </c>
      <c r="K3924" s="1">
        <f t="shared" si="61"/>
        <v>2020</v>
      </c>
    </row>
    <row r="3925" spans="2:11" x14ac:dyDescent="0.45">
      <c r="B3925" s="1" t="s">
        <v>11</v>
      </c>
      <c r="C3925" s="1" t="s">
        <v>3895</v>
      </c>
      <c r="D3925" s="7">
        <v>43668</v>
      </c>
      <c r="E3925" s="7">
        <v>43683</v>
      </c>
      <c r="F3925" s="7">
        <v>43852</v>
      </c>
      <c r="G3925" s="1" t="s">
        <v>13</v>
      </c>
      <c r="H3925" s="8">
        <v>587658.38</v>
      </c>
      <c r="I3925" s="8">
        <v>484679.93</v>
      </c>
      <c r="J3925" s="1">
        <f>IF(COUNTIF($C$4:C3925,C3925)=1,1,0)</f>
        <v>1</v>
      </c>
      <c r="K3925" s="1">
        <f t="shared" si="61"/>
        <v>2019</v>
      </c>
    </row>
    <row r="3926" spans="2:11" x14ac:dyDescent="0.45">
      <c r="B3926" s="1" t="s">
        <v>11</v>
      </c>
      <c r="C3926" s="1" t="s">
        <v>3896</v>
      </c>
      <c r="D3926" s="7">
        <v>43842</v>
      </c>
      <c r="E3926" s="7">
        <v>43850</v>
      </c>
      <c r="F3926" s="7">
        <v>43996</v>
      </c>
      <c r="G3926" s="1" t="s">
        <v>13</v>
      </c>
      <c r="H3926" s="8">
        <v>233986.19</v>
      </c>
      <c r="I3926" s="8">
        <v>205639.04000000001</v>
      </c>
      <c r="J3926" s="1">
        <f>IF(COUNTIF($C$4:C3926,C3926)=1,1,0)</f>
        <v>1</v>
      </c>
      <c r="K3926" s="1">
        <f t="shared" si="61"/>
        <v>2020</v>
      </c>
    </row>
    <row r="3927" spans="2:11" x14ac:dyDescent="0.45">
      <c r="B3927" s="1" t="s">
        <v>11</v>
      </c>
      <c r="C3927" s="1" t="s">
        <v>3897</v>
      </c>
      <c r="D3927" s="7">
        <v>45076</v>
      </c>
      <c r="E3927" s="7">
        <v>45095</v>
      </c>
      <c r="F3927" s="7">
        <v>45106</v>
      </c>
      <c r="G3927" s="1" t="s">
        <v>22</v>
      </c>
      <c r="H3927" s="8">
        <v>5719124.9699999997</v>
      </c>
      <c r="I3927" s="8">
        <v>2998655.11</v>
      </c>
      <c r="J3927" s="1">
        <f>IF(COUNTIF($C$4:C3927,C3927)=1,1,0)</f>
        <v>1</v>
      </c>
      <c r="K3927" s="1">
        <f t="shared" si="61"/>
        <v>2023</v>
      </c>
    </row>
    <row r="3928" spans="2:11" x14ac:dyDescent="0.45">
      <c r="B3928" s="1" t="s">
        <v>11</v>
      </c>
      <c r="C3928" s="1" t="s">
        <v>3898</v>
      </c>
      <c r="D3928" s="7">
        <v>44602</v>
      </c>
      <c r="E3928" s="7">
        <v>44602</v>
      </c>
      <c r="F3928" s="7">
        <v>44821</v>
      </c>
      <c r="G3928" s="1" t="s">
        <v>41</v>
      </c>
      <c r="H3928" s="8">
        <v>144206.75</v>
      </c>
      <c r="I3928" s="8">
        <v>106988.55</v>
      </c>
      <c r="J3928" s="1">
        <f>IF(COUNTIF($C$4:C3928,C3928)=1,1,0)</f>
        <v>1</v>
      </c>
      <c r="K3928" s="1">
        <f t="shared" si="61"/>
        <v>2022</v>
      </c>
    </row>
    <row r="3929" spans="2:11" x14ac:dyDescent="0.45">
      <c r="B3929" s="1" t="s">
        <v>11</v>
      </c>
      <c r="C3929" s="1" t="s">
        <v>3899</v>
      </c>
      <c r="D3929" s="7">
        <v>44982</v>
      </c>
      <c r="E3929" s="7">
        <v>44990</v>
      </c>
      <c r="F3929" s="7">
        <v>45003</v>
      </c>
      <c r="G3929" s="1" t="s">
        <v>13</v>
      </c>
      <c r="H3929" s="8">
        <v>88378.73</v>
      </c>
      <c r="I3929" s="8">
        <v>78073.179999999993</v>
      </c>
      <c r="J3929" s="1">
        <f>IF(COUNTIF($C$4:C3929,C3929)=1,1,0)</f>
        <v>1</v>
      </c>
      <c r="K3929" s="1">
        <f t="shared" si="61"/>
        <v>2023</v>
      </c>
    </row>
    <row r="3930" spans="2:11" x14ac:dyDescent="0.45">
      <c r="B3930" s="1" t="s">
        <v>11</v>
      </c>
      <c r="C3930" s="1" t="s">
        <v>3900</v>
      </c>
      <c r="D3930" s="7">
        <v>45309</v>
      </c>
      <c r="E3930" s="7">
        <v>45339</v>
      </c>
      <c r="F3930" s="7">
        <v>45501</v>
      </c>
      <c r="G3930" s="1" t="s">
        <v>20</v>
      </c>
      <c r="H3930" s="8">
        <v>188207.95</v>
      </c>
      <c r="I3930" s="8">
        <v>98202.45</v>
      </c>
      <c r="J3930" s="1">
        <f>IF(COUNTIF($C$4:C3930,C3930)=1,1,0)</f>
        <v>1</v>
      </c>
      <c r="K3930" s="1">
        <f t="shared" si="61"/>
        <v>2024</v>
      </c>
    </row>
    <row r="3931" spans="2:11" x14ac:dyDescent="0.45">
      <c r="B3931" s="1" t="s">
        <v>11</v>
      </c>
      <c r="C3931" s="1" t="s">
        <v>3901</v>
      </c>
      <c r="D3931" s="7">
        <v>43735</v>
      </c>
      <c r="E3931" s="7">
        <v>43736</v>
      </c>
      <c r="F3931" s="7">
        <v>43919</v>
      </c>
      <c r="G3931" s="1" t="s">
        <v>13</v>
      </c>
      <c r="H3931" s="8">
        <v>708150.75</v>
      </c>
      <c r="I3931" s="8">
        <v>533908.12</v>
      </c>
      <c r="J3931" s="1">
        <f>IF(COUNTIF($C$4:C3931,C3931)=1,1,0)</f>
        <v>1</v>
      </c>
      <c r="K3931" s="1">
        <f t="shared" si="61"/>
        <v>2019</v>
      </c>
    </row>
    <row r="3932" spans="2:11" x14ac:dyDescent="0.45">
      <c r="B3932" s="1" t="s">
        <v>11</v>
      </c>
      <c r="C3932" s="1" t="s">
        <v>3902</v>
      </c>
      <c r="D3932" s="7">
        <v>46241</v>
      </c>
      <c r="E3932" s="7">
        <v>46252</v>
      </c>
      <c r="F3932" s="7">
        <v>46353</v>
      </c>
      <c r="G3932" s="1" t="s">
        <v>22</v>
      </c>
      <c r="H3932" s="8">
        <v>78594726.450000003</v>
      </c>
      <c r="I3932" s="8">
        <v>48536408.590000004</v>
      </c>
      <c r="J3932" s="1">
        <f>IF(COUNTIF($C$4:C3932,C3932)=1,1,0)</f>
        <v>1</v>
      </c>
      <c r="K3932" s="1">
        <f t="shared" si="61"/>
        <v>2026</v>
      </c>
    </row>
    <row r="3933" spans="2:11" x14ac:dyDescent="0.45">
      <c r="B3933" s="1" t="s">
        <v>11</v>
      </c>
      <c r="C3933" s="1" t="s">
        <v>3903</v>
      </c>
      <c r="D3933" s="7">
        <v>46099</v>
      </c>
      <c r="E3933" s="7">
        <v>46115</v>
      </c>
      <c r="F3933" s="7">
        <v>46181</v>
      </c>
      <c r="G3933" s="1" t="s">
        <v>212</v>
      </c>
      <c r="H3933" s="8">
        <v>123738299.90000001</v>
      </c>
      <c r="I3933" s="8">
        <v>47338265.329999998</v>
      </c>
      <c r="J3933" s="1">
        <f>IF(COUNTIF($C$4:C3933,C3933)=1,1,0)</f>
        <v>1</v>
      </c>
      <c r="K3933" s="1">
        <f t="shared" si="61"/>
        <v>2026</v>
      </c>
    </row>
    <row r="3934" spans="2:11" x14ac:dyDescent="0.45">
      <c r="B3934" s="1" t="s">
        <v>11</v>
      </c>
      <c r="C3934" s="1" t="s">
        <v>3904</v>
      </c>
      <c r="D3934" s="7">
        <v>45133</v>
      </c>
      <c r="E3934" s="7">
        <v>45140</v>
      </c>
      <c r="F3934" s="7">
        <v>45193</v>
      </c>
      <c r="G3934" s="1" t="s">
        <v>16</v>
      </c>
      <c r="H3934" s="8">
        <v>4467503.76</v>
      </c>
      <c r="I3934" s="8">
        <v>2874320.43</v>
      </c>
      <c r="J3934" s="1">
        <f>IF(COUNTIF($C$4:C3934,C3934)=1,1,0)</f>
        <v>1</v>
      </c>
      <c r="K3934" s="1">
        <f t="shared" si="61"/>
        <v>2023</v>
      </c>
    </row>
    <row r="3935" spans="2:11" x14ac:dyDescent="0.45">
      <c r="B3935" s="1" t="s">
        <v>11</v>
      </c>
      <c r="C3935" s="1" t="s">
        <v>3905</v>
      </c>
      <c r="D3935" s="7">
        <v>43730</v>
      </c>
      <c r="E3935" s="7">
        <v>43745</v>
      </c>
      <c r="F3935" s="7">
        <v>43981</v>
      </c>
      <c r="G3935" s="1" t="s">
        <v>41</v>
      </c>
      <c r="H3935" s="8">
        <v>1051465.8799999999</v>
      </c>
      <c r="I3935" s="8">
        <v>870005.07</v>
      </c>
      <c r="J3935" s="1">
        <f>IF(COUNTIF($C$4:C3935,C3935)=1,1,0)</f>
        <v>1</v>
      </c>
      <c r="K3935" s="1">
        <f t="shared" si="61"/>
        <v>2019</v>
      </c>
    </row>
    <row r="3936" spans="2:11" x14ac:dyDescent="0.45">
      <c r="B3936" s="1" t="s">
        <v>11</v>
      </c>
      <c r="C3936" s="1" t="s">
        <v>3906</v>
      </c>
      <c r="D3936" s="7">
        <v>45541</v>
      </c>
      <c r="E3936" s="7">
        <v>45556</v>
      </c>
      <c r="F3936" s="7">
        <v>45792</v>
      </c>
      <c r="G3936" s="1" t="s">
        <v>212</v>
      </c>
      <c r="H3936" s="8">
        <v>30223906.550000001</v>
      </c>
      <c r="I3936" s="8">
        <v>17831885.969999999</v>
      </c>
      <c r="J3936" s="1">
        <f>IF(COUNTIF($C$4:C3936,C3936)=1,1,0)</f>
        <v>1</v>
      </c>
      <c r="K3936" s="1">
        <f t="shared" si="61"/>
        <v>2024</v>
      </c>
    </row>
    <row r="3937" spans="2:11" x14ac:dyDescent="0.45">
      <c r="B3937" s="1" t="s">
        <v>11</v>
      </c>
      <c r="C3937" s="1" t="s">
        <v>3907</v>
      </c>
      <c r="D3937" s="7">
        <v>44444</v>
      </c>
      <c r="E3937" s="7">
        <v>44466</v>
      </c>
      <c r="F3937" s="7">
        <v>44665</v>
      </c>
      <c r="G3937" s="1" t="s">
        <v>13</v>
      </c>
      <c r="H3937" s="8">
        <v>127825.62</v>
      </c>
      <c r="I3937" s="8">
        <v>90879.12</v>
      </c>
      <c r="J3937" s="1">
        <f>IF(COUNTIF($C$4:C3937,C3937)=1,1,0)</f>
        <v>1</v>
      </c>
      <c r="K3937" s="1">
        <f t="shared" si="61"/>
        <v>2021</v>
      </c>
    </row>
    <row r="3938" spans="2:11" x14ac:dyDescent="0.45">
      <c r="B3938" s="1" t="s">
        <v>11</v>
      </c>
      <c r="C3938" s="1" t="s">
        <v>3908</v>
      </c>
      <c r="D3938" s="7">
        <v>44419</v>
      </c>
      <c r="E3938" s="7">
        <v>44427</v>
      </c>
      <c r="F3938" s="7">
        <v>44638</v>
      </c>
      <c r="G3938" s="1" t="s">
        <v>20</v>
      </c>
      <c r="H3938" s="8">
        <v>970660.21</v>
      </c>
      <c r="I3938" s="8">
        <v>680119.12</v>
      </c>
      <c r="J3938" s="1">
        <f>IF(COUNTIF($C$4:C3938,C3938)=1,1,0)</f>
        <v>1</v>
      </c>
      <c r="K3938" s="1">
        <f t="shared" si="61"/>
        <v>2021</v>
      </c>
    </row>
    <row r="3939" spans="2:11" x14ac:dyDescent="0.45">
      <c r="B3939" s="1" t="s">
        <v>11</v>
      </c>
      <c r="C3939" s="1" t="s">
        <v>3909</v>
      </c>
      <c r="D3939" s="7">
        <v>45931</v>
      </c>
      <c r="E3939" s="7">
        <v>45949</v>
      </c>
      <c r="F3939" s="7">
        <v>46079</v>
      </c>
      <c r="G3939" s="1" t="s">
        <v>38</v>
      </c>
      <c r="H3939" s="8">
        <v>3148969</v>
      </c>
      <c r="I3939" s="8">
        <v>2561556.9900000002</v>
      </c>
      <c r="J3939" s="1">
        <f>IF(COUNTIF($C$4:C3939,C3939)=1,1,0)</f>
        <v>1</v>
      </c>
      <c r="K3939" s="1">
        <f t="shared" si="61"/>
        <v>2025</v>
      </c>
    </row>
    <row r="3940" spans="2:11" x14ac:dyDescent="0.45">
      <c r="B3940" s="1" t="s">
        <v>11</v>
      </c>
      <c r="C3940" s="1" t="s">
        <v>3910</v>
      </c>
      <c r="D3940" s="7">
        <v>43381</v>
      </c>
      <c r="E3940" s="7">
        <v>43384</v>
      </c>
      <c r="F3940" s="7">
        <v>43538</v>
      </c>
      <c r="G3940" s="1" t="s">
        <v>22</v>
      </c>
      <c r="H3940" s="8">
        <v>6019850.4800000004</v>
      </c>
      <c r="I3940" s="8">
        <v>3178546.24</v>
      </c>
      <c r="J3940" s="1">
        <f>IF(COUNTIF($C$4:C3940,C3940)=1,1,0)</f>
        <v>1</v>
      </c>
      <c r="K3940" s="1">
        <f t="shared" si="61"/>
        <v>2018</v>
      </c>
    </row>
    <row r="3941" spans="2:11" x14ac:dyDescent="0.45">
      <c r="B3941" s="1" t="s">
        <v>11</v>
      </c>
      <c r="C3941" s="1" t="s">
        <v>3911</v>
      </c>
      <c r="D3941" s="7">
        <v>46169</v>
      </c>
      <c r="E3941" s="7">
        <v>46195</v>
      </c>
      <c r="F3941" s="7">
        <v>46353</v>
      </c>
      <c r="G3941" s="1" t="s">
        <v>38</v>
      </c>
      <c r="H3941" s="8">
        <v>179710.59</v>
      </c>
      <c r="I3941" s="8">
        <v>135594</v>
      </c>
      <c r="J3941" s="1">
        <f>IF(COUNTIF($C$4:C3941,C3941)=1,1,0)</f>
        <v>1</v>
      </c>
      <c r="K3941" s="1">
        <f t="shared" si="61"/>
        <v>2026</v>
      </c>
    </row>
    <row r="3942" spans="2:11" x14ac:dyDescent="0.45">
      <c r="B3942" s="1" t="s">
        <v>11</v>
      </c>
      <c r="C3942" s="1" t="s">
        <v>3912</v>
      </c>
      <c r="D3942" s="7">
        <v>45482</v>
      </c>
      <c r="E3942" s="7">
        <v>45512</v>
      </c>
      <c r="F3942" s="7">
        <v>45728</v>
      </c>
      <c r="G3942" s="1" t="s">
        <v>16</v>
      </c>
      <c r="H3942" s="8">
        <v>3949735.57</v>
      </c>
      <c r="I3942" s="8">
        <v>2264554.77</v>
      </c>
      <c r="J3942" s="1">
        <f>IF(COUNTIF($C$4:C3942,C3942)=1,1,0)</f>
        <v>1</v>
      </c>
      <c r="K3942" s="1">
        <f t="shared" si="61"/>
        <v>2024</v>
      </c>
    </row>
    <row r="3943" spans="2:11" x14ac:dyDescent="0.45">
      <c r="B3943" s="1" t="s">
        <v>11</v>
      </c>
      <c r="C3943" s="1" t="s">
        <v>3913</v>
      </c>
      <c r="D3943" s="7">
        <v>44147</v>
      </c>
      <c r="E3943" s="7">
        <v>44147</v>
      </c>
      <c r="F3943" s="7">
        <v>44183</v>
      </c>
      <c r="G3943" s="1" t="s">
        <v>1348</v>
      </c>
      <c r="H3943" s="8">
        <v>44878155.710000001</v>
      </c>
      <c r="I3943" s="8">
        <v>22293942.149999999</v>
      </c>
      <c r="J3943" s="1">
        <f>IF(COUNTIF($C$4:C3943,C3943)=1,1,0)</f>
        <v>1</v>
      </c>
      <c r="K3943" s="1">
        <f t="shared" si="61"/>
        <v>2020</v>
      </c>
    </row>
    <row r="3944" spans="2:11" x14ac:dyDescent="0.45">
      <c r="B3944" s="1" t="s">
        <v>11</v>
      </c>
      <c r="C3944" s="1" t="s">
        <v>3914</v>
      </c>
      <c r="D3944" s="7">
        <v>45885</v>
      </c>
      <c r="E3944" s="7">
        <v>45887</v>
      </c>
      <c r="F3944" s="7">
        <v>45936</v>
      </c>
      <c r="G3944" s="1" t="s">
        <v>41</v>
      </c>
      <c r="H3944" s="8">
        <v>14100.18</v>
      </c>
      <c r="I3944" s="8">
        <v>11751.75</v>
      </c>
      <c r="J3944" s="1">
        <f>IF(COUNTIF($C$4:C3944,C3944)=1,1,0)</f>
        <v>1</v>
      </c>
      <c r="K3944" s="1">
        <f t="shared" si="61"/>
        <v>2025</v>
      </c>
    </row>
    <row r="3945" spans="2:11" x14ac:dyDescent="0.45">
      <c r="B3945" s="1" t="s">
        <v>11</v>
      </c>
      <c r="C3945" s="1" t="s">
        <v>3915</v>
      </c>
      <c r="D3945" s="7">
        <v>44242</v>
      </c>
      <c r="E3945" s="7">
        <v>44250</v>
      </c>
      <c r="F3945" s="7">
        <v>44399</v>
      </c>
      <c r="G3945" s="1" t="s">
        <v>20</v>
      </c>
      <c r="H3945" s="8">
        <v>853420.4</v>
      </c>
      <c r="I3945" s="8">
        <v>601817.47</v>
      </c>
      <c r="J3945" s="1">
        <f>IF(COUNTIF($C$4:C3945,C3945)=1,1,0)</f>
        <v>1</v>
      </c>
      <c r="K3945" s="1">
        <f t="shared" si="61"/>
        <v>2021</v>
      </c>
    </row>
    <row r="3946" spans="2:11" x14ac:dyDescent="0.45">
      <c r="B3946" s="1" t="s">
        <v>11</v>
      </c>
      <c r="C3946" s="1" t="s">
        <v>3916</v>
      </c>
      <c r="D3946" s="7">
        <v>43698</v>
      </c>
      <c r="E3946" s="7">
        <v>43698</v>
      </c>
      <c r="F3946" s="7">
        <v>43918</v>
      </c>
      <c r="G3946" s="1" t="s">
        <v>16</v>
      </c>
      <c r="H3946" s="8">
        <v>3855382</v>
      </c>
      <c r="I3946" s="8">
        <v>2112937.25</v>
      </c>
      <c r="J3946" s="1">
        <f>IF(COUNTIF($C$4:C3946,C3946)=1,1,0)</f>
        <v>1</v>
      </c>
      <c r="K3946" s="1">
        <f t="shared" si="61"/>
        <v>2019</v>
      </c>
    </row>
    <row r="3947" spans="2:11" x14ac:dyDescent="0.45">
      <c r="B3947" s="1" t="s">
        <v>11</v>
      </c>
      <c r="C3947" s="1" t="s">
        <v>3917</v>
      </c>
      <c r="D3947" s="7">
        <v>45938</v>
      </c>
      <c r="E3947" s="7">
        <v>45961</v>
      </c>
      <c r="F3947" s="7">
        <v>46156</v>
      </c>
      <c r="G3947" s="1" t="s">
        <v>16</v>
      </c>
      <c r="H3947" s="8">
        <v>4490823.18</v>
      </c>
      <c r="I3947" s="8">
        <v>3307620.28</v>
      </c>
      <c r="J3947" s="1">
        <f>IF(COUNTIF($C$4:C3947,C3947)=1,1,0)</f>
        <v>1</v>
      </c>
      <c r="K3947" s="1">
        <f t="shared" si="61"/>
        <v>2025</v>
      </c>
    </row>
    <row r="3948" spans="2:11" x14ac:dyDescent="0.45">
      <c r="B3948" s="1" t="s">
        <v>11</v>
      </c>
      <c r="C3948" s="1" t="s">
        <v>3918</v>
      </c>
      <c r="D3948" s="7">
        <v>44582</v>
      </c>
      <c r="E3948" s="7">
        <v>44588</v>
      </c>
      <c r="F3948" s="7">
        <v>44817</v>
      </c>
      <c r="G3948" s="1" t="s">
        <v>41</v>
      </c>
      <c r="H3948" s="8">
        <v>259700.64</v>
      </c>
      <c r="I3948" s="8">
        <v>185089.43</v>
      </c>
      <c r="J3948" s="1">
        <f>IF(COUNTIF($C$4:C3948,C3948)=1,1,0)</f>
        <v>1</v>
      </c>
      <c r="K3948" s="1">
        <f t="shared" si="61"/>
        <v>2022</v>
      </c>
    </row>
    <row r="3949" spans="2:11" x14ac:dyDescent="0.45">
      <c r="B3949" s="1" t="s">
        <v>11</v>
      </c>
      <c r="C3949" s="1" t="s">
        <v>3919</v>
      </c>
      <c r="D3949" s="7">
        <v>44509</v>
      </c>
      <c r="E3949" s="7">
        <v>44522</v>
      </c>
      <c r="F3949" s="7">
        <v>44744</v>
      </c>
      <c r="G3949" s="1" t="s">
        <v>212</v>
      </c>
      <c r="H3949" s="8">
        <v>22196401.699999999</v>
      </c>
      <c r="I3949" s="8">
        <v>12458692.27</v>
      </c>
      <c r="J3949" s="1">
        <f>IF(COUNTIF($C$4:C3949,C3949)=1,1,0)</f>
        <v>1</v>
      </c>
      <c r="K3949" s="1">
        <f t="shared" si="61"/>
        <v>2021</v>
      </c>
    </row>
    <row r="3950" spans="2:11" x14ac:dyDescent="0.45">
      <c r="B3950" s="1" t="s">
        <v>11</v>
      </c>
      <c r="C3950" s="1" t="s">
        <v>3920</v>
      </c>
      <c r="D3950" s="7">
        <v>44904</v>
      </c>
      <c r="E3950" s="7">
        <v>44914</v>
      </c>
      <c r="F3950" s="7">
        <v>44972</v>
      </c>
      <c r="G3950" s="1" t="s">
        <v>22</v>
      </c>
      <c r="H3950" s="8">
        <v>64179232.380000003</v>
      </c>
      <c r="I3950" s="8">
        <v>25833932.890000001</v>
      </c>
      <c r="J3950" s="1">
        <f>IF(COUNTIF($C$4:C3950,C3950)=1,1,0)</f>
        <v>1</v>
      </c>
      <c r="K3950" s="1">
        <f t="shared" si="61"/>
        <v>2022</v>
      </c>
    </row>
    <row r="3951" spans="2:11" x14ac:dyDescent="0.45">
      <c r="B3951" s="1" t="s">
        <v>11</v>
      </c>
      <c r="C3951" s="1" t="s">
        <v>3921</v>
      </c>
      <c r="D3951" s="7">
        <v>44608</v>
      </c>
      <c r="E3951" s="7">
        <v>44617</v>
      </c>
      <c r="F3951" s="7">
        <v>44739</v>
      </c>
      <c r="G3951" s="1" t="s">
        <v>38</v>
      </c>
      <c r="H3951" s="8">
        <v>380481.16</v>
      </c>
      <c r="I3951" s="8">
        <v>276179.65999999997</v>
      </c>
      <c r="J3951" s="1">
        <f>IF(COUNTIF($C$4:C3951,C3951)=1,1,0)</f>
        <v>1</v>
      </c>
      <c r="K3951" s="1">
        <f t="shared" si="61"/>
        <v>2022</v>
      </c>
    </row>
    <row r="3952" spans="2:11" x14ac:dyDescent="0.45">
      <c r="B3952" s="1" t="s">
        <v>11</v>
      </c>
      <c r="C3952" s="1" t="s">
        <v>3922</v>
      </c>
      <c r="D3952" s="7">
        <v>45472</v>
      </c>
      <c r="E3952" s="7">
        <v>45488</v>
      </c>
      <c r="F3952" s="7">
        <v>45500</v>
      </c>
      <c r="G3952" s="1" t="s">
        <v>38</v>
      </c>
      <c r="H3952" s="8">
        <v>747292.8</v>
      </c>
      <c r="I3952" s="8">
        <v>652776.37</v>
      </c>
      <c r="J3952" s="1">
        <f>IF(COUNTIF($C$4:C3952,C3952)=1,1,0)</f>
        <v>1</v>
      </c>
      <c r="K3952" s="1">
        <f t="shared" si="61"/>
        <v>2024</v>
      </c>
    </row>
    <row r="3953" spans="2:11" x14ac:dyDescent="0.45">
      <c r="B3953" s="1" t="s">
        <v>11</v>
      </c>
      <c r="C3953" s="1" t="s">
        <v>3923</v>
      </c>
      <c r="D3953" s="7">
        <v>45210</v>
      </c>
      <c r="E3953" s="7">
        <v>45214</v>
      </c>
      <c r="F3953" s="7">
        <v>45364</v>
      </c>
      <c r="G3953" s="1" t="s">
        <v>212</v>
      </c>
      <c r="H3953" s="8">
        <v>14119844.279999999</v>
      </c>
      <c r="I3953" s="8">
        <v>7812053.2800000003</v>
      </c>
      <c r="J3953" s="1">
        <f>IF(COUNTIF($C$4:C3953,C3953)=1,1,0)</f>
        <v>1</v>
      </c>
      <c r="K3953" s="1">
        <f t="shared" si="61"/>
        <v>2023</v>
      </c>
    </row>
    <row r="3954" spans="2:11" x14ac:dyDescent="0.45">
      <c r="B3954" s="1" t="s">
        <v>11</v>
      </c>
      <c r="C3954" s="1" t="s">
        <v>3924</v>
      </c>
      <c r="D3954" s="7">
        <v>44795</v>
      </c>
      <c r="E3954" s="7">
        <v>44804</v>
      </c>
      <c r="F3954" s="7">
        <v>44890</v>
      </c>
      <c r="G3954" s="1" t="s">
        <v>212</v>
      </c>
      <c r="H3954" s="8">
        <v>9321830.3200000003</v>
      </c>
      <c r="I3954" s="8">
        <v>5572258.4000000004</v>
      </c>
      <c r="J3954" s="1">
        <f>IF(COUNTIF($C$4:C3954,C3954)=1,1,0)</f>
        <v>1</v>
      </c>
      <c r="K3954" s="1">
        <f t="shared" si="61"/>
        <v>2022</v>
      </c>
    </row>
    <row r="3955" spans="2:11" x14ac:dyDescent="0.45">
      <c r="B3955" s="1" t="s">
        <v>11</v>
      </c>
      <c r="C3955" s="1" t="s">
        <v>3925</v>
      </c>
      <c r="D3955" s="7">
        <v>45913</v>
      </c>
      <c r="E3955" s="7">
        <v>45942</v>
      </c>
      <c r="F3955" s="7">
        <v>46040</v>
      </c>
      <c r="G3955" s="1" t="s">
        <v>212</v>
      </c>
      <c r="H3955" s="8">
        <v>2508555.2000000002</v>
      </c>
      <c r="I3955" s="8">
        <v>1623976.1</v>
      </c>
      <c r="J3955" s="1">
        <f>IF(COUNTIF($C$4:C3955,C3955)=1,1,0)</f>
        <v>1</v>
      </c>
      <c r="K3955" s="1">
        <f t="shared" si="61"/>
        <v>2025</v>
      </c>
    </row>
    <row r="3956" spans="2:11" x14ac:dyDescent="0.45">
      <c r="B3956" s="1" t="s">
        <v>11</v>
      </c>
      <c r="C3956" s="1" t="s">
        <v>3926</v>
      </c>
      <c r="D3956" s="7">
        <v>44239</v>
      </c>
      <c r="E3956" s="7">
        <v>44245</v>
      </c>
      <c r="F3956" s="7">
        <v>44367</v>
      </c>
      <c r="G3956" s="1" t="s">
        <v>16</v>
      </c>
      <c r="H3956" s="8">
        <v>182036.08</v>
      </c>
      <c r="I3956" s="8">
        <v>101339.8</v>
      </c>
      <c r="J3956" s="1">
        <f>IF(COUNTIF($C$4:C3956,C3956)=1,1,0)</f>
        <v>1</v>
      </c>
      <c r="K3956" s="1">
        <f t="shared" si="61"/>
        <v>2021</v>
      </c>
    </row>
    <row r="3957" spans="2:11" x14ac:dyDescent="0.45">
      <c r="B3957" s="1" t="s">
        <v>11</v>
      </c>
      <c r="C3957" s="1" t="s">
        <v>3927</v>
      </c>
      <c r="D3957" s="7">
        <v>43700</v>
      </c>
      <c r="E3957" s="7">
        <v>43711</v>
      </c>
      <c r="F3957" s="7">
        <v>43932</v>
      </c>
      <c r="G3957" s="1" t="s">
        <v>16</v>
      </c>
      <c r="H3957" s="8">
        <v>4953972.1100000003</v>
      </c>
      <c r="I3957" s="8">
        <v>3172621.93</v>
      </c>
      <c r="J3957" s="1">
        <f>IF(COUNTIF($C$4:C3957,C3957)=1,1,0)</f>
        <v>1</v>
      </c>
      <c r="K3957" s="1">
        <f t="shared" si="61"/>
        <v>2019</v>
      </c>
    </row>
    <row r="3958" spans="2:11" x14ac:dyDescent="0.45">
      <c r="B3958" s="1" t="s">
        <v>11</v>
      </c>
      <c r="C3958" s="1" t="s">
        <v>3928</v>
      </c>
      <c r="D3958" s="7">
        <v>43968</v>
      </c>
      <c r="E3958" s="7">
        <v>43996</v>
      </c>
      <c r="F3958" s="7">
        <v>44065</v>
      </c>
      <c r="G3958" s="1" t="s">
        <v>41</v>
      </c>
      <c r="H3958" s="8">
        <v>450028.98</v>
      </c>
      <c r="I3958" s="8">
        <v>324099.55</v>
      </c>
      <c r="J3958" s="1">
        <f>IF(COUNTIF($C$4:C3958,C3958)=1,1,0)</f>
        <v>1</v>
      </c>
      <c r="K3958" s="1">
        <f t="shared" si="61"/>
        <v>2020</v>
      </c>
    </row>
    <row r="3959" spans="2:11" x14ac:dyDescent="0.45">
      <c r="B3959" s="1" t="s">
        <v>11</v>
      </c>
      <c r="C3959" s="1" t="s">
        <v>3929</v>
      </c>
      <c r="D3959" s="7">
        <v>44188</v>
      </c>
      <c r="E3959" s="7">
        <v>44190</v>
      </c>
      <c r="F3959" s="7">
        <v>44198</v>
      </c>
      <c r="G3959" s="1" t="s">
        <v>13</v>
      </c>
      <c r="H3959" s="8">
        <v>193504.43</v>
      </c>
      <c r="I3959" s="8">
        <v>151901.59</v>
      </c>
      <c r="J3959" s="1">
        <f>IF(COUNTIF($C$4:C3959,C3959)=1,1,0)</f>
        <v>1</v>
      </c>
      <c r="K3959" s="1">
        <f t="shared" si="61"/>
        <v>2020</v>
      </c>
    </row>
    <row r="3960" spans="2:11" x14ac:dyDescent="0.45">
      <c r="B3960" s="1" t="s">
        <v>11</v>
      </c>
      <c r="C3960" s="1" t="s">
        <v>3930</v>
      </c>
      <c r="D3960" s="7">
        <v>44156</v>
      </c>
      <c r="E3960" s="7">
        <v>44180</v>
      </c>
      <c r="F3960" s="7">
        <v>44324</v>
      </c>
      <c r="G3960" s="1" t="s">
        <v>212</v>
      </c>
      <c r="H3960" s="8">
        <v>4658543.3899999997</v>
      </c>
      <c r="I3960" s="8">
        <v>3140667.21</v>
      </c>
      <c r="J3960" s="1">
        <f>IF(COUNTIF($C$4:C3960,C3960)=1,1,0)</f>
        <v>1</v>
      </c>
      <c r="K3960" s="1">
        <f t="shared" si="61"/>
        <v>2020</v>
      </c>
    </row>
    <row r="3961" spans="2:11" x14ac:dyDescent="0.45">
      <c r="B3961" s="1" t="s">
        <v>11</v>
      </c>
      <c r="C3961" s="1" t="s">
        <v>3931</v>
      </c>
      <c r="D3961" s="7">
        <v>45541</v>
      </c>
      <c r="E3961" s="7">
        <v>45553</v>
      </c>
      <c r="F3961" s="7">
        <v>45645</v>
      </c>
      <c r="G3961" s="1" t="s">
        <v>22</v>
      </c>
      <c r="H3961" s="8">
        <v>50391332.68</v>
      </c>
      <c r="I3961" s="8">
        <v>27267570.07</v>
      </c>
      <c r="J3961" s="1">
        <f>IF(COUNTIF($C$4:C3961,C3961)=1,1,0)</f>
        <v>1</v>
      </c>
      <c r="K3961" s="1">
        <f t="shared" si="61"/>
        <v>2024</v>
      </c>
    </row>
    <row r="3962" spans="2:11" x14ac:dyDescent="0.45">
      <c r="B3962" s="1" t="s">
        <v>11</v>
      </c>
      <c r="C3962" s="1" t="s">
        <v>3932</v>
      </c>
      <c r="D3962" s="7">
        <v>46052</v>
      </c>
      <c r="E3962" s="7">
        <v>46055</v>
      </c>
      <c r="F3962" s="7">
        <v>46276</v>
      </c>
      <c r="G3962" s="1" t="s">
        <v>1348</v>
      </c>
      <c r="H3962" s="8">
        <v>43383313.439999998</v>
      </c>
      <c r="I3962" s="8">
        <v>18200711.539999999</v>
      </c>
      <c r="J3962" s="1">
        <f>IF(COUNTIF($C$4:C3962,C3962)=1,1,0)</f>
        <v>1</v>
      </c>
      <c r="K3962" s="1">
        <f t="shared" si="61"/>
        <v>2026</v>
      </c>
    </row>
    <row r="3963" spans="2:11" x14ac:dyDescent="0.45">
      <c r="B3963" s="1" t="s">
        <v>11</v>
      </c>
      <c r="C3963" s="1" t="s">
        <v>3933</v>
      </c>
      <c r="D3963" s="7">
        <v>45930</v>
      </c>
      <c r="E3963" s="7">
        <v>45934</v>
      </c>
      <c r="F3963" s="7">
        <v>45946</v>
      </c>
      <c r="G3963" s="1" t="s">
        <v>38</v>
      </c>
      <c r="H3963" s="8">
        <v>34216.89</v>
      </c>
      <c r="I3963" s="8">
        <v>27904.06</v>
      </c>
      <c r="J3963" s="1">
        <f>IF(COUNTIF($C$4:C3963,C3963)=1,1,0)</f>
        <v>1</v>
      </c>
      <c r="K3963" s="1">
        <f t="shared" si="61"/>
        <v>2025</v>
      </c>
    </row>
    <row r="3964" spans="2:11" x14ac:dyDescent="0.45">
      <c r="B3964" s="1" t="s">
        <v>11</v>
      </c>
      <c r="C3964" s="1" t="s">
        <v>3934</v>
      </c>
      <c r="D3964" s="7">
        <v>43704</v>
      </c>
      <c r="E3964" s="7">
        <v>43727</v>
      </c>
      <c r="F3964" s="7">
        <v>43946</v>
      </c>
      <c r="G3964" s="1" t="s">
        <v>16</v>
      </c>
      <c r="H3964" s="8">
        <v>873939.33</v>
      </c>
      <c r="I3964" s="8">
        <v>519849</v>
      </c>
      <c r="J3964" s="1">
        <f>IF(COUNTIF($C$4:C3964,C3964)=1,1,0)</f>
        <v>1</v>
      </c>
      <c r="K3964" s="1">
        <f t="shared" si="61"/>
        <v>2019</v>
      </c>
    </row>
    <row r="3965" spans="2:11" x14ac:dyDescent="0.45">
      <c r="B3965" s="1" t="s">
        <v>11</v>
      </c>
      <c r="C3965" s="1" t="s">
        <v>3935</v>
      </c>
      <c r="D3965" s="7">
        <v>43603</v>
      </c>
      <c r="E3965" s="7">
        <v>43604</v>
      </c>
      <c r="F3965" s="7">
        <v>43680</v>
      </c>
      <c r="G3965" s="1" t="s">
        <v>1348</v>
      </c>
      <c r="H3965" s="8">
        <v>14270457.880000001</v>
      </c>
      <c r="I3965" s="8">
        <v>5516378.8499999996</v>
      </c>
      <c r="J3965" s="1">
        <f>IF(COUNTIF($C$4:C3965,C3965)=1,1,0)</f>
        <v>1</v>
      </c>
      <c r="K3965" s="1">
        <f t="shared" si="61"/>
        <v>2019</v>
      </c>
    </row>
    <row r="3966" spans="2:11" x14ac:dyDescent="0.45">
      <c r="B3966" s="1" t="s">
        <v>11</v>
      </c>
      <c r="C3966" s="1" t="s">
        <v>3936</v>
      </c>
      <c r="D3966" s="7">
        <v>46130</v>
      </c>
      <c r="E3966" s="7">
        <v>46144</v>
      </c>
      <c r="F3966" s="7">
        <v>46184</v>
      </c>
      <c r="G3966" s="1" t="s">
        <v>22</v>
      </c>
      <c r="H3966" s="8">
        <v>100537000.90000001</v>
      </c>
      <c r="I3966" s="8">
        <v>58990211.670000002</v>
      </c>
      <c r="J3966" s="1">
        <f>IF(COUNTIF($C$4:C3966,C3966)=1,1,0)</f>
        <v>1</v>
      </c>
      <c r="K3966" s="1">
        <f t="shared" si="61"/>
        <v>2026</v>
      </c>
    </row>
    <row r="3967" spans="2:11" x14ac:dyDescent="0.45">
      <c r="B3967" s="1" t="s">
        <v>11</v>
      </c>
      <c r="C3967" s="1" t="s">
        <v>3937</v>
      </c>
      <c r="D3967" s="7">
        <v>43550</v>
      </c>
      <c r="E3967" s="7">
        <v>43559</v>
      </c>
      <c r="F3967" s="7">
        <v>43639</v>
      </c>
      <c r="G3967" s="1" t="s">
        <v>16</v>
      </c>
      <c r="H3967" s="8">
        <v>12850207.93</v>
      </c>
      <c r="I3967" s="8">
        <v>8373544.1699999999</v>
      </c>
      <c r="J3967" s="1">
        <f>IF(COUNTIF($C$4:C3967,C3967)=1,1,0)</f>
        <v>1</v>
      </c>
      <c r="K3967" s="1">
        <f t="shared" si="61"/>
        <v>2019</v>
      </c>
    </row>
    <row r="3968" spans="2:11" x14ac:dyDescent="0.45">
      <c r="B3968" s="1" t="s">
        <v>11</v>
      </c>
      <c r="C3968" s="1" t="s">
        <v>3938</v>
      </c>
      <c r="D3968" s="7">
        <v>44449</v>
      </c>
      <c r="E3968" s="7">
        <v>44472</v>
      </c>
      <c r="F3968" s="7">
        <v>44608</v>
      </c>
      <c r="G3968" s="1" t="s">
        <v>20</v>
      </c>
      <c r="H3968" s="8">
        <v>1771987.21</v>
      </c>
      <c r="I3968" s="8">
        <v>1166357.81</v>
      </c>
      <c r="J3968" s="1">
        <f>IF(COUNTIF($C$4:C3968,C3968)=1,1,0)</f>
        <v>1</v>
      </c>
      <c r="K3968" s="1">
        <f t="shared" si="61"/>
        <v>2021</v>
      </c>
    </row>
    <row r="3969" spans="2:11" x14ac:dyDescent="0.45">
      <c r="B3969" s="1" t="s">
        <v>11</v>
      </c>
      <c r="C3969" s="1" t="s">
        <v>3939</v>
      </c>
      <c r="D3969" s="7">
        <v>46326</v>
      </c>
      <c r="E3969" s="7">
        <v>46343</v>
      </c>
      <c r="F3969" s="7">
        <v>46501</v>
      </c>
      <c r="G3969" s="1" t="s">
        <v>38</v>
      </c>
      <c r="H3969" s="8">
        <v>681845.72</v>
      </c>
      <c r="I3969" s="8">
        <v>501717.04</v>
      </c>
      <c r="J3969" s="1">
        <f>IF(COUNTIF($C$4:C3969,C3969)=1,1,0)</f>
        <v>1</v>
      </c>
      <c r="K3969" s="1">
        <f t="shared" si="61"/>
        <v>2026</v>
      </c>
    </row>
    <row r="3970" spans="2:11" x14ac:dyDescent="0.45">
      <c r="B3970" s="1" t="s">
        <v>11</v>
      </c>
      <c r="C3970" s="1" t="s">
        <v>3940</v>
      </c>
      <c r="D3970" s="7">
        <v>43245</v>
      </c>
      <c r="E3970" s="7">
        <v>43266</v>
      </c>
      <c r="F3970" s="7">
        <v>43476</v>
      </c>
      <c r="G3970" s="1" t="s">
        <v>38</v>
      </c>
      <c r="H3970" s="8">
        <v>791164.41</v>
      </c>
      <c r="I3970" s="8">
        <v>567109.69999999995</v>
      </c>
      <c r="J3970" s="1">
        <f>IF(COUNTIF($C$4:C3970,C3970)=1,1,0)</f>
        <v>1</v>
      </c>
      <c r="K3970" s="1">
        <f t="shared" si="61"/>
        <v>2018</v>
      </c>
    </row>
    <row r="3971" spans="2:11" x14ac:dyDescent="0.45">
      <c r="B3971" s="1" t="s">
        <v>11</v>
      </c>
      <c r="C3971" s="1" t="s">
        <v>3941</v>
      </c>
      <c r="D3971" s="7">
        <v>45082</v>
      </c>
      <c r="E3971" s="7">
        <v>45092</v>
      </c>
      <c r="F3971" s="7">
        <v>45215</v>
      </c>
      <c r="G3971" s="1" t="s">
        <v>1348</v>
      </c>
      <c r="H3971" s="8">
        <v>4127073.35</v>
      </c>
      <c r="I3971" s="8">
        <v>2748637.69</v>
      </c>
      <c r="J3971" s="1">
        <f>IF(COUNTIF($C$4:C3971,C3971)=1,1,0)</f>
        <v>1</v>
      </c>
      <c r="K3971" s="1">
        <f t="shared" si="61"/>
        <v>2023</v>
      </c>
    </row>
    <row r="3972" spans="2:11" x14ac:dyDescent="0.45">
      <c r="B3972" s="1" t="s">
        <v>11</v>
      </c>
      <c r="C3972" s="1" t="s">
        <v>3942</v>
      </c>
      <c r="D3972" s="7">
        <v>45820</v>
      </c>
      <c r="E3972" s="7">
        <v>45825</v>
      </c>
      <c r="F3972" s="7">
        <v>45988</v>
      </c>
      <c r="G3972" s="1" t="s">
        <v>13</v>
      </c>
      <c r="H3972" s="8">
        <v>1213792.8600000001</v>
      </c>
      <c r="I3972" s="8">
        <v>971149.44</v>
      </c>
      <c r="J3972" s="1">
        <f>IF(COUNTIF($C$4:C3972,C3972)=1,1,0)</f>
        <v>1</v>
      </c>
      <c r="K3972" s="1">
        <f t="shared" si="61"/>
        <v>2025</v>
      </c>
    </row>
    <row r="3973" spans="2:11" x14ac:dyDescent="0.45">
      <c r="B3973" s="1" t="s">
        <v>11</v>
      </c>
      <c r="C3973" s="1" t="s">
        <v>3943</v>
      </c>
      <c r="D3973" s="7">
        <v>45542</v>
      </c>
      <c r="E3973" s="7">
        <v>45572</v>
      </c>
      <c r="F3973" s="7">
        <v>45678</v>
      </c>
      <c r="G3973" s="1" t="s">
        <v>20</v>
      </c>
      <c r="H3973" s="8">
        <v>443885.58</v>
      </c>
      <c r="I3973" s="8">
        <v>338934.74</v>
      </c>
      <c r="J3973" s="1">
        <f>IF(COUNTIF($C$4:C3973,C3973)=1,1,0)</f>
        <v>1</v>
      </c>
      <c r="K3973" s="1">
        <f t="shared" ref="K3973:K4036" si="62">YEAR(D3973)</f>
        <v>2024</v>
      </c>
    </row>
    <row r="3974" spans="2:11" x14ac:dyDescent="0.45">
      <c r="B3974" s="1" t="s">
        <v>11</v>
      </c>
      <c r="C3974" s="1" t="s">
        <v>3944</v>
      </c>
      <c r="D3974" s="7">
        <v>46190</v>
      </c>
      <c r="E3974" s="7">
        <v>46219</v>
      </c>
      <c r="F3974" s="7">
        <v>46331</v>
      </c>
      <c r="G3974" s="1" t="s">
        <v>38</v>
      </c>
      <c r="H3974" s="8">
        <v>1790143.87</v>
      </c>
      <c r="I3974" s="8">
        <v>1459948.09</v>
      </c>
      <c r="J3974" s="1">
        <f>IF(COUNTIF($C$4:C3974,C3974)=1,1,0)</f>
        <v>1</v>
      </c>
      <c r="K3974" s="1">
        <f t="shared" si="62"/>
        <v>2026</v>
      </c>
    </row>
    <row r="3975" spans="2:11" x14ac:dyDescent="0.45">
      <c r="B3975" s="1" t="s">
        <v>11</v>
      </c>
      <c r="C3975" s="1" t="s">
        <v>3945</v>
      </c>
      <c r="D3975" s="7">
        <v>44581</v>
      </c>
      <c r="E3975" s="7">
        <v>44585</v>
      </c>
      <c r="F3975" s="7">
        <v>44626</v>
      </c>
      <c r="G3975" s="1" t="s">
        <v>1348</v>
      </c>
      <c r="H3975" s="8">
        <v>40729484.520000003</v>
      </c>
      <c r="I3975" s="8">
        <v>19915923.16</v>
      </c>
      <c r="J3975" s="1">
        <f>IF(COUNTIF($C$4:C3975,C3975)=1,1,0)</f>
        <v>1</v>
      </c>
      <c r="K3975" s="1">
        <f t="shared" si="62"/>
        <v>2022</v>
      </c>
    </row>
    <row r="3976" spans="2:11" x14ac:dyDescent="0.45">
      <c r="B3976" s="1" t="s">
        <v>11</v>
      </c>
      <c r="C3976" s="1" t="s">
        <v>3946</v>
      </c>
      <c r="D3976" s="7">
        <v>45977</v>
      </c>
      <c r="E3976" s="7">
        <v>45989</v>
      </c>
      <c r="F3976" s="7">
        <v>46166</v>
      </c>
      <c r="G3976" s="1" t="s">
        <v>38</v>
      </c>
      <c r="H3976" s="8">
        <v>699984.21</v>
      </c>
      <c r="I3976" s="8">
        <v>443978.58</v>
      </c>
      <c r="J3976" s="1">
        <f>IF(COUNTIF($C$4:C3976,C3976)=1,1,0)</f>
        <v>1</v>
      </c>
      <c r="K3976" s="1">
        <f t="shared" si="62"/>
        <v>2025</v>
      </c>
    </row>
    <row r="3977" spans="2:11" x14ac:dyDescent="0.45">
      <c r="B3977" s="1" t="s">
        <v>11</v>
      </c>
      <c r="C3977" s="1" t="s">
        <v>3947</v>
      </c>
      <c r="D3977" s="7">
        <v>44438</v>
      </c>
      <c r="E3977" s="7">
        <v>44461</v>
      </c>
      <c r="F3977" s="7">
        <v>44518</v>
      </c>
      <c r="G3977" s="1" t="s">
        <v>13</v>
      </c>
      <c r="H3977" s="8">
        <v>509784.72</v>
      </c>
      <c r="I3977" s="8">
        <v>389710.22</v>
      </c>
      <c r="J3977" s="1">
        <f>IF(COUNTIF($C$4:C3977,C3977)=1,1,0)</f>
        <v>1</v>
      </c>
      <c r="K3977" s="1">
        <f t="shared" si="62"/>
        <v>2021</v>
      </c>
    </row>
    <row r="3978" spans="2:11" x14ac:dyDescent="0.45">
      <c r="B3978" s="1" t="s">
        <v>11</v>
      </c>
      <c r="C3978" s="1" t="s">
        <v>3948</v>
      </c>
      <c r="D3978" s="7">
        <v>45980</v>
      </c>
      <c r="E3978" s="7">
        <v>46005</v>
      </c>
      <c r="F3978" s="7">
        <v>46233</v>
      </c>
      <c r="G3978" s="1" t="s">
        <v>212</v>
      </c>
      <c r="H3978" s="8">
        <v>20509844.09</v>
      </c>
      <c r="I3978" s="8">
        <v>7612637.7199999997</v>
      </c>
      <c r="J3978" s="1">
        <f>IF(COUNTIF($C$4:C3978,C3978)=1,1,0)</f>
        <v>1</v>
      </c>
      <c r="K3978" s="1">
        <f t="shared" si="62"/>
        <v>2025</v>
      </c>
    </row>
    <row r="3979" spans="2:11" x14ac:dyDescent="0.45">
      <c r="B3979" s="1" t="s">
        <v>11</v>
      </c>
      <c r="C3979" s="1" t="s">
        <v>3949</v>
      </c>
      <c r="D3979" s="7">
        <v>45728</v>
      </c>
      <c r="E3979" s="7">
        <v>45737</v>
      </c>
      <c r="F3979" s="7">
        <v>45769</v>
      </c>
      <c r="G3979" s="1" t="s">
        <v>1348</v>
      </c>
      <c r="H3979" s="8">
        <v>349425691.69</v>
      </c>
      <c r="I3979" s="8">
        <v>190024496.24000001</v>
      </c>
      <c r="J3979" s="1">
        <f>IF(COUNTIF($C$4:C3979,C3979)=1,1,0)</f>
        <v>1</v>
      </c>
      <c r="K3979" s="1">
        <f t="shared" si="62"/>
        <v>2025</v>
      </c>
    </row>
    <row r="3980" spans="2:11" x14ac:dyDescent="0.45">
      <c r="B3980" s="1" t="s">
        <v>11</v>
      </c>
      <c r="C3980" s="1" t="s">
        <v>3950</v>
      </c>
      <c r="D3980" s="7">
        <v>44394</v>
      </c>
      <c r="E3980" s="7">
        <v>44399</v>
      </c>
      <c r="F3980" s="7">
        <v>44526</v>
      </c>
      <c r="G3980" s="1" t="s">
        <v>41</v>
      </c>
      <c r="H3980" s="8">
        <v>25311.83</v>
      </c>
      <c r="I3980" s="8">
        <v>18951.060000000001</v>
      </c>
      <c r="J3980" s="1">
        <f>IF(COUNTIF($C$4:C3980,C3980)=1,1,0)</f>
        <v>1</v>
      </c>
      <c r="K3980" s="1">
        <f t="shared" si="62"/>
        <v>2021</v>
      </c>
    </row>
    <row r="3981" spans="2:11" x14ac:dyDescent="0.45">
      <c r="B3981" s="1" t="s">
        <v>11</v>
      </c>
      <c r="C3981" s="1" t="s">
        <v>3951</v>
      </c>
      <c r="D3981" s="7">
        <v>45894</v>
      </c>
      <c r="E3981" s="7">
        <v>45914</v>
      </c>
      <c r="F3981" s="7">
        <v>46056</v>
      </c>
      <c r="G3981" s="1" t="s">
        <v>38</v>
      </c>
      <c r="H3981" s="8">
        <v>283498.58</v>
      </c>
      <c r="I3981" s="8">
        <v>237552.66</v>
      </c>
      <c r="J3981" s="1">
        <f>IF(COUNTIF($C$4:C3981,C3981)=1,1,0)</f>
        <v>1</v>
      </c>
      <c r="K3981" s="1">
        <f t="shared" si="62"/>
        <v>2025</v>
      </c>
    </row>
    <row r="3982" spans="2:11" x14ac:dyDescent="0.45">
      <c r="B3982" s="1" t="s">
        <v>11</v>
      </c>
      <c r="C3982" s="1" t="s">
        <v>3952</v>
      </c>
      <c r="D3982" s="7">
        <v>43973</v>
      </c>
      <c r="E3982" s="7">
        <v>43985</v>
      </c>
      <c r="F3982" s="7">
        <v>44200</v>
      </c>
      <c r="G3982" s="1" t="s">
        <v>13</v>
      </c>
      <c r="H3982" s="8">
        <v>62353.3</v>
      </c>
      <c r="I3982" s="8">
        <v>42150.11</v>
      </c>
      <c r="J3982" s="1">
        <f>IF(COUNTIF($C$4:C3982,C3982)=1,1,0)</f>
        <v>1</v>
      </c>
      <c r="K3982" s="1">
        <f t="shared" si="62"/>
        <v>2020</v>
      </c>
    </row>
    <row r="3983" spans="2:11" x14ac:dyDescent="0.45">
      <c r="B3983" s="1" t="s">
        <v>11</v>
      </c>
      <c r="C3983" s="1" t="s">
        <v>3953</v>
      </c>
      <c r="D3983" s="7">
        <v>44468</v>
      </c>
      <c r="E3983" s="7">
        <v>44472</v>
      </c>
      <c r="F3983" s="7">
        <v>44618</v>
      </c>
      <c r="G3983" s="1" t="s">
        <v>212</v>
      </c>
      <c r="H3983" s="8">
        <v>11057930.15</v>
      </c>
      <c r="I3983" s="8">
        <v>4111392.44</v>
      </c>
      <c r="J3983" s="1">
        <f>IF(COUNTIF($C$4:C3983,C3983)=1,1,0)</f>
        <v>1</v>
      </c>
      <c r="K3983" s="1">
        <f t="shared" si="62"/>
        <v>2021</v>
      </c>
    </row>
    <row r="3984" spans="2:11" x14ac:dyDescent="0.45">
      <c r="B3984" s="1" t="s">
        <v>11</v>
      </c>
      <c r="C3984" s="1" t="s">
        <v>3954</v>
      </c>
      <c r="D3984" s="7">
        <v>43577</v>
      </c>
      <c r="E3984" s="7">
        <v>43604</v>
      </c>
      <c r="F3984" s="7">
        <v>43695</v>
      </c>
      <c r="G3984" s="1" t="s">
        <v>38</v>
      </c>
      <c r="H3984" s="8">
        <v>650589.15</v>
      </c>
      <c r="I3984" s="8">
        <v>479112.01</v>
      </c>
      <c r="J3984" s="1">
        <f>IF(COUNTIF($C$4:C3984,C3984)=1,1,0)</f>
        <v>1</v>
      </c>
      <c r="K3984" s="1">
        <f t="shared" si="62"/>
        <v>2019</v>
      </c>
    </row>
    <row r="3985" spans="2:11" x14ac:dyDescent="0.45">
      <c r="B3985" s="1" t="s">
        <v>11</v>
      </c>
      <c r="C3985" s="1" t="s">
        <v>3955</v>
      </c>
      <c r="D3985" s="7">
        <v>44588</v>
      </c>
      <c r="E3985" s="7">
        <v>44617</v>
      </c>
      <c r="F3985" s="7">
        <v>44855</v>
      </c>
      <c r="G3985" s="1" t="s">
        <v>13</v>
      </c>
      <c r="H3985" s="8">
        <v>791500.4</v>
      </c>
      <c r="I3985" s="8">
        <v>657713.37</v>
      </c>
      <c r="J3985" s="1">
        <f>IF(COUNTIF($C$4:C3985,C3985)=1,1,0)</f>
        <v>1</v>
      </c>
      <c r="K3985" s="1">
        <f t="shared" si="62"/>
        <v>2022</v>
      </c>
    </row>
    <row r="3986" spans="2:11" x14ac:dyDescent="0.45">
      <c r="B3986" s="1" t="s">
        <v>11</v>
      </c>
      <c r="C3986" s="1" t="s">
        <v>3956</v>
      </c>
      <c r="D3986" s="7">
        <v>45961</v>
      </c>
      <c r="E3986" s="7">
        <v>45963</v>
      </c>
      <c r="F3986" s="7">
        <v>46151</v>
      </c>
      <c r="G3986" s="1" t="s">
        <v>20</v>
      </c>
      <c r="H3986" s="8">
        <v>208978.9</v>
      </c>
      <c r="I3986" s="8">
        <v>151280.54999999999</v>
      </c>
      <c r="J3986" s="1">
        <f>IF(COUNTIF($C$4:C3986,C3986)=1,1,0)</f>
        <v>1</v>
      </c>
      <c r="K3986" s="1">
        <f t="shared" si="62"/>
        <v>2025</v>
      </c>
    </row>
    <row r="3987" spans="2:11" x14ac:dyDescent="0.45">
      <c r="B3987" s="1" t="s">
        <v>11</v>
      </c>
      <c r="C3987" s="1" t="s">
        <v>3957</v>
      </c>
      <c r="D3987" s="7">
        <v>45260</v>
      </c>
      <c r="E3987" s="7">
        <v>45287</v>
      </c>
      <c r="F3987" s="7">
        <v>45431</v>
      </c>
      <c r="G3987" s="1" t="s">
        <v>38</v>
      </c>
      <c r="H3987" s="8">
        <v>1927039.79</v>
      </c>
      <c r="I3987" s="8">
        <v>1574609.53</v>
      </c>
      <c r="J3987" s="1">
        <f>IF(COUNTIF($C$4:C3987,C3987)=1,1,0)</f>
        <v>1</v>
      </c>
      <c r="K3987" s="1">
        <f t="shared" si="62"/>
        <v>2023</v>
      </c>
    </row>
    <row r="3988" spans="2:11" x14ac:dyDescent="0.45">
      <c r="B3988" s="1" t="s">
        <v>11</v>
      </c>
      <c r="C3988" s="1" t="s">
        <v>3958</v>
      </c>
      <c r="D3988" s="7">
        <v>44807</v>
      </c>
      <c r="E3988" s="7">
        <v>44810</v>
      </c>
      <c r="F3988" s="7">
        <v>44915</v>
      </c>
      <c r="G3988" s="1" t="s">
        <v>22</v>
      </c>
      <c r="H3988" s="8">
        <v>11814178.49</v>
      </c>
      <c r="I3988" s="8">
        <v>8485962.9800000004</v>
      </c>
      <c r="J3988" s="1">
        <f>IF(COUNTIF($C$4:C3988,C3988)=1,1,0)</f>
        <v>1</v>
      </c>
      <c r="K3988" s="1">
        <f t="shared" si="62"/>
        <v>2022</v>
      </c>
    </row>
    <row r="3989" spans="2:11" x14ac:dyDescent="0.45">
      <c r="B3989" s="1" t="s">
        <v>11</v>
      </c>
      <c r="C3989" s="1" t="s">
        <v>3959</v>
      </c>
      <c r="D3989" s="7">
        <v>46219</v>
      </c>
      <c r="E3989" s="7">
        <v>46246</v>
      </c>
      <c r="F3989" s="7">
        <v>46433</v>
      </c>
      <c r="G3989" s="1" t="s">
        <v>22</v>
      </c>
      <c r="H3989" s="8">
        <v>33908323.450000003</v>
      </c>
      <c r="I3989" s="8">
        <v>27183411.23</v>
      </c>
      <c r="J3989" s="1">
        <f>IF(COUNTIF($C$4:C3989,C3989)=1,1,0)</f>
        <v>1</v>
      </c>
      <c r="K3989" s="1">
        <f t="shared" si="62"/>
        <v>2026</v>
      </c>
    </row>
    <row r="3990" spans="2:11" x14ac:dyDescent="0.45">
      <c r="B3990" s="1" t="s">
        <v>11</v>
      </c>
      <c r="C3990" s="1" t="s">
        <v>3960</v>
      </c>
      <c r="D3990" s="7">
        <v>45291</v>
      </c>
      <c r="E3990" s="7">
        <v>45306</v>
      </c>
      <c r="F3990" s="7">
        <v>45399</v>
      </c>
      <c r="G3990" s="1" t="s">
        <v>38</v>
      </c>
      <c r="H3990" s="8">
        <v>588476.79</v>
      </c>
      <c r="I3990" s="8">
        <v>473206.67</v>
      </c>
      <c r="J3990" s="1">
        <f>IF(COUNTIF($C$4:C3990,C3990)=1,1,0)</f>
        <v>1</v>
      </c>
      <c r="K3990" s="1">
        <f t="shared" si="62"/>
        <v>2023</v>
      </c>
    </row>
    <row r="3991" spans="2:11" x14ac:dyDescent="0.45">
      <c r="B3991" s="1" t="s">
        <v>11</v>
      </c>
      <c r="C3991" s="1" t="s">
        <v>3961</v>
      </c>
      <c r="D3991" s="7">
        <v>45409</v>
      </c>
      <c r="E3991" s="7">
        <v>45437</v>
      </c>
      <c r="F3991" s="7">
        <v>45538</v>
      </c>
      <c r="G3991" s="1" t="s">
        <v>22</v>
      </c>
      <c r="H3991" s="8">
        <v>10132453.140000001</v>
      </c>
      <c r="I3991" s="8">
        <v>7917488.4500000002</v>
      </c>
      <c r="J3991" s="1">
        <f>IF(COUNTIF($C$4:C3991,C3991)=1,1,0)</f>
        <v>1</v>
      </c>
      <c r="K3991" s="1">
        <f t="shared" si="62"/>
        <v>2024</v>
      </c>
    </row>
    <row r="3992" spans="2:11" x14ac:dyDescent="0.45">
      <c r="B3992" s="1" t="s">
        <v>11</v>
      </c>
      <c r="C3992" s="1" t="s">
        <v>3962</v>
      </c>
      <c r="D3992" s="7">
        <v>43346</v>
      </c>
      <c r="E3992" s="7">
        <v>43353</v>
      </c>
      <c r="F3992" s="7">
        <v>43397</v>
      </c>
      <c r="G3992" s="1" t="s">
        <v>1348</v>
      </c>
      <c r="H3992" s="8">
        <v>16743092.01</v>
      </c>
      <c r="I3992" s="8">
        <v>7495650.3200000003</v>
      </c>
      <c r="J3992" s="1">
        <f>IF(COUNTIF($C$4:C3992,C3992)=1,1,0)</f>
        <v>1</v>
      </c>
      <c r="K3992" s="1">
        <f t="shared" si="62"/>
        <v>2018</v>
      </c>
    </row>
    <row r="3993" spans="2:11" x14ac:dyDescent="0.45">
      <c r="B3993" s="1" t="s">
        <v>11</v>
      </c>
      <c r="C3993" s="1" t="s">
        <v>3963</v>
      </c>
      <c r="D3993" s="7">
        <v>43523</v>
      </c>
      <c r="E3993" s="7">
        <v>43551</v>
      </c>
      <c r="F3993" s="7">
        <v>43745</v>
      </c>
      <c r="G3993" s="1" t="s">
        <v>20</v>
      </c>
      <c r="H3993" s="8">
        <v>2295197.0299999998</v>
      </c>
      <c r="I3993" s="8">
        <v>1340504.06</v>
      </c>
      <c r="J3993" s="1">
        <f>IF(COUNTIF($C$4:C3993,C3993)=1,1,0)</f>
        <v>1</v>
      </c>
      <c r="K3993" s="1">
        <f t="shared" si="62"/>
        <v>2019</v>
      </c>
    </row>
    <row r="3994" spans="2:11" x14ac:dyDescent="0.45">
      <c r="B3994" s="1" t="s">
        <v>11</v>
      </c>
      <c r="C3994" s="1" t="s">
        <v>3964</v>
      </c>
      <c r="D3994" s="7">
        <v>44621</v>
      </c>
      <c r="E3994" s="7">
        <v>44627</v>
      </c>
      <c r="F3994" s="7">
        <v>44663</v>
      </c>
      <c r="G3994" s="1" t="s">
        <v>38</v>
      </c>
      <c r="H3994" s="8">
        <v>50598.239999999998</v>
      </c>
      <c r="I3994" s="8">
        <v>44631.96</v>
      </c>
      <c r="J3994" s="1">
        <f>IF(COUNTIF($C$4:C3994,C3994)=1,1,0)</f>
        <v>1</v>
      </c>
      <c r="K3994" s="1">
        <f t="shared" si="62"/>
        <v>2022</v>
      </c>
    </row>
    <row r="3995" spans="2:11" x14ac:dyDescent="0.45">
      <c r="B3995" s="1" t="s">
        <v>11</v>
      </c>
      <c r="C3995" s="1" t="s">
        <v>3965</v>
      </c>
      <c r="D3995" s="7">
        <v>45257</v>
      </c>
      <c r="E3995" s="7">
        <v>45271</v>
      </c>
      <c r="F3995" s="7">
        <v>45282</v>
      </c>
      <c r="G3995" s="1" t="s">
        <v>1348</v>
      </c>
      <c r="H3995" s="8">
        <v>76706056.359999999</v>
      </c>
      <c r="I3995" s="8">
        <v>56821096.100000001</v>
      </c>
      <c r="J3995" s="1">
        <f>IF(COUNTIF($C$4:C3995,C3995)=1,1,0)</f>
        <v>1</v>
      </c>
      <c r="K3995" s="1">
        <f t="shared" si="62"/>
        <v>2023</v>
      </c>
    </row>
    <row r="3996" spans="2:11" x14ac:dyDescent="0.45">
      <c r="B3996" s="1" t="s">
        <v>11</v>
      </c>
      <c r="C3996" s="1" t="s">
        <v>3966</v>
      </c>
      <c r="D3996" s="7">
        <v>44777</v>
      </c>
      <c r="E3996" s="7">
        <v>44789</v>
      </c>
      <c r="F3996" s="7">
        <v>44884</v>
      </c>
      <c r="G3996" s="1" t="s">
        <v>22</v>
      </c>
      <c r="H3996" s="8">
        <v>7006048.6900000004</v>
      </c>
      <c r="I3996" s="8">
        <v>3471234.84</v>
      </c>
      <c r="J3996" s="1">
        <f>IF(COUNTIF($C$4:C3996,C3996)=1,1,0)</f>
        <v>1</v>
      </c>
      <c r="K3996" s="1">
        <f t="shared" si="62"/>
        <v>2022</v>
      </c>
    </row>
    <row r="3997" spans="2:11" x14ac:dyDescent="0.45">
      <c r="B3997" s="1" t="s">
        <v>11</v>
      </c>
      <c r="C3997" s="1" t="s">
        <v>3967</v>
      </c>
      <c r="D3997" s="7">
        <v>44456</v>
      </c>
      <c r="E3997" s="7">
        <v>44460</v>
      </c>
      <c r="F3997" s="7">
        <v>44555</v>
      </c>
      <c r="G3997" s="1" t="s">
        <v>16</v>
      </c>
      <c r="H3997" s="8">
        <v>246404.64</v>
      </c>
      <c r="I3997" s="8">
        <v>161135.1</v>
      </c>
      <c r="J3997" s="1">
        <f>IF(COUNTIF($C$4:C3997,C3997)=1,1,0)</f>
        <v>1</v>
      </c>
      <c r="K3997" s="1">
        <f t="shared" si="62"/>
        <v>2021</v>
      </c>
    </row>
    <row r="3998" spans="2:11" x14ac:dyDescent="0.45">
      <c r="B3998" s="1" t="s">
        <v>11</v>
      </c>
      <c r="C3998" s="1" t="s">
        <v>3968</v>
      </c>
      <c r="D3998" s="7">
        <v>44449</v>
      </c>
      <c r="E3998" s="7">
        <v>44464</v>
      </c>
      <c r="F3998" s="7">
        <v>44701</v>
      </c>
      <c r="G3998" s="1" t="s">
        <v>13</v>
      </c>
      <c r="H3998" s="8">
        <v>350105.77</v>
      </c>
      <c r="I3998" s="8">
        <v>205564.67</v>
      </c>
      <c r="J3998" s="1">
        <f>IF(COUNTIF($C$4:C3998,C3998)=1,1,0)</f>
        <v>1</v>
      </c>
      <c r="K3998" s="1">
        <f t="shared" si="62"/>
        <v>2021</v>
      </c>
    </row>
    <row r="3999" spans="2:11" x14ac:dyDescent="0.45">
      <c r="B3999" s="1" t="s">
        <v>11</v>
      </c>
      <c r="C3999" s="1" t="s">
        <v>3969</v>
      </c>
      <c r="D3999" s="7">
        <v>44142</v>
      </c>
      <c r="E3999" s="7">
        <v>44142</v>
      </c>
      <c r="F3999" s="7">
        <v>44296</v>
      </c>
      <c r="G3999" s="1" t="s">
        <v>16</v>
      </c>
      <c r="H3999" s="8">
        <v>848598.35</v>
      </c>
      <c r="I3999" s="8">
        <v>655309.27</v>
      </c>
      <c r="J3999" s="1">
        <f>IF(COUNTIF($C$4:C3999,C3999)=1,1,0)</f>
        <v>1</v>
      </c>
      <c r="K3999" s="1">
        <f t="shared" si="62"/>
        <v>2020</v>
      </c>
    </row>
    <row r="4000" spans="2:11" x14ac:dyDescent="0.45">
      <c r="B4000" s="1" t="s">
        <v>11</v>
      </c>
      <c r="C4000" s="1" t="s">
        <v>3970</v>
      </c>
      <c r="D4000" s="7">
        <v>45890</v>
      </c>
      <c r="E4000" s="7">
        <v>45907</v>
      </c>
      <c r="F4000" s="7">
        <v>46091</v>
      </c>
      <c r="G4000" s="1" t="s">
        <v>16</v>
      </c>
      <c r="H4000" s="8">
        <v>3094422.18</v>
      </c>
      <c r="I4000" s="8">
        <v>2357135.64</v>
      </c>
      <c r="J4000" s="1">
        <f>IF(COUNTIF($C$4:C4000,C4000)=1,1,0)</f>
        <v>1</v>
      </c>
      <c r="K4000" s="1">
        <f t="shared" si="62"/>
        <v>2025</v>
      </c>
    </row>
    <row r="4001" spans="2:11" x14ac:dyDescent="0.45">
      <c r="B4001" s="1" t="s">
        <v>11</v>
      </c>
      <c r="C4001" s="1" t="s">
        <v>3971</v>
      </c>
      <c r="D4001" s="7">
        <v>45662</v>
      </c>
      <c r="E4001" s="7">
        <v>45684</v>
      </c>
      <c r="F4001" s="7">
        <v>45723</v>
      </c>
      <c r="G4001" s="1" t="s">
        <v>13</v>
      </c>
      <c r="H4001" s="8">
        <v>624765.96</v>
      </c>
      <c r="I4001" s="8">
        <v>526934.02</v>
      </c>
      <c r="J4001" s="1">
        <f>IF(COUNTIF($C$4:C4001,C4001)=1,1,0)</f>
        <v>1</v>
      </c>
      <c r="K4001" s="1">
        <f t="shared" si="62"/>
        <v>2025</v>
      </c>
    </row>
    <row r="4002" spans="2:11" x14ac:dyDescent="0.45">
      <c r="B4002" s="1" t="s">
        <v>11</v>
      </c>
      <c r="C4002" s="1" t="s">
        <v>3972</v>
      </c>
      <c r="D4002" s="7">
        <v>43894</v>
      </c>
      <c r="E4002" s="7">
        <v>43897</v>
      </c>
      <c r="F4002" s="7">
        <v>43925</v>
      </c>
      <c r="G4002" s="1" t="s">
        <v>20</v>
      </c>
      <c r="H4002" s="8">
        <v>396492.38</v>
      </c>
      <c r="I4002" s="8">
        <v>204708.55</v>
      </c>
      <c r="J4002" s="1">
        <f>IF(COUNTIF($C$4:C4002,C4002)=1,1,0)</f>
        <v>1</v>
      </c>
      <c r="K4002" s="1">
        <f t="shared" si="62"/>
        <v>2020</v>
      </c>
    </row>
    <row r="4003" spans="2:11" x14ac:dyDescent="0.45">
      <c r="B4003" s="1" t="s">
        <v>11</v>
      </c>
      <c r="C4003" s="1" t="s">
        <v>3973</v>
      </c>
      <c r="D4003" s="7">
        <v>43426</v>
      </c>
      <c r="E4003" s="7">
        <v>43445</v>
      </c>
      <c r="F4003" s="7">
        <v>43461</v>
      </c>
      <c r="G4003" s="1" t="s">
        <v>41</v>
      </c>
      <c r="H4003" s="8">
        <v>299926.65000000002</v>
      </c>
      <c r="I4003" s="8">
        <v>201431.28</v>
      </c>
      <c r="J4003" s="1">
        <f>IF(COUNTIF($C$4:C4003,C4003)=1,1,0)</f>
        <v>1</v>
      </c>
      <c r="K4003" s="1">
        <f t="shared" si="62"/>
        <v>2018</v>
      </c>
    </row>
    <row r="4004" spans="2:11" x14ac:dyDescent="0.45">
      <c r="B4004" s="1" t="s">
        <v>11</v>
      </c>
      <c r="C4004" s="1" t="s">
        <v>3974</v>
      </c>
      <c r="D4004" s="7">
        <v>44280</v>
      </c>
      <c r="E4004" s="7">
        <v>44294</v>
      </c>
      <c r="F4004" s="7">
        <v>44366</v>
      </c>
      <c r="G4004" s="1" t="s">
        <v>13</v>
      </c>
      <c r="H4004" s="8">
        <v>493523.74</v>
      </c>
      <c r="I4004" s="8">
        <v>417888.17</v>
      </c>
      <c r="J4004" s="1">
        <f>IF(COUNTIF($C$4:C4004,C4004)=1,1,0)</f>
        <v>1</v>
      </c>
      <c r="K4004" s="1">
        <f t="shared" si="62"/>
        <v>2021</v>
      </c>
    </row>
    <row r="4005" spans="2:11" x14ac:dyDescent="0.45">
      <c r="B4005" s="1" t="s">
        <v>11</v>
      </c>
      <c r="C4005" s="1" t="s">
        <v>3975</v>
      </c>
      <c r="D4005" s="7">
        <v>44473</v>
      </c>
      <c r="E4005" s="7">
        <v>44502</v>
      </c>
      <c r="F4005" s="7">
        <v>44734</v>
      </c>
      <c r="G4005" s="1" t="s">
        <v>16</v>
      </c>
      <c r="H4005" s="8">
        <v>4110478.03</v>
      </c>
      <c r="I4005" s="8">
        <v>3149471.38</v>
      </c>
      <c r="J4005" s="1">
        <f>IF(COUNTIF($C$4:C4005,C4005)=1,1,0)</f>
        <v>1</v>
      </c>
      <c r="K4005" s="1">
        <f t="shared" si="62"/>
        <v>2021</v>
      </c>
    </row>
    <row r="4006" spans="2:11" x14ac:dyDescent="0.45">
      <c r="B4006" s="1" t="s">
        <v>11</v>
      </c>
      <c r="C4006" s="1" t="s">
        <v>3976</v>
      </c>
      <c r="D4006" s="7">
        <v>44646</v>
      </c>
      <c r="E4006" s="7">
        <v>44658</v>
      </c>
      <c r="F4006" s="7">
        <v>44708</v>
      </c>
      <c r="G4006" s="1" t="s">
        <v>38</v>
      </c>
      <c r="H4006" s="8">
        <v>2326643.75</v>
      </c>
      <c r="I4006" s="8">
        <v>1777715.28</v>
      </c>
      <c r="J4006" s="1">
        <f>IF(COUNTIF($C$4:C4006,C4006)=1,1,0)</f>
        <v>1</v>
      </c>
      <c r="K4006" s="1">
        <f t="shared" si="62"/>
        <v>2022</v>
      </c>
    </row>
    <row r="4007" spans="2:11" x14ac:dyDescent="0.45">
      <c r="B4007" s="1" t="s">
        <v>11</v>
      </c>
      <c r="C4007" s="1" t="s">
        <v>3977</v>
      </c>
      <c r="D4007" s="7">
        <v>43528</v>
      </c>
      <c r="E4007" s="7">
        <v>43547</v>
      </c>
      <c r="F4007" s="7">
        <v>43626</v>
      </c>
      <c r="G4007" s="1" t="s">
        <v>13</v>
      </c>
      <c r="H4007" s="8">
        <v>925972.14</v>
      </c>
      <c r="I4007" s="8">
        <v>556909.36</v>
      </c>
      <c r="J4007" s="1">
        <f>IF(COUNTIF($C$4:C4007,C4007)=1,1,0)</f>
        <v>1</v>
      </c>
      <c r="K4007" s="1">
        <f t="shared" si="62"/>
        <v>2019</v>
      </c>
    </row>
    <row r="4008" spans="2:11" x14ac:dyDescent="0.45">
      <c r="B4008" s="1" t="s">
        <v>11</v>
      </c>
      <c r="C4008" s="1" t="s">
        <v>3978</v>
      </c>
      <c r="D4008" s="7">
        <v>46045</v>
      </c>
      <c r="E4008" s="7">
        <v>46048</v>
      </c>
      <c r="F4008" s="7">
        <v>46189</v>
      </c>
      <c r="G4008" s="1" t="s">
        <v>1348</v>
      </c>
      <c r="H4008" s="8">
        <v>47542000.229999997</v>
      </c>
      <c r="I4008" s="8">
        <v>34697954.310000002</v>
      </c>
      <c r="J4008" s="1">
        <f>IF(COUNTIF($C$4:C4008,C4008)=1,1,0)</f>
        <v>1</v>
      </c>
      <c r="K4008" s="1">
        <f t="shared" si="62"/>
        <v>2026</v>
      </c>
    </row>
    <row r="4009" spans="2:11" x14ac:dyDescent="0.45">
      <c r="B4009" s="1" t="s">
        <v>11</v>
      </c>
      <c r="C4009" s="1" t="s">
        <v>3979</v>
      </c>
      <c r="D4009" s="7">
        <v>43305</v>
      </c>
      <c r="E4009" s="7">
        <v>43331</v>
      </c>
      <c r="F4009" s="7">
        <v>43504</v>
      </c>
      <c r="G4009" s="1" t="s">
        <v>22</v>
      </c>
      <c r="H4009" s="8">
        <v>91817717.319999993</v>
      </c>
      <c r="I4009" s="8">
        <v>34434070.100000001</v>
      </c>
      <c r="J4009" s="1">
        <f>IF(COUNTIF($C$4:C4009,C4009)=1,1,0)</f>
        <v>1</v>
      </c>
      <c r="K4009" s="1">
        <f t="shared" si="62"/>
        <v>2018</v>
      </c>
    </row>
    <row r="4010" spans="2:11" x14ac:dyDescent="0.45">
      <c r="B4010" s="1" t="s">
        <v>11</v>
      </c>
      <c r="C4010" s="1" t="s">
        <v>3980</v>
      </c>
      <c r="D4010" s="7">
        <v>45894</v>
      </c>
      <c r="E4010" s="7">
        <v>45904</v>
      </c>
      <c r="F4010" s="7">
        <v>46130</v>
      </c>
      <c r="G4010" s="1" t="s">
        <v>22</v>
      </c>
      <c r="H4010" s="8">
        <v>5883046.6699999999</v>
      </c>
      <c r="I4010" s="8">
        <v>4191594.01</v>
      </c>
      <c r="J4010" s="1">
        <f>IF(COUNTIF($C$4:C4010,C4010)=1,1,0)</f>
        <v>1</v>
      </c>
      <c r="K4010" s="1">
        <f t="shared" si="62"/>
        <v>2025</v>
      </c>
    </row>
    <row r="4011" spans="2:11" x14ac:dyDescent="0.45">
      <c r="B4011" s="1" t="s">
        <v>11</v>
      </c>
      <c r="C4011" s="1" t="s">
        <v>3981</v>
      </c>
      <c r="D4011" s="7">
        <v>44921</v>
      </c>
      <c r="E4011" s="7">
        <v>44945</v>
      </c>
      <c r="F4011" s="7">
        <v>45098</v>
      </c>
      <c r="G4011" s="1" t="s">
        <v>1348</v>
      </c>
      <c r="H4011" s="8">
        <v>31632835.030000001</v>
      </c>
      <c r="I4011" s="8">
        <v>14738251.939999999</v>
      </c>
      <c r="J4011" s="1">
        <f>IF(COUNTIF($C$4:C4011,C4011)=1,1,0)</f>
        <v>1</v>
      </c>
      <c r="K4011" s="1">
        <f t="shared" si="62"/>
        <v>2022</v>
      </c>
    </row>
    <row r="4012" spans="2:11" x14ac:dyDescent="0.45">
      <c r="B4012" s="1" t="s">
        <v>11</v>
      </c>
      <c r="C4012" s="1" t="s">
        <v>3982</v>
      </c>
      <c r="D4012" s="7">
        <v>43952</v>
      </c>
      <c r="E4012" s="7">
        <v>43968</v>
      </c>
      <c r="F4012" s="7">
        <v>44127</v>
      </c>
      <c r="G4012" s="1" t="s">
        <v>1348</v>
      </c>
      <c r="H4012" s="8">
        <v>11935728.52</v>
      </c>
      <c r="I4012" s="8">
        <v>6558888.8200000003</v>
      </c>
      <c r="J4012" s="1">
        <f>IF(COUNTIF($C$4:C4012,C4012)=1,1,0)</f>
        <v>1</v>
      </c>
      <c r="K4012" s="1">
        <f t="shared" si="62"/>
        <v>2020</v>
      </c>
    </row>
    <row r="4013" spans="2:11" x14ac:dyDescent="0.45">
      <c r="B4013" s="1" t="s">
        <v>11</v>
      </c>
      <c r="C4013" s="1" t="s">
        <v>3983</v>
      </c>
      <c r="D4013" s="7">
        <v>44897</v>
      </c>
      <c r="E4013" s="7">
        <v>44909</v>
      </c>
      <c r="F4013" s="7">
        <v>44975</v>
      </c>
      <c r="G4013" s="1" t="s">
        <v>1348</v>
      </c>
      <c r="H4013" s="8">
        <v>76777738</v>
      </c>
      <c r="I4013" s="8">
        <v>29852689.59</v>
      </c>
      <c r="J4013" s="1">
        <f>IF(COUNTIF($C$4:C4013,C4013)=1,1,0)</f>
        <v>1</v>
      </c>
      <c r="K4013" s="1">
        <f t="shared" si="62"/>
        <v>2022</v>
      </c>
    </row>
    <row r="4014" spans="2:11" x14ac:dyDescent="0.45">
      <c r="B4014" s="1" t="s">
        <v>11</v>
      </c>
      <c r="C4014" s="1" t="s">
        <v>3984</v>
      </c>
      <c r="D4014" s="7">
        <v>43792</v>
      </c>
      <c r="E4014" s="7">
        <v>43818</v>
      </c>
      <c r="F4014" s="7">
        <v>43903</v>
      </c>
      <c r="G4014" s="1" t="s">
        <v>13</v>
      </c>
      <c r="H4014" s="8">
        <v>808614.48</v>
      </c>
      <c r="I4014" s="8">
        <v>582283.01</v>
      </c>
      <c r="J4014" s="1">
        <f>IF(COUNTIF($C$4:C4014,C4014)=1,1,0)</f>
        <v>1</v>
      </c>
      <c r="K4014" s="1">
        <f t="shared" si="62"/>
        <v>2019</v>
      </c>
    </row>
    <row r="4015" spans="2:11" x14ac:dyDescent="0.45">
      <c r="B4015" s="1" t="s">
        <v>11</v>
      </c>
      <c r="C4015" s="1" t="s">
        <v>3985</v>
      </c>
      <c r="D4015" s="7">
        <v>43511</v>
      </c>
      <c r="E4015" s="7">
        <v>43528</v>
      </c>
      <c r="F4015" s="7">
        <v>43737</v>
      </c>
      <c r="G4015" s="1" t="s">
        <v>212</v>
      </c>
      <c r="H4015" s="8">
        <v>4757469.04</v>
      </c>
      <c r="I4015" s="8">
        <v>2296832.9</v>
      </c>
      <c r="J4015" s="1">
        <f>IF(COUNTIF($C$4:C4015,C4015)=1,1,0)</f>
        <v>1</v>
      </c>
      <c r="K4015" s="1">
        <f t="shared" si="62"/>
        <v>2019</v>
      </c>
    </row>
    <row r="4016" spans="2:11" x14ac:dyDescent="0.45">
      <c r="B4016" s="1" t="s">
        <v>11</v>
      </c>
      <c r="C4016" s="1" t="s">
        <v>3986</v>
      </c>
      <c r="D4016" s="7">
        <v>45313</v>
      </c>
      <c r="E4016" s="7">
        <v>45331</v>
      </c>
      <c r="F4016" s="7">
        <v>45566</v>
      </c>
      <c r="G4016" s="1" t="s">
        <v>1348</v>
      </c>
      <c r="H4016" s="8">
        <v>94367318.680000007</v>
      </c>
      <c r="I4016" s="8">
        <v>38822040.950000003</v>
      </c>
      <c r="J4016" s="1">
        <f>IF(COUNTIF($C$4:C4016,C4016)=1,1,0)</f>
        <v>1</v>
      </c>
      <c r="K4016" s="1">
        <f t="shared" si="62"/>
        <v>2024</v>
      </c>
    </row>
    <row r="4017" spans="1:11" x14ac:dyDescent="0.45">
      <c r="B4017" s="1" t="s">
        <v>11</v>
      </c>
      <c r="C4017" s="1" t="s">
        <v>3987</v>
      </c>
      <c r="D4017" s="7">
        <v>45673</v>
      </c>
      <c r="E4017" s="7">
        <v>45678</v>
      </c>
      <c r="F4017" s="7">
        <v>45887</v>
      </c>
      <c r="G4017" s="1" t="s">
        <v>212</v>
      </c>
      <c r="H4017" s="8">
        <v>19684128.890000001</v>
      </c>
      <c r="I4017" s="8">
        <v>8871358.5800000001</v>
      </c>
      <c r="J4017" s="1">
        <f>IF(COUNTIF($C$4:C4017,C4017)=1,1,0)</f>
        <v>1</v>
      </c>
      <c r="K4017" s="1">
        <f t="shared" si="62"/>
        <v>2025</v>
      </c>
    </row>
    <row r="4018" spans="1:11" x14ac:dyDescent="0.45">
      <c r="B4018" s="1" t="s">
        <v>11</v>
      </c>
      <c r="C4018" s="1" t="s">
        <v>3988</v>
      </c>
      <c r="D4018" s="7">
        <v>43824</v>
      </c>
      <c r="E4018" s="7">
        <v>43824</v>
      </c>
      <c r="F4018" s="7">
        <v>43905</v>
      </c>
      <c r="G4018" s="1" t="s">
        <v>38</v>
      </c>
      <c r="H4018" s="8">
        <v>567558.94999999995</v>
      </c>
      <c r="I4018" s="8">
        <v>465566.52</v>
      </c>
      <c r="J4018" s="1">
        <f>IF(COUNTIF($C$4:C4018,C4018)=1,1,0)</f>
        <v>1</v>
      </c>
      <c r="K4018" s="1">
        <f t="shared" si="62"/>
        <v>2019</v>
      </c>
    </row>
    <row r="4019" spans="1:11" x14ac:dyDescent="0.45">
      <c r="B4019" s="1" t="s">
        <v>11</v>
      </c>
      <c r="C4019" s="1" t="s">
        <v>3989</v>
      </c>
      <c r="D4019" s="7">
        <v>45195</v>
      </c>
      <c r="E4019" s="7">
        <v>45195</v>
      </c>
      <c r="F4019" s="7">
        <v>45428</v>
      </c>
      <c r="G4019" s="1" t="s">
        <v>41</v>
      </c>
      <c r="H4019" s="8">
        <v>383635.56</v>
      </c>
      <c r="I4019" s="8">
        <v>281778.78000000003</v>
      </c>
      <c r="J4019" s="1">
        <f>IF(COUNTIF($C$4:C4019,C4019)=1,1,0)</f>
        <v>1</v>
      </c>
      <c r="K4019" s="1">
        <f t="shared" si="62"/>
        <v>2023</v>
      </c>
    </row>
    <row r="4020" spans="1:11" x14ac:dyDescent="0.45">
      <c r="B4020" s="1" t="s">
        <v>11</v>
      </c>
      <c r="C4020" s="1" t="s">
        <v>3990</v>
      </c>
      <c r="D4020" s="7">
        <v>44568</v>
      </c>
      <c r="E4020" s="7">
        <v>44568</v>
      </c>
      <c r="F4020" s="7">
        <v>44714</v>
      </c>
      <c r="G4020" s="1" t="s">
        <v>13</v>
      </c>
      <c r="H4020" s="8">
        <v>2257343.2400000002</v>
      </c>
      <c r="I4020" s="8">
        <v>1382109.08</v>
      </c>
      <c r="J4020" s="1">
        <f>IF(COUNTIF($C$4:C4020,C4020)=1,1,0)</f>
        <v>1</v>
      </c>
      <c r="K4020" s="1">
        <f t="shared" si="62"/>
        <v>2022</v>
      </c>
    </row>
    <row r="4021" spans="1:11" x14ac:dyDescent="0.45">
      <c r="B4021" s="1" t="s">
        <v>11</v>
      </c>
      <c r="C4021" s="1" t="s">
        <v>3991</v>
      </c>
      <c r="D4021" s="7">
        <v>45439</v>
      </c>
      <c r="E4021" s="7">
        <v>45439</v>
      </c>
      <c r="F4021" s="7">
        <v>45544</v>
      </c>
      <c r="G4021" s="1" t="s">
        <v>38</v>
      </c>
      <c r="H4021" s="8">
        <v>260299.75</v>
      </c>
      <c r="I4021" s="8">
        <v>189345.48</v>
      </c>
      <c r="J4021" s="1">
        <f>IF(COUNTIF($C$4:C4021,C4021)=1,1,0)</f>
        <v>1</v>
      </c>
      <c r="K4021" s="1">
        <f t="shared" si="62"/>
        <v>2024</v>
      </c>
    </row>
    <row r="4022" spans="1:11" x14ac:dyDescent="0.45">
      <c r="B4022" s="1" t="s">
        <v>11</v>
      </c>
      <c r="C4022" s="1" t="s">
        <v>3992</v>
      </c>
      <c r="D4022" s="7">
        <v>46064</v>
      </c>
      <c r="E4022" s="7">
        <v>46073</v>
      </c>
      <c r="F4022" s="7">
        <v>46160</v>
      </c>
      <c r="G4022" s="1" t="s">
        <v>13</v>
      </c>
      <c r="H4022" s="8">
        <v>949831.4</v>
      </c>
      <c r="I4022" s="8">
        <v>695400.29</v>
      </c>
      <c r="J4022" s="1">
        <f>IF(COUNTIF($C$4:C4022,C4022)=1,1,0)</f>
        <v>1</v>
      </c>
      <c r="K4022" s="1">
        <f t="shared" si="62"/>
        <v>2026</v>
      </c>
    </row>
    <row r="4023" spans="1:11" x14ac:dyDescent="0.45">
      <c r="B4023" s="1" t="s">
        <v>11</v>
      </c>
      <c r="C4023" s="1" t="s">
        <v>3993</v>
      </c>
      <c r="D4023" s="7">
        <v>45333</v>
      </c>
      <c r="E4023" s="7">
        <v>45339</v>
      </c>
      <c r="F4023" s="7">
        <v>45414</v>
      </c>
      <c r="G4023" s="1" t="s">
        <v>1348</v>
      </c>
      <c r="H4023" s="8">
        <v>256283061.47</v>
      </c>
      <c r="I4023" s="8">
        <v>123159729.45999999</v>
      </c>
      <c r="J4023" s="1">
        <f>IF(COUNTIF($C$4:C4023,C4023)=1,1,0)</f>
        <v>1</v>
      </c>
      <c r="K4023" s="1">
        <f t="shared" si="62"/>
        <v>2024</v>
      </c>
    </row>
    <row r="4024" spans="1:11" x14ac:dyDescent="0.45">
      <c r="B4024" s="1" t="s">
        <v>11</v>
      </c>
      <c r="C4024" s="1" t="s">
        <v>3994</v>
      </c>
      <c r="D4024" s="7">
        <v>45550</v>
      </c>
      <c r="E4024" s="7">
        <v>45551</v>
      </c>
      <c r="F4024" s="7">
        <v>45685</v>
      </c>
      <c r="G4024" s="1" t="s">
        <v>16</v>
      </c>
      <c r="H4024" s="8">
        <v>6261915.2699999996</v>
      </c>
      <c r="I4024" s="8">
        <v>4362946.9800000004</v>
      </c>
      <c r="J4024" s="1">
        <f>IF(COUNTIF($C$4:C4024,C4024)=1,1,0)</f>
        <v>1</v>
      </c>
      <c r="K4024" s="1">
        <f t="shared" si="62"/>
        <v>2024</v>
      </c>
    </row>
    <row r="4025" spans="1:11" x14ac:dyDescent="0.45">
      <c r="B4025" s="1" t="s">
        <v>11</v>
      </c>
      <c r="C4025" s="1" t="s">
        <v>3995</v>
      </c>
      <c r="D4025" s="7">
        <v>45241</v>
      </c>
      <c r="E4025" s="7">
        <v>45241</v>
      </c>
      <c r="F4025" s="7">
        <v>45250</v>
      </c>
      <c r="G4025" s="1" t="s">
        <v>41</v>
      </c>
      <c r="H4025" s="8">
        <v>142491.43</v>
      </c>
      <c r="I4025" s="8">
        <v>117269.56</v>
      </c>
      <c r="J4025" s="1">
        <f>IF(COUNTIF($C$4:C4025,C4025)=1,1,0)</f>
        <v>1</v>
      </c>
      <c r="K4025" s="1">
        <f t="shared" si="62"/>
        <v>2023</v>
      </c>
    </row>
    <row r="4026" spans="1:11" x14ac:dyDescent="0.45">
      <c r="B4026" s="1" t="s">
        <v>11</v>
      </c>
      <c r="C4026" s="1" t="s">
        <v>3996</v>
      </c>
      <c r="D4026" s="7">
        <v>45806</v>
      </c>
      <c r="E4026" s="7">
        <v>45808</v>
      </c>
      <c r="F4026" s="7">
        <v>46026</v>
      </c>
      <c r="G4026" s="1" t="s">
        <v>38</v>
      </c>
      <c r="H4026" s="8">
        <v>2012314.89</v>
      </c>
      <c r="I4026" s="8">
        <v>1518017.36</v>
      </c>
      <c r="J4026" s="1">
        <f>IF(COUNTIF($C$4:C4026,C4026)=1,1,0)</f>
        <v>1</v>
      </c>
      <c r="K4026" s="1">
        <f t="shared" si="62"/>
        <v>2025</v>
      </c>
    </row>
    <row r="4027" spans="1:11" x14ac:dyDescent="0.45">
      <c r="B4027" s="1" t="s">
        <v>11</v>
      </c>
      <c r="C4027" s="1" t="s">
        <v>3997</v>
      </c>
      <c r="D4027" s="7">
        <v>43651</v>
      </c>
      <c r="E4027" s="7">
        <v>43659</v>
      </c>
      <c r="F4027" s="7">
        <v>43762</v>
      </c>
      <c r="G4027" s="1" t="s">
        <v>13</v>
      </c>
      <c r="H4027" s="8">
        <v>262627.67</v>
      </c>
      <c r="I4027" s="8">
        <v>184567.91</v>
      </c>
      <c r="J4027" s="1">
        <f>IF(COUNTIF($C$4:C4027,C4027)=1,1,0)</f>
        <v>1</v>
      </c>
      <c r="K4027" s="1">
        <f t="shared" si="62"/>
        <v>2019</v>
      </c>
    </row>
    <row r="4028" spans="1:11" x14ac:dyDescent="0.45">
      <c r="B4028" s="1" t="s">
        <v>11</v>
      </c>
      <c r="C4028" s="1" t="s">
        <v>3998</v>
      </c>
      <c r="D4028" s="7">
        <v>45381</v>
      </c>
      <c r="E4028" s="7">
        <v>45403</v>
      </c>
      <c r="F4028" s="7">
        <v>45440</v>
      </c>
      <c r="G4028" s="1" t="s">
        <v>16</v>
      </c>
      <c r="H4028" s="8">
        <v>4945305.2699999996</v>
      </c>
      <c r="I4028" s="8">
        <v>3702936.52</v>
      </c>
      <c r="J4028" s="1">
        <f>IF(COUNTIF($C$4:C4028,C4028)=1,1,0)</f>
        <v>1</v>
      </c>
      <c r="K4028" s="1">
        <f t="shared" si="62"/>
        <v>2024</v>
      </c>
    </row>
    <row r="4029" spans="1:11" x14ac:dyDescent="0.45">
      <c r="A4029" s="1" t="s">
        <v>3999</v>
      </c>
      <c r="B4029" s="1" t="s">
        <v>4000</v>
      </c>
      <c r="C4029" s="1" t="s">
        <v>4001</v>
      </c>
      <c r="D4029" s="7">
        <v>44340</v>
      </c>
      <c r="E4029" s="7">
        <v>44355</v>
      </c>
      <c r="G4029" s="1" t="s">
        <v>38</v>
      </c>
      <c r="H4029" s="8">
        <v>83330.81</v>
      </c>
      <c r="I4029" s="8">
        <v>69131.97</v>
      </c>
      <c r="J4029" s="1">
        <f>IF(COUNTIF($C$4:C4029,C4029)=1,1,0)</f>
        <v>1</v>
      </c>
      <c r="K4029" s="1">
        <f t="shared" si="62"/>
        <v>2021</v>
      </c>
    </row>
    <row r="4030" spans="1:11" x14ac:dyDescent="0.45">
      <c r="B4030" s="1" t="s">
        <v>4000</v>
      </c>
      <c r="C4030" s="1" t="s">
        <v>4002</v>
      </c>
      <c r="D4030" s="7">
        <v>44157</v>
      </c>
      <c r="E4030" s="7">
        <v>44165</v>
      </c>
      <c r="G4030" s="1" t="s">
        <v>13</v>
      </c>
      <c r="H4030" s="8">
        <v>783750.29</v>
      </c>
      <c r="I4030" s="8">
        <v>584731.41</v>
      </c>
      <c r="J4030" s="1">
        <f>IF(COUNTIF($C$4:C4030,C4030)=1,1,0)</f>
        <v>1</v>
      </c>
      <c r="K4030" s="1">
        <f t="shared" si="62"/>
        <v>2020</v>
      </c>
    </row>
    <row r="4031" spans="1:11" x14ac:dyDescent="0.45">
      <c r="B4031" s="1" t="s">
        <v>4000</v>
      </c>
      <c r="C4031" s="1" t="s">
        <v>4003</v>
      </c>
      <c r="D4031" s="7">
        <v>45838</v>
      </c>
      <c r="E4031" s="7">
        <v>45851</v>
      </c>
      <c r="G4031" s="1" t="s">
        <v>20</v>
      </c>
      <c r="H4031" s="8">
        <v>798400.74</v>
      </c>
      <c r="I4031" s="8">
        <v>523613.4</v>
      </c>
      <c r="J4031" s="1">
        <f>IF(COUNTIF($C$4:C4031,C4031)=1,1,0)</f>
        <v>1</v>
      </c>
      <c r="K4031" s="1">
        <f t="shared" si="62"/>
        <v>2025</v>
      </c>
    </row>
    <row r="4032" spans="1:11" x14ac:dyDescent="0.45">
      <c r="B4032" s="1" t="s">
        <v>4000</v>
      </c>
      <c r="C4032" s="1" t="s">
        <v>4004</v>
      </c>
      <c r="D4032" s="7">
        <v>44273</v>
      </c>
      <c r="E4032" s="7">
        <v>44303</v>
      </c>
      <c r="G4032" s="1" t="s">
        <v>13</v>
      </c>
      <c r="H4032" s="8">
        <v>343100</v>
      </c>
      <c r="I4032" s="8">
        <v>295002.87</v>
      </c>
      <c r="J4032" s="1">
        <f>IF(COUNTIF($C$4:C4032,C4032)=1,1,0)</f>
        <v>1</v>
      </c>
      <c r="K4032" s="1">
        <f t="shared" si="62"/>
        <v>2021</v>
      </c>
    </row>
    <row r="4033" spans="2:11" x14ac:dyDescent="0.45">
      <c r="B4033" s="1" t="s">
        <v>4000</v>
      </c>
      <c r="C4033" s="1" t="s">
        <v>4005</v>
      </c>
      <c r="D4033" s="7">
        <v>43780</v>
      </c>
      <c r="E4033" s="7">
        <v>43800</v>
      </c>
      <c r="G4033" s="1" t="s">
        <v>1348</v>
      </c>
      <c r="H4033" s="8">
        <v>31017381.039999999</v>
      </c>
      <c r="I4033" s="8">
        <v>19911889.030000001</v>
      </c>
      <c r="J4033" s="1">
        <f>IF(COUNTIF($C$4:C4033,C4033)=1,1,0)</f>
        <v>1</v>
      </c>
      <c r="K4033" s="1">
        <f t="shared" si="62"/>
        <v>2019</v>
      </c>
    </row>
    <row r="4034" spans="2:11" x14ac:dyDescent="0.45">
      <c r="B4034" s="1" t="s">
        <v>4000</v>
      </c>
      <c r="C4034" s="1" t="s">
        <v>4006</v>
      </c>
      <c r="D4034" s="7">
        <v>44554</v>
      </c>
      <c r="E4034" s="7">
        <v>44566</v>
      </c>
      <c r="G4034" s="1" t="s">
        <v>212</v>
      </c>
      <c r="H4034" s="8">
        <v>10584557.65</v>
      </c>
      <c r="I4034" s="8">
        <v>8333564.75</v>
      </c>
      <c r="J4034" s="1">
        <f>IF(COUNTIF($C$4:C4034,C4034)=1,1,0)</f>
        <v>1</v>
      </c>
      <c r="K4034" s="1">
        <f t="shared" si="62"/>
        <v>2021</v>
      </c>
    </row>
    <row r="4035" spans="2:11" x14ac:dyDescent="0.45">
      <c r="B4035" s="1" t="s">
        <v>4000</v>
      </c>
      <c r="C4035" s="1" t="s">
        <v>4007</v>
      </c>
      <c r="D4035" s="7">
        <v>44999</v>
      </c>
      <c r="E4035" s="7">
        <v>45025</v>
      </c>
      <c r="G4035" s="1" t="s">
        <v>1348</v>
      </c>
      <c r="H4035" s="8">
        <v>74695915.420000002</v>
      </c>
      <c r="I4035" s="8">
        <v>33481827.890000001</v>
      </c>
      <c r="J4035" s="1">
        <f>IF(COUNTIF($C$4:C4035,C4035)=1,1,0)</f>
        <v>1</v>
      </c>
      <c r="K4035" s="1">
        <f t="shared" si="62"/>
        <v>2023</v>
      </c>
    </row>
    <row r="4036" spans="2:11" x14ac:dyDescent="0.45">
      <c r="B4036" s="1" t="s">
        <v>4000</v>
      </c>
      <c r="C4036" s="1" t="s">
        <v>4008</v>
      </c>
      <c r="D4036" s="7">
        <v>45609</v>
      </c>
      <c r="E4036" s="7">
        <v>45620</v>
      </c>
      <c r="G4036" s="1" t="s">
        <v>1348</v>
      </c>
      <c r="H4036" s="8">
        <v>12679919.220000001</v>
      </c>
      <c r="I4036" s="8">
        <v>9510639.5</v>
      </c>
      <c r="J4036" s="1">
        <f>IF(COUNTIF($C$4:C4036,C4036)=1,1,0)</f>
        <v>1</v>
      </c>
      <c r="K4036" s="1">
        <f t="shared" si="62"/>
        <v>2024</v>
      </c>
    </row>
    <row r="4037" spans="2:11" x14ac:dyDescent="0.45">
      <c r="B4037" s="1" t="s">
        <v>4000</v>
      </c>
      <c r="C4037" s="1" t="s">
        <v>4009</v>
      </c>
      <c r="D4037" s="7">
        <v>45863</v>
      </c>
      <c r="E4037" s="7">
        <v>45864</v>
      </c>
      <c r="G4037" s="1" t="s">
        <v>20</v>
      </c>
      <c r="H4037" s="8">
        <v>421900.36</v>
      </c>
      <c r="I4037" s="8">
        <v>277626.99</v>
      </c>
      <c r="J4037" s="1">
        <f>IF(COUNTIF($C$4:C4037,C4037)=1,1,0)</f>
        <v>1</v>
      </c>
      <c r="K4037" s="1">
        <f t="shared" ref="K4037:K4100" si="63">YEAR(D4037)</f>
        <v>2025</v>
      </c>
    </row>
    <row r="4038" spans="2:11" x14ac:dyDescent="0.45">
      <c r="B4038" s="1" t="s">
        <v>4000</v>
      </c>
      <c r="C4038" s="1" t="s">
        <v>4010</v>
      </c>
      <c r="D4038" s="7">
        <v>44480</v>
      </c>
      <c r="E4038" s="7">
        <v>44487</v>
      </c>
      <c r="G4038" s="1" t="s">
        <v>13</v>
      </c>
      <c r="H4038" s="8">
        <v>377448.58</v>
      </c>
      <c r="I4038" s="8">
        <v>341890.64</v>
      </c>
      <c r="J4038" s="1">
        <f>IF(COUNTIF($C$4:C4038,C4038)=1,1,0)</f>
        <v>1</v>
      </c>
      <c r="K4038" s="1">
        <f t="shared" si="63"/>
        <v>2021</v>
      </c>
    </row>
    <row r="4039" spans="2:11" x14ac:dyDescent="0.45">
      <c r="B4039" s="1" t="s">
        <v>4000</v>
      </c>
      <c r="C4039" s="1" t="s">
        <v>4011</v>
      </c>
      <c r="D4039" s="7">
        <v>45170</v>
      </c>
      <c r="E4039" s="7">
        <v>45186</v>
      </c>
      <c r="G4039" s="1" t="s">
        <v>16</v>
      </c>
      <c r="H4039" s="8">
        <v>2400863.9300000002</v>
      </c>
      <c r="I4039" s="8">
        <v>1639951.54</v>
      </c>
      <c r="J4039" s="1">
        <f>IF(COUNTIF($C$4:C4039,C4039)=1,1,0)</f>
        <v>1</v>
      </c>
      <c r="K4039" s="1">
        <f t="shared" si="63"/>
        <v>2023</v>
      </c>
    </row>
    <row r="4040" spans="2:11" x14ac:dyDescent="0.45">
      <c r="B4040" s="1" t="s">
        <v>4000</v>
      </c>
      <c r="C4040" s="1" t="s">
        <v>4012</v>
      </c>
      <c r="D4040" s="7">
        <v>44388</v>
      </c>
      <c r="E4040" s="7">
        <v>44397</v>
      </c>
      <c r="G4040" s="1" t="s">
        <v>38</v>
      </c>
      <c r="H4040" s="8">
        <v>236437.13</v>
      </c>
      <c r="I4040" s="8">
        <v>174600.21</v>
      </c>
      <c r="J4040" s="1">
        <f>IF(COUNTIF($C$4:C4040,C4040)=1,1,0)</f>
        <v>1</v>
      </c>
      <c r="K4040" s="1">
        <f t="shared" si="63"/>
        <v>2021</v>
      </c>
    </row>
    <row r="4041" spans="2:11" x14ac:dyDescent="0.45">
      <c r="B4041" s="1" t="s">
        <v>4000</v>
      </c>
      <c r="C4041" s="1" t="s">
        <v>4013</v>
      </c>
      <c r="D4041" s="7">
        <v>45484</v>
      </c>
      <c r="E4041" s="7">
        <v>45513</v>
      </c>
      <c r="G4041" s="1" t="s">
        <v>16</v>
      </c>
      <c r="H4041" s="8">
        <v>4493946.22</v>
      </c>
      <c r="I4041" s="8">
        <v>3650868.58</v>
      </c>
      <c r="J4041" s="1">
        <f>IF(COUNTIF($C$4:C4041,C4041)=1,1,0)</f>
        <v>1</v>
      </c>
      <c r="K4041" s="1">
        <f t="shared" si="63"/>
        <v>2024</v>
      </c>
    </row>
    <row r="4042" spans="2:11" x14ac:dyDescent="0.45">
      <c r="B4042" s="1" t="s">
        <v>4000</v>
      </c>
      <c r="C4042" s="1" t="s">
        <v>4014</v>
      </c>
      <c r="D4042" s="7">
        <v>44208</v>
      </c>
      <c r="E4042" s="7">
        <v>44213</v>
      </c>
      <c r="G4042" s="1" t="s">
        <v>41</v>
      </c>
      <c r="H4042" s="8">
        <v>550489.72</v>
      </c>
      <c r="I4042" s="8">
        <v>482956.32</v>
      </c>
      <c r="J4042" s="1">
        <f>IF(COUNTIF($C$4:C4042,C4042)=1,1,0)</f>
        <v>1</v>
      </c>
      <c r="K4042" s="1">
        <f t="shared" si="63"/>
        <v>2021</v>
      </c>
    </row>
    <row r="4043" spans="2:11" x14ac:dyDescent="0.45">
      <c r="B4043" s="1" t="s">
        <v>4000</v>
      </c>
      <c r="C4043" s="1" t="s">
        <v>4015</v>
      </c>
      <c r="D4043" s="7">
        <v>44150</v>
      </c>
      <c r="E4043" s="7">
        <v>44164</v>
      </c>
      <c r="G4043" s="1" t="s">
        <v>13</v>
      </c>
      <c r="H4043" s="8">
        <v>265836.45</v>
      </c>
      <c r="I4043" s="8">
        <v>233896.92</v>
      </c>
      <c r="J4043" s="1">
        <f>IF(COUNTIF($C$4:C4043,C4043)=1,1,0)</f>
        <v>1</v>
      </c>
      <c r="K4043" s="1">
        <f t="shared" si="63"/>
        <v>2020</v>
      </c>
    </row>
    <row r="4044" spans="2:11" x14ac:dyDescent="0.45">
      <c r="B4044" s="1" t="s">
        <v>4000</v>
      </c>
      <c r="C4044" s="1" t="s">
        <v>4016</v>
      </c>
      <c r="D4044" s="7">
        <v>45717</v>
      </c>
      <c r="E4044" s="7">
        <v>45735</v>
      </c>
      <c r="G4044" s="1" t="s">
        <v>212</v>
      </c>
      <c r="H4044" s="8">
        <v>11035318.84</v>
      </c>
      <c r="I4044" s="8">
        <v>8565411.9900000002</v>
      </c>
      <c r="J4044" s="1">
        <f>IF(COUNTIF($C$4:C4044,C4044)=1,1,0)</f>
        <v>1</v>
      </c>
      <c r="K4044" s="1">
        <f t="shared" si="63"/>
        <v>2025</v>
      </c>
    </row>
    <row r="4045" spans="2:11" x14ac:dyDescent="0.45">
      <c r="B4045" s="1" t="s">
        <v>4000</v>
      </c>
      <c r="C4045" s="1" t="s">
        <v>4017</v>
      </c>
      <c r="D4045" s="7">
        <v>43861</v>
      </c>
      <c r="E4045" s="7">
        <v>43874</v>
      </c>
      <c r="G4045" s="1" t="s">
        <v>1348</v>
      </c>
      <c r="H4045" s="8">
        <v>19422702.699999999</v>
      </c>
      <c r="I4045" s="8">
        <v>13353463.289999999</v>
      </c>
      <c r="J4045" s="1">
        <f>IF(COUNTIF($C$4:C4045,C4045)=1,1,0)</f>
        <v>1</v>
      </c>
      <c r="K4045" s="1">
        <f t="shared" si="63"/>
        <v>2020</v>
      </c>
    </row>
    <row r="4046" spans="2:11" x14ac:dyDescent="0.45">
      <c r="B4046" s="1" t="s">
        <v>4000</v>
      </c>
      <c r="C4046" s="1" t="s">
        <v>4018</v>
      </c>
      <c r="D4046" s="7">
        <v>45149</v>
      </c>
      <c r="E4046" s="7">
        <v>45150</v>
      </c>
      <c r="G4046" s="1" t="s">
        <v>38</v>
      </c>
      <c r="H4046" s="8">
        <v>100448.46</v>
      </c>
      <c r="I4046" s="8">
        <v>76540.070000000007</v>
      </c>
      <c r="J4046" s="1">
        <f>IF(COUNTIF($C$4:C4046,C4046)=1,1,0)</f>
        <v>1</v>
      </c>
      <c r="K4046" s="1">
        <f t="shared" si="63"/>
        <v>2023</v>
      </c>
    </row>
    <row r="4047" spans="2:11" x14ac:dyDescent="0.45">
      <c r="B4047" s="1" t="s">
        <v>4000</v>
      </c>
      <c r="C4047" s="1" t="s">
        <v>4019</v>
      </c>
      <c r="D4047" s="7">
        <v>43382</v>
      </c>
      <c r="E4047" s="7">
        <v>43399</v>
      </c>
      <c r="G4047" s="1" t="s">
        <v>20</v>
      </c>
      <c r="H4047" s="8">
        <v>785446.45</v>
      </c>
      <c r="I4047" s="8">
        <v>610303.76</v>
      </c>
      <c r="J4047" s="1">
        <f>IF(COUNTIF($C$4:C4047,C4047)=1,1,0)</f>
        <v>1</v>
      </c>
      <c r="K4047" s="1">
        <f t="shared" si="63"/>
        <v>2018</v>
      </c>
    </row>
    <row r="4048" spans="2:11" x14ac:dyDescent="0.45">
      <c r="B4048" s="1" t="s">
        <v>4000</v>
      </c>
      <c r="C4048" s="1" t="s">
        <v>4020</v>
      </c>
      <c r="D4048" s="7">
        <v>43438</v>
      </c>
      <c r="E4048" s="7">
        <v>43463</v>
      </c>
      <c r="G4048" s="1" t="s">
        <v>20</v>
      </c>
      <c r="H4048" s="8">
        <v>1244794.94</v>
      </c>
      <c r="I4048" s="8">
        <v>856336.14</v>
      </c>
      <c r="J4048" s="1">
        <f>IF(COUNTIF($C$4:C4048,C4048)=1,1,0)</f>
        <v>1</v>
      </c>
      <c r="K4048" s="1">
        <f t="shared" si="63"/>
        <v>2018</v>
      </c>
    </row>
    <row r="4049" spans="2:11" x14ac:dyDescent="0.45">
      <c r="B4049" s="1" t="s">
        <v>4000</v>
      </c>
      <c r="C4049" s="1" t="s">
        <v>4021</v>
      </c>
      <c r="D4049" s="7">
        <v>43569</v>
      </c>
      <c r="E4049" s="7">
        <v>43571</v>
      </c>
      <c r="G4049" s="1" t="s">
        <v>13</v>
      </c>
      <c r="H4049" s="8">
        <v>138039.71</v>
      </c>
      <c r="I4049" s="8">
        <v>114676.15</v>
      </c>
      <c r="J4049" s="1">
        <f>IF(COUNTIF($C$4:C4049,C4049)=1,1,0)</f>
        <v>1</v>
      </c>
      <c r="K4049" s="1">
        <f t="shared" si="63"/>
        <v>2019</v>
      </c>
    </row>
    <row r="4050" spans="2:11" x14ac:dyDescent="0.45">
      <c r="B4050" s="1" t="s">
        <v>4000</v>
      </c>
      <c r="C4050" s="1" t="s">
        <v>4022</v>
      </c>
      <c r="D4050" s="7">
        <v>44310</v>
      </c>
      <c r="E4050" s="7">
        <v>44324</v>
      </c>
      <c r="G4050" s="1" t="s">
        <v>20</v>
      </c>
      <c r="H4050" s="8">
        <v>1343383.04</v>
      </c>
      <c r="I4050" s="8">
        <v>1007891.92</v>
      </c>
      <c r="J4050" s="1">
        <f>IF(COUNTIF($C$4:C4050,C4050)=1,1,0)</f>
        <v>1</v>
      </c>
      <c r="K4050" s="1">
        <f t="shared" si="63"/>
        <v>2021</v>
      </c>
    </row>
    <row r="4051" spans="2:11" x14ac:dyDescent="0.45">
      <c r="B4051" s="1" t="s">
        <v>4000</v>
      </c>
      <c r="C4051" s="1" t="s">
        <v>4023</v>
      </c>
      <c r="D4051" s="7">
        <v>45165</v>
      </c>
      <c r="E4051" s="7">
        <v>45186</v>
      </c>
      <c r="G4051" s="1" t="s">
        <v>13</v>
      </c>
      <c r="H4051" s="8">
        <v>825300.28</v>
      </c>
      <c r="I4051" s="8">
        <v>684246.26</v>
      </c>
      <c r="J4051" s="1">
        <f>IF(COUNTIF($C$4:C4051,C4051)=1,1,0)</f>
        <v>1</v>
      </c>
      <c r="K4051" s="1">
        <f t="shared" si="63"/>
        <v>2023</v>
      </c>
    </row>
    <row r="4052" spans="2:11" x14ac:dyDescent="0.45">
      <c r="B4052" s="1" t="s">
        <v>4000</v>
      </c>
      <c r="C4052" s="1" t="s">
        <v>4024</v>
      </c>
      <c r="D4052" s="7">
        <v>44084</v>
      </c>
      <c r="E4052" s="7">
        <v>44102</v>
      </c>
      <c r="G4052" s="1" t="s">
        <v>41</v>
      </c>
      <c r="H4052" s="8">
        <v>159890.23000000001</v>
      </c>
      <c r="I4052" s="8">
        <v>124983.78</v>
      </c>
      <c r="J4052" s="1">
        <f>IF(COUNTIF($C$4:C4052,C4052)=1,1,0)</f>
        <v>1</v>
      </c>
      <c r="K4052" s="1">
        <f t="shared" si="63"/>
        <v>2020</v>
      </c>
    </row>
    <row r="4053" spans="2:11" x14ac:dyDescent="0.45">
      <c r="B4053" s="1" t="s">
        <v>4000</v>
      </c>
      <c r="C4053" s="1" t="s">
        <v>4025</v>
      </c>
      <c r="D4053" s="7">
        <v>45267</v>
      </c>
      <c r="E4053" s="7">
        <v>45280</v>
      </c>
      <c r="G4053" s="1" t="s">
        <v>22</v>
      </c>
      <c r="H4053" s="8">
        <v>13531810.529999999</v>
      </c>
      <c r="I4053" s="8">
        <v>5171759.26</v>
      </c>
      <c r="J4053" s="1">
        <f>IF(COUNTIF($C$4:C4053,C4053)=1,1,0)</f>
        <v>1</v>
      </c>
      <c r="K4053" s="1">
        <f t="shared" si="63"/>
        <v>2023</v>
      </c>
    </row>
    <row r="4054" spans="2:11" x14ac:dyDescent="0.45">
      <c r="B4054" s="1" t="s">
        <v>4000</v>
      </c>
      <c r="C4054" s="1" t="s">
        <v>4026</v>
      </c>
      <c r="D4054" s="7">
        <v>43418</v>
      </c>
      <c r="E4054" s="7">
        <v>43423</v>
      </c>
      <c r="G4054" s="1" t="s">
        <v>13</v>
      </c>
      <c r="H4054" s="8">
        <v>1712574</v>
      </c>
      <c r="I4054" s="8">
        <v>1459375.48</v>
      </c>
      <c r="J4054" s="1">
        <f>IF(COUNTIF($C$4:C4054,C4054)=1,1,0)</f>
        <v>1</v>
      </c>
      <c r="K4054" s="1">
        <f t="shared" si="63"/>
        <v>2018</v>
      </c>
    </row>
    <row r="4055" spans="2:11" x14ac:dyDescent="0.45">
      <c r="B4055" s="1" t="s">
        <v>4000</v>
      </c>
      <c r="C4055" s="1" t="s">
        <v>4027</v>
      </c>
      <c r="D4055" s="7">
        <v>45000</v>
      </c>
      <c r="E4055" s="7">
        <v>45022</v>
      </c>
      <c r="G4055" s="1" t="s">
        <v>1348</v>
      </c>
      <c r="H4055" s="8">
        <v>56780149.939999998</v>
      </c>
      <c r="I4055" s="8">
        <v>35676781.140000001</v>
      </c>
      <c r="J4055" s="1">
        <f>IF(COUNTIF($C$4:C4055,C4055)=1,1,0)</f>
        <v>1</v>
      </c>
      <c r="K4055" s="1">
        <f t="shared" si="63"/>
        <v>2023</v>
      </c>
    </row>
    <row r="4056" spans="2:11" x14ac:dyDescent="0.45">
      <c r="B4056" s="1" t="s">
        <v>4000</v>
      </c>
      <c r="C4056" s="1" t="s">
        <v>4028</v>
      </c>
      <c r="D4056" s="7">
        <v>44971</v>
      </c>
      <c r="E4056" s="7">
        <v>44992</v>
      </c>
      <c r="G4056" s="1" t="s">
        <v>212</v>
      </c>
      <c r="H4056" s="8">
        <v>24396929.829999998</v>
      </c>
      <c r="I4056" s="8">
        <v>17062818.129999999</v>
      </c>
      <c r="J4056" s="1">
        <f>IF(COUNTIF($C$4:C4056,C4056)=1,1,0)</f>
        <v>1</v>
      </c>
      <c r="K4056" s="1">
        <f t="shared" si="63"/>
        <v>2023</v>
      </c>
    </row>
    <row r="4057" spans="2:11" x14ac:dyDescent="0.45">
      <c r="B4057" s="1" t="s">
        <v>4000</v>
      </c>
      <c r="C4057" s="1" t="s">
        <v>4029</v>
      </c>
      <c r="D4057" s="7">
        <v>46109</v>
      </c>
      <c r="E4057" s="7">
        <v>46126</v>
      </c>
      <c r="G4057" s="1" t="s">
        <v>38</v>
      </c>
      <c r="H4057" s="8">
        <v>684324.89</v>
      </c>
      <c r="I4057" s="8">
        <v>541687.22</v>
      </c>
      <c r="J4057" s="1">
        <f>IF(COUNTIF($C$4:C4057,C4057)=1,1,0)</f>
        <v>1</v>
      </c>
      <c r="K4057" s="1">
        <f t="shared" si="63"/>
        <v>2026</v>
      </c>
    </row>
    <row r="4058" spans="2:11" x14ac:dyDescent="0.45">
      <c r="B4058" s="1" t="s">
        <v>4000</v>
      </c>
      <c r="C4058" s="1" t="s">
        <v>4030</v>
      </c>
      <c r="D4058" s="7">
        <v>45671</v>
      </c>
      <c r="E4058" s="7">
        <v>45679</v>
      </c>
      <c r="G4058" s="1" t="s">
        <v>22</v>
      </c>
      <c r="H4058" s="8">
        <v>9657225.1300000008</v>
      </c>
      <c r="I4058" s="8">
        <v>3374044.25</v>
      </c>
      <c r="J4058" s="1">
        <f>IF(COUNTIF($C$4:C4058,C4058)=1,1,0)</f>
        <v>1</v>
      </c>
      <c r="K4058" s="1">
        <f t="shared" si="63"/>
        <v>2025</v>
      </c>
    </row>
    <row r="4059" spans="2:11" x14ac:dyDescent="0.45">
      <c r="B4059" s="1" t="s">
        <v>4000</v>
      </c>
      <c r="C4059" s="1" t="s">
        <v>4031</v>
      </c>
      <c r="D4059" s="7">
        <v>44994</v>
      </c>
      <c r="E4059" s="7">
        <v>45002</v>
      </c>
      <c r="G4059" s="1" t="s">
        <v>41</v>
      </c>
      <c r="H4059" s="8">
        <v>161988.96</v>
      </c>
      <c r="I4059" s="8">
        <v>121461.04</v>
      </c>
      <c r="J4059" s="1">
        <f>IF(COUNTIF($C$4:C4059,C4059)=1,1,0)</f>
        <v>1</v>
      </c>
      <c r="K4059" s="1">
        <f t="shared" si="63"/>
        <v>2023</v>
      </c>
    </row>
    <row r="4060" spans="2:11" x14ac:dyDescent="0.45">
      <c r="B4060" s="1" t="s">
        <v>4000</v>
      </c>
      <c r="C4060" s="1" t="s">
        <v>4032</v>
      </c>
      <c r="D4060" s="7">
        <v>45172</v>
      </c>
      <c r="E4060" s="7">
        <v>45182</v>
      </c>
      <c r="G4060" s="1" t="s">
        <v>38</v>
      </c>
      <c r="H4060" s="8">
        <v>484227.49</v>
      </c>
      <c r="I4060" s="8">
        <v>388486.62</v>
      </c>
      <c r="J4060" s="1">
        <f>IF(COUNTIF($C$4:C4060,C4060)=1,1,0)</f>
        <v>1</v>
      </c>
      <c r="K4060" s="1">
        <f t="shared" si="63"/>
        <v>2023</v>
      </c>
    </row>
    <row r="4061" spans="2:11" x14ac:dyDescent="0.45">
      <c r="B4061" s="1" t="s">
        <v>4000</v>
      </c>
      <c r="C4061" s="1" t="s">
        <v>4033</v>
      </c>
      <c r="D4061" s="7">
        <v>43112</v>
      </c>
      <c r="E4061" s="7">
        <v>43136</v>
      </c>
      <c r="G4061" s="1" t="s">
        <v>16</v>
      </c>
      <c r="H4061" s="8">
        <v>1157149.48</v>
      </c>
      <c r="I4061" s="8">
        <v>952260.71</v>
      </c>
      <c r="J4061" s="1">
        <f>IF(COUNTIF($C$4:C4061,C4061)=1,1,0)</f>
        <v>1</v>
      </c>
      <c r="K4061" s="1">
        <f t="shared" si="63"/>
        <v>2018</v>
      </c>
    </row>
    <row r="4062" spans="2:11" x14ac:dyDescent="0.45">
      <c r="B4062" s="1" t="s">
        <v>4000</v>
      </c>
      <c r="C4062" s="1" t="s">
        <v>4034</v>
      </c>
      <c r="D4062" s="7">
        <v>44911</v>
      </c>
      <c r="E4062" s="7">
        <v>44933</v>
      </c>
      <c r="G4062" s="1" t="s">
        <v>41</v>
      </c>
      <c r="H4062" s="8">
        <v>313119.87</v>
      </c>
      <c r="I4062" s="8">
        <v>259220.68</v>
      </c>
      <c r="J4062" s="1">
        <f>IF(COUNTIF($C$4:C4062,C4062)=1,1,0)</f>
        <v>1</v>
      </c>
      <c r="K4062" s="1">
        <f t="shared" si="63"/>
        <v>2022</v>
      </c>
    </row>
    <row r="4063" spans="2:11" x14ac:dyDescent="0.45">
      <c r="B4063" s="1" t="s">
        <v>4000</v>
      </c>
      <c r="C4063" s="1" t="s">
        <v>4035</v>
      </c>
      <c r="D4063" s="7">
        <v>44197</v>
      </c>
      <c r="E4063" s="7">
        <v>44221</v>
      </c>
      <c r="G4063" s="1" t="s">
        <v>1348</v>
      </c>
      <c r="H4063" s="8">
        <v>6300111.2699999996</v>
      </c>
      <c r="I4063" s="8">
        <v>2970964.59</v>
      </c>
      <c r="J4063" s="1">
        <f>IF(COUNTIF($C$4:C4063,C4063)=1,1,0)</f>
        <v>1</v>
      </c>
      <c r="K4063" s="1">
        <f t="shared" si="63"/>
        <v>2021</v>
      </c>
    </row>
    <row r="4064" spans="2:11" x14ac:dyDescent="0.45">
      <c r="B4064" s="1" t="s">
        <v>4000</v>
      </c>
      <c r="C4064" s="1" t="s">
        <v>4036</v>
      </c>
      <c r="D4064" s="7">
        <v>46069</v>
      </c>
      <c r="E4064" s="7">
        <v>46091</v>
      </c>
      <c r="G4064" s="1" t="s">
        <v>22</v>
      </c>
      <c r="H4064" s="8">
        <v>16884637.649999999</v>
      </c>
      <c r="I4064" s="8">
        <v>13653539.43</v>
      </c>
      <c r="J4064" s="1">
        <f>IF(COUNTIF($C$4:C4064,C4064)=1,1,0)</f>
        <v>1</v>
      </c>
      <c r="K4064" s="1">
        <f t="shared" si="63"/>
        <v>2026</v>
      </c>
    </row>
    <row r="4065" spans="2:11" x14ac:dyDescent="0.45">
      <c r="B4065" s="1" t="s">
        <v>4000</v>
      </c>
      <c r="C4065" s="1" t="s">
        <v>4037</v>
      </c>
      <c r="D4065" s="7">
        <v>45705</v>
      </c>
      <c r="E4065" s="7">
        <v>45705</v>
      </c>
      <c r="G4065" s="1" t="s">
        <v>41</v>
      </c>
      <c r="H4065" s="8">
        <v>86322.52</v>
      </c>
      <c r="I4065" s="8">
        <v>73332.539999999994</v>
      </c>
      <c r="J4065" s="1">
        <f>IF(COUNTIF($C$4:C4065,C4065)=1,1,0)</f>
        <v>1</v>
      </c>
      <c r="K4065" s="1">
        <f t="shared" si="63"/>
        <v>2025</v>
      </c>
    </row>
    <row r="4066" spans="2:11" x14ac:dyDescent="0.45">
      <c r="B4066" s="1" t="s">
        <v>4000</v>
      </c>
      <c r="C4066" s="1" t="s">
        <v>4038</v>
      </c>
      <c r="D4066" s="7">
        <v>45888</v>
      </c>
      <c r="E4066" s="7">
        <v>45888</v>
      </c>
      <c r="G4066" s="1" t="s">
        <v>22</v>
      </c>
      <c r="H4066" s="8">
        <v>7679510.46</v>
      </c>
      <c r="I4066" s="8">
        <v>4761765.79</v>
      </c>
      <c r="J4066" s="1">
        <f>IF(COUNTIF($C$4:C4066,C4066)=1,1,0)</f>
        <v>1</v>
      </c>
      <c r="K4066" s="1">
        <f t="shared" si="63"/>
        <v>2025</v>
      </c>
    </row>
    <row r="4067" spans="2:11" x14ac:dyDescent="0.45">
      <c r="B4067" s="1" t="s">
        <v>4000</v>
      </c>
      <c r="C4067" s="1" t="s">
        <v>4039</v>
      </c>
      <c r="D4067" s="7">
        <v>43750</v>
      </c>
      <c r="E4067" s="7">
        <v>43768</v>
      </c>
      <c r="G4067" s="1" t="s">
        <v>16</v>
      </c>
      <c r="H4067" s="8">
        <v>1384821.04</v>
      </c>
      <c r="I4067" s="8">
        <v>969495.95</v>
      </c>
      <c r="J4067" s="1">
        <f>IF(COUNTIF($C$4:C4067,C4067)=1,1,0)</f>
        <v>1</v>
      </c>
      <c r="K4067" s="1">
        <f t="shared" si="63"/>
        <v>2019</v>
      </c>
    </row>
    <row r="4068" spans="2:11" x14ac:dyDescent="0.45">
      <c r="B4068" s="1" t="s">
        <v>4000</v>
      </c>
      <c r="C4068" s="1" t="s">
        <v>4040</v>
      </c>
      <c r="D4068" s="7">
        <v>43738</v>
      </c>
      <c r="E4068" s="7">
        <v>43741</v>
      </c>
      <c r="G4068" s="1" t="s">
        <v>20</v>
      </c>
      <c r="H4068" s="8">
        <v>239046.39999999999</v>
      </c>
      <c r="I4068" s="8">
        <v>172537.17</v>
      </c>
      <c r="J4068" s="1">
        <f>IF(COUNTIF($C$4:C4068,C4068)=1,1,0)</f>
        <v>1</v>
      </c>
      <c r="K4068" s="1">
        <f t="shared" si="63"/>
        <v>2019</v>
      </c>
    </row>
    <row r="4069" spans="2:11" x14ac:dyDescent="0.45">
      <c r="B4069" s="1" t="s">
        <v>4000</v>
      </c>
      <c r="C4069" s="1" t="s">
        <v>4041</v>
      </c>
      <c r="D4069" s="7">
        <v>44337</v>
      </c>
      <c r="E4069" s="7">
        <v>44344</v>
      </c>
      <c r="G4069" s="1" t="s">
        <v>16</v>
      </c>
      <c r="H4069" s="8">
        <v>4991125.9800000004</v>
      </c>
      <c r="I4069" s="8">
        <v>3774542.91</v>
      </c>
      <c r="J4069" s="1">
        <f>IF(COUNTIF($C$4:C4069,C4069)=1,1,0)</f>
        <v>1</v>
      </c>
      <c r="K4069" s="1">
        <f t="shared" si="63"/>
        <v>2021</v>
      </c>
    </row>
    <row r="4070" spans="2:11" x14ac:dyDescent="0.45">
      <c r="B4070" s="1" t="s">
        <v>4000</v>
      </c>
      <c r="C4070" s="1" t="s">
        <v>4042</v>
      </c>
      <c r="D4070" s="7">
        <v>44963</v>
      </c>
      <c r="E4070" s="7">
        <v>44974</v>
      </c>
      <c r="G4070" s="1" t="s">
        <v>20</v>
      </c>
      <c r="H4070" s="8">
        <v>608693.15</v>
      </c>
      <c r="I4070" s="8">
        <v>431543.25</v>
      </c>
      <c r="J4070" s="1">
        <f>IF(COUNTIF($C$4:C4070,C4070)=1,1,0)</f>
        <v>1</v>
      </c>
      <c r="K4070" s="1">
        <f t="shared" si="63"/>
        <v>2023</v>
      </c>
    </row>
    <row r="4071" spans="2:11" x14ac:dyDescent="0.45">
      <c r="B4071" s="1" t="s">
        <v>4000</v>
      </c>
      <c r="C4071" s="1" t="s">
        <v>4043</v>
      </c>
      <c r="D4071" s="7">
        <v>44927</v>
      </c>
      <c r="E4071" s="7">
        <v>44954</v>
      </c>
      <c r="G4071" s="1" t="s">
        <v>212</v>
      </c>
      <c r="H4071" s="8">
        <v>7948927.3700000001</v>
      </c>
      <c r="I4071" s="8">
        <v>3338425.2</v>
      </c>
      <c r="J4071" s="1">
        <f>IF(COUNTIF($C$4:C4071,C4071)=1,1,0)</f>
        <v>1</v>
      </c>
      <c r="K4071" s="1">
        <f t="shared" si="63"/>
        <v>2023</v>
      </c>
    </row>
    <row r="4072" spans="2:11" x14ac:dyDescent="0.45">
      <c r="B4072" s="1" t="s">
        <v>4000</v>
      </c>
      <c r="C4072" s="1" t="s">
        <v>4044</v>
      </c>
      <c r="D4072" s="7">
        <v>44880</v>
      </c>
      <c r="E4072" s="7">
        <v>44886</v>
      </c>
      <c r="G4072" s="1" t="s">
        <v>1348</v>
      </c>
      <c r="H4072" s="8">
        <v>200265177.59999999</v>
      </c>
      <c r="I4072" s="8">
        <v>158638426.81999999</v>
      </c>
      <c r="J4072" s="1">
        <f>IF(COUNTIF($C$4:C4072,C4072)=1,1,0)</f>
        <v>1</v>
      </c>
      <c r="K4072" s="1">
        <f t="shared" si="63"/>
        <v>2022</v>
      </c>
    </row>
    <row r="4073" spans="2:11" x14ac:dyDescent="0.45">
      <c r="B4073" s="1" t="s">
        <v>4000</v>
      </c>
      <c r="C4073" s="1" t="s">
        <v>4045</v>
      </c>
      <c r="D4073" s="7">
        <v>45958</v>
      </c>
      <c r="E4073" s="7">
        <v>45979</v>
      </c>
      <c r="G4073" s="1" t="s">
        <v>1348</v>
      </c>
      <c r="H4073" s="8">
        <v>4200010.83</v>
      </c>
      <c r="I4073" s="8">
        <v>2816051.15</v>
      </c>
      <c r="J4073" s="1">
        <f>IF(COUNTIF($C$4:C4073,C4073)=1,1,0)</f>
        <v>1</v>
      </c>
      <c r="K4073" s="1">
        <f t="shared" si="63"/>
        <v>2025</v>
      </c>
    </row>
    <row r="4074" spans="2:11" x14ac:dyDescent="0.45">
      <c r="B4074" s="1" t="s">
        <v>4000</v>
      </c>
      <c r="C4074" s="1" t="s">
        <v>4046</v>
      </c>
      <c r="D4074" s="7">
        <v>43743</v>
      </c>
      <c r="E4074" s="7">
        <v>43758</v>
      </c>
      <c r="G4074" s="1" t="s">
        <v>212</v>
      </c>
      <c r="H4074" s="8">
        <v>9094643.3800000008</v>
      </c>
      <c r="I4074" s="8">
        <v>5194626.3099999996</v>
      </c>
      <c r="J4074" s="1">
        <f>IF(COUNTIF($C$4:C4074,C4074)=1,1,0)</f>
        <v>1</v>
      </c>
      <c r="K4074" s="1">
        <f t="shared" si="63"/>
        <v>2019</v>
      </c>
    </row>
    <row r="4075" spans="2:11" x14ac:dyDescent="0.45">
      <c r="B4075" s="1" t="s">
        <v>4000</v>
      </c>
      <c r="C4075" s="1" t="s">
        <v>4047</v>
      </c>
      <c r="D4075" s="7">
        <v>44644</v>
      </c>
      <c r="E4075" s="7">
        <v>44674</v>
      </c>
      <c r="G4075" s="1" t="s">
        <v>22</v>
      </c>
      <c r="H4075" s="8">
        <v>14905383.93</v>
      </c>
      <c r="I4075" s="8">
        <v>11076157.51</v>
      </c>
      <c r="J4075" s="1">
        <f>IF(COUNTIF($C$4:C4075,C4075)=1,1,0)</f>
        <v>1</v>
      </c>
      <c r="K4075" s="1">
        <f t="shared" si="63"/>
        <v>2022</v>
      </c>
    </row>
    <row r="4076" spans="2:11" x14ac:dyDescent="0.45">
      <c r="B4076" s="1" t="s">
        <v>4000</v>
      </c>
      <c r="C4076" s="1" t="s">
        <v>4048</v>
      </c>
      <c r="D4076" s="7">
        <v>44730</v>
      </c>
      <c r="E4076" s="7">
        <v>44736</v>
      </c>
      <c r="G4076" s="1" t="s">
        <v>16</v>
      </c>
      <c r="H4076" s="8">
        <v>1723811.13</v>
      </c>
      <c r="I4076" s="8">
        <v>1165339.8400000001</v>
      </c>
      <c r="J4076" s="1">
        <f>IF(COUNTIF($C$4:C4076,C4076)=1,1,0)</f>
        <v>1</v>
      </c>
      <c r="K4076" s="1">
        <f t="shared" si="63"/>
        <v>2022</v>
      </c>
    </row>
    <row r="4077" spans="2:11" x14ac:dyDescent="0.45">
      <c r="B4077" s="1" t="s">
        <v>4000</v>
      </c>
      <c r="C4077" s="1" t="s">
        <v>4049</v>
      </c>
      <c r="D4077" s="7">
        <v>43373</v>
      </c>
      <c r="E4077" s="7">
        <v>43403</v>
      </c>
      <c r="G4077" s="1" t="s">
        <v>16</v>
      </c>
      <c r="H4077" s="8">
        <v>2120948.59</v>
      </c>
      <c r="I4077" s="8">
        <v>1258185.1100000001</v>
      </c>
      <c r="J4077" s="1">
        <f>IF(COUNTIF($C$4:C4077,C4077)=1,1,0)</f>
        <v>1</v>
      </c>
      <c r="K4077" s="1">
        <f t="shared" si="63"/>
        <v>2018</v>
      </c>
    </row>
    <row r="4078" spans="2:11" x14ac:dyDescent="0.45">
      <c r="B4078" s="1" t="s">
        <v>4000</v>
      </c>
      <c r="C4078" s="1" t="s">
        <v>4050</v>
      </c>
      <c r="D4078" s="7">
        <v>44520</v>
      </c>
      <c r="E4078" s="7">
        <v>44530</v>
      </c>
      <c r="G4078" s="1" t="s">
        <v>22</v>
      </c>
      <c r="H4078" s="8">
        <v>14134321.880000001</v>
      </c>
      <c r="I4078" s="8">
        <v>10945678.17</v>
      </c>
      <c r="J4078" s="1">
        <f>IF(COUNTIF($C$4:C4078,C4078)=1,1,0)</f>
        <v>1</v>
      </c>
      <c r="K4078" s="1">
        <f t="shared" si="63"/>
        <v>2021</v>
      </c>
    </row>
    <row r="4079" spans="2:11" x14ac:dyDescent="0.45">
      <c r="B4079" s="1" t="s">
        <v>4000</v>
      </c>
      <c r="C4079" s="1" t="s">
        <v>4051</v>
      </c>
      <c r="D4079" s="7">
        <v>45603</v>
      </c>
      <c r="E4079" s="7">
        <v>45604</v>
      </c>
      <c r="G4079" s="1" t="s">
        <v>13</v>
      </c>
      <c r="H4079" s="8">
        <v>1325997.3</v>
      </c>
      <c r="I4079" s="8">
        <v>1104235.74</v>
      </c>
      <c r="J4079" s="1">
        <f>IF(COUNTIF($C$4:C4079,C4079)=1,1,0)</f>
        <v>1</v>
      </c>
      <c r="K4079" s="1">
        <f t="shared" si="63"/>
        <v>2024</v>
      </c>
    </row>
    <row r="4080" spans="2:11" x14ac:dyDescent="0.45">
      <c r="B4080" s="1" t="s">
        <v>4000</v>
      </c>
      <c r="C4080" s="1" t="s">
        <v>4052</v>
      </c>
      <c r="D4080" s="7">
        <v>45024</v>
      </c>
      <c r="E4080" s="7">
        <v>45048</v>
      </c>
      <c r="G4080" s="1" t="s">
        <v>41</v>
      </c>
      <c r="H4080" s="8">
        <v>881222.05</v>
      </c>
      <c r="I4080" s="8">
        <v>738750.46</v>
      </c>
      <c r="J4080" s="1">
        <f>IF(COUNTIF($C$4:C4080,C4080)=1,1,0)</f>
        <v>1</v>
      </c>
      <c r="K4080" s="1">
        <f t="shared" si="63"/>
        <v>2023</v>
      </c>
    </row>
    <row r="4081" spans="2:11" x14ac:dyDescent="0.45">
      <c r="B4081" s="1" t="s">
        <v>4000</v>
      </c>
      <c r="C4081" s="1" t="s">
        <v>4053</v>
      </c>
      <c r="D4081" s="7">
        <v>45873</v>
      </c>
      <c r="E4081" s="7">
        <v>45885</v>
      </c>
      <c r="G4081" s="1" t="s">
        <v>1348</v>
      </c>
      <c r="H4081" s="8">
        <v>57201764.049999997</v>
      </c>
      <c r="I4081" s="8">
        <v>26447813.170000002</v>
      </c>
      <c r="J4081" s="1">
        <f>IF(COUNTIF($C$4:C4081,C4081)=1,1,0)</f>
        <v>1</v>
      </c>
      <c r="K4081" s="1">
        <f t="shared" si="63"/>
        <v>2025</v>
      </c>
    </row>
    <row r="4082" spans="2:11" x14ac:dyDescent="0.45">
      <c r="B4082" s="1" t="s">
        <v>4000</v>
      </c>
      <c r="C4082" s="1" t="s">
        <v>4054</v>
      </c>
      <c r="D4082" s="7">
        <v>45972</v>
      </c>
      <c r="E4082" s="7">
        <v>45997</v>
      </c>
      <c r="G4082" s="1" t="s">
        <v>41</v>
      </c>
      <c r="H4082" s="8">
        <v>163396.73000000001</v>
      </c>
      <c r="I4082" s="8">
        <v>141918.24</v>
      </c>
      <c r="J4082" s="1">
        <f>IF(COUNTIF($C$4:C4082,C4082)=1,1,0)</f>
        <v>1</v>
      </c>
      <c r="K4082" s="1">
        <f t="shared" si="63"/>
        <v>2025</v>
      </c>
    </row>
    <row r="4083" spans="2:11" x14ac:dyDescent="0.45">
      <c r="B4083" s="1" t="s">
        <v>4000</v>
      </c>
      <c r="C4083" s="1" t="s">
        <v>4055</v>
      </c>
      <c r="D4083" s="7">
        <v>44436</v>
      </c>
      <c r="E4083" s="7">
        <v>44463</v>
      </c>
      <c r="G4083" s="1" t="s">
        <v>212</v>
      </c>
      <c r="H4083" s="8">
        <v>37324610.689999998</v>
      </c>
      <c r="I4083" s="8">
        <v>19901400.079999998</v>
      </c>
      <c r="J4083" s="1">
        <f>IF(COUNTIF($C$4:C4083,C4083)=1,1,0)</f>
        <v>1</v>
      </c>
      <c r="K4083" s="1">
        <f t="shared" si="63"/>
        <v>2021</v>
      </c>
    </row>
    <row r="4084" spans="2:11" x14ac:dyDescent="0.45">
      <c r="B4084" s="1" t="s">
        <v>4000</v>
      </c>
      <c r="C4084" s="1" t="s">
        <v>4056</v>
      </c>
      <c r="D4084" s="7">
        <v>43225</v>
      </c>
      <c r="E4084" s="7">
        <v>43228</v>
      </c>
      <c r="G4084" s="1" t="s">
        <v>41</v>
      </c>
      <c r="H4084" s="8">
        <v>85817.45</v>
      </c>
      <c r="I4084" s="8">
        <v>60991.61</v>
      </c>
      <c r="J4084" s="1">
        <f>IF(COUNTIF($C$4:C4084,C4084)=1,1,0)</f>
        <v>1</v>
      </c>
      <c r="K4084" s="1">
        <f t="shared" si="63"/>
        <v>2018</v>
      </c>
    </row>
    <row r="4085" spans="2:11" x14ac:dyDescent="0.45">
      <c r="B4085" s="1" t="s">
        <v>4000</v>
      </c>
      <c r="C4085" s="1" t="s">
        <v>4057</v>
      </c>
      <c r="D4085" s="7">
        <v>43265</v>
      </c>
      <c r="E4085" s="7">
        <v>43284</v>
      </c>
      <c r="G4085" s="1" t="s">
        <v>13</v>
      </c>
      <c r="H4085" s="8">
        <v>157265.63</v>
      </c>
      <c r="I4085" s="8">
        <v>128672.9</v>
      </c>
      <c r="J4085" s="1">
        <f>IF(COUNTIF($C$4:C4085,C4085)=1,1,0)</f>
        <v>1</v>
      </c>
      <c r="K4085" s="1">
        <f t="shared" si="63"/>
        <v>2018</v>
      </c>
    </row>
    <row r="4086" spans="2:11" x14ac:dyDescent="0.45">
      <c r="B4086" s="1" t="s">
        <v>4000</v>
      </c>
      <c r="C4086" s="1" t="s">
        <v>4058</v>
      </c>
      <c r="D4086" s="7">
        <v>45420</v>
      </c>
      <c r="E4086" s="7">
        <v>45443</v>
      </c>
      <c r="G4086" s="1" t="s">
        <v>16</v>
      </c>
      <c r="H4086" s="8">
        <v>1990168.16</v>
      </c>
      <c r="I4086" s="8">
        <v>1417102.83</v>
      </c>
      <c r="J4086" s="1">
        <f>IF(COUNTIF($C$4:C4086,C4086)=1,1,0)</f>
        <v>1</v>
      </c>
      <c r="K4086" s="1">
        <f t="shared" si="63"/>
        <v>2024</v>
      </c>
    </row>
    <row r="4087" spans="2:11" x14ac:dyDescent="0.45">
      <c r="B4087" s="1" t="s">
        <v>4000</v>
      </c>
      <c r="C4087" s="1" t="s">
        <v>4059</v>
      </c>
      <c r="D4087" s="7">
        <v>44788</v>
      </c>
      <c r="E4087" s="7">
        <v>44813</v>
      </c>
      <c r="G4087" s="1" t="s">
        <v>1348</v>
      </c>
      <c r="H4087" s="8">
        <v>13905208.32</v>
      </c>
      <c r="I4087" s="8">
        <v>8249852.1100000003</v>
      </c>
      <c r="J4087" s="1">
        <f>IF(COUNTIF($C$4:C4087,C4087)=1,1,0)</f>
        <v>1</v>
      </c>
      <c r="K4087" s="1">
        <f t="shared" si="63"/>
        <v>2022</v>
      </c>
    </row>
    <row r="4088" spans="2:11" x14ac:dyDescent="0.45">
      <c r="B4088" s="1" t="s">
        <v>4000</v>
      </c>
      <c r="C4088" s="1" t="s">
        <v>4060</v>
      </c>
      <c r="D4088" s="7">
        <v>43797</v>
      </c>
      <c r="E4088" s="7">
        <v>43801</v>
      </c>
      <c r="G4088" s="1" t="s">
        <v>16</v>
      </c>
      <c r="H4088" s="8">
        <v>4445581.96</v>
      </c>
      <c r="I4088" s="8">
        <v>3324571.48</v>
      </c>
      <c r="J4088" s="1">
        <f>IF(COUNTIF($C$4:C4088,C4088)=1,1,0)</f>
        <v>1</v>
      </c>
      <c r="K4088" s="1">
        <f t="shared" si="63"/>
        <v>2019</v>
      </c>
    </row>
    <row r="4089" spans="2:11" x14ac:dyDescent="0.45">
      <c r="B4089" s="1" t="s">
        <v>4000</v>
      </c>
      <c r="C4089" s="1" t="s">
        <v>4061</v>
      </c>
      <c r="D4089" s="7">
        <v>44744</v>
      </c>
      <c r="E4089" s="7">
        <v>44766</v>
      </c>
      <c r="G4089" s="1" t="s">
        <v>38</v>
      </c>
      <c r="H4089" s="8">
        <v>281219.12</v>
      </c>
      <c r="I4089" s="8">
        <v>205323.26</v>
      </c>
      <c r="J4089" s="1">
        <f>IF(COUNTIF($C$4:C4089,C4089)=1,1,0)</f>
        <v>1</v>
      </c>
      <c r="K4089" s="1">
        <f t="shared" si="63"/>
        <v>2022</v>
      </c>
    </row>
    <row r="4090" spans="2:11" x14ac:dyDescent="0.45">
      <c r="B4090" s="1" t="s">
        <v>4000</v>
      </c>
      <c r="C4090" s="1" t="s">
        <v>4062</v>
      </c>
      <c r="D4090" s="7">
        <v>44115</v>
      </c>
      <c r="E4090" s="7">
        <v>44131</v>
      </c>
      <c r="G4090" s="1" t="s">
        <v>22</v>
      </c>
      <c r="H4090" s="8">
        <v>113465149.2</v>
      </c>
      <c r="I4090" s="8">
        <v>78361209.950000003</v>
      </c>
      <c r="J4090" s="1">
        <f>IF(COUNTIF($C$4:C4090,C4090)=1,1,0)</f>
        <v>1</v>
      </c>
      <c r="K4090" s="1">
        <f t="shared" si="63"/>
        <v>2020</v>
      </c>
    </row>
    <row r="4091" spans="2:11" x14ac:dyDescent="0.45">
      <c r="B4091" s="1" t="s">
        <v>4000</v>
      </c>
      <c r="C4091" s="1" t="s">
        <v>4063</v>
      </c>
      <c r="D4091" s="7">
        <v>45076</v>
      </c>
      <c r="E4091" s="7">
        <v>45085</v>
      </c>
      <c r="G4091" s="1" t="s">
        <v>38</v>
      </c>
      <c r="H4091" s="8">
        <v>187943.97</v>
      </c>
      <c r="I4091" s="8">
        <v>166968.37</v>
      </c>
      <c r="J4091" s="1">
        <f>IF(COUNTIF($C$4:C4091,C4091)=1,1,0)</f>
        <v>1</v>
      </c>
      <c r="K4091" s="1">
        <f t="shared" si="63"/>
        <v>2023</v>
      </c>
    </row>
    <row r="4092" spans="2:11" x14ac:dyDescent="0.45">
      <c r="B4092" s="1" t="s">
        <v>4000</v>
      </c>
      <c r="C4092" s="1" t="s">
        <v>4064</v>
      </c>
      <c r="D4092" s="7">
        <v>46053</v>
      </c>
      <c r="E4092" s="7">
        <v>46080</v>
      </c>
      <c r="G4092" s="1" t="s">
        <v>1348</v>
      </c>
      <c r="H4092" s="8">
        <v>50407490.020000003</v>
      </c>
      <c r="I4092" s="8">
        <v>22481172.449999999</v>
      </c>
      <c r="J4092" s="1">
        <f>IF(COUNTIF($C$4:C4092,C4092)=1,1,0)</f>
        <v>1</v>
      </c>
      <c r="K4092" s="1">
        <f t="shared" si="63"/>
        <v>2026</v>
      </c>
    </row>
    <row r="4093" spans="2:11" x14ac:dyDescent="0.45">
      <c r="B4093" s="1" t="s">
        <v>4000</v>
      </c>
      <c r="C4093" s="1" t="s">
        <v>4065</v>
      </c>
      <c r="D4093" s="7">
        <v>43723</v>
      </c>
      <c r="E4093" s="7">
        <v>43732</v>
      </c>
      <c r="G4093" s="1" t="s">
        <v>20</v>
      </c>
      <c r="H4093" s="8">
        <v>2644463.33</v>
      </c>
      <c r="I4093" s="8">
        <v>1754902.15</v>
      </c>
      <c r="J4093" s="1">
        <f>IF(COUNTIF($C$4:C4093,C4093)=1,1,0)</f>
        <v>1</v>
      </c>
      <c r="K4093" s="1">
        <f t="shared" si="63"/>
        <v>2019</v>
      </c>
    </row>
    <row r="4094" spans="2:11" x14ac:dyDescent="0.45">
      <c r="B4094" s="1" t="s">
        <v>4000</v>
      </c>
      <c r="C4094" s="1" t="s">
        <v>4066</v>
      </c>
      <c r="D4094" s="7">
        <v>45500</v>
      </c>
      <c r="E4094" s="7">
        <v>45516</v>
      </c>
      <c r="G4094" s="1" t="s">
        <v>13</v>
      </c>
      <c r="H4094" s="8">
        <v>84695.679999999993</v>
      </c>
      <c r="I4094" s="8">
        <v>72414.63</v>
      </c>
      <c r="J4094" s="1">
        <f>IF(COUNTIF($C$4:C4094,C4094)=1,1,0)</f>
        <v>1</v>
      </c>
      <c r="K4094" s="1">
        <f t="shared" si="63"/>
        <v>2024</v>
      </c>
    </row>
    <row r="4095" spans="2:11" x14ac:dyDescent="0.45">
      <c r="B4095" s="1" t="s">
        <v>4000</v>
      </c>
      <c r="C4095" s="1" t="s">
        <v>4067</v>
      </c>
      <c r="D4095" s="7">
        <v>43887</v>
      </c>
      <c r="E4095" s="7">
        <v>43901</v>
      </c>
      <c r="G4095" s="1" t="s">
        <v>41</v>
      </c>
      <c r="H4095" s="8">
        <v>30220.28</v>
      </c>
      <c r="I4095" s="8">
        <v>20314.490000000002</v>
      </c>
      <c r="J4095" s="1">
        <f>IF(COUNTIF($C$4:C4095,C4095)=1,1,0)</f>
        <v>1</v>
      </c>
      <c r="K4095" s="1">
        <f t="shared" si="63"/>
        <v>2020</v>
      </c>
    </row>
    <row r="4096" spans="2:11" x14ac:dyDescent="0.45">
      <c r="B4096" s="1" t="s">
        <v>4000</v>
      </c>
      <c r="C4096" s="1" t="s">
        <v>4068</v>
      </c>
      <c r="D4096" s="7">
        <v>44819</v>
      </c>
      <c r="E4096" s="7">
        <v>44834</v>
      </c>
      <c r="G4096" s="1" t="s">
        <v>38</v>
      </c>
      <c r="H4096" s="8">
        <v>70186.81</v>
      </c>
      <c r="I4096" s="8">
        <v>60776.89</v>
      </c>
      <c r="J4096" s="1">
        <f>IF(COUNTIF($C$4:C4096,C4096)=1,1,0)</f>
        <v>1</v>
      </c>
      <c r="K4096" s="1">
        <f t="shared" si="63"/>
        <v>2022</v>
      </c>
    </row>
    <row r="4097" spans="2:11" x14ac:dyDescent="0.45">
      <c r="B4097" s="1" t="s">
        <v>4000</v>
      </c>
      <c r="C4097" s="1" t="s">
        <v>4069</v>
      </c>
      <c r="D4097" s="7">
        <v>43862</v>
      </c>
      <c r="E4097" s="7">
        <v>43890</v>
      </c>
      <c r="G4097" s="1" t="s">
        <v>16</v>
      </c>
      <c r="H4097" s="8">
        <v>1257224.3400000001</v>
      </c>
      <c r="I4097" s="8">
        <v>799929.32</v>
      </c>
      <c r="J4097" s="1">
        <f>IF(COUNTIF($C$4:C4097,C4097)=1,1,0)</f>
        <v>1</v>
      </c>
      <c r="K4097" s="1">
        <f t="shared" si="63"/>
        <v>2020</v>
      </c>
    </row>
    <row r="4098" spans="2:11" x14ac:dyDescent="0.45">
      <c r="B4098" s="1" t="s">
        <v>4000</v>
      </c>
      <c r="C4098" s="1" t="s">
        <v>4070</v>
      </c>
      <c r="D4098" s="7">
        <v>45543</v>
      </c>
      <c r="E4098" s="7">
        <v>45547</v>
      </c>
      <c r="G4098" s="1" t="s">
        <v>1348</v>
      </c>
      <c r="H4098" s="8">
        <v>35136094.350000001</v>
      </c>
      <c r="I4098" s="8">
        <v>26094752.649999999</v>
      </c>
      <c r="J4098" s="1">
        <f>IF(COUNTIF($C$4:C4098,C4098)=1,1,0)</f>
        <v>1</v>
      </c>
      <c r="K4098" s="1">
        <f t="shared" si="63"/>
        <v>2024</v>
      </c>
    </row>
    <row r="4099" spans="2:11" x14ac:dyDescent="0.45">
      <c r="B4099" s="1" t="s">
        <v>4000</v>
      </c>
      <c r="C4099" s="1" t="s">
        <v>4071</v>
      </c>
      <c r="D4099" s="7">
        <v>43992</v>
      </c>
      <c r="E4099" s="7">
        <v>44018</v>
      </c>
      <c r="G4099" s="1" t="s">
        <v>20</v>
      </c>
      <c r="H4099" s="8">
        <v>296923.2</v>
      </c>
      <c r="I4099" s="8">
        <v>213180.77</v>
      </c>
      <c r="J4099" s="1">
        <f>IF(COUNTIF($C$4:C4099,C4099)=1,1,0)</f>
        <v>1</v>
      </c>
      <c r="K4099" s="1">
        <f t="shared" si="63"/>
        <v>2020</v>
      </c>
    </row>
    <row r="4100" spans="2:11" x14ac:dyDescent="0.45">
      <c r="B4100" s="1" t="s">
        <v>4000</v>
      </c>
      <c r="C4100" s="1" t="s">
        <v>4072</v>
      </c>
      <c r="D4100" s="7">
        <v>43284</v>
      </c>
      <c r="E4100" s="7">
        <v>43314</v>
      </c>
      <c r="G4100" s="1" t="s">
        <v>212</v>
      </c>
      <c r="H4100" s="8">
        <v>13647819.08</v>
      </c>
      <c r="I4100" s="8">
        <v>5253743.17</v>
      </c>
      <c r="J4100" s="1">
        <f>IF(COUNTIF($C$4:C4100,C4100)=1,1,0)</f>
        <v>1</v>
      </c>
      <c r="K4100" s="1">
        <f t="shared" si="63"/>
        <v>2018</v>
      </c>
    </row>
    <row r="4101" spans="2:11" x14ac:dyDescent="0.45">
      <c r="B4101" s="1" t="s">
        <v>4000</v>
      </c>
      <c r="C4101" s="1" t="s">
        <v>4073</v>
      </c>
      <c r="D4101" s="7">
        <v>45761</v>
      </c>
      <c r="E4101" s="7">
        <v>45790</v>
      </c>
      <c r="G4101" s="1" t="s">
        <v>13</v>
      </c>
      <c r="H4101" s="8">
        <v>258936.14</v>
      </c>
      <c r="I4101" s="8">
        <v>214381.61</v>
      </c>
      <c r="J4101" s="1">
        <f>IF(COUNTIF($C$4:C4101,C4101)=1,1,0)</f>
        <v>1</v>
      </c>
      <c r="K4101" s="1">
        <f t="shared" ref="K4101:K4164" si="64">YEAR(D4101)</f>
        <v>2025</v>
      </c>
    </row>
    <row r="4102" spans="2:11" x14ac:dyDescent="0.45">
      <c r="B4102" s="1" t="s">
        <v>4000</v>
      </c>
      <c r="C4102" s="1" t="s">
        <v>4074</v>
      </c>
      <c r="D4102" s="7">
        <v>44687</v>
      </c>
      <c r="E4102" s="7">
        <v>44705</v>
      </c>
      <c r="G4102" s="1" t="s">
        <v>41</v>
      </c>
      <c r="H4102" s="8">
        <v>333139.38</v>
      </c>
      <c r="I4102" s="8">
        <v>296004.46000000002</v>
      </c>
      <c r="J4102" s="1">
        <f>IF(COUNTIF($C$4:C4102,C4102)=1,1,0)</f>
        <v>1</v>
      </c>
      <c r="K4102" s="1">
        <f t="shared" si="64"/>
        <v>2022</v>
      </c>
    </row>
    <row r="4103" spans="2:11" x14ac:dyDescent="0.45">
      <c r="B4103" s="1" t="s">
        <v>4000</v>
      </c>
      <c r="C4103" s="1" t="s">
        <v>4075</v>
      </c>
      <c r="D4103" s="7">
        <v>44203</v>
      </c>
      <c r="E4103" s="7">
        <v>44218</v>
      </c>
      <c r="G4103" s="1" t="s">
        <v>41</v>
      </c>
      <c r="H4103" s="8">
        <v>136547.93</v>
      </c>
      <c r="I4103" s="8">
        <v>108892.73</v>
      </c>
      <c r="J4103" s="1">
        <f>IF(COUNTIF($C$4:C4103,C4103)=1,1,0)</f>
        <v>1</v>
      </c>
      <c r="K4103" s="1">
        <f t="shared" si="64"/>
        <v>2021</v>
      </c>
    </row>
    <row r="4104" spans="2:11" x14ac:dyDescent="0.45">
      <c r="B4104" s="1" t="s">
        <v>4000</v>
      </c>
      <c r="C4104" s="1" t="s">
        <v>4076</v>
      </c>
      <c r="D4104" s="7">
        <v>43575</v>
      </c>
      <c r="E4104" s="7">
        <v>43580</v>
      </c>
      <c r="G4104" s="1" t="s">
        <v>20</v>
      </c>
      <c r="H4104" s="8">
        <v>169592.07</v>
      </c>
      <c r="I4104" s="8">
        <v>95095.81</v>
      </c>
      <c r="J4104" s="1">
        <f>IF(COUNTIF($C$4:C4104,C4104)=1,1,0)</f>
        <v>1</v>
      </c>
      <c r="K4104" s="1">
        <f t="shared" si="64"/>
        <v>2019</v>
      </c>
    </row>
    <row r="4105" spans="2:11" x14ac:dyDescent="0.45">
      <c r="B4105" s="1" t="s">
        <v>4000</v>
      </c>
      <c r="C4105" s="1" t="s">
        <v>4077</v>
      </c>
      <c r="D4105" s="7">
        <v>44968</v>
      </c>
      <c r="E4105" s="7">
        <v>44997</v>
      </c>
      <c r="G4105" s="1" t="s">
        <v>38</v>
      </c>
      <c r="H4105" s="8">
        <v>161168.49</v>
      </c>
      <c r="I4105" s="8">
        <v>131053.71</v>
      </c>
      <c r="J4105" s="1">
        <f>IF(COUNTIF($C$4:C4105,C4105)=1,1,0)</f>
        <v>1</v>
      </c>
      <c r="K4105" s="1">
        <f t="shared" si="64"/>
        <v>2023</v>
      </c>
    </row>
    <row r="4106" spans="2:11" x14ac:dyDescent="0.45">
      <c r="B4106" s="1" t="s">
        <v>4000</v>
      </c>
      <c r="C4106" s="1" t="s">
        <v>4078</v>
      </c>
      <c r="D4106" s="7">
        <v>45542</v>
      </c>
      <c r="E4106" s="7">
        <v>45571</v>
      </c>
      <c r="G4106" s="1" t="s">
        <v>22</v>
      </c>
      <c r="H4106" s="8">
        <v>4566794.03</v>
      </c>
      <c r="I4106" s="8">
        <v>2384468.23</v>
      </c>
      <c r="J4106" s="1">
        <f>IF(COUNTIF($C$4:C4106,C4106)=1,1,0)</f>
        <v>1</v>
      </c>
      <c r="K4106" s="1">
        <f t="shared" si="64"/>
        <v>2024</v>
      </c>
    </row>
    <row r="4107" spans="2:11" x14ac:dyDescent="0.45">
      <c r="B4107" s="1" t="s">
        <v>4000</v>
      </c>
      <c r="C4107" s="1" t="s">
        <v>4079</v>
      </c>
      <c r="D4107" s="7">
        <v>44707</v>
      </c>
      <c r="E4107" s="7">
        <v>44727</v>
      </c>
      <c r="G4107" s="1" t="s">
        <v>38</v>
      </c>
      <c r="H4107" s="8">
        <v>881169.63</v>
      </c>
      <c r="I4107" s="8">
        <v>737924.69</v>
      </c>
      <c r="J4107" s="1">
        <f>IF(COUNTIF($C$4:C4107,C4107)=1,1,0)</f>
        <v>1</v>
      </c>
      <c r="K4107" s="1">
        <f t="shared" si="64"/>
        <v>2022</v>
      </c>
    </row>
    <row r="4108" spans="2:11" x14ac:dyDescent="0.45">
      <c r="B4108" s="1" t="s">
        <v>4000</v>
      </c>
      <c r="C4108" s="1" t="s">
        <v>4080</v>
      </c>
      <c r="D4108" s="7">
        <v>44242</v>
      </c>
      <c r="E4108" s="7">
        <v>44260</v>
      </c>
      <c r="G4108" s="1" t="s">
        <v>212</v>
      </c>
      <c r="H4108" s="8">
        <v>2280041.7200000002</v>
      </c>
      <c r="I4108" s="8">
        <v>1373359.42</v>
      </c>
      <c r="J4108" s="1">
        <f>IF(COUNTIF($C$4:C4108,C4108)=1,1,0)</f>
        <v>1</v>
      </c>
      <c r="K4108" s="1">
        <f t="shared" si="64"/>
        <v>2021</v>
      </c>
    </row>
    <row r="4109" spans="2:11" x14ac:dyDescent="0.45">
      <c r="B4109" s="1" t="s">
        <v>4000</v>
      </c>
      <c r="C4109" s="1" t="s">
        <v>4081</v>
      </c>
      <c r="D4109" s="7">
        <v>45843</v>
      </c>
      <c r="E4109" s="7">
        <v>45864</v>
      </c>
      <c r="G4109" s="1" t="s">
        <v>41</v>
      </c>
      <c r="H4109" s="8">
        <v>684636.6</v>
      </c>
      <c r="I4109" s="8">
        <v>521132.29</v>
      </c>
      <c r="J4109" s="1">
        <f>IF(COUNTIF($C$4:C4109,C4109)=1,1,0)</f>
        <v>1</v>
      </c>
      <c r="K4109" s="1">
        <f t="shared" si="64"/>
        <v>2025</v>
      </c>
    </row>
    <row r="4110" spans="2:11" x14ac:dyDescent="0.45">
      <c r="B4110" s="1" t="s">
        <v>4000</v>
      </c>
      <c r="C4110" s="1" t="s">
        <v>4082</v>
      </c>
      <c r="D4110" s="7">
        <v>43714</v>
      </c>
      <c r="E4110" s="7">
        <v>43744</v>
      </c>
      <c r="G4110" s="1" t="s">
        <v>13</v>
      </c>
      <c r="H4110" s="8">
        <v>546875.29</v>
      </c>
      <c r="I4110" s="8">
        <v>407935.73</v>
      </c>
      <c r="J4110" s="1">
        <f>IF(COUNTIF($C$4:C4110,C4110)=1,1,0)</f>
        <v>1</v>
      </c>
      <c r="K4110" s="1">
        <f t="shared" si="64"/>
        <v>2019</v>
      </c>
    </row>
    <row r="4111" spans="2:11" x14ac:dyDescent="0.45">
      <c r="B4111" s="1" t="s">
        <v>4000</v>
      </c>
      <c r="C4111" s="1" t="s">
        <v>4083</v>
      </c>
      <c r="D4111" s="7">
        <v>45527</v>
      </c>
      <c r="E4111" s="7">
        <v>45545</v>
      </c>
      <c r="G4111" s="1" t="s">
        <v>41</v>
      </c>
      <c r="H4111" s="8">
        <v>14274.51</v>
      </c>
      <c r="I4111" s="8">
        <v>10037.69</v>
      </c>
      <c r="J4111" s="1">
        <f>IF(COUNTIF($C$4:C4111,C4111)=1,1,0)</f>
        <v>1</v>
      </c>
      <c r="K4111" s="1">
        <f t="shared" si="64"/>
        <v>2024</v>
      </c>
    </row>
    <row r="4112" spans="2:11" x14ac:dyDescent="0.45">
      <c r="B4112" s="1" t="s">
        <v>4000</v>
      </c>
      <c r="C4112" s="1" t="s">
        <v>4084</v>
      </c>
      <c r="D4112" s="7">
        <v>44179</v>
      </c>
      <c r="E4112" s="7">
        <v>44187</v>
      </c>
      <c r="G4112" s="1" t="s">
        <v>212</v>
      </c>
      <c r="H4112" s="8">
        <v>281500.75</v>
      </c>
      <c r="I4112" s="8">
        <v>192858.03</v>
      </c>
      <c r="J4112" s="1">
        <f>IF(COUNTIF($C$4:C4112,C4112)=1,1,0)</f>
        <v>1</v>
      </c>
      <c r="K4112" s="1">
        <f t="shared" si="64"/>
        <v>2020</v>
      </c>
    </row>
    <row r="4113" spans="2:11" x14ac:dyDescent="0.45">
      <c r="B4113" s="1" t="s">
        <v>4000</v>
      </c>
      <c r="C4113" s="1" t="s">
        <v>4085</v>
      </c>
      <c r="D4113" s="7">
        <v>44372</v>
      </c>
      <c r="E4113" s="7">
        <v>44378</v>
      </c>
      <c r="G4113" s="1" t="s">
        <v>212</v>
      </c>
      <c r="H4113" s="8">
        <v>5098917.0999999996</v>
      </c>
      <c r="I4113" s="8">
        <v>3962452.96</v>
      </c>
      <c r="J4113" s="1">
        <f>IF(COUNTIF($C$4:C4113,C4113)=1,1,0)</f>
        <v>1</v>
      </c>
      <c r="K4113" s="1">
        <f t="shared" si="64"/>
        <v>2021</v>
      </c>
    </row>
    <row r="4114" spans="2:11" x14ac:dyDescent="0.45">
      <c r="B4114" s="1" t="s">
        <v>4000</v>
      </c>
      <c r="C4114" s="1" t="s">
        <v>4086</v>
      </c>
      <c r="D4114" s="7">
        <v>45838</v>
      </c>
      <c r="E4114" s="7">
        <v>45868</v>
      </c>
      <c r="G4114" s="1" t="s">
        <v>1348</v>
      </c>
      <c r="H4114" s="8">
        <v>85412496.319999993</v>
      </c>
      <c r="I4114" s="8">
        <v>53350695.219999999</v>
      </c>
      <c r="J4114" s="1">
        <f>IF(COUNTIF($C$4:C4114,C4114)=1,1,0)</f>
        <v>1</v>
      </c>
      <c r="K4114" s="1">
        <f t="shared" si="64"/>
        <v>2025</v>
      </c>
    </row>
    <row r="4115" spans="2:11" x14ac:dyDescent="0.45">
      <c r="B4115" s="1" t="s">
        <v>4000</v>
      </c>
      <c r="C4115" s="1" t="s">
        <v>4087</v>
      </c>
      <c r="D4115" s="7">
        <v>43257</v>
      </c>
      <c r="E4115" s="7">
        <v>43268</v>
      </c>
      <c r="G4115" s="1" t="s">
        <v>13</v>
      </c>
      <c r="H4115" s="8">
        <v>374203.78</v>
      </c>
      <c r="I4115" s="8">
        <v>285584.14</v>
      </c>
      <c r="J4115" s="1">
        <f>IF(COUNTIF($C$4:C4115,C4115)=1,1,0)</f>
        <v>1</v>
      </c>
      <c r="K4115" s="1">
        <f t="shared" si="64"/>
        <v>2018</v>
      </c>
    </row>
    <row r="4116" spans="2:11" x14ac:dyDescent="0.45">
      <c r="B4116" s="1" t="s">
        <v>4000</v>
      </c>
      <c r="C4116" s="1" t="s">
        <v>4088</v>
      </c>
      <c r="D4116" s="7">
        <v>44955</v>
      </c>
      <c r="E4116" s="7">
        <v>44961</v>
      </c>
      <c r="G4116" s="1" t="s">
        <v>212</v>
      </c>
      <c r="H4116" s="8">
        <v>4299919.47</v>
      </c>
      <c r="I4116" s="8">
        <v>2768088.23</v>
      </c>
      <c r="J4116" s="1">
        <f>IF(COUNTIF($C$4:C4116,C4116)=1,1,0)</f>
        <v>1</v>
      </c>
      <c r="K4116" s="1">
        <f t="shared" si="64"/>
        <v>2023</v>
      </c>
    </row>
    <row r="4117" spans="2:11" x14ac:dyDescent="0.45">
      <c r="B4117" s="1" t="s">
        <v>4000</v>
      </c>
      <c r="C4117" s="1" t="s">
        <v>4089</v>
      </c>
      <c r="D4117" s="7">
        <v>44271</v>
      </c>
      <c r="E4117" s="7">
        <v>44282</v>
      </c>
      <c r="G4117" s="1" t="s">
        <v>16</v>
      </c>
      <c r="H4117" s="8">
        <v>1427106.43</v>
      </c>
      <c r="I4117" s="8">
        <v>810578.67</v>
      </c>
      <c r="J4117" s="1">
        <f>IF(COUNTIF($C$4:C4117,C4117)=1,1,0)</f>
        <v>1</v>
      </c>
      <c r="K4117" s="1">
        <f t="shared" si="64"/>
        <v>2021</v>
      </c>
    </row>
    <row r="4118" spans="2:11" x14ac:dyDescent="0.45">
      <c r="B4118" s="1" t="s">
        <v>4000</v>
      </c>
      <c r="C4118" s="1" t="s">
        <v>4090</v>
      </c>
      <c r="D4118" s="7">
        <v>44335</v>
      </c>
      <c r="E4118" s="7">
        <v>44341</v>
      </c>
      <c r="G4118" s="1" t="s">
        <v>16</v>
      </c>
      <c r="H4118" s="8">
        <v>199746.76</v>
      </c>
      <c r="I4118" s="8">
        <v>142929.72</v>
      </c>
      <c r="J4118" s="1">
        <f>IF(COUNTIF($C$4:C4118,C4118)=1,1,0)</f>
        <v>1</v>
      </c>
      <c r="K4118" s="1">
        <f t="shared" si="64"/>
        <v>2021</v>
      </c>
    </row>
    <row r="4119" spans="2:11" x14ac:dyDescent="0.45">
      <c r="B4119" s="1" t="s">
        <v>4000</v>
      </c>
      <c r="C4119" s="1" t="s">
        <v>4091</v>
      </c>
      <c r="D4119" s="7">
        <v>45599</v>
      </c>
      <c r="E4119" s="7">
        <v>45616</v>
      </c>
      <c r="G4119" s="1" t="s">
        <v>41</v>
      </c>
      <c r="H4119" s="8">
        <v>179041.99</v>
      </c>
      <c r="I4119" s="8">
        <v>155187.23000000001</v>
      </c>
      <c r="J4119" s="1">
        <f>IF(COUNTIF($C$4:C4119,C4119)=1,1,0)</f>
        <v>1</v>
      </c>
      <c r="K4119" s="1">
        <f t="shared" si="64"/>
        <v>2024</v>
      </c>
    </row>
    <row r="4120" spans="2:11" x14ac:dyDescent="0.45">
      <c r="B4120" s="1" t="s">
        <v>4000</v>
      </c>
      <c r="C4120" s="1" t="s">
        <v>4092</v>
      </c>
      <c r="D4120" s="7">
        <v>43170</v>
      </c>
      <c r="E4120" s="7">
        <v>43194</v>
      </c>
      <c r="G4120" s="1" t="s">
        <v>38</v>
      </c>
      <c r="H4120" s="8">
        <v>351423.82</v>
      </c>
      <c r="I4120" s="8">
        <v>250822.83</v>
      </c>
      <c r="J4120" s="1">
        <f>IF(COUNTIF($C$4:C4120,C4120)=1,1,0)</f>
        <v>1</v>
      </c>
      <c r="K4120" s="1">
        <f t="shared" si="64"/>
        <v>2018</v>
      </c>
    </row>
    <row r="4121" spans="2:11" x14ac:dyDescent="0.45">
      <c r="B4121" s="1" t="s">
        <v>4000</v>
      </c>
      <c r="C4121" s="1" t="s">
        <v>4093</v>
      </c>
      <c r="D4121" s="7">
        <v>44989</v>
      </c>
      <c r="E4121" s="7">
        <v>44989</v>
      </c>
      <c r="G4121" s="1" t="s">
        <v>22</v>
      </c>
      <c r="H4121" s="8">
        <v>17550760.300000001</v>
      </c>
      <c r="I4121" s="8">
        <v>12421886.949999999</v>
      </c>
      <c r="J4121" s="1">
        <f>IF(COUNTIF($C$4:C4121,C4121)=1,1,0)</f>
        <v>1</v>
      </c>
      <c r="K4121" s="1">
        <f t="shared" si="64"/>
        <v>2023</v>
      </c>
    </row>
    <row r="4122" spans="2:11" x14ac:dyDescent="0.45">
      <c r="B4122" s="1" t="s">
        <v>4000</v>
      </c>
      <c r="C4122" s="1" t="s">
        <v>4094</v>
      </c>
      <c r="D4122" s="7">
        <v>43676</v>
      </c>
      <c r="E4122" s="7">
        <v>43686</v>
      </c>
      <c r="G4122" s="1" t="s">
        <v>22</v>
      </c>
      <c r="H4122" s="8">
        <v>16846380.09</v>
      </c>
      <c r="I4122" s="8">
        <v>10845470.65</v>
      </c>
      <c r="J4122" s="1">
        <f>IF(COUNTIF($C$4:C4122,C4122)=1,1,0)</f>
        <v>1</v>
      </c>
      <c r="K4122" s="1">
        <f t="shared" si="64"/>
        <v>2019</v>
      </c>
    </row>
    <row r="4123" spans="2:11" x14ac:dyDescent="0.45">
      <c r="B4123" s="1" t="s">
        <v>4000</v>
      </c>
      <c r="C4123" s="1" t="s">
        <v>4095</v>
      </c>
      <c r="D4123" s="7">
        <v>45586</v>
      </c>
      <c r="E4123" s="7">
        <v>45600</v>
      </c>
      <c r="G4123" s="1" t="s">
        <v>1348</v>
      </c>
      <c r="H4123" s="8">
        <v>68018254.310000002</v>
      </c>
      <c r="I4123" s="8">
        <v>43579448.289999999</v>
      </c>
      <c r="J4123" s="1">
        <f>IF(COUNTIF($C$4:C4123,C4123)=1,1,0)</f>
        <v>1</v>
      </c>
      <c r="K4123" s="1">
        <f t="shared" si="64"/>
        <v>2024</v>
      </c>
    </row>
    <row r="4124" spans="2:11" x14ac:dyDescent="0.45">
      <c r="B4124" s="1" t="s">
        <v>4000</v>
      </c>
      <c r="C4124" s="1" t="s">
        <v>4096</v>
      </c>
      <c r="D4124" s="7">
        <v>44100</v>
      </c>
      <c r="E4124" s="7">
        <v>44129</v>
      </c>
      <c r="G4124" s="1" t="s">
        <v>1348</v>
      </c>
      <c r="H4124" s="8">
        <v>75524322.060000002</v>
      </c>
      <c r="I4124" s="8">
        <v>27350011.82</v>
      </c>
      <c r="J4124" s="1">
        <f>IF(COUNTIF($C$4:C4124,C4124)=1,1,0)</f>
        <v>1</v>
      </c>
      <c r="K4124" s="1">
        <f t="shared" si="64"/>
        <v>2020</v>
      </c>
    </row>
    <row r="4125" spans="2:11" x14ac:dyDescent="0.45">
      <c r="B4125" s="1" t="s">
        <v>4000</v>
      </c>
      <c r="C4125" s="1" t="s">
        <v>4097</v>
      </c>
      <c r="D4125" s="7">
        <v>45913</v>
      </c>
      <c r="E4125" s="7">
        <v>45939</v>
      </c>
      <c r="G4125" s="1" t="s">
        <v>38</v>
      </c>
      <c r="H4125" s="8">
        <v>1318878.5900000001</v>
      </c>
      <c r="I4125" s="8">
        <v>1036592.38</v>
      </c>
      <c r="J4125" s="1">
        <f>IF(COUNTIF($C$4:C4125,C4125)=1,1,0)</f>
        <v>1</v>
      </c>
      <c r="K4125" s="1">
        <f t="shared" si="64"/>
        <v>2025</v>
      </c>
    </row>
    <row r="4126" spans="2:11" x14ac:dyDescent="0.45">
      <c r="B4126" s="1" t="s">
        <v>4000</v>
      </c>
      <c r="C4126" s="1" t="s">
        <v>4098</v>
      </c>
      <c r="D4126" s="7">
        <v>45872</v>
      </c>
      <c r="E4126" s="7">
        <v>45879</v>
      </c>
      <c r="G4126" s="1" t="s">
        <v>13</v>
      </c>
      <c r="H4126" s="8">
        <v>988244.67</v>
      </c>
      <c r="I4126" s="8">
        <v>855134.58</v>
      </c>
      <c r="J4126" s="1">
        <f>IF(COUNTIF($C$4:C4126,C4126)=1,1,0)</f>
        <v>1</v>
      </c>
      <c r="K4126" s="1">
        <f t="shared" si="64"/>
        <v>2025</v>
      </c>
    </row>
    <row r="4127" spans="2:11" x14ac:dyDescent="0.45">
      <c r="B4127" s="1" t="s">
        <v>4000</v>
      </c>
      <c r="C4127" s="1" t="s">
        <v>4099</v>
      </c>
      <c r="D4127" s="7">
        <v>45797</v>
      </c>
      <c r="E4127" s="7">
        <v>45818</v>
      </c>
      <c r="G4127" s="1" t="s">
        <v>13</v>
      </c>
      <c r="H4127" s="8">
        <v>87757.21</v>
      </c>
      <c r="I4127" s="8">
        <v>76528.570000000007</v>
      </c>
      <c r="J4127" s="1">
        <f>IF(COUNTIF($C$4:C4127,C4127)=1,1,0)</f>
        <v>1</v>
      </c>
      <c r="K4127" s="1">
        <f t="shared" si="64"/>
        <v>2025</v>
      </c>
    </row>
    <row r="4128" spans="2:11" x14ac:dyDescent="0.45">
      <c r="B4128" s="1" t="s">
        <v>4000</v>
      </c>
      <c r="C4128" s="1" t="s">
        <v>4100</v>
      </c>
      <c r="D4128" s="7">
        <v>43166</v>
      </c>
      <c r="E4128" s="7">
        <v>43185</v>
      </c>
      <c r="G4128" s="1" t="s">
        <v>212</v>
      </c>
      <c r="H4128" s="8">
        <v>16964184.739999998</v>
      </c>
      <c r="I4128" s="8">
        <v>13229114.779999999</v>
      </c>
      <c r="J4128" s="1">
        <f>IF(COUNTIF($C$4:C4128,C4128)=1,1,0)</f>
        <v>1</v>
      </c>
      <c r="K4128" s="1">
        <f t="shared" si="64"/>
        <v>2018</v>
      </c>
    </row>
    <row r="4129" spans="2:11" x14ac:dyDescent="0.45">
      <c r="B4129" s="1" t="s">
        <v>4000</v>
      </c>
      <c r="C4129" s="1" t="s">
        <v>4101</v>
      </c>
      <c r="D4129" s="7">
        <v>46173</v>
      </c>
      <c r="E4129" s="7">
        <v>46187</v>
      </c>
      <c r="G4129" s="1" t="s">
        <v>38</v>
      </c>
      <c r="H4129" s="8">
        <v>128095.91</v>
      </c>
      <c r="I4129" s="8">
        <v>99613.42</v>
      </c>
      <c r="J4129" s="1">
        <f>IF(COUNTIF($C$4:C4129,C4129)=1,1,0)</f>
        <v>1</v>
      </c>
      <c r="K4129" s="1">
        <f t="shared" si="64"/>
        <v>2026</v>
      </c>
    </row>
    <row r="4130" spans="2:11" x14ac:dyDescent="0.45">
      <c r="B4130" s="1" t="s">
        <v>4000</v>
      </c>
      <c r="C4130" s="1" t="s">
        <v>4102</v>
      </c>
      <c r="D4130" s="7">
        <v>43391</v>
      </c>
      <c r="E4130" s="7">
        <v>43406</v>
      </c>
      <c r="G4130" s="1" t="s">
        <v>22</v>
      </c>
      <c r="H4130" s="8">
        <v>2054141.89</v>
      </c>
      <c r="I4130" s="8">
        <v>1540650.77</v>
      </c>
      <c r="J4130" s="1">
        <f>IF(COUNTIF($C$4:C4130,C4130)=1,1,0)</f>
        <v>1</v>
      </c>
      <c r="K4130" s="1">
        <f t="shared" si="64"/>
        <v>2018</v>
      </c>
    </row>
    <row r="4131" spans="2:11" x14ac:dyDescent="0.45">
      <c r="B4131" s="1" t="s">
        <v>4000</v>
      </c>
      <c r="C4131" s="1" t="s">
        <v>4103</v>
      </c>
      <c r="D4131" s="7">
        <v>45800</v>
      </c>
      <c r="E4131" s="7">
        <v>45808</v>
      </c>
      <c r="G4131" s="1" t="s">
        <v>16</v>
      </c>
      <c r="H4131" s="8">
        <v>5068498.3600000003</v>
      </c>
      <c r="I4131" s="8">
        <v>2774527.33</v>
      </c>
      <c r="J4131" s="1">
        <f>IF(COUNTIF($C$4:C4131,C4131)=1,1,0)</f>
        <v>1</v>
      </c>
      <c r="K4131" s="1">
        <f t="shared" si="64"/>
        <v>2025</v>
      </c>
    </row>
    <row r="4132" spans="2:11" x14ac:dyDescent="0.45">
      <c r="B4132" s="1" t="s">
        <v>4000</v>
      </c>
      <c r="C4132" s="1" t="s">
        <v>4104</v>
      </c>
      <c r="D4132" s="7">
        <v>43245</v>
      </c>
      <c r="E4132" s="7">
        <v>43264</v>
      </c>
      <c r="G4132" s="1" t="s">
        <v>22</v>
      </c>
      <c r="H4132" s="8">
        <v>4469103.04</v>
      </c>
      <c r="I4132" s="8">
        <v>3471023.45</v>
      </c>
      <c r="J4132" s="1">
        <f>IF(COUNTIF($C$4:C4132,C4132)=1,1,0)</f>
        <v>1</v>
      </c>
      <c r="K4132" s="1">
        <f t="shared" si="64"/>
        <v>2018</v>
      </c>
    </row>
    <row r="4133" spans="2:11" x14ac:dyDescent="0.45">
      <c r="B4133" s="1" t="s">
        <v>4000</v>
      </c>
      <c r="C4133" s="1" t="s">
        <v>4105</v>
      </c>
      <c r="D4133" s="7">
        <v>43863</v>
      </c>
      <c r="E4133" s="7">
        <v>43885</v>
      </c>
      <c r="G4133" s="1" t="s">
        <v>212</v>
      </c>
      <c r="H4133" s="8">
        <v>6943635.46</v>
      </c>
      <c r="I4133" s="8">
        <v>5468087.5899999999</v>
      </c>
      <c r="J4133" s="1">
        <f>IF(COUNTIF($C$4:C4133,C4133)=1,1,0)</f>
        <v>1</v>
      </c>
      <c r="K4133" s="1">
        <f t="shared" si="64"/>
        <v>2020</v>
      </c>
    </row>
    <row r="4134" spans="2:11" x14ac:dyDescent="0.45">
      <c r="B4134" s="1" t="s">
        <v>4000</v>
      </c>
      <c r="C4134" s="1" t="s">
        <v>4106</v>
      </c>
      <c r="D4134" s="7">
        <v>45684</v>
      </c>
      <c r="E4134" s="7">
        <v>45687</v>
      </c>
      <c r="G4134" s="1" t="s">
        <v>20</v>
      </c>
      <c r="H4134" s="8">
        <v>442147.16</v>
      </c>
      <c r="I4134" s="8">
        <v>277584.65999999997</v>
      </c>
      <c r="J4134" s="1">
        <f>IF(COUNTIF($C$4:C4134,C4134)=1,1,0)</f>
        <v>1</v>
      </c>
      <c r="K4134" s="1">
        <f t="shared" si="64"/>
        <v>2025</v>
      </c>
    </row>
    <row r="4135" spans="2:11" x14ac:dyDescent="0.45">
      <c r="B4135" s="1" t="s">
        <v>4000</v>
      </c>
      <c r="C4135" s="1" t="s">
        <v>4107</v>
      </c>
      <c r="D4135" s="7">
        <v>44195</v>
      </c>
      <c r="E4135" s="7">
        <v>44213</v>
      </c>
      <c r="G4135" s="1" t="s">
        <v>212</v>
      </c>
      <c r="H4135" s="8">
        <v>15545965.689999999</v>
      </c>
      <c r="I4135" s="8">
        <v>8216789.6200000001</v>
      </c>
      <c r="J4135" s="1">
        <f>IF(COUNTIF($C$4:C4135,C4135)=1,1,0)</f>
        <v>1</v>
      </c>
      <c r="K4135" s="1">
        <f t="shared" si="64"/>
        <v>2020</v>
      </c>
    </row>
    <row r="4136" spans="2:11" x14ac:dyDescent="0.45">
      <c r="B4136" s="1" t="s">
        <v>4000</v>
      </c>
      <c r="C4136" s="1" t="s">
        <v>4108</v>
      </c>
      <c r="D4136" s="7">
        <v>43988</v>
      </c>
      <c r="E4136" s="7">
        <v>43992</v>
      </c>
      <c r="G4136" s="1" t="s">
        <v>38</v>
      </c>
      <c r="H4136" s="8">
        <v>1100247.8999999999</v>
      </c>
      <c r="I4136" s="8">
        <v>966560.93</v>
      </c>
      <c r="J4136" s="1">
        <f>IF(COUNTIF($C$4:C4136,C4136)=1,1,0)</f>
        <v>1</v>
      </c>
      <c r="K4136" s="1">
        <f t="shared" si="64"/>
        <v>2020</v>
      </c>
    </row>
    <row r="4137" spans="2:11" x14ac:dyDescent="0.45">
      <c r="B4137" s="1" t="s">
        <v>4000</v>
      </c>
      <c r="C4137" s="1" t="s">
        <v>4109</v>
      </c>
      <c r="D4137" s="7">
        <v>44461</v>
      </c>
      <c r="E4137" s="7">
        <v>44468</v>
      </c>
      <c r="G4137" s="1" t="s">
        <v>13</v>
      </c>
      <c r="H4137" s="8">
        <v>301775.01</v>
      </c>
      <c r="I4137" s="8">
        <v>262648.03000000003</v>
      </c>
      <c r="J4137" s="1">
        <f>IF(COUNTIF($C$4:C4137,C4137)=1,1,0)</f>
        <v>1</v>
      </c>
      <c r="K4137" s="1">
        <f t="shared" si="64"/>
        <v>2021</v>
      </c>
    </row>
    <row r="4138" spans="2:11" x14ac:dyDescent="0.45">
      <c r="B4138" s="1" t="s">
        <v>4000</v>
      </c>
      <c r="C4138" s="1" t="s">
        <v>4110</v>
      </c>
      <c r="D4138" s="7">
        <v>43568</v>
      </c>
      <c r="E4138" s="7">
        <v>43592</v>
      </c>
      <c r="G4138" s="1" t="s">
        <v>212</v>
      </c>
      <c r="H4138" s="8">
        <v>8878767.1099999994</v>
      </c>
      <c r="I4138" s="8">
        <v>4166305.74</v>
      </c>
      <c r="J4138" s="1">
        <f>IF(COUNTIF($C$4:C4138,C4138)=1,1,0)</f>
        <v>1</v>
      </c>
      <c r="K4138" s="1">
        <f t="shared" si="64"/>
        <v>2019</v>
      </c>
    </row>
    <row r="4139" spans="2:11" x14ac:dyDescent="0.45">
      <c r="B4139" s="1" t="s">
        <v>4000</v>
      </c>
      <c r="C4139" s="1" t="s">
        <v>4111</v>
      </c>
      <c r="D4139" s="7">
        <v>44575</v>
      </c>
      <c r="E4139" s="7">
        <v>44585</v>
      </c>
      <c r="G4139" s="1" t="s">
        <v>22</v>
      </c>
      <c r="H4139" s="8">
        <v>504066.36</v>
      </c>
      <c r="I4139" s="8">
        <v>403658.11</v>
      </c>
      <c r="J4139" s="1">
        <f>IF(COUNTIF($C$4:C4139,C4139)=1,1,0)</f>
        <v>1</v>
      </c>
      <c r="K4139" s="1">
        <f t="shared" si="64"/>
        <v>2022</v>
      </c>
    </row>
    <row r="4140" spans="2:11" x14ac:dyDescent="0.45">
      <c r="B4140" s="1" t="s">
        <v>4000</v>
      </c>
      <c r="C4140" s="1" t="s">
        <v>4112</v>
      </c>
      <c r="D4140" s="7">
        <v>45092</v>
      </c>
      <c r="E4140" s="7">
        <v>45099</v>
      </c>
      <c r="G4140" s="1" t="s">
        <v>212</v>
      </c>
      <c r="H4140" s="8">
        <v>19301870.91</v>
      </c>
      <c r="I4140" s="8">
        <v>9911214.4199999999</v>
      </c>
      <c r="J4140" s="1">
        <f>IF(COUNTIF($C$4:C4140,C4140)=1,1,0)</f>
        <v>1</v>
      </c>
      <c r="K4140" s="1">
        <f t="shared" si="64"/>
        <v>2023</v>
      </c>
    </row>
    <row r="4141" spans="2:11" x14ac:dyDescent="0.45">
      <c r="B4141" s="1" t="s">
        <v>4000</v>
      </c>
      <c r="C4141" s="1" t="s">
        <v>4113</v>
      </c>
      <c r="D4141" s="7">
        <v>45595</v>
      </c>
      <c r="E4141" s="7">
        <v>45611</v>
      </c>
      <c r="G4141" s="1" t="s">
        <v>13</v>
      </c>
      <c r="H4141" s="8">
        <v>359041.45</v>
      </c>
      <c r="I4141" s="8">
        <v>288950.58</v>
      </c>
      <c r="J4141" s="1">
        <f>IF(COUNTIF($C$4:C4141,C4141)=1,1,0)</f>
        <v>1</v>
      </c>
      <c r="K4141" s="1">
        <f t="shared" si="64"/>
        <v>2024</v>
      </c>
    </row>
    <row r="4142" spans="2:11" x14ac:dyDescent="0.45">
      <c r="B4142" s="1" t="s">
        <v>4000</v>
      </c>
      <c r="C4142" s="1" t="s">
        <v>4114</v>
      </c>
      <c r="D4142" s="7">
        <v>43837</v>
      </c>
      <c r="E4142" s="7">
        <v>43854</v>
      </c>
      <c r="G4142" s="1" t="s">
        <v>20</v>
      </c>
      <c r="H4142" s="8">
        <v>1081741.29</v>
      </c>
      <c r="I4142" s="8">
        <v>596762.63</v>
      </c>
      <c r="J4142" s="1">
        <f>IF(COUNTIF($C$4:C4142,C4142)=1,1,0)</f>
        <v>1</v>
      </c>
      <c r="K4142" s="1">
        <f t="shared" si="64"/>
        <v>2020</v>
      </c>
    </row>
    <row r="4143" spans="2:11" x14ac:dyDescent="0.45">
      <c r="B4143" s="1" t="s">
        <v>4000</v>
      </c>
      <c r="C4143" s="1" t="s">
        <v>4115</v>
      </c>
      <c r="D4143" s="7">
        <v>44519</v>
      </c>
      <c r="E4143" s="7">
        <v>44546</v>
      </c>
      <c r="G4143" s="1" t="s">
        <v>20</v>
      </c>
      <c r="H4143" s="8">
        <v>233720.12</v>
      </c>
      <c r="I4143" s="8">
        <v>127812.71</v>
      </c>
      <c r="J4143" s="1">
        <f>IF(COUNTIF($C$4:C4143,C4143)=1,1,0)</f>
        <v>1</v>
      </c>
      <c r="K4143" s="1">
        <f t="shared" si="64"/>
        <v>2021</v>
      </c>
    </row>
    <row r="4144" spans="2:11" x14ac:dyDescent="0.45">
      <c r="B4144" s="1" t="s">
        <v>4000</v>
      </c>
      <c r="C4144" s="1" t="s">
        <v>4116</v>
      </c>
      <c r="D4144" s="7">
        <v>43306</v>
      </c>
      <c r="E4144" s="7">
        <v>43310</v>
      </c>
      <c r="G4144" s="1" t="s">
        <v>20</v>
      </c>
      <c r="H4144" s="8">
        <v>614958.97</v>
      </c>
      <c r="I4144" s="8">
        <v>442200.53</v>
      </c>
      <c r="J4144" s="1">
        <f>IF(COUNTIF($C$4:C4144,C4144)=1,1,0)</f>
        <v>1</v>
      </c>
      <c r="K4144" s="1">
        <f t="shared" si="64"/>
        <v>2018</v>
      </c>
    </row>
    <row r="4145" spans="2:11" x14ac:dyDescent="0.45">
      <c r="B4145" s="1" t="s">
        <v>4000</v>
      </c>
      <c r="C4145" s="1" t="s">
        <v>4117</v>
      </c>
      <c r="D4145" s="7">
        <v>44274</v>
      </c>
      <c r="E4145" s="7">
        <v>44303</v>
      </c>
      <c r="G4145" s="1" t="s">
        <v>13</v>
      </c>
      <c r="H4145" s="8">
        <v>179142</v>
      </c>
      <c r="I4145" s="8">
        <v>151156.59</v>
      </c>
      <c r="J4145" s="1">
        <f>IF(COUNTIF($C$4:C4145,C4145)=1,1,0)</f>
        <v>1</v>
      </c>
      <c r="K4145" s="1">
        <f t="shared" si="64"/>
        <v>2021</v>
      </c>
    </row>
    <row r="4146" spans="2:11" x14ac:dyDescent="0.45">
      <c r="B4146" s="1" t="s">
        <v>4000</v>
      </c>
      <c r="C4146" s="1" t="s">
        <v>4118</v>
      </c>
      <c r="D4146" s="7">
        <v>45593</v>
      </c>
      <c r="E4146" s="7">
        <v>45620</v>
      </c>
      <c r="G4146" s="1" t="s">
        <v>212</v>
      </c>
      <c r="H4146" s="8">
        <v>1269330.27</v>
      </c>
      <c r="I4146" s="8">
        <v>877141.68</v>
      </c>
      <c r="J4146" s="1">
        <f>IF(COUNTIF($C$4:C4146,C4146)=1,1,0)</f>
        <v>1</v>
      </c>
      <c r="K4146" s="1">
        <f t="shared" si="64"/>
        <v>2024</v>
      </c>
    </row>
    <row r="4147" spans="2:11" x14ac:dyDescent="0.45">
      <c r="B4147" s="1" t="s">
        <v>4000</v>
      </c>
      <c r="C4147" s="1" t="s">
        <v>4119</v>
      </c>
      <c r="D4147" s="7">
        <v>44788</v>
      </c>
      <c r="E4147" s="7">
        <v>44802</v>
      </c>
      <c r="G4147" s="1" t="s">
        <v>20</v>
      </c>
      <c r="H4147" s="8">
        <v>384161.67</v>
      </c>
      <c r="I4147" s="8">
        <v>306759.09000000003</v>
      </c>
      <c r="J4147" s="1">
        <f>IF(COUNTIF($C$4:C4147,C4147)=1,1,0)</f>
        <v>1</v>
      </c>
      <c r="K4147" s="1">
        <f t="shared" si="64"/>
        <v>2022</v>
      </c>
    </row>
    <row r="4148" spans="2:11" x14ac:dyDescent="0.45">
      <c r="B4148" s="1" t="s">
        <v>4000</v>
      </c>
      <c r="C4148" s="1" t="s">
        <v>4120</v>
      </c>
      <c r="D4148" s="7">
        <v>44766</v>
      </c>
      <c r="E4148" s="7">
        <v>44779</v>
      </c>
      <c r="G4148" s="1" t="s">
        <v>41</v>
      </c>
      <c r="H4148" s="8">
        <v>68592.72</v>
      </c>
      <c r="I4148" s="8">
        <v>48958.67</v>
      </c>
      <c r="J4148" s="1">
        <f>IF(COUNTIF($C$4:C4148,C4148)=1,1,0)</f>
        <v>1</v>
      </c>
      <c r="K4148" s="1">
        <f t="shared" si="64"/>
        <v>2022</v>
      </c>
    </row>
    <row r="4149" spans="2:11" x14ac:dyDescent="0.45">
      <c r="B4149" s="1" t="s">
        <v>4000</v>
      </c>
      <c r="C4149" s="1" t="s">
        <v>4121</v>
      </c>
      <c r="D4149" s="7">
        <v>43854</v>
      </c>
      <c r="E4149" s="7">
        <v>43870</v>
      </c>
      <c r="G4149" s="1" t="s">
        <v>41</v>
      </c>
      <c r="H4149" s="8">
        <v>202964.67</v>
      </c>
      <c r="I4149" s="8">
        <v>177600.57</v>
      </c>
      <c r="J4149" s="1">
        <f>IF(COUNTIF($C$4:C4149,C4149)=1,1,0)</f>
        <v>1</v>
      </c>
      <c r="K4149" s="1">
        <f t="shared" si="64"/>
        <v>2020</v>
      </c>
    </row>
    <row r="4150" spans="2:11" x14ac:dyDescent="0.45">
      <c r="B4150" s="1" t="s">
        <v>4000</v>
      </c>
      <c r="C4150" s="1" t="s">
        <v>4122</v>
      </c>
      <c r="D4150" s="7">
        <v>43554</v>
      </c>
      <c r="E4150" s="7">
        <v>43561</v>
      </c>
      <c r="G4150" s="1" t="s">
        <v>22</v>
      </c>
      <c r="H4150" s="8">
        <v>7799798.1799999997</v>
      </c>
      <c r="I4150" s="8">
        <v>4181718.13</v>
      </c>
      <c r="J4150" s="1">
        <f>IF(COUNTIF($C$4:C4150,C4150)=1,1,0)</f>
        <v>1</v>
      </c>
      <c r="K4150" s="1">
        <f t="shared" si="64"/>
        <v>2019</v>
      </c>
    </row>
    <row r="4151" spans="2:11" x14ac:dyDescent="0.45">
      <c r="B4151" s="1" t="s">
        <v>4000</v>
      </c>
      <c r="C4151" s="1" t="s">
        <v>4123</v>
      </c>
      <c r="D4151" s="7">
        <v>45781</v>
      </c>
      <c r="E4151" s="7">
        <v>45785</v>
      </c>
      <c r="G4151" s="1" t="s">
        <v>20</v>
      </c>
      <c r="H4151" s="8">
        <v>278390.25</v>
      </c>
      <c r="I4151" s="8">
        <v>207490.35</v>
      </c>
      <c r="J4151" s="1">
        <f>IF(COUNTIF($C$4:C4151,C4151)=1,1,0)</f>
        <v>1</v>
      </c>
      <c r="K4151" s="1">
        <f t="shared" si="64"/>
        <v>2025</v>
      </c>
    </row>
    <row r="4152" spans="2:11" x14ac:dyDescent="0.45">
      <c r="B4152" s="1" t="s">
        <v>4000</v>
      </c>
      <c r="C4152" s="1" t="s">
        <v>4124</v>
      </c>
      <c r="D4152" s="7">
        <v>44761</v>
      </c>
      <c r="E4152" s="7">
        <v>44776</v>
      </c>
      <c r="G4152" s="1" t="s">
        <v>13</v>
      </c>
      <c r="H4152" s="8">
        <v>193251.68</v>
      </c>
      <c r="I4152" s="8">
        <v>135225.44</v>
      </c>
      <c r="J4152" s="1">
        <f>IF(COUNTIF($C$4:C4152,C4152)=1,1,0)</f>
        <v>1</v>
      </c>
      <c r="K4152" s="1">
        <f t="shared" si="64"/>
        <v>2022</v>
      </c>
    </row>
    <row r="4153" spans="2:11" x14ac:dyDescent="0.45">
      <c r="B4153" s="1" t="s">
        <v>4000</v>
      </c>
      <c r="C4153" s="1" t="s">
        <v>4125</v>
      </c>
      <c r="D4153" s="7">
        <v>44187</v>
      </c>
      <c r="E4153" s="7">
        <v>44188</v>
      </c>
      <c r="G4153" s="1" t="s">
        <v>41</v>
      </c>
      <c r="H4153" s="8">
        <v>628433.14</v>
      </c>
      <c r="I4153" s="8">
        <v>497766.23</v>
      </c>
      <c r="J4153" s="1">
        <f>IF(COUNTIF($C$4:C4153,C4153)=1,1,0)</f>
        <v>1</v>
      </c>
      <c r="K4153" s="1">
        <f t="shared" si="64"/>
        <v>2020</v>
      </c>
    </row>
    <row r="4154" spans="2:11" x14ac:dyDescent="0.45">
      <c r="B4154" s="1" t="s">
        <v>4000</v>
      </c>
      <c r="C4154" s="1" t="s">
        <v>4126</v>
      </c>
      <c r="D4154" s="7">
        <v>43918</v>
      </c>
      <c r="E4154" s="7">
        <v>43938</v>
      </c>
      <c r="G4154" s="1" t="s">
        <v>13</v>
      </c>
      <c r="H4154" s="8">
        <v>164283.15</v>
      </c>
      <c r="I4154" s="8">
        <v>115815.46</v>
      </c>
      <c r="J4154" s="1">
        <f>IF(COUNTIF($C$4:C4154,C4154)=1,1,0)</f>
        <v>1</v>
      </c>
      <c r="K4154" s="1">
        <f t="shared" si="64"/>
        <v>2020</v>
      </c>
    </row>
    <row r="4155" spans="2:11" x14ac:dyDescent="0.45">
      <c r="B4155" s="1" t="s">
        <v>4000</v>
      </c>
      <c r="C4155" s="1" t="s">
        <v>4127</v>
      </c>
      <c r="D4155" s="7">
        <v>43600</v>
      </c>
      <c r="E4155" s="7">
        <v>43626</v>
      </c>
      <c r="G4155" s="1" t="s">
        <v>1348</v>
      </c>
      <c r="H4155" s="8">
        <v>20987448.890000001</v>
      </c>
      <c r="I4155" s="8">
        <v>8969452.1300000008</v>
      </c>
      <c r="J4155" s="1">
        <f>IF(COUNTIF($C$4:C4155,C4155)=1,1,0)</f>
        <v>1</v>
      </c>
      <c r="K4155" s="1">
        <f t="shared" si="64"/>
        <v>2019</v>
      </c>
    </row>
    <row r="4156" spans="2:11" x14ac:dyDescent="0.45">
      <c r="B4156" s="1" t="s">
        <v>4000</v>
      </c>
      <c r="C4156" s="1" t="s">
        <v>4128</v>
      </c>
      <c r="D4156" s="7">
        <v>43683</v>
      </c>
      <c r="E4156" s="7">
        <v>43697</v>
      </c>
      <c r="G4156" s="1" t="s">
        <v>13</v>
      </c>
      <c r="H4156" s="8">
        <v>1345223.39</v>
      </c>
      <c r="I4156" s="8">
        <v>1197440.5900000001</v>
      </c>
      <c r="J4156" s="1">
        <f>IF(COUNTIF($C$4:C4156,C4156)=1,1,0)</f>
        <v>1</v>
      </c>
      <c r="K4156" s="1">
        <f t="shared" si="64"/>
        <v>2019</v>
      </c>
    </row>
    <row r="4157" spans="2:11" x14ac:dyDescent="0.45">
      <c r="B4157" s="1" t="s">
        <v>4000</v>
      </c>
      <c r="C4157" s="1" t="s">
        <v>4129</v>
      </c>
      <c r="D4157" s="7">
        <v>44474</v>
      </c>
      <c r="E4157" s="7">
        <v>44491</v>
      </c>
      <c r="G4157" s="1" t="s">
        <v>38</v>
      </c>
      <c r="H4157" s="8">
        <v>170328.22</v>
      </c>
      <c r="I4157" s="8">
        <v>150073.95000000001</v>
      </c>
      <c r="J4157" s="1">
        <f>IF(COUNTIF($C$4:C4157,C4157)=1,1,0)</f>
        <v>1</v>
      </c>
      <c r="K4157" s="1">
        <f t="shared" si="64"/>
        <v>2021</v>
      </c>
    </row>
    <row r="4158" spans="2:11" x14ac:dyDescent="0.45">
      <c r="B4158" s="1" t="s">
        <v>4000</v>
      </c>
      <c r="C4158" s="1" t="s">
        <v>4130</v>
      </c>
      <c r="D4158" s="7">
        <v>46050</v>
      </c>
      <c r="E4158" s="7">
        <v>46080</v>
      </c>
      <c r="G4158" s="1" t="s">
        <v>13</v>
      </c>
      <c r="H4158" s="8">
        <v>166637.34</v>
      </c>
      <c r="I4158" s="8">
        <v>148675.16</v>
      </c>
      <c r="J4158" s="1">
        <f>IF(COUNTIF($C$4:C4158,C4158)=1,1,0)</f>
        <v>1</v>
      </c>
      <c r="K4158" s="1">
        <f t="shared" si="64"/>
        <v>2026</v>
      </c>
    </row>
    <row r="4159" spans="2:11" x14ac:dyDescent="0.45">
      <c r="B4159" s="1" t="s">
        <v>4000</v>
      </c>
      <c r="C4159" s="1" t="s">
        <v>4131</v>
      </c>
      <c r="D4159" s="7">
        <v>45291</v>
      </c>
      <c r="E4159" s="7">
        <v>45312</v>
      </c>
      <c r="G4159" s="1" t="s">
        <v>38</v>
      </c>
      <c r="H4159" s="8">
        <v>388825.99</v>
      </c>
      <c r="I4159" s="8">
        <v>344898.99</v>
      </c>
      <c r="J4159" s="1">
        <f>IF(COUNTIF($C$4:C4159,C4159)=1,1,0)</f>
        <v>1</v>
      </c>
      <c r="K4159" s="1">
        <f t="shared" si="64"/>
        <v>2023</v>
      </c>
    </row>
    <row r="4160" spans="2:11" x14ac:dyDescent="0.45">
      <c r="B4160" s="1" t="s">
        <v>4000</v>
      </c>
      <c r="C4160" s="1" t="s">
        <v>4132</v>
      </c>
      <c r="D4160" s="7">
        <v>44737</v>
      </c>
      <c r="E4160" s="7">
        <v>44756</v>
      </c>
      <c r="G4160" s="1" t="s">
        <v>41</v>
      </c>
      <c r="H4160" s="8">
        <v>144796.65</v>
      </c>
      <c r="I4160" s="8">
        <v>103416.95</v>
      </c>
      <c r="J4160" s="1">
        <f>IF(COUNTIF($C$4:C4160,C4160)=1,1,0)</f>
        <v>1</v>
      </c>
      <c r="K4160" s="1">
        <f t="shared" si="64"/>
        <v>2022</v>
      </c>
    </row>
    <row r="4161" spans="2:11" x14ac:dyDescent="0.45">
      <c r="B4161" s="1" t="s">
        <v>4000</v>
      </c>
      <c r="C4161" s="1" t="s">
        <v>4133</v>
      </c>
      <c r="D4161" s="7">
        <v>43706</v>
      </c>
      <c r="E4161" s="7">
        <v>43713</v>
      </c>
      <c r="G4161" s="1" t="s">
        <v>13</v>
      </c>
      <c r="H4161" s="8">
        <v>111586.42</v>
      </c>
      <c r="I4161" s="8">
        <v>96531.75</v>
      </c>
      <c r="J4161" s="1">
        <f>IF(COUNTIF($C$4:C4161,C4161)=1,1,0)</f>
        <v>1</v>
      </c>
      <c r="K4161" s="1">
        <f t="shared" si="64"/>
        <v>2019</v>
      </c>
    </row>
    <row r="4162" spans="2:11" x14ac:dyDescent="0.45">
      <c r="B4162" s="1" t="s">
        <v>4000</v>
      </c>
      <c r="C4162" s="1" t="s">
        <v>4134</v>
      </c>
      <c r="D4162" s="7">
        <v>44618</v>
      </c>
      <c r="E4162" s="7">
        <v>44640</v>
      </c>
      <c r="G4162" s="1" t="s">
        <v>41</v>
      </c>
      <c r="H4162" s="8">
        <v>152374.81</v>
      </c>
      <c r="I4162" s="8">
        <v>120307.98</v>
      </c>
      <c r="J4162" s="1">
        <f>IF(COUNTIF($C$4:C4162,C4162)=1,1,0)</f>
        <v>1</v>
      </c>
      <c r="K4162" s="1">
        <f t="shared" si="64"/>
        <v>2022</v>
      </c>
    </row>
    <row r="4163" spans="2:11" x14ac:dyDescent="0.45">
      <c r="B4163" s="1" t="s">
        <v>4000</v>
      </c>
      <c r="C4163" s="1" t="s">
        <v>4135</v>
      </c>
      <c r="D4163" s="7">
        <v>46189</v>
      </c>
      <c r="E4163" s="7">
        <v>46194</v>
      </c>
      <c r="G4163" s="1" t="s">
        <v>20</v>
      </c>
      <c r="H4163" s="8">
        <v>758102.18</v>
      </c>
      <c r="I4163" s="8">
        <v>542100.18000000005</v>
      </c>
      <c r="J4163" s="1">
        <f>IF(COUNTIF($C$4:C4163,C4163)=1,1,0)</f>
        <v>1</v>
      </c>
      <c r="K4163" s="1">
        <f t="shared" si="64"/>
        <v>2026</v>
      </c>
    </row>
    <row r="4164" spans="2:11" x14ac:dyDescent="0.45">
      <c r="B4164" s="1" t="s">
        <v>4000</v>
      </c>
      <c r="C4164" s="1" t="s">
        <v>4136</v>
      </c>
      <c r="D4164" s="7">
        <v>44291</v>
      </c>
      <c r="E4164" s="7">
        <v>44321</v>
      </c>
      <c r="G4164" s="1" t="s">
        <v>13</v>
      </c>
      <c r="H4164" s="8">
        <v>1476500.22</v>
      </c>
      <c r="I4164" s="8">
        <v>1108362.3999999999</v>
      </c>
      <c r="J4164" s="1">
        <f>IF(COUNTIF($C$4:C4164,C4164)=1,1,0)</f>
        <v>1</v>
      </c>
      <c r="K4164" s="1">
        <f t="shared" si="64"/>
        <v>2021</v>
      </c>
    </row>
    <row r="4165" spans="2:11" x14ac:dyDescent="0.45">
      <c r="B4165" s="1" t="s">
        <v>4000</v>
      </c>
      <c r="C4165" s="1" t="s">
        <v>4137</v>
      </c>
      <c r="D4165" s="7">
        <v>43294</v>
      </c>
      <c r="E4165" s="7">
        <v>43302</v>
      </c>
      <c r="G4165" s="1" t="s">
        <v>1348</v>
      </c>
      <c r="H4165" s="8">
        <v>15346760.09</v>
      </c>
      <c r="I4165" s="8">
        <v>10685432.85</v>
      </c>
      <c r="J4165" s="1">
        <f>IF(COUNTIF($C$4:C4165,C4165)=1,1,0)</f>
        <v>1</v>
      </c>
      <c r="K4165" s="1">
        <f t="shared" ref="K4165:K4228" si="65">YEAR(D4165)</f>
        <v>2018</v>
      </c>
    </row>
    <row r="4166" spans="2:11" x14ac:dyDescent="0.45">
      <c r="B4166" s="1" t="s">
        <v>4000</v>
      </c>
      <c r="C4166" s="1" t="s">
        <v>4138</v>
      </c>
      <c r="D4166" s="7">
        <v>44988</v>
      </c>
      <c r="E4166" s="7">
        <v>45001</v>
      </c>
      <c r="G4166" s="1" t="s">
        <v>41</v>
      </c>
      <c r="H4166" s="8">
        <v>466231.92</v>
      </c>
      <c r="I4166" s="8">
        <v>411024.01</v>
      </c>
      <c r="J4166" s="1">
        <f>IF(COUNTIF($C$4:C4166,C4166)=1,1,0)</f>
        <v>1</v>
      </c>
      <c r="K4166" s="1">
        <f t="shared" si="65"/>
        <v>2023</v>
      </c>
    </row>
    <row r="4167" spans="2:11" x14ac:dyDescent="0.45">
      <c r="B4167" s="1" t="s">
        <v>4000</v>
      </c>
      <c r="C4167" s="1" t="s">
        <v>4139</v>
      </c>
      <c r="D4167" s="7">
        <v>43465</v>
      </c>
      <c r="E4167" s="7">
        <v>43485</v>
      </c>
      <c r="G4167" s="1" t="s">
        <v>212</v>
      </c>
      <c r="H4167" s="8">
        <v>13250005.939999999</v>
      </c>
      <c r="I4167" s="8">
        <v>7655269.5700000003</v>
      </c>
      <c r="J4167" s="1">
        <f>IF(COUNTIF($C$4:C4167,C4167)=1,1,0)</f>
        <v>1</v>
      </c>
      <c r="K4167" s="1">
        <f t="shared" si="65"/>
        <v>2018</v>
      </c>
    </row>
    <row r="4168" spans="2:11" x14ac:dyDescent="0.45">
      <c r="B4168" s="1" t="s">
        <v>4000</v>
      </c>
      <c r="C4168" s="1" t="s">
        <v>4140</v>
      </c>
      <c r="D4168" s="7">
        <v>45328</v>
      </c>
      <c r="E4168" s="7">
        <v>45343</v>
      </c>
      <c r="G4168" s="1" t="s">
        <v>16</v>
      </c>
      <c r="H4168" s="8">
        <v>744252.63</v>
      </c>
      <c r="I4168" s="8">
        <v>554175.88</v>
      </c>
      <c r="J4168" s="1">
        <f>IF(COUNTIF($C$4:C4168,C4168)=1,1,0)</f>
        <v>1</v>
      </c>
      <c r="K4168" s="1">
        <f t="shared" si="65"/>
        <v>2024</v>
      </c>
    </row>
    <row r="4169" spans="2:11" x14ac:dyDescent="0.45">
      <c r="B4169" s="1" t="s">
        <v>4000</v>
      </c>
      <c r="C4169" s="1" t="s">
        <v>4141</v>
      </c>
      <c r="D4169" s="7">
        <v>44358</v>
      </c>
      <c r="E4169" s="7">
        <v>44387</v>
      </c>
      <c r="G4169" s="1" t="s">
        <v>20</v>
      </c>
      <c r="H4169" s="8">
        <v>1558777.53</v>
      </c>
      <c r="I4169" s="8">
        <v>989046.33</v>
      </c>
      <c r="J4169" s="1">
        <f>IF(COUNTIF($C$4:C4169,C4169)=1,1,0)</f>
        <v>1</v>
      </c>
      <c r="K4169" s="1">
        <f t="shared" si="65"/>
        <v>2021</v>
      </c>
    </row>
    <row r="4170" spans="2:11" x14ac:dyDescent="0.45">
      <c r="B4170" s="1" t="s">
        <v>4000</v>
      </c>
      <c r="C4170" s="1" t="s">
        <v>4142</v>
      </c>
      <c r="D4170" s="7">
        <v>45120</v>
      </c>
      <c r="E4170" s="7">
        <v>45149</v>
      </c>
      <c r="G4170" s="1" t="s">
        <v>38</v>
      </c>
      <c r="H4170" s="8">
        <v>220715.07</v>
      </c>
      <c r="I4170" s="8">
        <v>183554.75</v>
      </c>
      <c r="J4170" s="1">
        <f>IF(COUNTIF($C$4:C4170,C4170)=1,1,0)</f>
        <v>1</v>
      </c>
      <c r="K4170" s="1">
        <f t="shared" si="65"/>
        <v>2023</v>
      </c>
    </row>
    <row r="4171" spans="2:11" x14ac:dyDescent="0.45">
      <c r="B4171" s="1" t="s">
        <v>4000</v>
      </c>
      <c r="C4171" s="1" t="s">
        <v>4143</v>
      </c>
      <c r="D4171" s="7">
        <v>43565</v>
      </c>
      <c r="E4171" s="7">
        <v>43579</v>
      </c>
      <c r="G4171" s="1" t="s">
        <v>41</v>
      </c>
      <c r="H4171" s="8">
        <v>241482.65</v>
      </c>
      <c r="I4171" s="8">
        <v>194109.78</v>
      </c>
      <c r="J4171" s="1">
        <f>IF(COUNTIF($C$4:C4171,C4171)=1,1,0)</f>
        <v>1</v>
      </c>
      <c r="K4171" s="1">
        <f t="shared" si="65"/>
        <v>2019</v>
      </c>
    </row>
    <row r="4172" spans="2:11" x14ac:dyDescent="0.45">
      <c r="B4172" s="1" t="s">
        <v>4000</v>
      </c>
      <c r="C4172" s="1" t="s">
        <v>4144</v>
      </c>
      <c r="D4172" s="7">
        <v>44528</v>
      </c>
      <c r="E4172" s="7">
        <v>44557</v>
      </c>
      <c r="G4172" s="1" t="s">
        <v>13</v>
      </c>
      <c r="H4172" s="8">
        <v>265382.06</v>
      </c>
      <c r="I4172" s="8">
        <v>204987.15</v>
      </c>
      <c r="J4172" s="1">
        <f>IF(COUNTIF($C$4:C4172,C4172)=1,1,0)</f>
        <v>1</v>
      </c>
      <c r="K4172" s="1">
        <f t="shared" si="65"/>
        <v>2021</v>
      </c>
    </row>
    <row r="4173" spans="2:11" x14ac:dyDescent="0.45">
      <c r="B4173" s="1" t="s">
        <v>4000</v>
      </c>
      <c r="C4173" s="1" t="s">
        <v>4145</v>
      </c>
      <c r="D4173" s="7">
        <v>45855</v>
      </c>
      <c r="E4173" s="7">
        <v>45874</v>
      </c>
      <c r="G4173" s="1" t="s">
        <v>16</v>
      </c>
      <c r="H4173" s="8">
        <v>11142350.640000001</v>
      </c>
      <c r="I4173" s="8">
        <v>8096201.2000000002</v>
      </c>
      <c r="J4173" s="1">
        <f>IF(COUNTIF($C$4:C4173,C4173)=1,1,0)</f>
        <v>1</v>
      </c>
      <c r="K4173" s="1">
        <f t="shared" si="65"/>
        <v>2025</v>
      </c>
    </row>
    <row r="4174" spans="2:11" x14ac:dyDescent="0.45">
      <c r="B4174" s="1" t="s">
        <v>4000</v>
      </c>
      <c r="C4174" s="1" t="s">
        <v>4146</v>
      </c>
      <c r="D4174" s="7">
        <v>43496</v>
      </c>
      <c r="E4174" s="7">
        <v>43526</v>
      </c>
      <c r="G4174" s="1" t="s">
        <v>22</v>
      </c>
      <c r="H4174" s="8">
        <v>2361552.9</v>
      </c>
      <c r="I4174" s="8">
        <v>1382405.75</v>
      </c>
      <c r="J4174" s="1">
        <f>IF(COUNTIF($C$4:C4174,C4174)=1,1,0)</f>
        <v>1</v>
      </c>
      <c r="K4174" s="1">
        <f t="shared" si="65"/>
        <v>2019</v>
      </c>
    </row>
    <row r="4175" spans="2:11" x14ac:dyDescent="0.45">
      <c r="B4175" s="1" t="s">
        <v>4000</v>
      </c>
      <c r="C4175" s="1" t="s">
        <v>4147</v>
      </c>
      <c r="D4175" s="7">
        <v>45726</v>
      </c>
      <c r="E4175" s="7">
        <v>45752</v>
      </c>
      <c r="G4175" s="1" t="s">
        <v>38</v>
      </c>
      <c r="H4175" s="8">
        <v>154525.66</v>
      </c>
      <c r="I4175" s="8">
        <v>127265.96</v>
      </c>
      <c r="J4175" s="1">
        <f>IF(COUNTIF($C$4:C4175,C4175)=1,1,0)</f>
        <v>1</v>
      </c>
      <c r="K4175" s="1">
        <f t="shared" si="65"/>
        <v>2025</v>
      </c>
    </row>
    <row r="4176" spans="2:11" x14ac:dyDescent="0.45">
      <c r="B4176" s="1" t="s">
        <v>4000</v>
      </c>
      <c r="C4176" s="1" t="s">
        <v>4148</v>
      </c>
      <c r="D4176" s="7">
        <v>43877</v>
      </c>
      <c r="E4176" s="7">
        <v>43893</v>
      </c>
      <c r="G4176" s="1" t="s">
        <v>16</v>
      </c>
      <c r="H4176" s="8">
        <v>2550157.6</v>
      </c>
      <c r="I4176" s="8">
        <v>1802399.09</v>
      </c>
      <c r="J4176" s="1">
        <f>IF(COUNTIF($C$4:C4176,C4176)=1,1,0)</f>
        <v>1</v>
      </c>
      <c r="K4176" s="1">
        <f t="shared" si="65"/>
        <v>2020</v>
      </c>
    </row>
    <row r="4177" spans="2:11" x14ac:dyDescent="0.45">
      <c r="B4177" s="1" t="s">
        <v>4000</v>
      </c>
      <c r="C4177" s="1" t="s">
        <v>4149</v>
      </c>
      <c r="D4177" s="7">
        <v>44716</v>
      </c>
      <c r="E4177" s="7">
        <v>44743</v>
      </c>
      <c r="G4177" s="1" t="s">
        <v>1348</v>
      </c>
      <c r="H4177" s="8">
        <v>49708359.5</v>
      </c>
      <c r="I4177" s="8">
        <v>33826106.829999998</v>
      </c>
      <c r="J4177" s="1">
        <f>IF(COUNTIF($C$4:C4177,C4177)=1,1,0)</f>
        <v>1</v>
      </c>
      <c r="K4177" s="1">
        <f t="shared" si="65"/>
        <v>2022</v>
      </c>
    </row>
    <row r="4178" spans="2:11" x14ac:dyDescent="0.45">
      <c r="B4178" s="1" t="s">
        <v>4000</v>
      </c>
      <c r="C4178" s="1" t="s">
        <v>4150</v>
      </c>
      <c r="D4178" s="7">
        <v>44775</v>
      </c>
      <c r="E4178" s="7">
        <v>44781</v>
      </c>
      <c r="G4178" s="1" t="s">
        <v>16</v>
      </c>
      <c r="H4178" s="8">
        <v>2234207.65</v>
      </c>
      <c r="I4178" s="8">
        <v>1782804.84</v>
      </c>
      <c r="J4178" s="1">
        <f>IF(COUNTIF($C$4:C4178,C4178)=1,1,0)</f>
        <v>1</v>
      </c>
      <c r="K4178" s="1">
        <f t="shared" si="65"/>
        <v>2022</v>
      </c>
    </row>
    <row r="4179" spans="2:11" x14ac:dyDescent="0.45">
      <c r="B4179" s="1" t="s">
        <v>4000</v>
      </c>
      <c r="C4179" s="1" t="s">
        <v>4151</v>
      </c>
      <c r="D4179" s="7">
        <v>43630</v>
      </c>
      <c r="E4179" s="7">
        <v>43659</v>
      </c>
      <c r="G4179" s="1" t="s">
        <v>20</v>
      </c>
      <c r="H4179" s="8">
        <v>982681.41</v>
      </c>
      <c r="I4179" s="8">
        <v>789039.99</v>
      </c>
      <c r="J4179" s="1">
        <f>IF(COUNTIF($C$4:C4179,C4179)=1,1,0)</f>
        <v>1</v>
      </c>
      <c r="K4179" s="1">
        <f t="shared" si="65"/>
        <v>2019</v>
      </c>
    </row>
    <row r="4180" spans="2:11" x14ac:dyDescent="0.45">
      <c r="B4180" s="1" t="s">
        <v>4000</v>
      </c>
      <c r="C4180" s="1" t="s">
        <v>4152</v>
      </c>
      <c r="D4180" s="7">
        <v>44174</v>
      </c>
      <c r="E4180" s="7">
        <v>44189</v>
      </c>
      <c r="G4180" s="1" t="s">
        <v>16</v>
      </c>
      <c r="H4180" s="8">
        <v>3249018.59</v>
      </c>
      <c r="I4180" s="8">
        <v>2284236.0699999998</v>
      </c>
      <c r="J4180" s="1">
        <f>IF(COUNTIF($C$4:C4180,C4180)=1,1,0)</f>
        <v>1</v>
      </c>
      <c r="K4180" s="1">
        <f t="shared" si="65"/>
        <v>2020</v>
      </c>
    </row>
    <row r="4181" spans="2:11" x14ac:dyDescent="0.45">
      <c r="B4181" s="1" t="s">
        <v>4000</v>
      </c>
      <c r="C4181" s="1" t="s">
        <v>4153</v>
      </c>
      <c r="D4181" s="7">
        <v>43514</v>
      </c>
      <c r="E4181" s="7">
        <v>43529</v>
      </c>
      <c r="G4181" s="1" t="s">
        <v>212</v>
      </c>
      <c r="H4181" s="8">
        <v>11521382.65</v>
      </c>
      <c r="I4181" s="8">
        <v>7874591.2199999997</v>
      </c>
      <c r="J4181" s="1">
        <f>IF(COUNTIF($C$4:C4181,C4181)=1,1,0)</f>
        <v>1</v>
      </c>
      <c r="K4181" s="1">
        <f t="shared" si="65"/>
        <v>2019</v>
      </c>
    </row>
    <row r="4182" spans="2:11" x14ac:dyDescent="0.45">
      <c r="B4182" s="1" t="s">
        <v>4000</v>
      </c>
      <c r="C4182" s="1" t="s">
        <v>4154</v>
      </c>
      <c r="D4182" s="7">
        <v>44443</v>
      </c>
      <c r="E4182" s="7">
        <v>44463</v>
      </c>
      <c r="G4182" s="1" t="s">
        <v>16</v>
      </c>
      <c r="H4182" s="8">
        <v>3859076.82</v>
      </c>
      <c r="I4182" s="8">
        <v>2519166.06</v>
      </c>
      <c r="J4182" s="1">
        <f>IF(COUNTIF($C$4:C4182,C4182)=1,1,0)</f>
        <v>1</v>
      </c>
      <c r="K4182" s="1">
        <f t="shared" si="65"/>
        <v>2021</v>
      </c>
    </row>
    <row r="4183" spans="2:11" x14ac:dyDescent="0.45">
      <c r="B4183" s="1" t="s">
        <v>4000</v>
      </c>
      <c r="C4183" s="1" t="s">
        <v>4155</v>
      </c>
      <c r="D4183" s="7">
        <v>44310</v>
      </c>
      <c r="E4183" s="7">
        <v>44324</v>
      </c>
      <c r="G4183" s="1" t="s">
        <v>41</v>
      </c>
      <c r="H4183" s="8">
        <v>175267.69</v>
      </c>
      <c r="I4183" s="8">
        <v>133084.85999999999</v>
      </c>
      <c r="J4183" s="1">
        <f>IF(COUNTIF($C$4:C4183,C4183)=1,1,0)</f>
        <v>1</v>
      </c>
      <c r="K4183" s="1">
        <f t="shared" si="65"/>
        <v>2021</v>
      </c>
    </row>
    <row r="4184" spans="2:11" x14ac:dyDescent="0.45">
      <c r="B4184" s="1" t="s">
        <v>4000</v>
      </c>
      <c r="C4184" s="1" t="s">
        <v>4156</v>
      </c>
      <c r="D4184" s="7">
        <v>43637</v>
      </c>
      <c r="E4184" s="7">
        <v>43644</v>
      </c>
      <c r="G4184" s="1" t="s">
        <v>41</v>
      </c>
      <c r="H4184" s="8">
        <v>27798.94</v>
      </c>
      <c r="I4184" s="8">
        <v>20079.439999999999</v>
      </c>
      <c r="J4184" s="1">
        <f>IF(COUNTIF($C$4:C4184,C4184)=1,1,0)</f>
        <v>1</v>
      </c>
      <c r="K4184" s="1">
        <f t="shared" si="65"/>
        <v>2019</v>
      </c>
    </row>
    <row r="4185" spans="2:11" x14ac:dyDescent="0.45">
      <c r="B4185" s="1" t="s">
        <v>4000</v>
      </c>
      <c r="C4185" s="1" t="s">
        <v>4157</v>
      </c>
      <c r="D4185" s="7">
        <v>43506</v>
      </c>
      <c r="E4185" s="7">
        <v>43529</v>
      </c>
      <c r="G4185" s="1" t="s">
        <v>212</v>
      </c>
      <c r="H4185" s="8">
        <v>2290196.2999999998</v>
      </c>
      <c r="I4185" s="8">
        <v>975681.86</v>
      </c>
      <c r="J4185" s="1">
        <f>IF(COUNTIF($C$4:C4185,C4185)=1,1,0)</f>
        <v>1</v>
      </c>
      <c r="K4185" s="1">
        <f t="shared" si="65"/>
        <v>2019</v>
      </c>
    </row>
    <row r="4186" spans="2:11" x14ac:dyDescent="0.45">
      <c r="B4186" s="1" t="s">
        <v>4000</v>
      </c>
      <c r="C4186" s="1" t="s">
        <v>4158</v>
      </c>
      <c r="D4186" s="7">
        <v>44420</v>
      </c>
      <c r="E4186" s="7">
        <v>44427</v>
      </c>
      <c r="G4186" s="1" t="s">
        <v>1348</v>
      </c>
      <c r="H4186" s="8">
        <v>4821202.55</v>
      </c>
      <c r="I4186" s="8">
        <v>2849971.51</v>
      </c>
      <c r="J4186" s="1">
        <f>IF(COUNTIF($C$4:C4186,C4186)=1,1,0)</f>
        <v>1</v>
      </c>
      <c r="K4186" s="1">
        <f t="shared" si="65"/>
        <v>2021</v>
      </c>
    </row>
    <row r="4187" spans="2:11" x14ac:dyDescent="0.45">
      <c r="B4187" s="1" t="s">
        <v>4000</v>
      </c>
      <c r="C4187" s="1" t="s">
        <v>4159</v>
      </c>
      <c r="D4187" s="7">
        <v>44242</v>
      </c>
      <c r="E4187" s="7">
        <v>44251</v>
      </c>
      <c r="G4187" s="1" t="s">
        <v>41</v>
      </c>
      <c r="H4187" s="8">
        <v>257393.2</v>
      </c>
      <c r="I4187" s="8">
        <v>238471.71</v>
      </c>
      <c r="J4187" s="1">
        <f>IF(COUNTIF($C$4:C4187,C4187)=1,1,0)</f>
        <v>1</v>
      </c>
      <c r="K4187" s="1">
        <f t="shared" si="65"/>
        <v>2021</v>
      </c>
    </row>
    <row r="4188" spans="2:11" x14ac:dyDescent="0.45">
      <c r="B4188" s="1" t="s">
        <v>4000</v>
      </c>
      <c r="C4188" s="1" t="s">
        <v>4160</v>
      </c>
      <c r="D4188" s="7">
        <v>44464</v>
      </c>
      <c r="E4188" s="7">
        <v>44466</v>
      </c>
      <c r="G4188" s="1" t="s">
        <v>1348</v>
      </c>
      <c r="H4188" s="8">
        <v>17661199.399999999</v>
      </c>
      <c r="I4188" s="8">
        <v>9137468.4800000004</v>
      </c>
      <c r="J4188" s="1">
        <f>IF(COUNTIF($C$4:C4188,C4188)=1,1,0)</f>
        <v>1</v>
      </c>
      <c r="K4188" s="1">
        <f t="shared" si="65"/>
        <v>2021</v>
      </c>
    </row>
    <row r="4189" spans="2:11" x14ac:dyDescent="0.45">
      <c r="B4189" s="1" t="s">
        <v>4000</v>
      </c>
      <c r="C4189" s="1" t="s">
        <v>4161</v>
      </c>
      <c r="D4189" s="7">
        <v>45931</v>
      </c>
      <c r="E4189" s="7">
        <v>45959</v>
      </c>
      <c r="G4189" s="1" t="s">
        <v>41</v>
      </c>
      <c r="H4189" s="8">
        <v>459521.65</v>
      </c>
      <c r="I4189" s="8">
        <v>424701.96</v>
      </c>
      <c r="J4189" s="1">
        <f>IF(COUNTIF($C$4:C4189,C4189)=1,1,0)</f>
        <v>1</v>
      </c>
      <c r="K4189" s="1">
        <f t="shared" si="65"/>
        <v>2025</v>
      </c>
    </row>
    <row r="4190" spans="2:11" x14ac:dyDescent="0.45">
      <c r="B4190" s="1" t="s">
        <v>4000</v>
      </c>
      <c r="C4190" s="1" t="s">
        <v>4162</v>
      </c>
      <c r="D4190" s="7">
        <v>43532</v>
      </c>
      <c r="E4190" s="7">
        <v>43534</v>
      </c>
      <c r="G4190" s="1" t="s">
        <v>38</v>
      </c>
      <c r="H4190" s="8">
        <v>496291.54</v>
      </c>
      <c r="I4190" s="8">
        <v>366109.31</v>
      </c>
      <c r="J4190" s="1">
        <f>IF(COUNTIF($C$4:C4190,C4190)=1,1,0)</f>
        <v>1</v>
      </c>
      <c r="K4190" s="1">
        <f t="shared" si="65"/>
        <v>2019</v>
      </c>
    </row>
    <row r="4191" spans="2:11" x14ac:dyDescent="0.45">
      <c r="B4191" s="1" t="s">
        <v>4000</v>
      </c>
      <c r="C4191" s="1" t="s">
        <v>4163</v>
      </c>
      <c r="D4191" s="7">
        <v>45857</v>
      </c>
      <c r="E4191" s="7">
        <v>45873</v>
      </c>
      <c r="G4191" s="1" t="s">
        <v>22</v>
      </c>
      <c r="H4191" s="8">
        <v>7994818.6900000004</v>
      </c>
      <c r="I4191" s="8">
        <v>5713719.8099999996</v>
      </c>
      <c r="J4191" s="1">
        <f>IF(COUNTIF($C$4:C4191,C4191)=1,1,0)</f>
        <v>1</v>
      </c>
      <c r="K4191" s="1">
        <f t="shared" si="65"/>
        <v>2025</v>
      </c>
    </row>
    <row r="4192" spans="2:11" x14ac:dyDescent="0.45">
      <c r="B4192" s="1" t="s">
        <v>4000</v>
      </c>
      <c r="C4192" s="1" t="s">
        <v>4164</v>
      </c>
      <c r="D4192" s="7">
        <v>43747</v>
      </c>
      <c r="E4192" s="7">
        <v>43767</v>
      </c>
      <c r="G4192" s="1" t="s">
        <v>20</v>
      </c>
      <c r="H4192" s="8">
        <v>1205350.9099999999</v>
      </c>
      <c r="I4192" s="8">
        <v>962352.26</v>
      </c>
      <c r="J4192" s="1">
        <f>IF(COUNTIF($C$4:C4192,C4192)=1,1,0)</f>
        <v>1</v>
      </c>
      <c r="K4192" s="1">
        <f t="shared" si="65"/>
        <v>2019</v>
      </c>
    </row>
    <row r="4193" spans="2:11" x14ac:dyDescent="0.45">
      <c r="B4193" s="1" t="s">
        <v>4000</v>
      </c>
      <c r="C4193" s="1" t="s">
        <v>4165</v>
      </c>
      <c r="D4193" s="7">
        <v>44471</v>
      </c>
      <c r="E4193" s="7">
        <v>44492</v>
      </c>
      <c r="G4193" s="1" t="s">
        <v>38</v>
      </c>
      <c r="H4193" s="8">
        <v>166298.79</v>
      </c>
      <c r="I4193" s="8">
        <v>125431.85</v>
      </c>
      <c r="J4193" s="1">
        <f>IF(COUNTIF($C$4:C4193,C4193)=1,1,0)</f>
        <v>1</v>
      </c>
      <c r="K4193" s="1">
        <f t="shared" si="65"/>
        <v>2021</v>
      </c>
    </row>
    <row r="4194" spans="2:11" x14ac:dyDescent="0.45">
      <c r="B4194" s="1" t="s">
        <v>4000</v>
      </c>
      <c r="C4194" s="1" t="s">
        <v>4166</v>
      </c>
      <c r="D4194" s="7">
        <v>43597</v>
      </c>
      <c r="E4194" s="7">
        <v>43617</v>
      </c>
      <c r="G4194" s="1" t="s">
        <v>20</v>
      </c>
      <c r="H4194" s="8">
        <v>352259.17</v>
      </c>
      <c r="I4194" s="8">
        <v>294373.12</v>
      </c>
      <c r="J4194" s="1">
        <f>IF(COUNTIF($C$4:C4194,C4194)=1,1,0)</f>
        <v>1</v>
      </c>
      <c r="K4194" s="1">
        <f t="shared" si="65"/>
        <v>2019</v>
      </c>
    </row>
    <row r="4195" spans="2:11" x14ac:dyDescent="0.45">
      <c r="B4195" s="1" t="s">
        <v>4000</v>
      </c>
      <c r="C4195" s="1" t="s">
        <v>4167</v>
      </c>
      <c r="D4195" s="7">
        <v>45217</v>
      </c>
      <c r="E4195" s="7">
        <v>45226</v>
      </c>
      <c r="G4195" s="1" t="s">
        <v>13</v>
      </c>
      <c r="H4195" s="8">
        <v>210259.74</v>
      </c>
      <c r="I4195" s="8">
        <v>189318.77</v>
      </c>
      <c r="J4195" s="1">
        <f>IF(COUNTIF($C$4:C4195,C4195)=1,1,0)</f>
        <v>1</v>
      </c>
      <c r="K4195" s="1">
        <f t="shared" si="65"/>
        <v>2023</v>
      </c>
    </row>
    <row r="4196" spans="2:11" x14ac:dyDescent="0.45">
      <c r="B4196" s="1" t="s">
        <v>4000</v>
      </c>
      <c r="C4196" s="1" t="s">
        <v>4168</v>
      </c>
      <c r="D4196" s="7">
        <v>45960</v>
      </c>
      <c r="E4196" s="7">
        <v>45978</v>
      </c>
      <c r="G4196" s="1" t="s">
        <v>22</v>
      </c>
      <c r="H4196" s="8">
        <v>1343524.45</v>
      </c>
      <c r="I4196" s="8">
        <v>775922.16</v>
      </c>
      <c r="J4196" s="1">
        <f>IF(COUNTIF($C$4:C4196,C4196)=1,1,0)</f>
        <v>1</v>
      </c>
      <c r="K4196" s="1">
        <f t="shared" si="65"/>
        <v>2025</v>
      </c>
    </row>
    <row r="4197" spans="2:11" x14ac:dyDescent="0.45">
      <c r="B4197" s="1" t="s">
        <v>4000</v>
      </c>
      <c r="C4197" s="1" t="s">
        <v>4169</v>
      </c>
      <c r="D4197" s="7">
        <v>44165</v>
      </c>
      <c r="E4197" s="7">
        <v>44176</v>
      </c>
      <c r="G4197" s="1" t="s">
        <v>20</v>
      </c>
      <c r="H4197" s="8">
        <v>457024.2</v>
      </c>
      <c r="I4197" s="8">
        <v>337593.49</v>
      </c>
      <c r="J4197" s="1">
        <f>IF(COUNTIF($C$4:C4197,C4197)=1,1,0)</f>
        <v>1</v>
      </c>
      <c r="K4197" s="1">
        <f t="shared" si="65"/>
        <v>2020</v>
      </c>
    </row>
    <row r="4198" spans="2:11" x14ac:dyDescent="0.45">
      <c r="B4198" s="1" t="s">
        <v>4000</v>
      </c>
      <c r="C4198" s="1" t="s">
        <v>4170</v>
      </c>
      <c r="D4198" s="7">
        <v>44174</v>
      </c>
      <c r="E4198" s="7">
        <v>44202</v>
      </c>
      <c r="G4198" s="1" t="s">
        <v>13</v>
      </c>
      <c r="H4198" s="8">
        <v>266089.34999999998</v>
      </c>
      <c r="I4198" s="8">
        <v>237279.07</v>
      </c>
      <c r="J4198" s="1">
        <f>IF(COUNTIF($C$4:C4198,C4198)=1,1,0)</f>
        <v>1</v>
      </c>
      <c r="K4198" s="1">
        <f t="shared" si="65"/>
        <v>2020</v>
      </c>
    </row>
    <row r="4199" spans="2:11" x14ac:dyDescent="0.45">
      <c r="B4199" s="1" t="s">
        <v>4000</v>
      </c>
      <c r="C4199" s="1" t="s">
        <v>4171</v>
      </c>
      <c r="D4199" s="7">
        <v>45709</v>
      </c>
      <c r="E4199" s="7">
        <v>45717</v>
      </c>
      <c r="G4199" s="1" t="s">
        <v>13</v>
      </c>
      <c r="H4199" s="8">
        <v>177256.97</v>
      </c>
      <c r="I4199" s="8">
        <v>136139.9</v>
      </c>
      <c r="J4199" s="1">
        <f>IF(COUNTIF($C$4:C4199,C4199)=1,1,0)</f>
        <v>1</v>
      </c>
      <c r="K4199" s="1">
        <f t="shared" si="65"/>
        <v>2025</v>
      </c>
    </row>
    <row r="4200" spans="2:11" x14ac:dyDescent="0.45">
      <c r="B4200" s="1" t="s">
        <v>4000</v>
      </c>
      <c r="C4200" s="1" t="s">
        <v>4172</v>
      </c>
      <c r="D4200" s="7">
        <v>43674</v>
      </c>
      <c r="E4200" s="7">
        <v>43689</v>
      </c>
      <c r="G4200" s="1" t="s">
        <v>22</v>
      </c>
      <c r="H4200" s="8">
        <v>1326145.06</v>
      </c>
      <c r="I4200" s="8">
        <v>553263.54</v>
      </c>
      <c r="J4200" s="1">
        <f>IF(COUNTIF($C$4:C4200,C4200)=1,1,0)</f>
        <v>1</v>
      </c>
      <c r="K4200" s="1">
        <f t="shared" si="65"/>
        <v>2019</v>
      </c>
    </row>
    <row r="4201" spans="2:11" x14ac:dyDescent="0.45">
      <c r="B4201" s="1" t="s">
        <v>4000</v>
      </c>
      <c r="C4201" s="1" t="s">
        <v>4173</v>
      </c>
      <c r="D4201" s="7">
        <v>44253</v>
      </c>
      <c r="E4201" s="7">
        <v>44282</v>
      </c>
      <c r="G4201" s="1" t="s">
        <v>22</v>
      </c>
      <c r="H4201" s="8">
        <v>12620986.6</v>
      </c>
      <c r="I4201" s="8">
        <v>7940970</v>
      </c>
      <c r="J4201" s="1">
        <f>IF(COUNTIF($C$4:C4201,C4201)=1,1,0)</f>
        <v>1</v>
      </c>
      <c r="K4201" s="1">
        <f t="shared" si="65"/>
        <v>2021</v>
      </c>
    </row>
    <row r="4202" spans="2:11" x14ac:dyDescent="0.45">
      <c r="B4202" s="1" t="s">
        <v>4000</v>
      </c>
      <c r="C4202" s="1" t="s">
        <v>4174</v>
      </c>
      <c r="D4202" s="7">
        <v>45254</v>
      </c>
      <c r="E4202" s="7">
        <v>45277</v>
      </c>
      <c r="G4202" s="1" t="s">
        <v>212</v>
      </c>
      <c r="H4202" s="8">
        <v>21167164.699999999</v>
      </c>
      <c r="I4202" s="8">
        <v>9070454.7899999991</v>
      </c>
      <c r="J4202" s="1">
        <f>IF(COUNTIF($C$4:C4202,C4202)=1,1,0)</f>
        <v>1</v>
      </c>
      <c r="K4202" s="1">
        <f t="shared" si="65"/>
        <v>2023</v>
      </c>
    </row>
    <row r="4203" spans="2:11" x14ac:dyDescent="0.45">
      <c r="B4203" s="1" t="s">
        <v>4000</v>
      </c>
      <c r="C4203" s="1" t="s">
        <v>4175</v>
      </c>
      <c r="D4203" s="7">
        <v>45182</v>
      </c>
      <c r="E4203" s="7">
        <v>45197</v>
      </c>
      <c r="G4203" s="1" t="s">
        <v>38</v>
      </c>
      <c r="H4203" s="8">
        <v>175680.63</v>
      </c>
      <c r="I4203" s="8">
        <v>124526.61</v>
      </c>
      <c r="J4203" s="1">
        <f>IF(COUNTIF($C$4:C4203,C4203)=1,1,0)</f>
        <v>1</v>
      </c>
      <c r="K4203" s="1">
        <f t="shared" si="65"/>
        <v>2023</v>
      </c>
    </row>
    <row r="4204" spans="2:11" x14ac:dyDescent="0.45">
      <c r="B4204" s="1" t="s">
        <v>4000</v>
      </c>
      <c r="C4204" s="1" t="s">
        <v>4176</v>
      </c>
      <c r="D4204" s="7">
        <v>45731</v>
      </c>
      <c r="E4204" s="7">
        <v>45741</v>
      </c>
      <c r="G4204" s="1" t="s">
        <v>16</v>
      </c>
      <c r="H4204" s="8">
        <v>1380008.32</v>
      </c>
      <c r="I4204" s="8">
        <v>887264.67</v>
      </c>
      <c r="J4204" s="1">
        <f>IF(COUNTIF($C$4:C4204,C4204)=1,1,0)</f>
        <v>1</v>
      </c>
      <c r="K4204" s="1">
        <f t="shared" si="65"/>
        <v>2025</v>
      </c>
    </row>
    <row r="4205" spans="2:11" x14ac:dyDescent="0.45">
      <c r="B4205" s="1" t="s">
        <v>4000</v>
      </c>
      <c r="C4205" s="1" t="s">
        <v>4177</v>
      </c>
      <c r="D4205" s="7">
        <v>46203</v>
      </c>
      <c r="E4205" s="7">
        <v>46224</v>
      </c>
      <c r="G4205" s="1" t="s">
        <v>22</v>
      </c>
      <c r="H4205" s="8">
        <v>8380916.9500000002</v>
      </c>
      <c r="I4205" s="8">
        <v>3423350.04</v>
      </c>
      <c r="J4205" s="1">
        <f>IF(COUNTIF($C$4:C4205,C4205)=1,1,0)</f>
        <v>1</v>
      </c>
      <c r="K4205" s="1">
        <f t="shared" si="65"/>
        <v>2026</v>
      </c>
    </row>
    <row r="4206" spans="2:11" x14ac:dyDescent="0.45">
      <c r="B4206" s="1" t="s">
        <v>4000</v>
      </c>
      <c r="C4206" s="1" t="s">
        <v>4178</v>
      </c>
      <c r="D4206" s="7">
        <v>45884</v>
      </c>
      <c r="E4206" s="7">
        <v>45904</v>
      </c>
      <c r="G4206" s="1" t="s">
        <v>22</v>
      </c>
      <c r="H4206" s="8">
        <v>21663256.370000001</v>
      </c>
      <c r="I4206" s="8">
        <v>9960163.5899999999</v>
      </c>
      <c r="J4206" s="1">
        <f>IF(COUNTIF($C$4:C4206,C4206)=1,1,0)</f>
        <v>1</v>
      </c>
      <c r="K4206" s="1">
        <f t="shared" si="65"/>
        <v>2025</v>
      </c>
    </row>
    <row r="4207" spans="2:11" x14ac:dyDescent="0.45">
      <c r="B4207" s="1" t="s">
        <v>4000</v>
      </c>
      <c r="C4207" s="1" t="s">
        <v>4179</v>
      </c>
      <c r="D4207" s="7">
        <v>45404</v>
      </c>
      <c r="E4207" s="7">
        <v>45433</v>
      </c>
      <c r="G4207" s="1" t="s">
        <v>13</v>
      </c>
      <c r="H4207" s="8">
        <v>385498.09</v>
      </c>
      <c r="I4207" s="8">
        <v>296431.27</v>
      </c>
      <c r="J4207" s="1">
        <f>IF(COUNTIF($C$4:C4207,C4207)=1,1,0)</f>
        <v>1</v>
      </c>
      <c r="K4207" s="1">
        <f t="shared" si="65"/>
        <v>2024</v>
      </c>
    </row>
    <row r="4208" spans="2:11" x14ac:dyDescent="0.45">
      <c r="B4208" s="1" t="s">
        <v>4000</v>
      </c>
      <c r="C4208" s="1" t="s">
        <v>4180</v>
      </c>
      <c r="D4208" s="7">
        <v>46050</v>
      </c>
      <c r="E4208" s="7">
        <v>46063</v>
      </c>
      <c r="G4208" s="1" t="s">
        <v>16</v>
      </c>
      <c r="H4208" s="8">
        <v>1416018.16</v>
      </c>
      <c r="I4208" s="8">
        <v>1156404.73</v>
      </c>
      <c r="J4208" s="1">
        <f>IF(COUNTIF($C$4:C4208,C4208)=1,1,0)</f>
        <v>1</v>
      </c>
      <c r="K4208" s="1">
        <f t="shared" si="65"/>
        <v>2026</v>
      </c>
    </row>
    <row r="4209" spans="2:11" x14ac:dyDescent="0.45">
      <c r="B4209" s="1" t="s">
        <v>4000</v>
      </c>
      <c r="C4209" s="1" t="s">
        <v>4181</v>
      </c>
      <c r="D4209" s="7">
        <v>45785</v>
      </c>
      <c r="E4209" s="7">
        <v>45807</v>
      </c>
      <c r="G4209" s="1" t="s">
        <v>16</v>
      </c>
      <c r="H4209" s="8">
        <v>581262.04</v>
      </c>
      <c r="I4209" s="8">
        <v>353268.41</v>
      </c>
      <c r="J4209" s="1">
        <f>IF(COUNTIF($C$4:C4209,C4209)=1,1,0)</f>
        <v>1</v>
      </c>
      <c r="K4209" s="1">
        <f t="shared" si="65"/>
        <v>2025</v>
      </c>
    </row>
    <row r="4210" spans="2:11" x14ac:dyDescent="0.45">
      <c r="B4210" s="1" t="s">
        <v>4000</v>
      </c>
      <c r="C4210" s="1" t="s">
        <v>4182</v>
      </c>
      <c r="D4210" s="7">
        <v>43970</v>
      </c>
      <c r="E4210" s="7">
        <v>43980</v>
      </c>
      <c r="G4210" s="1" t="s">
        <v>1348</v>
      </c>
      <c r="H4210" s="8">
        <v>74318862.599999994</v>
      </c>
      <c r="I4210" s="8">
        <v>40326132.840000004</v>
      </c>
      <c r="J4210" s="1">
        <f>IF(COUNTIF($C$4:C4210,C4210)=1,1,0)</f>
        <v>1</v>
      </c>
      <c r="K4210" s="1">
        <f t="shared" si="65"/>
        <v>2020</v>
      </c>
    </row>
    <row r="4211" spans="2:11" x14ac:dyDescent="0.45">
      <c r="B4211" s="1" t="s">
        <v>4000</v>
      </c>
      <c r="C4211" s="1" t="s">
        <v>4183</v>
      </c>
      <c r="D4211" s="7">
        <v>43560</v>
      </c>
      <c r="E4211" s="7">
        <v>43580</v>
      </c>
      <c r="G4211" s="1" t="s">
        <v>212</v>
      </c>
      <c r="H4211" s="8">
        <v>3598165.62</v>
      </c>
      <c r="I4211" s="8">
        <v>1709202.08</v>
      </c>
      <c r="J4211" s="1">
        <f>IF(COUNTIF($C$4:C4211,C4211)=1,1,0)</f>
        <v>1</v>
      </c>
      <c r="K4211" s="1">
        <f t="shared" si="65"/>
        <v>2019</v>
      </c>
    </row>
    <row r="4212" spans="2:11" x14ac:dyDescent="0.45">
      <c r="B4212" s="1" t="s">
        <v>4000</v>
      </c>
      <c r="C4212" s="1" t="s">
        <v>4184</v>
      </c>
      <c r="D4212" s="7">
        <v>45941</v>
      </c>
      <c r="E4212" s="7">
        <v>45966</v>
      </c>
      <c r="G4212" s="1" t="s">
        <v>38</v>
      </c>
      <c r="H4212" s="8">
        <v>72981.3</v>
      </c>
      <c r="I4212" s="8">
        <v>60937.760000000002</v>
      </c>
      <c r="J4212" s="1">
        <f>IF(COUNTIF($C$4:C4212,C4212)=1,1,0)</f>
        <v>1</v>
      </c>
      <c r="K4212" s="1">
        <f t="shared" si="65"/>
        <v>2025</v>
      </c>
    </row>
    <row r="4213" spans="2:11" x14ac:dyDescent="0.45">
      <c r="B4213" s="1" t="s">
        <v>4000</v>
      </c>
      <c r="C4213" s="1" t="s">
        <v>4185</v>
      </c>
      <c r="D4213" s="7">
        <v>43422</v>
      </c>
      <c r="E4213" s="7">
        <v>43437</v>
      </c>
      <c r="G4213" s="1" t="s">
        <v>16</v>
      </c>
      <c r="H4213" s="8">
        <v>998912.09</v>
      </c>
      <c r="I4213" s="8">
        <v>625708.22</v>
      </c>
      <c r="J4213" s="1">
        <f>IF(COUNTIF($C$4:C4213,C4213)=1,1,0)</f>
        <v>1</v>
      </c>
      <c r="K4213" s="1">
        <f t="shared" si="65"/>
        <v>2018</v>
      </c>
    </row>
    <row r="4214" spans="2:11" x14ac:dyDescent="0.45">
      <c r="B4214" s="1" t="s">
        <v>4000</v>
      </c>
      <c r="C4214" s="1" t="s">
        <v>4186</v>
      </c>
      <c r="D4214" s="7">
        <v>45561</v>
      </c>
      <c r="E4214" s="7">
        <v>45571</v>
      </c>
      <c r="G4214" s="1" t="s">
        <v>22</v>
      </c>
      <c r="H4214" s="8">
        <v>15559377.630000001</v>
      </c>
      <c r="I4214" s="8">
        <v>5632575.2599999998</v>
      </c>
      <c r="J4214" s="1">
        <f>IF(COUNTIF($C$4:C4214,C4214)=1,1,0)</f>
        <v>1</v>
      </c>
      <c r="K4214" s="1">
        <f t="shared" si="65"/>
        <v>2024</v>
      </c>
    </row>
    <row r="4215" spans="2:11" x14ac:dyDescent="0.45">
      <c r="B4215" s="1" t="s">
        <v>4000</v>
      </c>
      <c r="C4215" s="1" t="s">
        <v>4187</v>
      </c>
      <c r="D4215" s="7">
        <v>44661</v>
      </c>
      <c r="E4215" s="7">
        <v>44664</v>
      </c>
      <c r="G4215" s="1" t="s">
        <v>1348</v>
      </c>
      <c r="H4215" s="8">
        <v>14811344.699999999</v>
      </c>
      <c r="I4215" s="8">
        <v>9322954.8499999996</v>
      </c>
      <c r="J4215" s="1">
        <f>IF(COUNTIF($C$4:C4215,C4215)=1,1,0)</f>
        <v>1</v>
      </c>
      <c r="K4215" s="1">
        <f t="shared" si="65"/>
        <v>2022</v>
      </c>
    </row>
    <row r="4216" spans="2:11" x14ac:dyDescent="0.45">
      <c r="B4216" s="1" t="s">
        <v>4000</v>
      </c>
      <c r="C4216" s="1" t="s">
        <v>4188</v>
      </c>
      <c r="D4216" s="7">
        <v>45834</v>
      </c>
      <c r="E4216" s="7">
        <v>45851</v>
      </c>
      <c r="G4216" s="1" t="s">
        <v>22</v>
      </c>
      <c r="H4216" s="8">
        <v>7612294.9299999997</v>
      </c>
      <c r="I4216" s="8">
        <v>4605112.42</v>
      </c>
      <c r="J4216" s="1">
        <f>IF(COUNTIF($C$4:C4216,C4216)=1,1,0)</f>
        <v>1</v>
      </c>
      <c r="K4216" s="1">
        <f t="shared" si="65"/>
        <v>2025</v>
      </c>
    </row>
    <row r="4217" spans="2:11" x14ac:dyDescent="0.45">
      <c r="B4217" s="1" t="s">
        <v>4000</v>
      </c>
      <c r="C4217" s="1" t="s">
        <v>4189</v>
      </c>
      <c r="D4217" s="7">
        <v>43959</v>
      </c>
      <c r="E4217" s="7">
        <v>43983</v>
      </c>
      <c r="G4217" s="1" t="s">
        <v>41</v>
      </c>
      <c r="H4217" s="8">
        <v>30439.97</v>
      </c>
      <c r="I4217" s="8">
        <v>23484.560000000001</v>
      </c>
      <c r="J4217" s="1">
        <f>IF(COUNTIF($C$4:C4217,C4217)=1,1,0)</f>
        <v>1</v>
      </c>
      <c r="K4217" s="1">
        <f t="shared" si="65"/>
        <v>2020</v>
      </c>
    </row>
    <row r="4218" spans="2:11" x14ac:dyDescent="0.45">
      <c r="B4218" s="1" t="s">
        <v>4000</v>
      </c>
      <c r="C4218" s="1" t="s">
        <v>4190</v>
      </c>
      <c r="D4218" s="7">
        <v>43396</v>
      </c>
      <c r="E4218" s="7">
        <v>43419</v>
      </c>
      <c r="G4218" s="1" t="s">
        <v>1348</v>
      </c>
      <c r="H4218" s="8">
        <v>85189375.409999996</v>
      </c>
      <c r="I4218" s="8">
        <v>37216930.119999997</v>
      </c>
      <c r="J4218" s="1">
        <f>IF(COUNTIF($C$4:C4218,C4218)=1,1,0)</f>
        <v>1</v>
      </c>
      <c r="K4218" s="1">
        <f t="shared" si="65"/>
        <v>2018</v>
      </c>
    </row>
    <row r="4219" spans="2:11" x14ac:dyDescent="0.45">
      <c r="B4219" s="1" t="s">
        <v>4000</v>
      </c>
      <c r="C4219" s="1" t="s">
        <v>4191</v>
      </c>
      <c r="D4219" s="7">
        <v>45990</v>
      </c>
      <c r="E4219" s="7">
        <v>45993</v>
      </c>
      <c r="G4219" s="1" t="s">
        <v>20</v>
      </c>
      <c r="H4219" s="8">
        <v>309036.27</v>
      </c>
      <c r="I4219" s="8">
        <v>178892.87</v>
      </c>
      <c r="J4219" s="1">
        <f>IF(COUNTIF($C$4:C4219,C4219)=1,1,0)</f>
        <v>1</v>
      </c>
      <c r="K4219" s="1">
        <f t="shared" si="65"/>
        <v>2025</v>
      </c>
    </row>
    <row r="4220" spans="2:11" x14ac:dyDescent="0.45">
      <c r="B4220" s="1" t="s">
        <v>4000</v>
      </c>
      <c r="C4220" s="1" t="s">
        <v>4192</v>
      </c>
      <c r="D4220" s="7">
        <v>43696</v>
      </c>
      <c r="E4220" s="7">
        <v>43703</v>
      </c>
      <c r="G4220" s="1" t="s">
        <v>13</v>
      </c>
      <c r="H4220" s="8">
        <v>143500.4</v>
      </c>
      <c r="I4220" s="8">
        <v>106179.43</v>
      </c>
      <c r="J4220" s="1">
        <f>IF(COUNTIF($C$4:C4220,C4220)=1,1,0)</f>
        <v>1</v>
      </c>
      <c r="K4220" s="1">
        <f t="shared" si="65"/>
        <v>2019</v>
      </c>
    </row>
    <row r="4221" spans="2:11" x14ac:dyDescent="0.45">
      <c r="B4221" s="1" t="s">
        <v>4000</v>
      </c>
      <c r="C4221" s="1" t="s">
        <v>4193</v>
      </c>
      <c r="D4221" s="7">
        <v>46215</v>
      </c>
      <c r="E4221" s="7">
        <v>46238</v>
      </c>
      <c r="G4221" s="1" t="s">
        <v>16</v>
      </c>
      <c r="H4221" s="8">
        <v>821600.79</v>
      </c>
      <c r="I4221" s="8">
        <v>538240.73</v>
      </c>
      <c r="J4221" s="1">
        <f>IF(COUNTIF($C$4:C4221,C4221)=1,1,0)</f>
        <v>1</v>
      </c>
      <c r="K4221" s="1">
        <f t="shared" si="65"/>
        <v>2026</v>
      </c>
    </row>
    <row r="4222" spans="2:11" x14ac:dyDescent="0.45">
      <c r="B4222" s="1" t="s">
        <v>4000</v>
      </c>
      <c r="C4222" s="1" t="s">
        <v>4194</v>
      </c>
      <c r="D4222" s="7">
        <v>45246</v>
      </c>
      <c r="E4222" s="7">
        <v>45248</v>
      </c>
      <c r="G4222" s="1" t="s">
        <v>1348</v>
      </c>
      <c r="H4222" s="8">
        <v>10448396.029999999</v>
      </c>
      <c r="I4222" s="8">
        <v>5815491.5</v>
      </c>
      <c r="J4222" s="1">
        <f>IF(COUNTIF($C$4:C4222,C4222)=1,1,0)</f>
        <v>1</v>
      </c>
      <c r="K4222" s="1">
        <f t="shared" si="65"/>
        <v>2023</v>
      </c>
    </row>
    <row r="4223" spans="2:11" x14ac:dyDescent="0.45">
      <c r="B4223" s="1" t="s">
        <v>4000</v>
      </c>
      <c r="C4223" s="1" t="s">
        <v>4195</v>
      </c>
      <c r="D4223" s="7">
        <v>43536</v>
      </c>
      <c r="E4223" s="7">
        <v>43545</v>
      </c>
      <c r="G4223" s="1" t="s">
        <v>38</v>
      </c>
      <c r="H4223" s="8">
        <v>692389.18</v>
      </c>
      <c r="I4223" s="8">
        <v>578081.04</v>
      </c>
      <c r="J4223" s="1">
        <f>IF(COUNTIF($C$4:C4223,C4223)=1,1,0)</f>
        <v>1</v>
      </c>
      <c r="K4223" s="1">
        <f t="shared" si="65"/>
        <v>2019</v>
      </c>
    </row>
    <row r="4224" spans="2:11" x14ac:dyDescent="0.45">
      <c r="B4224" s="1" t="s">
        <v>4000</v>
      </c>
      <c r="C4224" s="1" t="s">
        <v>4196</v>
      </c>
      <c r="D4224" s="7">
        <v>44390</v>
      </c>
      <c r="E4224" s="7">
        <v>44417</v>
      </c>
      <c r="G4224" s="1" t="s">
        <v>212</v>
      </c>
      <c r="H4224" s="8">
        <v>8453071.8800000008</v>
      </c>
      <c r="I4224" s="8">
        <v>4117228.25</v>
      </c>
      <c r="J4224" s="1">
        <f>IF(COUNTIF($C$4:C4224,C4224)=1,1,0)</f>
        <v>1</v>
      </c>
      <c r="K4224" s="1">
        <f t="shared" si="65"/>
        <v>2021</v>
      </c>
    </row>
    <row r="4225" spans="2:11" x14ac:dyDescent="0.45">
      <c r="B4225" s="1" t="s">
        <v>4000</v>
      </c>
      <c r="C4225" s="1" t="s">
        <v>4197</v>
      </c>
      <c r="D4225" s="7">
        <v>43482</v>
      </c>
      <c r="E4225" s="7">
        <v>43499</v>
      </c>
      <c r="G4225" s="1" t="s">
        <v>212</v>
      </c>
      <c r="H4225" s="8">
        <v>2443429.04</v>
      </c>
      <c r="I4225" s="8">
        <v>1573520.7</v>
      </c>
      <c r="J4225" s="1">
        <f>IF(COUNTIF($C$4:C4225,C4225)=1,1,0)</f>
        <v>1</v>
      </c>
      <c r="K4225" s="1">
        <f t="shared" si="65"/>
        <v>2019</v>
      </c>
    </row>
    <row r="4226" spans="2:11" x14ac:dyDescent="0.45">
      <c r="B4226" s="1" t="s">
        <v>4000</v>
      </c>
      <c r="C4226" s="1" t="s">
        <v>4198</v>
      </c>
      <c r="D4226" s="7">
        <v>44431</v>
      </c>
      <c r="E4226" s="7">
        <v>44441</v>
      </c>
      <c r="G4226" s="1" t="s">
        <v>212</v>
      </c>
      <c r="H4226" s="8">
        <v>7510037.4500000002</v>
      </c>
      <c r="I4226" s="8">
        <v>4863090.57</v>
      </c>
      <c r="J4226" s="1">
        <f>IF(COUNTIF($C$4:C4226,C4226)=1,1,0)</f>
        <v>1</v>
      </c>
      <c r="K4226" s="1">
        <f t="shared" si="65"/>
        <v>2021</v>
      </c>
    </row>
    <row r="4227" spans="2:11" x14ac:dyDescent="0.45">
      <c r="B4227" s="1" t="s">
        <v>4000</v>
      </c>
      <c r="C4227" s="1" t="s">
        <v>4199</v>
      </c>
      <c r="D4227" s="7">
        <v>43599</v>
      </c>
      <c r="E4227" s="7">
        <v>43606</v>
      </c>
      <c r="G4227" s="1" t="s">
        <v>16</v>
      </c>
      <c r="H4227" s="8">
        <v>5000449.16</v>
      </c>
      <c r="I4227" s="8">
        <v>3046630.77</v>
      </c>
      <c r="J4227" s="1">
        <f>IF(COUNTIF($C$4:C4227,C4227)=1,1,0)</f>
        <v>1</v>
      </c>
      <c r="K4227" s="1">
        <f t="shared" si="65"/>
        <v>2019</v>
      </c>
    </row>
    <row r="4228" spans="2:11" x14ac:dyDescent="0.45">
      <c r="B4228" s="1" t="s">
        <v>4000</v>
      </c>
      <c r="C4228" s="1" t="s">
        <v>4200</v>
      </c>
      <c r="D4228" s="7">
        <v>44077</v>
      </c>
      <c r="E4228" s="7">
        <v>44081</v>
      </c>
      <c r="G4228" s="1" t="s">
        <v>38</v>
      </c>
      <c r="H4228" s="8">
        <v>896999.29</v>
      </c>
      <c r="I4228" s="8">
        <v>632951.47</v>
      </c>
      <c r="J4228" s="1">
        <f>IF(COUNTIF($C$4:C4228,C4228)=1,1,0)</f>
        <v>1</v>
      </c>
      <c r="K4228" s="1">
        <f t="shared" si="65"/>
        <v>2020</v>
      </c>
    </row>
    <row r="4229" spans="2:11" x14ac:dyDescent="0.45">
      <c r="B4229" s="1" t="s">
        <v>4000</v>
      </c>
      <c r="C4229" s="1" t="s">
        <v>4201</v>
      </c>
      <c r="D4229" s="7">
        <v>43885</v>
      </c>
      <c r="E4229" s="7">
        <v>43907</v>
      </c>
      <c r="G4229" s="1" t="s">
        <v>1348</v>
      </c>
      <c r="H4229" s="8">
        <v>5737797.3399999999</v>
      </c>
      <c r="I4229" s="8">
        <v>4360995.5999999996</v>
      </c>
      <c r="J4229" s="1">
        <f>IF(COUNTIF($C$4:C4229,C4229)=1,1,0)</f>
        <v>1</v>
      </c>
      <c r="K4229" s="1">
        <f t="shared" ref="K4229:K4292" si="66">YEAR(D4229)</f>
        <v>2020</v>
      </c>
    </row>
    <row r="4230" spans="2:11" x14ac:dyDescent="0.45">
      <c r="B4230" s="1" t="s">
        <v>4000</v>
      </c>
      <c r="C4230" s="1" t="s">
        <v>4202</v>
      </c>
      <c r="D4230" s="7">
        <v>44464</v>
      </c>
      <c r="E4230" s="7">
        <v>44494</v>
      </c>
      <c r="G4230" s="1" t="s">
        <v>16</v>
      </c>
      <c r="H4230" s="8">
        <v>444466.8</v>
      </c>
      <c r="I4230" s="8">
        <v>268173.86</v>
      </c>
      <c r="J4230" s="1">
        <f>IF(COUNTIF($C$4:C4230,C4230)=1,1,0)</f>
        <v>1</v>
      </c>
      <c r="K4230" s="1">
        <f t="shared" si="66"/>
        <v>2021</v>
      </c>
    </row>
    <row r="4231" spans="2:11" x14ac:dyDescent="0.45">
      <c r="B4231" s="1" t="s">
        <v>4000</v>
      </c>
      <c r="C4231" s="1" t="s">
        <v>4203</v>
      </c>
      <c r="D4231" s="7">
        <v>43138</v>
      </c>
      <c r="E4231" s="7">
        <v>43161</v>
      </c>
      <c r="G4231" s="1" t="s">
        <v>38</v>
      </c>
      <c r="H4231" s="8">
        <v>135194.1</v>
      </c>
      <c r="I4231" s="8">
        <v>98608.3</v>
      </c>
      <c r="J4231" s="1">
        <f>IF(COUNTIF($C$4:C4231,C4231)=1,1,0)</f>
        <v>1</v>
      </c>
      <c r="K4231" s="1">
        <f t="shared" si="66"/>
        <v>2018</v>
      </c>
    </row>
    <row r="4232" spans="2:11" x14ac:dyDescent="0.45">
      <c r="B4232" s="1" t="s">
        <v>4000</v>
      </c>
      <c r="C4232" s="1" t="s">
        <v>4204</v>
      </c>
      <c r="D4232" s="7">
        <v>43814</v>
      </c>
      <c r="E4232" s="7">
        <v>43839</v>
      </c>
      <c r="G4232" s="1" t="s">
        <v>1348</v>
      </c>
      <c r="H4232" s="8">
        <v>65167827.340000004</v>
      </c>
      <c r="I4232" s="8">
        <v>49862179.189999998</v>
      </c>
      <c r="J4232" s="1">
        <f>IF(COUNTIF($C$4:C4232,C4232)=1,1,0)</f>
        <v>1</v>
      </c>
      <c r="K4232" s="1">
        <f t="shared" si="66"/>
        <v>2019</v>
      </c>
    </row>
    <row r="4233" spans="2:11" x14ac:dyDescent="0.45">
      <c r="B4233" s="1" t="s">
        <v>4000</v>
      </c>
      <c r="C4233" s="1" t="s">
        <v>4205</v>
      </c>
      <c r="D4233" s="7">
        <v>45224</v>
      </c>
      <c r="E4233" s="7">
        <v>45253</v>
      </c>
      <c r="G4233" s="1" t="s">
        <v>212</v>
      </c>
      <c r="H4233" s="8">
        <v>4628594.8</v>
      </c>
      <c r="I4233" s="8">
        <v>3166483.84</v>
      </c>
      <c r="J4233" s="1">
        <f>IF(COUNTIF($C$4:C4233,C4233)=1,1,0)</f>
        <v>1</v>
      </c>
      <c r="K4233" s="1">
        <f t="shared" si="66"/>
        <v>2023</v>
      </c>
    </row>
    <row r="4234" spans="2:11" x14ac:dyDescent="0.45">
      <c r="B4234" s="1" t="s">
        <v>4000</v>
      </c>
      <c r="C4234" s="1" t="s">
        <v>4206</v>
      </c>
      <c r="D4234" s="7">
        <v>46153</v>
      </c>
      <c r="E4234" s="7">
        <v>46165</v>
      </c>
      <c r="G4234" s="1" t="s">
        <v>16</v>
      </c>
      <c r="H4234" s="8">
        <v>1404316.24</v>
      </c>
      <c r="I4234" s="8">
        <v>982858.29</v>
      </c>
      <c r="J4234" s="1">
        <f>IF(COUNTIF($C$4:C4234,C4234)=1,1,0)</f>
        <v>1</v>
      </c>
      <c r="K4234" s="1">
        <f t="shared" si="66"/>
        <v>2026</v>
      </c>
    </row>
    <row r="4235" spans="2:11" x14ac:dyDescent="0.45">
      <c r="B4235" s="1" t="s">
        <v>4000</v>
      </c>
      <c r="C4235" s="1" t="s">
        <v>4207</v>
      </c>
      <c r="D4235" s="7">
        <v>43904</v>
      </c>
      <c r="E4235" s="7">
        <v>43917</v>
      </c>
      <c r="G4235" s="1" t="s">
        <v>13</v>
      </c>
      <c r="H4235" s="8">
        <v>399071.37</v>
      </c>
      <c r="I4235" s="8">
        <v>346093.5</v>
      </c>
      <c r="J4235" s="1">
        <f>IF(COUNTIF($C$4:C4235,C4235)=1,1,0)</f>
        <v>1</v>
      </c>
      <c r="K4235" s="1">
        <f t="shared" si="66"/>
        <v>2020</v>
      </c>
    </row>
    <row r="4236" spans="2:11" x14ac:dyDescent="0.45">
      <c r="B4236" s="1" t="s">
        <v>4000</v>
      </c>
      <c r="C4236" s="1" t="s">
        <v>4208</v>
      </c>
      <c r="D4236" s="7">
        <v>45410</v>
      </c>
      <c r="E4236" s="7">
        <v>45412</v>
      </c>
      <c r="G4236" s="1" t="s">
        <v>1348</v>
      </c>
      <c r="H4236" s="8">
        <v>158264080.91999999</v>
      </c>
      <c r="I4236" s="8">
        <v>72442451.299999997</v>
      </c>
      <c r="J4236" s="1">
        <f>IF(COUNTIF($C$4:C4236,C4236)=1,1,0)</f>
        <v>1</v>
      </c>
      <c r="K4236" s="1">
        <f t="shared" si="66"/>
        <v>2024</v>
      </c>
    </row>
    <row r="4237" spans="2:11" x14ac:dyDescent="0.45">
      <c r="B4237" s="1" t="s">
        <v>4000</v>
      </c>
      <c r="C4237" s="1" t="s">
        <v>4209</v>
      </c>
      <c r="D4237" s="7">
        <v>45406</v>
      </c>
      <c r="E4237" s="7">
        <v>45436</v>
      </c>
      <c r="G4237" s="1" t="s">
        <v>212</v>
      </c>
      <c r="H4237" s="8">
        <v>6694360.1699999999</v>
      </c>
      <c r="I4237" s="8">
        <v>5193629.09</v>
      </c>
      <c r="J4237" s="1">
        <f>IF(COUNTIF($C$4:C4237,C4237)=1,1,0)</f>
        <v>1</v>
      </c>
      <c r="K4237" s="1">
        <f t="shared" si="66"/>
        <v>2024</v>
      </c>
    </row>
    <row r="4238" spans="2:11" x14ac:dyDescent="0.45">
      <c r="B4238" s="1" t="s">
        <v>4000</v>
      </c>
      <c r="C4238" s="1" t="s">
        <v>4210</v>
      </c>
      <c r="D4238" s="7">
        <v>45934</v>
      </c>
      <c r="E4238" s="7">
        <v>45954</v>
      </c>
      <c r="G4238" s="1" t="s">
        <v>41</v>
      </c>
      <c r="H4238" s="8">
        <v>586353.28</v>
      </c>
      <c r="I4238" s="8">
        <v>416354.48</v>
      </c>
      <c r="J4238" s="1">
        <f>IF(COUNTIF($C$4:C4238,C4238)=1,1,0)</f>
        <v>1</v>
      </c>
      <c r="K4238" s="1">
        <f t="shared" si="66"/>
        <v>2025</v>
      </c>
    </row>
    <row r="4239" spans="2:11" x14ac:dyDescent="0.45">
      <c r="B4239" s="1" t="s">
        <v>4000</v>
      </c>
      <c r="C4239" s="1" t="s">
        <v>4211</v>
      </c>
      <c r="D4239" s="7">
        <v>43898</v>
      </c>
      <c r="E4239" s="7">
        <v>43901</v>
      </c>
      <c r="G4239" s="1" t="s">
        <v>38</v>
      </c>
      <c r="H4239" s="8">
        <v>424645.93</v>
      </c>
      <c r="I4239" s="8">
        <v>315787.75</v>
      </c>
      <c r="J4239" s="1">
        <f>IF(COUNTIF($C$4:C4239,C4239)=1,1,0)</f>
        <v>1</v>
      </c>
      <c r="K4239" s="1">
        <f t="shared" si="66"/>
        <v>2020</v>
      </c>
    </row>
    <row r="4240" spans="2:11" x14ac:dyDescent="0.45">
      <c r="B4240" s="1" t="s">
        <v>4000</v>
      </c>
      <c r="C4240" s="1" t="s">
        <v>4212</v>
      </c>
      <c r="D4240" s="7">
        <v>45559</v>
      </c>
      <c r="E4240" s="7">
        <v>45580</v>
      </c>
      <c r="G4240" s="1" t="s">
        <v>20</v>
      </c>
      <c r="H4240" s="8">
        <v>1062506.81</v>
      </c>
      <c r="I4240" s="8">
        <v>900684.23</v>
      </c>
      <c r="J4240" s="1">
        <f>IF(COUNTIF($C$4:C4240,C4240)=1,1,0)</f>
        <v>1</v>
      </c>
      <c r="K4240" s="1">
        <f t="shared" si="66"/>
        <v>2024</v>
      </c>
    </row>
    <row r="4241" spans="2:11" x14ac:dyDescent="0.45">
      <c r="B4241" s="1" t="s">
        <v>4000</v>
      </c>
      <c r="C4241" s="1" t="s">
        <v>4213</v>
      </c>
      <c r="D4241" s="7">
        <v>45928</v>
      </c>
      <c r="E4241" s="7">
        <v>45950</v>
      </c>
      <c r="G4241" s="1" t="s">
        <v>1348</v>
      </c>
      <c r="H4241" s="8">
        <v>102929477.51000001</v>
      </c>
      <c r="I4241" s="8">
        <v>72490402.849999994</v>
      </c>
      <c r="J4241" s="1">
        <f>IF(COUNTIF($C$4:C4241,C4241)=1,1,0)</f>
        <v>1</v>
      </c>
      <c r="K4241" s="1">
        <f t="shared" si="66"/>
        <v>2025</v>
      </c>
    </row>
    <row r="4242" spans="2:11" x14ac:dyDescent="0.45">
      <c r="B4242" s="1" t="s">
        <v>4000</v>
      </c>
      <c r="C4242" s="1" t="s">
        <v>4214</v>
      </c>
      <c r="D4242" s="7">
        <v>43775</v>
      </c>
      <c r="E4242" s="7">
        <v>43800</v>
      </c>
      <c r="G4242" s="1" t="s">
        <v>22</v>
      </c>
      <c r="H4242" s="8">
        <v>5740722.5800000001</v>
      </c>
      <c r="I4242" s="8">
        <v>2374797.88</v>
      </c>
      <c r="J4242" s="1">
        <f>IF(COUNTIF($C$4:C4242,C4242)=1,1,0)</f>
        <v>1</v>
      </c>
      <c r="K4242" s="1">
        <f t="shared" si="66"/>
        <v>2019</v>
      </c>
    </row>
    <row r="4243" spans="2:11" x14ac:dyDescent="0.45">
      <c r="B4243" s="1" t="s">
        <v>4000</v>
      </c>
      <c r="C4243" s="1" t="s">
        <v>4215</v>
      </c>
      <c r="D4243" s="7">
        <v>45090</v>
      </c>
      <c r="E4243" s="7">
        <v>45103</v>
      </c>
      <c r="G4243" s="1" t="s">
        <v>41</v>
      </c>
      <c r="H4243" s="8">
        <v>1312540.5</v>
      </c>
      <c r="I4243" s="8">
        <v>1038703.91</v>
      </c>
      <c r="J4243" s="1">
        <f>IF(COUNTIF($C$4:C4243,C4243)=1,1,0)</f>
        <v>1</v>
      </c>
      <c r="K4243" s="1">
        <f t="shared" si="66"/>
        <v>2023</v>
      </c>
    </row>
    <row r="4244" spans="2:11" x14ac:dyDescent="0.45">
      <c r="B4244" s="1" t="s">
        <v>4000</v>
      </c>
      <c r="C4244" s="1" t="s">
        <v>4216</v>
      </c>
      <c r="D4244" s="7">
        <v>44558</v>
      </c>
      <c r="E4244" s="7">
        <v>44569</v>
      </c>
      <c r="G4244" s="1" t="s">
        <v>22</v>
      </c>
      <c r="H4244" s="8">
        <v>10140330.359999999</v>
      </c>
      <c r="I4244" s="8">
        <v>5568929.75</v>
      </c>
      <c r="J4244" s="1">
        <f>IF(COUNTIF($C$4:C4244,C4244)=1,1,0)</f>
        <v>1</v>
      </c>
      <c r="K4244" s="1">
        <f t="shared" si="66"/>
        <v>2021</v>
      </c>
    </row>
    <row r="4245" spans="2:11" x14ac:dyDescent="0.45">
      <c r="B4245" s="1" t="s">
        <v>4000</v>
      </c>
      <c r="C4245" s="1" t="s">
        <v>4217</v>
      </c>
      <c r="D4245" s="7">
        <v>46055</v>
      </c>
      <c r="E4245" s="7">
        <v>46080</v>
      </c>
      <c r="G4245" s="1" t="s">
        <v>212</v>
      </c>
      <c r="H4245" s="8">
        <v>27096861.370000001</v>
      </c>
      <c r="I4245" s="8">
        <v>17412558.719999999</v>
      </c>
      <c r="J4245" s="1">
        <f>IF(COUNTIF($C$4:C4245,C4245)=1,1,0)</f>
        <v>1</v>
      </c>
      <c r="K4245" s="1">
        <f t="shared" si="66"/>
        <v>2026</v>
      </c>
    </row>
    <row r="4246" spans="2:11" x14ac:dyDescent="0.45">
      <c r="B4246" s="1" t="s">
        <v>4000</v>
      </c>
      <c r="C4246" s="1" t="s">
        <v>4218</v>
      </c>
      <c r="D4246" s="7">
        <v>45816</v>
      </c>
      <c r="E4246" s="7">
        <v>45824</v>
      </c>
      <c r="G4246" s="1" t="s">
        <v>22</v>
      </c>
      <c r="H4246" s="8">
        <v>1240084.6000000001</v>
      </c>
      <c r="I4246" s="8">
        <v>792021.87</v>
      </c>
      <c r="J4246" s="1">
        <f>IF(COUNTIF($C$4:C4246,C4246)=1,1,0)</f>
        <v>1</v>
      </c>
      <c r="K4246" s="1">
        <f t="shared" si="66"/>
        <v>2025</v>
      </c>
    </row>
    <row r="4247" spans="2:11" x14ac:dyDescent="0.45">
      <c r="B4247" s="1" t="s">
        <v>4000</v>
      </c>
      <c r="C4247" s="1" t="s">
        <v>4219</v>
      </c>
      <c r="D4247" s="7">
        <v>45096</v>
      </c>
      <c r="E4247" s="7">
        <v>45100</v>
      </c>
      <c r="G4247" s="1" t="s">
        <v>38</v>
      </c>
      <c r="H4247" s="8">
        <v>645260.86</v>
      </c>
      <c r="I4247" s="8">
        <v>579970</v>
      </c>
      <c r="J4247" s="1">
        <f>IF(COUNTIF($C$4:C4247,C4247)=1,1,0)</f>
        <v>1</v>
      </c>
      <c r="K4247" s="1">
        <f t="shared" si="66"/>
        <v>2023</v>
      </c>
    </row>
    <row r="4248" spans="2:11" x14ac:dyDescent="0.45">
      <c r="B4248" s="1" t="s">
        <v>4000</v>
      </c>
      <c r="C4248" s="1" t="s">
        <v>4220</v>
      </c>
      <c r="D4248" s="7">
        <v>45012</v>
      </c>
      <c r="E4248" s="7">
        <v>45039</v>
      </c>
      <c r="G4248" s="1" t="s">
        <v>38</v>
      </c>
      <c r="H4248" s="8">
        <v>1050226.77</v>
      </c>
      <c r="I4248" s="8">
        <v>942585.21</v>
      </c>
      <c r="J4248" s="1">
        <f>IF(COUNTIF($C$4:C4248,C4248)=1,1,0)</f>
        <v>1</v>
      </c>
      <c r="K4248" s="1">
        <f t="shared" si="66"/>
        <v>2023</v>
      </c>
    </row>
    <row r="4249" spans="2:11" x14ac:dyDescent="0.45">
      <c r="B4249" s="1" t="s">
        <v>4000</v>
      </c>
      <c r="C4249" s="1" t="s">
        <v>4221</v>
      </c>
      <c r="D4249" s="7">
        <v>45145</v>
      </c>
      <c r="E4249" s="7">
        <v>45150</v>
      </c>
      <c r="G4249" s="1" t="s">
        <v>38</v>
      </c>
      <c r="H4249" s="8">
        <v>2077896</v>
      </c>
      <c r="I4249" s="8">
        <v>1717733.4</v>
      </c>
      <c r="J4249" s="1">
        <f>IF(COUNTIF($C$4:C4249,C4249)=1,1,0)</f>
        <v>1</v>
      </c>
      <c r="K4249" s="1">
        <f t="shared" si="66"/>
        <v>2023</v>
      </c>
    </row>
    <row r="4250" spans="2:11" x14ac:dyDescent="0.45">
      <c r="B4250" s="1" t="s">
        <v>4000</v>
      </c>
      <c r="C4250" s="1" t="s">
        <v>4222</v>
      </c>
      <c r="D4250" s="7">
        <v>45003</v>
      </c>
      <c r="E4250" s="7">
        <v>45023</v>
      </c>
      <c r="G4250" s="1" t="s">
        <v>16</v>
      </c>
      <c r="H4250" s="8">
        <v>1090115.02</v>
      </c>
      <c r="I4250" s="8">
        <v>832460.43</v>
      </c>
      <c r="J4250" s="1">
        <f>IF(COUNTIF($C$4:C4250,C4250)=1,1,0)</f>
        <v>1</v>
      </c>
      <c r="K4250" s="1">
        <f t="shared" si="66"/>
        <v>2023</v>
      </c>
    </row>
    <row r="4251" spans="2:11" x14ac:dyDescent="0.45">
      <c r="B4251" s="1" t="s">
        <v>4000</v>
      </c>
      <c r="C4251" s="1" t="s">
        <v>4223</v>
      </c>
      <c r="D4251" s="7">
        <v>44900</v>
      </c>
      <c r="E4251" s="7">
        <v>44906</v>
      </c>
      <c r="G4251" s="1" t="s">
        <v>38</v>
      </c>
      <c r="H4251" s="8">
        <v>610865.05000000005</v>
      </c>
      <c r="I4251" s="8">
        <v>550718.02</v>
      </c>
      <c r="J4251" s="1">
        <f>IF(COUNTIF($C$4:C4251,C4251)=1,1,0)</f>
        <v>1</v>
      </c>
      <c r="K4251" s="1">
        <f t="shared" si="66"/>
        <v>2022</v>
      </c>
    </row>
    <row r="4252" spans="2:11" x14ac:dyDescent="0.45">
      <c r="B4252" s="1" t="s">
        <v>4000</v>
      </c>
      <c r="C4252" s="1" t="s">
        <v>4224</v>
      </c>
      <c r="D4252" s="7">
        <v>44997</v>
      </c>
      <c r="E4252" s="7">
        <v>44998</v>
      </c>
      <c r="G4252" s="1" t="s">
        <v>16</v>
      </c>
      <c r="H4252" s="8">
        <v>91880.83</v>
      </c>
      <c r="I4252" s="8">
        <v>68815.429999999993</v>
      </c>
      <c r="J4252" s="1">
        <f>IF(COUNTIF($C$4:C4252,C4252)=1,1,0)</f>
        <v>1</v>
      </c>
      <c r="K4252" s="1">
        <f t="shared" si="66"/>
        <v>2023</v>
      </c>
    </row>
    <row r="4253" spans="2:11" x14ac:dyDescent="0.45">
      <c r="B4253" s="1" t="s">
        <v>4000</v>
      </c>
      <c r="C4253" s="1" t="s">
        <v>4225</v>
      </c>
      <c r="D4253" s="7">
        <v>45057</v>
      </c>
      <c r="E4253" s="7">
        <v>45069</v>
      </c>
      <c r="G4253" s="1" t="s">
        <v>41</v>
      </c>
      <c r="H4253" s="8">
        <v>152587.01</v>
      </c>
      <c r="I4253" s="8">
        <v>127587.87</v>
      </c>
      <c r="J4253" s="1">
        <f>IF(COUNTIF($C$4:C4253,C4253)=1,1,0)</f>
        <v>1</v>
      </c>
      <c r="K4253" s="1">
        <f t="shared" si="66"/>
        <v>2023</v>
      </c>
    </row>
    <row r="4254" spans="2:11" x14ac:dyDescent="0.45">
      <c r="B4254" s="1" t="s">
        <v>4000</v>
      </c>
      <c r="C4254" s="1" t="s">
        <v>4226</v>
      </c>
      <c r="D4254" s="7">
        <v>45561</v>
      </c>
      <c r="E4254" s="7">
        <v>45579</v>
      </c>
      <c r="G4254" s="1" t="s">
        <v>212</v>
      </c>
      <c r="H4254" s="8">
        <v>10256327.710000001</v>
      </c>
      <c r="I4254" s="8">
        <v>5824874.2300000004</v>
      </c>
      <c r="J4254" s="1">
        <f>IF(COUNTIF($C$4:C4254,C4254)=1,1,0)</f>
        <v>1</v>
      </c>
      <c r="K4254" s="1">
        <f t="shared" si="66"/>
        <v>2024</v>
      </c>
    </row>
    <row r="4255" spans="2:11" x14ac:dyDescent="0.45">
      <c r="B4255" s="1" t="s">
        <v>4000</v>
      </c>
      <c r="C4255" s="1" t="s">
        <v>4227</v>
      </c>
      <c r="D4255" s="7">
        <v>45987</v>
      </c>
      <c r="E4255" s="7">
        <v>46008</v>
      </c>
      <c r="G4255" s="1" t="s">
        <v>38</v>
      </c>
      <c r="H4255" s="8">
        <v>127601.95</v>
      </c>
      <c r="I4255" s="8">
        <v>105882.62</v>
      </c>
      <c r="J4255" s="1">
        <f>IF(COUNTIF($C$4:C4255,C4255)=1,1,0)</f>
        <v>1</v>
      </c>
      <c r="K4255" s="1">
        <f t="shared" si="66"/>
        <v>2025</v>
      </c>
    </row>
    <row r="4256" spans="2:11" x14ac:dyDescent="0.45">
      <c r="B4256" s="1" t="s">
        <v>4000</v>
      </c>
      <c r="C4256" s="1" t="s">
        <v>4228</v>
      </c>
      <c r="D4256" s="7">
        <v>46114</v>
      </c>
      <c r="E4256" s="7">
        <v>46142</v>
      </c>
      <c r="G4256" s="1" t="s">
        <v>1348</v>
      </c>
      <c r="H4256" s="8">
        <v>18258767.140000001</v>
      </c>
      <c r="I4256" s="8">
        <v>7852789.8300000001</v>
      </c>
      <c r="J4256" s="1">
        <f>IF(COUNTIF($C$4:C4256,C4256)=1,1,0)</f>
        <v>1</v>
      </c>
      <c r="K4256" s="1">
        <f t="shared" si="66"/>
        <v>2026</v>
      </c>
    </row>
    <row r="4257" spans="2:11" x14ac:dyDescent="0.45">
      <c r="B4257" s="1" t="s">
        <v>4000</v>
      </c>
      <c r="C4257" s="1" t="s">
        <v>4229</v>
      </c>
      <c r="D4257" s="7">
        <v>45111</v>
      </c>
      <c r="E4257" s="7">
        <v>45111</v>
      </c>
      <c r="G4257" s="1" t="s">
        <v>16</v>
      </c>
      <c r="H4257" s="8">
        <v>433932.26</v>
      </c>
      <c r="I4257" s="8">
        <v>336790.8</v>
      </c>
      <c r="J4257" s="1">
        <f>IF(COUNTIF($C$4:C4257,C4257)=1,1,0)</f>
        <v>1</v>
      </c>
      <c r="K4257" s="1">
        <f t="shared" si="66"/>
        <v>2023</v>
      </c>
    </row>
    <row r="4258" spans="2:11" x14ac:dyDescent="0.45">
      <c r="B4258" s="1" t="s">
        <v>4000</v>
      </c>
      <c r="C4258" s="1" t="s">
        <v>4230</v>
      </c>
      <c r="D4258" s="7">
        <v>45284</v>
      </c>
      <c r="E4258" s="7">
        <v>45304</v>
      </c>
      <c r="G4258" s="1" t="s">
        <v>16</v>
      </c>
      <c r="H4258" s="8">
        <v>408572.57</v>
      </c>
      <c r="I4258" s="8">
        <v>259393.87</v>
      </c>
      <c r="J4258" s="1">
        <f>IF(COUNTIF($C$4:C4258,C4258)=1,1,0)</f>
        <v>1</v>
      </c>
      <c r="K4258" s="1">
        <f t="shared" si="66"/>
        <v>2023</v>
      </c>
    </row>
    <row r="4259" spans="2:11" x14ac:dyDescent="0.45">
      <c r="B4259" s="1" t="s">
        <v>4000</v>
      </c>
      <c r="C4259" s="1" t="s">
        <v>4231</v>
      </c>
      <c r="D4259" s="7">
        <v>44330</v>
      </c>
      <c r="E4259" s="7">
        <v>44331</v>
      </c>
      <c r="G4259" s="1" t="s">
        <v>38</v>
      </c>
      <c r="H4259" s="8">
        <v>510486.44</v>
      </c>
      <c r="I4259" s="8">
        <v>374862.29</v>
      </c>
      <c r="J4259" s="1">
        <f>IF(COUNTIF($C$4:C4259,C4259)=1,1,0)</f>
        <v>1</v>
      </c>
      <c r="K4259" s="1">
        <f t="shared" si="66"/>
        <v>2021</v>
      </c>
    </row>
    <row r="4260" spans="2:11" x14ac:dyDescent="0.45">
      <c r="B4260" s="1" t="s">
        <v>4000</v>
      </c>
      <c r="C4260" s="1" t="s">
        <v>4232</v>
      </c>
      <c r="D4260" s="7">
        <v>44326</v>
      </c>
      <c r="E4260" s="7">
        <v>44340</v>
      </c>
      <c r="G4260" s="1" t="s">
        <v>41</v>
      </c>
      <c r="H4260" s="8">
        <v>465130.99</v>
      </c>
      <c r="I4260" s="8">
        <v>386464.88</v>
      </c>
      <c r="J4260" s="1">
        <f>IF(COUNTIF($C$4:C4260,C4260)=1,1,0)</f>
        <v>1</v>
      </c>
      <c r="K4260" s="1">
        <f t="shared" si="66"/>
        <v>2021</v>
      </c>
    </row>
    <row r="4261" spans="2:11" x14ac:dyDescent="0.45">
      <c r="B4261" s="1" t="s">
        <v>4000</v>
      </c>
      <c r="C4261" s="1" t="s">
        <v>4233</v>
      </c>
      <c r="D4261" s="7">
        <v>43413</v>
      </c>
      <c r="E4261" s="7">
        <v>43420</v>
      </c>
      <c r="G4261" s="1" t="s">
        <v>38</v>
      </c>
      <c r="H4261" s="8">
        <v>102323.02</v>
      </c>
      <c r="I4261" s="8">
        <v>83034.2</v>
      </c>
      <c r="J4261" s="1">
        <f>IF(COUNTIF($C$4:C4261,C4261)=1,1,0)</f>
        <v>1</v>
      </c>
      <c r="K4261" s="1">
        <f t="shared" si="66"/>
        <v>2018</v>
      </c>
    </row>
    <row r="4262" spans="2:11" x14ac:dyDescent="0.45">
      <c r="B4262" s="1" t="s">
        <v>4000</v>
      </c>
      <c r="C4262" s="1" t="s">
        <v>4234</v>
      </c>
      <c r="D4262" s="7">
        <v>45375</v>
      </c>
      <c r="E4262" s="7">
        <v>45389</v>
      </c>
      <c r="G4262" s="1" t="s">
        <v>16</v>
      </c>
      <c r="H4262" s="8">
        <v>1567436.4</v>
      </c>
      <c r="I4262" s="8">
        <v>1036250.83</v>
      </c>
      <c r="J4262" s="1">
        <f>IF(COUNTIF($C$4:C4262,C4262)=1,1,0)</f>
        <v>1</v>
      </c>
      <c r="K4262" s="1">
        <f t="shared" si="66"/>
        <v>2024</v>
      </c>
    </row>
    <row r="4263" spans="2:11" x14ac:dyDescent="0.45">
      <c r="B4263" s="1" t="s">
        <v>4000</v>
      </c>
      <c r="C4263" s="1" t="s">
        <v>4235</v>
      </c>
      <c r="D4263" s="7">
        <v>44711</v>
      </c>
      <c r="E4263" s="7">
        <v>44716</v>
      </c>
      <c r="G4263" s="1" t="s">
        <v>38</v>
      </c>
      <c r="H4263" s="8">
        <v>1439095.5</v>
      </c>
      <c r="I4263" s="8">
        <v>1212646.7</v>
      </c>
      <c r="J4263" s="1">
        <f>IF(COUNTIF($C$4:C4263,C4263)=1,1,0)</f>
        <v>1</v>
      </c>
      <c r="K4263" s="1">
        <f t="shared" si="66"/>
        <v>2022</v>
      </c>
    </row>
    <row r="4264" spans="2:11" x14ac:dyDescent="0.45">
      <c r="B4264" s="1" t="s">
        <v>4000</v>
      </c>
      <c r="C4264" s="1" t="s">
        <v>4236</v>
      </c>
      <c r="D4264" s="7">
        <v>43967</v>
      </c>
      <c r="E4264" s="7">
        <v>43997</v>
      </c>
      <c r="G4264" s="1" t="s">
        <v>22</v>
      </c>
      <c r="H4264" s="8">
        <v>6128884.8399999999</v>
      </c>
      <c r="I4264" s="8">
        <v>3302850.87</v>
      </c>
      <c r="J4264" s="1">
        <f>IF(COUNTIF($C$4:C4264,C4264)=1,1,0)</f>
        <v>1</v>
      </c>
      <c r="K4264" s="1">
        <f t="shared" si="66"/>
        <v>2020</v>
      </c>
    </row>
    <row r="4265" spans="2:11" x14ac:dyDescent="0.45">
      <c r="B4265" s="1" t="s">
        <v>4000</v>
      </c>
      <c r="C4265" s="1" t="s">
        <v>4237</v>
      </c>
      <c r="D4265" s="7">
        <v>44696</v>
      </c>
      <c r="E4265" s="7">
        <v>44721</v>
      </c>
      <c r="G4265" s="1" t="s">
        <v>41</v>
      </c>
      <c r="H4265" s="8">
        <v>13650.5</v>
      </c>
      <c r="I4265" s="8">
        <v>11971.66</v>
      </c>
      <c r="J4265" s="1">
        <f>IF(COUNTIF($C$4:C4265,C4265)=1,1,0)</f>
        <v>1</v>
      </c>
      <c r="K4265" s="1">
        <f t="shared" si="66"/>
        <v>2022</v>
      </c>
    </row>
    <row r="4266" spans="2:11" x14ac:dyDescent="0.45">
      <c r="B4266" s="1" t="s">
        <v>4000</v>
      </c>
      <c r="C4266" s="1" t="s">
        <v>4238</v>
      </c>
      <c r="D4266" s="7">
        <v>45240</v>
      </c>
      <c r="E4266" s="7">
        <v>45261</v>
      </c>
      <c r="G4266" s="1" t="s">
        <v>41</v>
      </c>
      <c r="H4266" s="8">
        <v>334200.96000000002</v>
      </c>
      <c r="I4266" s="8">
        <v>250792.26</v>
      </c>
      <c r="J4266" s="1">
        <f>IF(COUNTIF($C$4:C4266,C4266)=1,1,0)</f>
        <v>1</v>
      </c>
      <c r="K4266" s="1">
        <f t="shared" si="66"/>
        <v>2023</v>
      </c>
    </row>
    <row r="4267" spans="2:11" x14ac:dyDescent="0.45">
      <c r="B4267" s="1" t="s">
        <v>4000</v>
      </c>
      <c r="C4267" s="1" t="s">
        <v>4239</v>
      </c>
      <c r="D4267" s="7">
        <v>44245</v>
      </c>
      <c r="E4267" s="7">
        <v>44271</v>
      </c>
      <c r="G4267" s="1" t="s">
        <v>212</v>
      </c>
      <c r="H4267" s="8">
        <v>1066973.52</v>
      </c>
      <c r="I4267" s="8">
        <v>751586.39</v>
      </c>
      <c r="J4267" s="1">
        <f>IF(COUNTIF($C$4:C4267,C4267)=1,1,0)</f>
        <v>1</v>
      </c>
      <c r="K4267" s="1">
        <f t="shared" si="66"/>
        <v>2021</v>
      </c>
    </row>
    <row r="4268" spans="2:11" x14ac:dyDescent="0.45">
      <c r="B4268" s="1" t="s">
        <v>4000</v>
      </c>
      <c r="C4268" s="1" t="s">
        <v>4240</v>
      </c>
      <c r="D4268" s="7">
        <v>46308</v>
      </c>
      <c r="E4268" s="7">
        <v>46333</v>
      </c>
      <c r="G4268" s="1" t="s">
        <v>22</v>
      </c>
      <c r="H4268" s="8">
        <v>3683807.3</v>
      </c>
      <c r="I4268" s="8">
        <v>2524945.31</v>
      </c>
      <c r="J4268" s="1">
        <f>IF(COUNTIF($C$4:C4268,C4268)=1,1,0)</f>
        <v>1</v>
      </c>
      <c r="K4268" s="1">
        <f t="shared" si="66"/>
        <v>2026</v>
      </c>
    </row>
    <row r="4269" spans="2:11" x14ac:dyDescent="0.45">
      <c r="B4269" s="1" t="s">
        <v>4000</v>
      </c>
      <c r="C4269" s="1" t="s">
        <v>4241</v>
      </c>
      <c r="D4269" s="7">
        <v>43529</v>
      </c>
      <c r="E4269" s="7">
        <v>43545</v>
      </c>
      <c r="G4269" s="1" t="s">
        <v>13</v>
      </c>
      <c r="H4269" s="8">
        <v>113246.27</v>
      </c>
      <c r="I4269" s="8">
        <v>92390.6</v>
      </c>
      <c r="J4269" s="1">
        <f>IF(COUNTIF($C$4:C4269,C4269)=1,1,0)</f>
        <v>1</v>
      </c>
      <c r="K4269" s="1">
        <f t="shared" si="66"/>
        <v>2019</v>
      </c>
    </row>
    <row r="4270" spans="2:11" x14ac:dyDescent="0.45">
      <c r="B4270" s="1" t="s">
        <v>4000</v>
      </c>
      <c r="C4270" s="1" t="s">
        <v>4242</v>
      </c>
      <c r="D4270" s="7">
        <v>44338</v>
      </c>
      <c r="E4270" s="7">
        <v>44351</v>
      </c>
      <c r="G4270" s="1" t="s">
        <v>20</v>
      </c>
      <c r="H4270" s="8">
        <v>1653278.66</v>
      </c>
      <c r="I4270" s="8">
        <v>1363174.97</v>
      </c>
      <c r="J4270" s="1">
        <f>IF(COUNTIF($C$4:C4270,C4270)=1,1,0)</f>
        <v>1</v>
      </c>
      <c r="K4270" s="1">
        <f t="shared" si="66"/>
        <v>2021</v>
      </c>
    </row>
    <row r="4271" spans="2:11" x14ac:dyDescent="0.45">
      <c r="B4271" s="1" t="s">
        <v>4000</v>
      </c>
      <c r="C4271" s="1" t="s">
        <v>4243</v>
      </c>
      <c r="D4271" s="7">
        <v>45194</v>
      </c>
      <c r="E4271" s="7">
        <v>45214</v>
      </c>
      <c r="G4271" s="1" t="s">
        <v>22</v>
      </c>
      <c r="H4271" s="8">
        <v>7432387.2999999998</v>
      </c>
      <c r="I4271" s="8">
        <v>4260084.92</v>
      </c>
      <c r="J4271" s="1">
        <f>IF(COUNTIF($C$4:C4271,C4271)=1,1,0)</f>
        <v>1</v>
      </c>
      <c r="K4271" s="1">
        <f t="shared" si="66"/>
        <v>2023</v>
      </c>
    </row>
    <row r="4272" spans="2:11" x14ac:dyDescent="0.45">
      <c r="B4272" s="1" t="s">
        <v>4000</v>
      </c>
      <c r="C4272" s="1" t="s">
        <v>4244</v>
      </c>
      <c r="D4272" s="7">
        <v>44754</v>
      </c>
      <c r="E4272" s="7">
        <v>44770</v>
      </c>
      <c r="G4272" s="1" t="s">
        <v>1348</v>
      </c>
      <c r="H4272" s="8">
        <v>124496118.66</v>
      </c>
      <c r="I4272" s="8">
        <v>71281172.290000007</v>
      </c>
      <c r="J4272" s="1">
        <f>IF(COUNTIF($C$4:C4272,C4272)=1,1,0)</f>
        <v>1</v>
      </c>
      <c r="K4272" s="1">
        <f t="shared" si="66"/>
        <v>2022</v>
      </c>
    </row>
    <row r="4273" spans="2:11" x14ac:dyDescent="0.45">
      <c r="B4273" s="1" t="s">
        <v>4000</v>
      </c>
      <c r="C4273" s="1" t="s">
        <v>4245</v>
      </c>
      <c r="D4273" s="7">
        <v>45562</v>
      </c>
      <c r="E4273" s="7">
        <v>45566</v>
      </c>
      <c r="G4273" s="1" t="s">
        <v>41</v>
      </c>
      <c r="H4273" s="8">
        <v>117531.79</v>
      </c>
      <c r="I4273" s="8">
        <v>92520.68</v>
      </c>
      <c r="J4273" s="1">
        <f>IF(COUNTIF($C$4:C4273,C4273)=1,1,0)</f>
        <v>1</v>
      </c>
      <c r="K4273" s="1">
        <f t="shared" si="66"/>
        <v>2024</v>
      </c>
    </row>
    <row r="4274" spans="2:11" x14ac:dyDescent="0.45">
      <c r="B4274" s="1" t="s">
        <v>4000</v>
      </c>
      <c r="C4274" s="1" t="s">
        <v>4246</v>
      </c>
      <c r="D4274" s="7">
        <v>44672</v>
      </c>
      <c r="E4274" s="7">
        <v>44695</v>
      </c>
      <c r="G4274" s="1" t="s">
        <v>212</v>
      </c>
      <c r="H4274" s="8">
        <v>11905008.890000001</v>
      </c>
      <c r="I4274" s="8">
        <v>8522710.0700000003</v>
      </c>
      <c r="J4274" s="1">
        <f>IF(COUNTIF($C$4:C4274,C4274)=1,1,0)</f>
        <v>1</v>
      </c>
      <c r="K4274" s="1">
        <f t="shared" si="66"/>
        <v>2022</v>
      </c>
    </row>
    <row r="4275" spans="2:11" x14ac:dyDescent="0.45">
      <c r="B4275" s="1" t="s">
        <v>4000</v>
      </c>
      <c r="C4275" s="1" t="s">
        <v>4247</v>
      </c>
      <c r="D4275" s="7">
        <v>44351</v>
      </c>
      <c r="E4275" s="7">
        <v>44375</v>
      </c>
      <c r="G4275" s="1" t="s">
        <v>22</v>
      </c>
      <c r="H4275" s="8">
        <v>2796774.85</v>
      </c>
      <c r="I4275" s="8">
        <v>1762289.18</v>
      </c>
      <c r="J4275" s="1">
        <f>IF(COUNTIF($C$4:C4275,C4275)=1,1,0)</f>
        <v>1</v>
      </c>
      <c r="K4275" s="1">
        <f t="shared" si="66"/>
        <v>2021</v>
      </c>
    </row>
    <row r="4276" spans="2:11" x14ac:dyDescent="0.45">
      <c r="B4276" s="1" t="s">
        <v>4000</v>
      </c>
      <c r="C4276" s="1" t="s">
        <v>4248</v>
      </c>
      <c r="D4276" s="7">
        <v>45833</v>
      </c>
      <c r="E4276" s="7">
        <v>45837</v>
      </c>
      <c r="G4276" s="1" t="s">
        <v>13</v>
      </c>
      <c r="H4276" s="8">
        <v>227477.01</v>
      </c>
      <c r="I4276" s="8">
        <v>186422.42</v>
      </c>
      <c r="J4276" s="1">
        <f>IF(COUNTIF($C$4:C4276,C4276)=1,1,0)</f>
        <v>1</v>
      </c>
      <c r="K4276" s="1">
        <f t="shared" si="66"/>
        <v>2025</v>
      </c>
    </row>
    <row r="4277" spans="2:11" x14ac:dyDescent="0.45">
      <c r="B4277" s="1" t="s">
        <v>4000</v>
      </c>
      <c r="C4277" s="1" t="s">
        <v>4249</v>
      </c>
      <c r="D4277" s="7">
        <v>45022</v>
      </c>
      <c r="E4277" s="7">
        <v>45027</v>
      </c>
      <c r="G4277" s="1" t="s">
        <v>16</v>
      </c>
      <c r="H4277" s="8">
        <v>1488980.3</v>
      </c>
      <c r="I4277" s="8">
        <v>1144097.99</v>
      </c>
      <c r="J4277" s="1">
        <f>IF(COUNTIF($C$4:C4277,C4277)=1,1,0)</f>
        <v>1</v>
      </c>
      <c r="K4277" s="1">
        <f t="shared" si="66"/>
        <v>2023</v>
      </c>
    </row>
    <row r="4278" spans="2:11" x14ac:dyDescent="0.45">
      <c r="B4278" s="1" t="s">
        <v>4000</v>
      </c>
      <c r="C4278" s="1" t="s">
        <v>4250</v>
      </c>
      <c r="D4278" s="7">
        <v>44955</v>
      </c>
      <c r="E4278" s="7">
        <v>44970</v>
      </c>
      <c r="G4278" s="1" t="s">
        <v>13</v>
      </c>
      <c r="H4278" s="8">
        <v>460243.43</v>
      </c>
      <c r="I4278" s="8">
        <v>404942.93</v>
      </c>
      <c r="J4278" s="1">
        <f>IF(COUNTIF($C$4:C4278,C4278)=1,1,0)</f>
        <v>1</v>
      </c>
      <c r="K4278" s="1">
        <f t="shared" si="66"/>
        <v>2023</v>
      </c>
    </row>
    <row r="4279" spans="2:11" x14ac:dyDescent="0.45">
      <c r="B4279" s="1" t="s">
        <v>4000</v>
      </c>
      <c r="C4279" s="1" t="s">
        <v>4251</v>
      </c>
      <c r="D4279" s="7">
        <v>44524</v>
      </c>
      <c r="E4279" s="7">
        <v>44551</v>
      </c>
      <c r="G4279" s="1" t="s">
        <v>1348</v>
      </c>
      <c r="H4279" s="8">
        <v>40784595.700000003</v>
      </c>
      <c r="I4279" s="8">
        <v>28384330.969999999</v>
      </c>
      <c r="J4279" s="1">
        <f>IF(COUNTIF($C$4:C4279,C4279)=1,1,0)</f>
        <v>1</v>
      </c>
      <c r="K4279" s="1">
        <f t="shared" si="66"/>
        <v>2021</v>
      </c>
    </row>
    <row r="4280" spans="2:11" x14ac:dyDescent="0.45">
      <c r="B4280" s="1" t="s">
        <v>4000</v>
      </c>
      <c r="C4280" s="1" t="s">
        <v>4252</v>
      </c>
      <c r="D4280" s="7">
        <v>45764</v>
      </c>
      <c r="E4280" s="7">
        <v>45793</v>
      </c>
      <c r="G4280" s="1" t="s">
        <v>212</v>
      </c>
      <c r="H4280" s="8">
        <v>8199168.8700000001</v>
      </c>
      <c r="I4280" s="8">
        <v>5804785.2400000002</v>
      </c>
      <c r="J4280" s="1">
        <f>IF(COUNTIF($C$4:C4280,C4280)=1,1,0)</f>
        <v>1</v>
      </c>
      <c r="K4280" s="1">
        <f t="shared" si="66"/>
        <v>2025</v>
      </c>
    </row>
    <row r="4281" spans="2:11" x14ac:dyDescent="0.45">
      <c r="B4281" s="1" t="s">
        <v>4000</v>
      </c>
      <c r="C4281" s="1" t="s">
        <v>4253</v>
      </c>
      <c r="D4281" s="7">
        <v>44529</v>
      </c>
      <c r="E4281" s="7">
        <v>44546</v>
      </c>
      <c r="G4281" s="1" t="s">
        <v>13</v>
      </c>
      <c r="H4281" s="8">
        <v>178311.46</v>
      </c>
      <c r="I4281" s="8">
        <v>151976.31</v>
      </c>
      <c r="J4281" s="1">
        <f>IF(COUNTIF($C$4:C4281,C4281)=1,1,0)</f>
        <v>1</v>
      </c>
      <c r="K4281" s="1">
        <f t="shared" si="66"/>
        <v>2021</v>
      </c>
    </row>
    <row r="4282" spans="2:11" x14ac:dyDescent="0.45">
      <c r="B4282" s="1" t="s">
        <v>4000</v>
      </c>
      <c r="C4282" s="1" t="s">
        <v>4254</v>
      </c>
      <c r="D4282" s="7">
        <v>45712</v>
      </c>
      <c r="E4282" s="7">
        <v>45718</v>
      </c>
      <c r="G4282" s="1" t="s">
        <v>38</v>
      </c>
      <c r="H4282" s="8">
        <v>221735.44</v>
      </c>
      <c r="I4282" s="8">
        <v>194856.47</v>
      </c>
      <c r="J4282" s="1">
        <f>IF(COUNTIF($C$4:C4282,C4282)=1,1,0)</f>
        <v>1</v>
      </c>
      <c r="K4282" s="1">
        <f t="shared" si="66"/>
        <v>2025</v>
      </c>
    </row>
    <row r="4283" spans="2:11" x14ac:dyDescent="0.45">
      <c r="B4283" s="1" t="s">
        <v>4000</v>
      </c>
      <c r="C4283" s="1" t="s">
        <v>4255</v>
      </c>
      <c r="D4283" s="7">
        <v>46033</v>
      </c>
      <c r="E4283" s="7">
        <v>46038</v>
      </c>
      <c r="G4283" s="1" t="s">
        <v>13</v>
      </c>
      <c r="H4283" s="8">
        <v>470536.46</v>
      </c>
      <c r="I4283" s="8">
        <v>384803.38</v>
      </c>
      <c r="J4283" s="1">
        <f>IF(COUNTIF($C$4:C4283,C4283)=1,1,0)</f>
        <v>1</v>
      </c>
      <c r="K4283" s="1">
        <f t="shared" si="66"/>
        <v>2026</v>
      </c>
    </row>
    <row r="4284" spans="2:11" x14ac:dyDescent="0.45">
      <c r="B4284" s="1" t="s">
        <v>4000</v>
      </c>
      <c r="C4284" s="1" t="s">
        <v>4256</v>
      </c>
      <c r="D4284" s="7">
        <v>43742</v>
      </c>
      <c r="E4284" s="7">
        <v>43764</v>
      </c>
      <c r="G4284" s="1" t="s">
        <v>41</v>
      </c>
      <c r="H4284" s="8">
        <v>48231.9</v>
      </c>
      <c r="I4284" s="8">
        <v>39045.53</v>
      </c>
      <c r="J4284" s="1">
        <f>IF(COUNTIF($C$4:C4284,C4284)=1,1,0)</f>
        <v>1</v>
      </c>
      <c r="K4284" s="1">
        <f t="shared" si="66"/>
        <v>2019</v>
      </c>
    </row>
    <row r="4285" spans="2:11" x14ac:dyDescent="0.45">
      <c r="B4285" s="1" t="s">
        <v>4000</v>
      </c>
      <c r="C4285" s="1" t="s">
        <v>4257</v>
      </c>
      <c r="D4285" s="7">
        <v>43843</v>
      </c>
      <c r="E4285" s="7">
        <v>43862</v>
      </c>
      <c r="G4285" s="1" t="s">
        <v>16</v>
      </c>
      <c r="H4285" s="8">
        <v>706248.52</v>
      </c>
      <c r="I4285" s="8">
        <v>570819.81000000006</v>
      </c>
      <c r="J4285" s="1">
        <f>IF(COUNTIF($C$4:C4285,C4285)=1,1,0)</f>
        <v>1</v>
      </c>
      <c r="K4285" s="1">
        <f t="shared" si="66"/>
        <v>2020</v>
      </c>
    </row>
    <row r="4286" spans="2:11" x14ac:dyDescent="0.45">
      <c r="B4286" s="1" t="s">
        <v>4000</v>
      </c>
      <c r="C4286" s="1" t="s">
        <v>4258</v>
      </c>
      <c r="D4286" s="7">
        <v>44686</v>
      </c>
      <c r="E4286" s="7">
        <v>44710</v>
      </c>
      <c r="G4286" s="1" t="s">
        <v>212</v>
      </c>
      <c r="H4286" s="8">
        <v>21463309.16</v>
      </c>
      <c r="I4286" s="8">
        <v>12338823.6</v>
      </c>
      <c r="J4286" s="1">
        <f>IF(COUNTIF($C$4:C4286,C4286)=1,1,0)</f>
        <v>1</v>
      </c>
      <c r="K4286" s="1">
        <f t="shared" si="66"/>
        <v>2022</v>
      </c>
    </row>
    <row r="4287" spans="2:11" x14ac:dyDescent="0.45">
      <c r="B4287" s="1" t="s">
        <v>4000</v>
      </c>
      <c r="C4287" s="1" t="s">
        <v>4259</v>
      </c>
      <c r="D4287" s="7">
        <v>46030</v>
      </c>
      <c r="E4287" s="7">
        <v>46034</v>
      </c>
      <c r="G4287" s="1" t="s">
        <v>41</v>
      </c>
      <c r="H4287" s="8">
        <v>739550.1</v>
      </c>
      <c r="I4287" s="8">
        <v>631874.46</v>
      </c>
      <c r="J4287" s="1">
        <f>IF(COUNTIF($C$4:C4287,C4287)=1,1,0)</f>
        <v>1</v>
      </c>
      <c r="K4287" s="1">
        <f t="shared" si="66"/>
        <v>2026</v>
      </c>
    </row>
    <row r="4288" spans="2:11" x14ac:dyDescent="0.45">
      <c r="B4288" s="1" t="s">
        <v>4000</v>
      </c>
      <c r="C4288" s="1" t="s">
        <v>4260</v>
      </c>
      <c r="D4288" s="7">
        <v>44549</v>
      </c>
      <c r="E4288" s="7">
        <v>44574</v>
      </c>
      <c r="G4288" s="1" t="s">
        <v>41</v>
      </c>
      <c r="H4288" s="8">
        <v>723882</v>
      </c>
      <c r="I4288" s="8">
        <v>511697.45</v>
      </c>
      <c r="J4288" s="1">
        <f>IF(COUNTIF($C$4:C4288,C4288)=1,1,0)</f>
        <v>1</v>
      </c>
      <c r="K4288" s="1">
        <f t="shared" si="66"/>
        <v>2021</v>
      </c>
    </row>
    <row r="4289" spans="2:11" x14ac:dyDescent="0.45">
      <c r="B4289" s="1" t="s">
        <v>4000</v>
      </c>
      <c r="C4289" s="1" t="s">
        <v>4261</v>
      </c>
      <c r="D4289" s="7">
        <v>44929</v>
      </c>
      <c r="E4289" s="7">
        <v>44948</v>
      </c>
      <c r="G4289" s="1" t="s">
        <v>20</v>
      </c>
      <c r="H4289" s="8">
        <v>1828046.71</v>
      </c>
      <c r="I4289" s="8">
        <v>1076353.73</v>
      </c>
      <c r="J4289" s="1">
        <f>IF(COUNTIF($C$4:C4289,C4289)=1,1,0)</f>
        <v>1</v>
      </c>
      <c r="K4289" s="1">
        <f t="shared" si="66"/>
        <v>2023</v>
      </c>
    </row>
    <row r="4290" spans="2:11" x14ac:dyDescent="0.45">
      <c r="B4290" s="1" t="s">
        <v>4000</v>
      </c>
      <c r="C4290" s="1" t="s">
        <v>4262</v>
      </c>
      <c r="D4290" s="7">
        <v>44630</v>
      </c>
      <c r="E4290" s="7">
        <v>44654</v>
      </c>
      <c r="G4290" s="1" t="s">
        <v>16</v>
      </c>
      <c r="H4290" s="8">
        <v>4449990.4000000004</v>
      </c>
      <c r="I4290" s="8">
        <v>3482995.08</v>
      </c>
      <c r="J4290" s="1">
        <f>IF(COUNTIF($C$4:C4290,C4290)=1,1,0)</f>
        <v>1</v>
      </c>
      <c r="K4290" s="1">
        <f t="shared" si="66"/>
        <v>2022</v>
      </c>
    </row>
    <row r="4291" spans="2:11" x14ac:dyDescent="0.45">
      <c r="B4291" s="1" t="s">
        <v>4000</v>
      </c>
      <c r="C4291" s="1" t="s">
        <v>4263</v>
      </c>
      <c r="D4291" s="7">
        <v>45177</v>
      </c>
      <c r="E4291" s="7">
        <v>45203</v>
      </c>
      <c r="G4291" s="1" t="s">
        <v>212</v>
      </c>
      <c r="H4291" s="8">
        <v>51105054.399999999</v>
      </c>
      <c r="I4291" s="8">
        <v>32983287.34</v>
      </c>
      <c r="J4291" s="1">
        <f>IF(COUNTIF($C$4:C4291,C4291)=1,1,0)</f>
        <v>1</v>
      </c>
      <c r="K4291" s="1">
        <f t="shared" si="66"/>
        <v>2023</v>
      </c>
    </row>
    <row r="4292" spans="2:11" x14ac:dyDescent="0.45">
      <c r="B4292" s="1" t="s">
        <v>4000</v>
      </c>
      <c r="C4292" s="1" t="s">
        <v>4264</v>
      </c>
      <c r="D4292" s="7">
        <v>45442</v>
      </c>
      <c r="E4292" s="7">
        <v>45457</v>
      </c>
      <c r="G4292" s="1" t="s">
        <v>16</v>
      </c>
      <c r="H4292" s="8">
        <v>10397643.17</v>
      </c>
      <c r="I4292" s="8">
        <v>7346758.0700000003</v>
      </c>
      <c r="J4292" s="1">
        <f>IF(COUNTIF($C$4:C4292,C4292)=1,1,0)</f>
        <v>1</v>
      </c>
      <c r="K4292" s="1">
        <f t="shared" si="66"/>
        <v>2024</v>
      </c>
    </row>
    <row r="4293" spans="2:11" x14ac:dyDescent="0.45">
      <c r="B4293" s="1" t="s">
        <v>4000</v>
      </c>
      <c r="C4293" s="1" t="s">
        <v>4265</v>
      </c>
      <c r="D4293" s="7">
        <v>45464</v>
      </c>
      <c r="E4293" s="7">
        <v>45489</v>
      </c>
      <c r="G4293" s="1" t="s">
        <v>38</v>
      </c>
      <c r="H4293" s="8">
        <v>273983.77</v>
      </c>
      <c r="I4293" s="8">
        <v>217599.96</v>
      </c>
      <c r="J4293" s="1">
        <f>IF(COUNTIF($C$4:C4293,C4293)=1,1,0)</f>
        <v>1</v>
      </c>
      <c r="K4293" s="1">
        <f t="shared" ref="K4293:K4356" si="67">YEAR(D4293)</f>
        <v>2024</v>
      </c>
    </row>
    <row r="4294" spans="2:11" x14ac:dyDescent="0.45">
      <c r="B4294" s="1" t="s">
        <v>4000</v>
      </c>
      <c r="C4294" s="1" t="s">
        <v>4266</v>
      </c>
      <c r="D4294" s="7">
        <v>45972</v>
      </c>
      <c r="E4294" s="7">
        <v>45972</v>
      </c>
      <c r="G4294" s="1" t="s">
        <v>16</v>
      </c>
      <c r="H4294" s="8">
        <v>3345897.08</v>
      </c>
      <c r="I4294" s="8">
        <v>2695159.41</v>
      </c>
      <c r="J4294" s="1">
        <f>IF(COUNTIF($C$4:C4294,C4294)=1,1,0)</f>
        <v>1</v>
      </c>
      <c r="K4294" s="1">
        <f t="shared" si="67"/>
        <v>2025</v>
      </c>
    </row>
    <row r="4295" spans="2:11" x14ac:dyDescent="0.45">
      <c r="B4295" s="1" t="s">
        <v>4000</v>
      </c>
      <c r="C4295" s="1" t="s">
        <v>4267</v>
      </c>
      <c r="D4295" s="7">
        <v>46183</v>
      </c>
      <c r="E4295" s="7">
        <v>46195</v>
      </c>
      <c r="G4295" s="1" t="s">
        <v>13</v>
      </c>
      <c r="H4295" s="8">
        <v>241729.16</v>
      </c>
      <c r="I4295" s="8">
        <v>184076.5</v>
      </c>
      <c r="J4295" s="1">
        <f>IF(COUNTIF($C$4:C4295,C4295)=1,1,0)</f>
        <v>1</v>
      </c>
      <c r="K4295" s="1">
        <f t="shared" si="67"/>
        <v>2026</v>
      </c>
    </row>
    <row r="4296" spans="2:11" x14ac:dyDescent="0.45">
      <c r="B4296" s="1" t="s">
        <v>4000</v>
      </c>
      <c r="C4296" s="1" t="s">
        <v>4268</v>
      </c>
      <c r="D4296" s="7">
        <v>46365</v>
      </c>
      <c r="E4296" s="7">
        <v>46368</v>
      </c>
      <c r="G4296" s="1" t="s">
        <v>1348</v>
      </c>
      <c r="H4296" s="8">
        <v>2836230.48</v>
      </c>
      <c r="I4296" s="8">
        <v>1810764.5</v>
      </c>
      <c r="J4296" s="1">
        <f>IF(COUNTIF($C$4:C4296,C4296)=1,1,0)</f>
        <v>1</v>
      </c>
      <c r="K4296" s="1">
        <f t="shared" si="67"/>
        <v>2026</v>
      </c>
    </row>
    <row r="4297" spans="2:11" x14ac:dyDescent="0.45">
      <c r="B4297" s="1" t="s">
        <v>4000</v>
      </c>
      <c r="C4297" s="1" t="s">
        <v>4269</v>
      </c>
      <c r="D4297" s="7">
        <v>44722</v>
      </c>
      <c r="E4297" s="7">
        <v>44742</v>
      </c>
      <c r="G4297" s="1" t="s">
        <v>13</v>
      </c>
      <c r="H4297" s="8">
        <v>375619.43</v>
      </c>
      <c r="I4297" s="8">
        <v>268162.37</v>
      </c>
      <c r="J4297" s="1">
        <f>IF(COUNTIF($C$4:C4297,C4297)=1,1,0)</f>
        <v>1</v>
      </c>
      <c r="K4297" s="1">
        <f t="shared" si="67"/>
        <v>2022</v>
      </c>
    </row>
    <row r="4298" spans="2:11" x14ac:dyDescent="0.45">
      <c r="B4298" s="1" t="s">
        <v>4000</v>
      </c>
      <c r="C4298" s="1" t="s">
        <v>4270</v>
      </c>
      <c r="D4298" s="7">
        <v>45545</v>
      </c>
      <c r="E4298" s="7">
        <v>45553</v>
      </c>
      <c r="G4298" s="1" t="s">
        <v>1348</v>
      </c>
      <c r="H4298" s="8">
        <v>9148656.8800000008</v>
      </c>
      <c r="I4298" s="8">
        <v>6526601.8899999997</v>
      </c>
      <c r="J4298" s="1">
        <f>IF(COUNTIF($C$4:C4298,C4298)=1,1,0)</f>
        <v>1</v>
      </c>
      <c r="K4298" s="1">
        <f t="shared" si="67"/>
        <v>2024</v>
      </c>
    </row>
    <row r="4299" spans="2:11" x14ac:dyDescent="0.45">
      <c r="B4299" s="1" t="s">
        <v>4000</v>
      </c>
      <c r="C4299" s="1" t="s">
        <v>4271</v>
      </c>
      <c r="D4299" s="7">
        <v>45105</v>
      </c>
      <c r="E4299" s="7">
        <v>45110</v>
      </c>
      <c r="G4299" s="1" t="s">
        <v>41</v>
      </c>
      <c r="H4299" s="8">
        <v>373003.19</v>
      </c>
      <c r="I4299" s="8">
        <v>287337.36</v>
      </c>
      <c r="J4299" s="1">
        <f>IF(COUNTIF($C$4:C4299,C4299)=1,1,0)</f>
        <v>1</v>
      </c>
      <c r="K4299" s="1">
        <f t="shared" si="67"/>
        <v>2023</v>
      </c>
    </row>
    <row r="4300" spans="2:11" x14ac:dyDescent="0.45">
      <c r="B4300" s="1" t="s">
        <v>4000</v>
      </c>
      <c r="C4300" s="1" t="s">
        <v>4272</v>
      </c>
      <c r="D4300" s="7">
        <v>46026</v>
      </c>
      <c r="E4300" s="7">
        <v>46044</v>
      </c>
      <c r="G4300" s="1" t="s">
        <v>41</v>
      </c>
      <c r="H4300" s="8">
        <v>119362.76</v>
      </c>
      <c r="I4300" s="8">
        <v>91957.64</v>
      </c>
      <c r="J4300" s="1">
        <f>IF(COUNTIF($C$4:C4300,C4300)=1,1,0)</f>
        <v>1</v>
      </c>
      <c r="K4300" s="1">
        <f t="shared" si="67"/>
        <v>2026</v>
      </c>
    </row>
    <row r="4301" spans="2:11" x14ac:dyDescent="0.45">
      <c r="B4301" s="1" t="s">
        <v>4000</v>
      </c>
      <c r="C4301" s="1" t="s">
        <v>4273</v>
      </c>
      <c r="D4301" s="7">
        <v>46279</v>
      </c>
      <c r="E4301" s="7">
        <v>46305</v>
      </c>
      <c r="G4301" s="1" t="s">
        <v>22</v>
      </c>
      <c r="H4301" s="8">
        <v>43085431.299999997</v>
      </c>
      <c r="I4301" s="8">
        <v>18245674.030000001</v>
      </c>
      <c r="J4301" s="1">
        <f>IF(COUNTIF($C$4:C4301,C4301)=1,1,0)</f>
        <v>1</v>
      </c>
      <c r="K4301" s="1">
        <f t="shared" si="67"/>
        <v>2026</v>
      </c>
    </row>
    <row r="4302" spans="2:11" x14ac:dyDescent="0.45">
      <c r="B4302" s="1" t="s">
        <v>4000</v>
      </c>
      <c r="C4302" s="1" t="s">
        <v>4274</v>
      </c>
      <c r="D4302" s="7">
        <v>45297</v>
      </c>
      <c r="E4302" s="7">
        <v>45320</v>
      </c>
      <c r="G4302" s="1" t="s">
        <v>1348</v>
      </c>
      <c r="H4302" s="8">
        <v>8573730.9299999997</v>
      </c>
      <c r="I4302" s="8">
        <v>4186087.46</v>
      </c>
      <c r="J4302" s="1">
        <f>IF(COUNTIF($C$4:C4302,C4302)=1,1,0)</f>
        <v>1</v>
      </c>
      <c r="K4302" s="1">
        <f t="shared" si="67"/>
        <v>2024</v>
      </c>
    </row>
    <row r="4303" spans="2:11" x14ac:dyDescent="0.45">
      <c r="B4303" s="1" t="s">
        <v>4000</v>
      </c>
      <c r="C4303" s="1" t="s">
        <v>4275</v>
      </c>
      <c r="D4303" s="7">
        <v>45365</v>
      </c>
      <c r="E4303" s="7">
        <v>45372</v>
      </c>
      <c r="G4303" s="1" t="s">
        <v>38</v>
      </c>
      <c r="H4303" s="8">
        <v>1860392.7</v>
      </c>
      <c r="I4303" s="8">
        <v>1501467.35</v>
      </c>
      <c r="J4303" s="1">
        <f>IF(COUNTIF($C$4:C4303,C4303)=1,1,0)</f>
        <v>1</v>
      </c>
      <c r="K4303" s="1">
        <f t="shared" si="67"/>
        <v>2024</v>
      </c>
    </row>
    <row r="4304" spans="2:11" x14ac:dyDescent="0.45">
      <c r="B4304" s="1" t="s">
        <v>4000</v>
      </c>
      <c r="C4304" s="1" t="s">
        <v>4276</v>
      </c>
      <c r="D4304" s="7">
        <v>43882</v>
      </c>
      <c r="E4304" s="7">
        <v>43911</v>
      </c>
      <c r="G4304" s="1" t="s">
        <v>20</v>
      </c>
      <c r="H4304" s="8">
        <v>248603.7</v>
      </c>
      <c r="I4304" s="8">
        <v>195328.2</v>
      </c>
      <c r="J4304" s="1">
        <f>IF(COUNTIF($C$4:C4304,C4304)=1,1,0)</f>
        <v>1</v>
      </c>
      <c r="K4304" s="1">
        <f t="shared" si="67"/>
        <v>2020</v>
      </c>
    </row>
    <row r="4305" spans="2:11" x14ac:dyDescent="0.45">
      <c r="B4305" s="1" t="s">
        <v>4000</v>
      </c>
      <c r="C4305" s="1" t="s">
        <v>4277</v>
      </c>
      <c r="D4305" s="7">
        <v>43140</v>
      </c>
      <c r="E4305" s="7">
        <v>43140</v>
      </c>
      <c r="G4305" s="1" t="s">
        <v>212</v>
      </c>
      <c r="H4305" s="8">
        <v>13682737.130000001</v>
      </c>
      <c r="I4305" s="8">
        <v>8661749.6600000001</v>
      </c>
      <c r="J4305" s="1">
        <f>IF(COUNTIF($C$4:C4305,C4305)=1,1,0)</f>
        <v>1</v>
      </c>
      <c r="K4305" s="1">
        <f t="shared" si="67"/>
        <v>2018</v>
      </c>
    </row>
    <row r="4306" spans="2:11" x14ac:dyDescent="0.45">
      <c r="B4306" s="1" t="s">
        <v>4000</v>
      </c>
      <c r="C4306" s="1" t="s">
        <v>4278</v>
      </c>
      <c r="D4306" s="7">
        <v>44213</v>
      </c>
      <c r="E4306" s="7">
        <v>44242</v>
      </c>
      <c r="G4306" s="1" t="s">
        <v>13</v>
      </c>
      <c r="H4306" s="8">
        <v>89639.53</v>
      </c>
      <c r="I4306" s="8">
        <v>76942.58</v>
      </c>
      <c r="J4306" s="1">
        <f>IF(COUNTIF($C$4:C4306,C4306)=1,1,0)</f>
        <v>1</v>
      </c>
      <c r="K4306" s="1">
        <f t="shared" si="67"/>
        <v>2021</v>
      </c>
    </row>
    <row r="4307" spans="2:11" x14ac:dyDescent="0.45">
      <c r="B4307" s="1" t="s">
        <v>4000</v>
      </c>
      <c r="C4307" s="1" t="s">
        <v>4279</v>
      </c>
      <c r="D4307" s="7">
        <v>44453</v>
      </c>
      <c r="E4307" s="7">
        <v>44461</v>
      </c>
      <c r="G4307" s="1" t="s">
        <v>16</v>
      </c>
      <c r="H4307" s="8">
        <v>4126970.83</v>
      </c>
      <c r="I4307" s="8">
        <v>3396364.46</v>
      </c>
      <c r="J4307" s="1">
        <f>IF(COUNTIF($C$4:C4307,C4307)=1,1,0)</f>
        <v>1</v>
      </c>
      <c r="K4307" s="1">
        <f t="shared" si="67"/>
        <v>2021</v>
      </c>
    </row>
    <row r="4308" spans="2:11" x14ac:dyDescent="0.45">
      <c r="B4308" s="1" t="s">
        <v>4000</v>
      </c>
      <c r="C4308" s="1" t="s">
        <v>4280</v>
      </c>
      <c r="D4308" s="7">
        <v>43906</v>
      </c>
      <c r="E4308" s="7">
        <v>43929</v>
      </c>
      <c r="G4308" s="1" t="s">
        <v>41</v>
      </c>
      <c r="H4308" s="8">
        <v>254997.9</v>
      </c>
      <c r="I4308" s="8">
        <v>208949.2</v>
      </c>
      <c r="J4308" s="1">
        <f>IF(COUNTIF($C$4:C4308,C4308)=1,1,0)</f>
        <v>1</v>
      </c>
      <c r="K4308" s="1">
        <f t="shared" si="67"/>
        <v>2020</v>
      </c>
    </row>
    <row r="4309" spans="2:11" x14ac:dyDescent="0.45">
      <c r="B4309" s="1" t="s">
        <v>4000</v>
      </c>
      <c r="C4309" s="1" t="s">
        <v>4281</v>
      </c>
      <c r="D4309" s="7">
        <v>43814</v>
      </c>
      <c r="E4309" s="7">
        <v>43814</v>
      </c>
      <c r="G4309" s="1" t="s">
        <v>212</v>
      </c>
      <c r="H4309" s="8">
        <v>12533313.949999999</v>
      </c>
      <c r="I4309" s="8">
        <v>7248361.1200000001</v>
      </c>
      <c r="J4309" s="1">
        <f>IF(COUNTIF($C$4:C4309,C4309)=1,1,0)</f>
        <v>1</v>
      </c>
      <c r="K4309" s="1">
        <f t="shared" si="67"/>
        <v>2019</v>
      </c>
    </row>
    <row r="4310" spans="2:11" x14ac:dyDescent="0.45">
      <c r="B4310" s="1" t="s">
        <v>4000</v>
      </c>
      <c r="C4310" s="1" t="s">
        <v>4282</v>
      </c>
      <c r="D4310" s="7">
        <v>45390</v>
      </c>
      <c r="E4310" s="7">
        <v>45410</v>
      </c>
      <c r="G4310" s="1" t="s">
        <v>20</v>
      </c>
      <c r="H4310" s="8">
        <v>195190.49</v>
      </c>
      <c r="I4310" s="8">
        <v>151288.06</v>
      </c>
      <c r="J4310" s="1">
        <f>IF(COUNTIF($C$4:C4310,C4310)=1,1,0)</f>
        <v>1</v>
      </c>
      <c r="K4310" s="1">
        <f t="shared" si="67"/>
        <v>2024</v>
      </c>
    </row>
    <row r="4311" spans="2:11" x14ac:dyDescent="0.45">
      <c r="B4311" s="1" t="s">
        <v>4000</v>
      </c>
      <c r="C4311" s="1" t="s">
        <v>4283</v>
      </c>
      <c r="D4311" s="7">
        <v>43482</v>
      </c>
      <c r="E4311" s="7">
        <v>43501</v>
      </c>
      <c r="G4311" s="1" t="s">
        <v>16</v>
      </c>
      <c r="H4311" s="8">
        <v>4327011.6399999997</v>
      </c>
      <c r="I4311" s="8">
        <v>3022319.1</v>
      </c>
      <c r="J4311" s="1">
        <f>IF(COUNTIF($C$4:C4311,C4311)=1,1,0)</f>
        <v>1</v>
      </c>
      <c r="K4311" s="1">
        <f t="shared" si="67"/>
        <v>2019</v>
      </c>
    </row>
    <row r="4312" spans="2:11" x14ac:dyDescent="0.45">
      <c r="B4312" s="1" t="s">
        <v>4000</v>
      </c>
      <c r="C4312" s="1" t="s">
        <v>4284</v>
      </c>
      <c r="D4312" s="7">
        <v>45644</v>
      </c>
      <c r="E4312" s="7">
        <v>45672</v>
      </c>
      <c r="G4312" s="1" t="s">
        <v>212</v>
      </c>
      <c r="H4312" s="8">
        <v>99736648.75</v>
      </c>
      <c r="I4312" s="8">
        <v>58068947.530000001</v>
      </c>
      <c r="J4312" s="1">
        <f>IF(COUNTIF($C$4:C4312,C4312)=1,1,0)</f>
        <v>1</v>
      </c>
      <c r="K4312" s="1">
        <f t="shared" si="67"/>
        <v>2024</v>
      </c>
    </row>
    <row r="4313" spans="2:11" x14ac:dyDescent="0.45">
      <c r="B4313" s="1" t="s">
        <v>4000</v>
      </c>
      <c r="C4313" s="1" t="s">
        <v>4285</v>
      </c>
      <c r="D4313" s="7">
        <v>45502</v>
      </c>
      <c r="E4313" s="7">
        <v>45510</v>
      </c>
      <c r="G4313" s="1" t="s">
        <v>41</v>
      </c>
      <c r="H4313" s="8">
        <v>191898.26</v>
      </c>
      <c r="I4313" s="8">
        <v>172853.08</v>
      </c>
      <c r="J4313" s="1">
        <f>IF(COUNTIF($C$4:C4313,C4313)=1,1,0)</f>
        <v>1</v>
      </c>
      <c r="K4313" s="1">
        <f t="shared" si="67"/>
        <v>2024</v>
      </c>
    </row>
    <row r="4314" spans="2:11" x14ac:dyDescent="0.45">
      <c r="B4314" s="1" t="s">
        <v>4000</v>
      </c>
      <c r="C4314" s="1" t="s">
        <v>4286</v>
      </c>
      <c r="D4314" s="7">
        <v>45205</v>
      </c>
      <c r="E4314" s="7">
        <v>45232</v>
      </c>
      <c r="G4314" s="1" t="s">
        <v>16</v>
      </c>
      <c r="H4314" s="8">
        <v>746008.65</v>
      </c>
      <c r="I4314" s="8">
        <v>523522.58</v>
      </c>
      <c r="J4314" s="1">
        <f>IF(COUNTIF($C$4:C4314,C4314)=1,1,0)</f>
        <v>1</v>
      </c>
      <c r="K4314" s="1">
        <f t="shared" si="67"/>
        <v>2023</v>
      </c>
    </row>
    <row r="4315" spans="2:11" x14ac:dyDescent="0.45">
      <c r="B4315" s="1" t="s">
        <v>4000</v>
      </c>
      <c r="C4315" s="1" t="s">
        <v>4287</v>
      </c>
      <c r="D4315" s="7">
        <v>43815</v>
      </c>
      <c r="E4315" s="7">
        <v>43824</v>
      </c>
      <c r="G4315" s="1" t="s">
        <v>41</v>
      </c>
      <c r="H4315" s="8">
        <v>41631.93</v>
      </c>
      <c r="I4315" s="8">
        <v>33101.160000000003</v>
      </c>
      <c r="J4315" s="1">
        <f>IF(COUNTIF($C$4:C4315,C4315)=1,1,0)</f>
        <v>1</v>
      </c>
      <c r="K4315" s="1">
        <f t="shared" si="67"/>
        <v>2019</v>
      </c>
    </row>
    <row r="4316" spans="2:11" x14ac:dyDescent="0.45">
      <c r="B4316" s="1" t="s">
        <v>4000</v>
      </c>
      <c r="C4316" s="1" t="s">
        <v>4288</v>
      </c>
      <c r="D4316" s="7">
        <v>43922</v>
      </c>
      <c r="E4316" s="7">
        <v>43937</v>
      </c>
      <c r="G4316" s="1" t="s">
        <v>1348</v>
      </c>
      <c r="H4316" s="8">
        <v>550175.15</v>
      </c>
      <c r="I4316" s="8">
        <v>418090.46</v>
      </c>
      <c r="J4316" s="1">
        <f>IF(COUNTIF($C$4:C4316,C4316)=1,1,0)</f>
        <v>1</v>
      </c>
      <c r="K4316" s="1">
        <f t="shared" si="67"/>
        <v>2020</v>
      </c>
    </row>
    <row r="4317" spans="2:11" x14ac:dyDescent="0.45">
      <c r="B4317" s="1" t="s">
        <v>4000</v>
      </c>
      <c r="C4317" s="1" t="s">
        <v>4289</v>
      </c>
      <c r="D4317" s="7">
        <v>46020</v>
      </c>
      <c r="E4317" s="7">
        <v>46036</v>
      </c>
      <c r="G4317" s="1" t="s">
        <v>41</v>
      </c>
      <c r="H4317" s="8">
        <v>46462.61</v>
      </c>
      <c r="I4317" s="8">
        <v>33954.49</v>
      </c>
      <c r="J4317" s="1">
        <f>IF(COUNTIF($C$4:C4317,C4317)=1,1,0)</f>
        <v>1</v>
      </c>
      <c r="K4317" s="1">
        <f t="shared" si="67"/>
        <v>2025</v>
      </c>
    </row>
    <row r="4318" spans="2:11" x14ac:dyDescent="0.45">
      <c r="B4318" s="1" t="s">
        <v>4000</v>
      </c>
      <c r="C4318" s="1" t="s">
        <v>4290</v>
      </c>
      <c r="D4318" s="7">
        <v>44894</v>
      </c>
      <c r="E4318" s="7">
        <v>44923</v>
      </c>
      <c r="G4318" s="1" t="s">
        <v>18</v>
      </c>
      <c r="H4318" s="8">
        <v>2251473.08</v>
      </c>
      <c r="I4318" s="8">
        <v>1987445.36</v>
      </c>
      <c r="J4318" s="1">
        <f>IF(COUNTIF($C$4:C4318,C4318)=1,1,0)</f>
        <v>1</v>
      </c>
      <c r="K4318" s="1">
        <f t="shared" si="67"/>
        <v>2022</v>
      </c>
    </row>
    <row r="4319" spans="2:11" x14ac:dyDescent="0.45">
      <c r="B4319" s="1" t="s">
        <v>4000</v>
      </c>
      <c r="C4319" s="1" t="s">
        <v>4291</v>
      </c>
      <c r="D4319" s="7">
        <v>43742</v>
      </c>
      <c r="E4319" s="7">
        <v>43742</v>
      </c>
      <c r="G4319" s="1" t="s">
        <v>13</v>
      </c>
      <c r="H4319" s="8">
        <v>218905.17</v>
      </c>
      <c r="I4319" s="8">
        <v>173348.93</v>
      </c>
      <c r="J4319" s="1">
        <f>IF(COUNTIF($C$4:C4319,C4319)=1,1,0)</f>
        <v>1</v>
      </c>
      <c r="K4319" s="1">
        <f t="shared" si="67"/>
        <v>2019</v>
      </c>
    </row>
    <row r="4320" spans="2:11" x14ac:dyDescent="0.45">
      <c r="B4320" s="1" t="s">
        <v>4000</v>
      </c>
      <c r="C4320" s="1" t="s">
        <v>4292</v>
      </c>
      <c r="D4320" s="7">
        <v>44283</v>
      </c>
      <c r="E4320" s="7">
        <v>44289</v>
      </c>
      <c r="G4320" s="1" t="s">
        <v>212</v>
      </c>
      <c r="H4320" s="8">
        <v>64092171.07</v>
      </c>
      <c r="I4320" s="8">
        <v>38324278.670000002</v>
      </c>
      <c r="J4320" s="1">
        <f>IF(COUNTIF($C$4:C4320,C4320)=1,1,0)</f>
        <v>1</v>
      </c>
      <c r="K4320" s="1">
        <f t="shared" si="67"/>
        <v>2021</v>
      </c>
    </row>
    <row r="4321" spans="2:11" x14ac:dyDescent="0.45">
      <c r="B4321" s="1" t="s">
        <v>4000</v>
      </c>
      <c r="C4321" s="1" t="s">
        <v>4293</v>
      </c>
      <c r="D4321" s="7">
        <v>45452</v>
      </c>
      <c r="E4321" s="7">
        <v>45481</v>
      </c>
      <c r="G4321" s="1" t="s">
        <v>16</v>
      </c>
      <c r="H4321" s="8">
        <v>236430.9</v>
      </c>
      <c r="I4321" s="8">
        <v>149677.73000000001</v>
      </c>
      <c r="J4321" s="1">
        <f>IF(COUNTIF($C$4:C4321,C4321)=1,1,0)</f>
        <v>1</v>
      </c>
      <c r="K4321" s="1">
        <f t="shared" si="67"/>
        <v>2024</v>
      </c>
    </row>
    <row r="4322" spans="2:11" x14ac:dyDescent="0.45">
      <c r="B4322" s="1" t="s">
        <v>4000</v>
      </c>
      <c r="C4322" s="1" t="s">
        <v>4294</v>
      </c>
      <c r="D4322" s="7">
        <v>45846</v>
      </c>
      <c r="E4322" s="7">
        <v>45867</v>
      </c>
      <c r="G4322" s="1" t="s">
        <v>18</v>
      </c>
      <c r="H4322" s="8">
        <v>2038799.05</v>
      </c>
      <c r="I4322" s="8">
        <v>1801954.42</v>
      </c>
      <c r="J4322" s="1">
        <f>IF(COUNTIF($C$4:C4322,C4322)=1,1,0)</f>
        <v>1</v>
      </c>
      <c r="K4322" s="1">
        <f t="shared" si="67"/>
        <v>2025</v>
      </c>
    </row>
    <row r="4323" spans="2:11" x14ac:dyDescent="0.45">
      <c r="B4323" s="1" t="s">
        <v>4000</v>
      </c>
      <c r="C4323" s="1" t="s">
        <v>4295</v>
      </c>
      <c r="D4323" s="7">
        <v>45022</v>
      </c>
      <c r="E4323" s="7">
        <v>45049</v>
      </c>
      <c r="G4323" s="1" t="s">
        <v>38</v>
      </c>
      <c r="H4323" s="8">
        <v>1210549.8799999999</v>
      </c>
      <c r="I4323" s="8">
        <v>897983.46</v>
      </c>
      <c r="J4323" s="1">
        <f>IF(COUNTIF($C$4:C4323,C4323)=1,1,0)</f>
        <v>1</v>
      </c>
      <c r="K4323" s="1">
        <f t="shared" si="67"/>
        <v>2023</v>
      </c>
    </row>
    <row r="4324" spans="2:11" x14ac:dyDescent="0.45">
      <c r="B4324" s="1" t="s">
        <v>4000</v>
      </c>
      <c r="C4324" s="1" t="s">
        <v>4296</v>
      </c>
      <c r="D4324" s="7">
        <v>44961</v>
      </c>
      <c r="E4324" s="7">
        <v>44977</v>
      </c>
      <c r="G4324" s="1" t="s">
        <v>38</v>
      </c>
      <c r="H4324" s="8">
        <v>966772.36</v>
      </c>
      <c r="I4324" s="8">
        <v>851313.04</v>
      </c>
      <c r="J4324" s="1">
        <f>IF(COUNTIF($C$4:C4324,C4324)=1,1,0)</f>
        <v>1</v>
      </c>
      <c r="K4324" s="1">
        <f t="shared" si="67"/>
        <v>2023</v>
      </c>
    </row>
    <row r="4325" spans="2:11" x14ac:dyDescent="0.45">
      <c r="B4325" s="1" t="s">
        <v>4000</v>
      </c>
      <c r="C4325" s="1" t="s">
        <v>4297</v>
      </c>
      <c r="D4325" s="7">
        <v>45601</v>
      </c>
      <c r="E4325" s="7">
        <v>45622</v>
      </c>
      <c r="G4325" s="1" t="s">
        <v>16</v>
      </c>
      <c r="H4325" s="8">
        <v>610377.28</v>
      </c>
      <c r="I4325" s="8">
        <v>419594.05</v>
      </c>
      <c r="J4325" s="1">
        <f>IF(COUNTIF($C$4:C4325,C4325)=1,1,0)</f>
        <v>1</v>
      </c>
      <c r="K4325" s="1">
        <f t="shared" si="67"/>
        <v>2024</v>
      </c>
    </row>
    <row r="4326" spans="2:11" x14ac:dyDescent="0.45">
      <c r="B4326" s="1" t="s">
        <v>4000</v>
      </c>
      <c r="C4326" s="1" t="s">
        <v>4298</v>
      </c>
      <c r="D4326" s="7">
        <v>43959</v>
      </c>
      <c r="E4326" s="7">
        <v>43970</v>
      </c>
      <c r="G4326" s="1" t="s">
        <v>20</v>
      </c>
      <c r="H4326" s="8">
        <v>306219.59000000003</v>
      </c>
      <c r="I4326" s="8">
        <v>188041.03</v>
      </c>
      <c r="J4326" s="1">
        <f>IF(COUNTIF($C$4:C4326,C4326)=1,1,0)</f>
        <v>1</v>
      </c>
      <c r="K4326" s="1">
        <f t="shared" si="67"/>
        <v>2020</v>
      </c>
    </row>
    <row r="4327" spans="2:11" x14ac:dyDescent="0.45">
      <c r="B4327" s="1" t="s">
        <v>4000</v>
      </c>
      <c r="C4327" s="1" t="s">
        <v>4299</v>
      </c>
      <c r="D4327" s="7">
        <v>43988</v>
      </c>
      <c r="E4327" s="7">
        <v>43997</v>
      </c>
      <c r="G4327" s="1" t="s">
        <v>38</v>
      </c>
      <c r="H4327" s="8">
        <v>174480.9</v>
      </c>
      <c r="I4327" s="8">
        <v>124374.69</v>
      </c>
      <c r="J4327" s="1">
        <f>IF(COUNTIF($C$4:C4327,C4327)=1,1,0)</f>
        <v>1</v>
      </c>
      <c r="K4327" s="1">
        <f t="shared" si="67"/>
        <v>2020</v>
      </c>
    </row>
    <row r="4328" spans="2:11" x14ac:dyDescent="0.45">
      <c r="B4328" s="1" t="s">
        <v>4000</v>
      </c>
      <c r="C4328" s="1" t="s">
        <v>4300</v>
      </c>
      <c r="D4328" s="7">
        <v>44693</v>
      </c>
      <c r="E4328" s="7">
        <v>44702</v>
      </c>
      <c r="G4328" s="1" t="s">
        <v>41</v>
      </c>
      <c r="H4328" s="8">
        <v>902782.06</v>
      </c>
      <c r="I4328" s="8">
        <v>709701.15</v>
      </c>
      <c r="J4328" s="1">
        <f>IF(COUNTIF($C$4:C4328,C4328)=1,1,0)</f>
        <v>1</v>
      </c>
      <c r="K4328" s="1">
        <f t="shared" si="67"/>
        <v>2022</v>
      </c>
    </row>
    <row r="4329" spans="2:11" x14ac:dyDescent="0.45">
      <c r="B4329" s="1" t="s">
        <v>4000</v>
      </c>
      <c r="C4329" s="1" t="s">
        <v>4301</v>
      </c>
      <c r="D4329" s="7">
        <v>46148</v>
      </c>
      <c r="E4329" s="7">
        <v>46177</v>
      </c>
      <c r="G4329" s="1" t="s">
        <v>22</v>
      </c>
      <c r="H4329" s="8">
        <v>13424162</v>
      </c>
      <c r="I4329" s="8">
        <v>10681912.58</v>
      </c>
      <c r="J4329" s="1">
        <f>IF(COUNTIF($C$4:C4329,C4329)=1,1,0)</f>
        <v>1</v>
      </c>
      <c r="K4329" s="1">
        <f t="shared" si="67"/>
        <v>2026</v>
      </c>
    </row>
    <row r="4330" spans="2:11" x14ac:dyDescent="0.45">
      <c r="B4330" s="1" t="s">
        <v>4000</v>
      </c>
      <c r="C4330" s="1" t="s">
        <v>4302</v>
      </c>
      <c r="D4330" s="7">
        <v>45638</v>
      </c>
      <c r="E4330" s="7">
        <v>45654</v>
      </c>
      <c r="G4330" s="1" t="s">
        <v>18</v>
      </c>
      <c r="H4330" s="8">
        <v>11781373.060000001</v>
      </c>
      <c r="I4330" s="8">
        <v>8560766.5399999991</v>
      </c>
      <c r="J4330" s="1">
        <f>IF(COUNTIF($C$4:C4330,C4330)=1,1,0)</f>
        <v>1</v>
      </c>
      <c r="K4330" s="1">
        <f t="shared" si="67"/>
        <v>2024</v>
      </c>
    </row>
    <row r="4331" spans="2:11" x14ac:dyDescent="0.45">
      <c r="B4331" s="1" t="s">
        <v>4000</v>
      </c>
      <c r="C4331" s="1" t="s">
        <v>4303</v>
      </c>
      <c r="D4331" s="7">
        <v>43477</v>
      </c>
      <c r="E4331" s="7">
        <v>43482</v>
      </c>
      <c r="G4331" s="1" t="s">
        <v>22</v>
      </c>
      <c r="H4331" s="8">
        <v>28554340.260000002</v>
      </c>
      <c r="I4331" s="8">
        <v>22882948.469999999</v>
      </c>
      <c r="J4331" s="1">
        <f>IF(COUNTIF($C$4:C4331,C4331)=1,1,0)</f>
        <v>1</v>
      </c>
      <c r="K4331" s="1">
        <f t="shared" si="67"/>
        <v>2019</v>
      </c>
    </row>
    <row r="4332" spans="2:11" x14ac:dyDescent="0.45">
      <c r="B4332" s="1" t="s">
        <v>4000</v>
      </c>
      <c r="C4332" s="1" t="s">
        <v>4304</v>
      </c>
      <c r="D4332" s="7">
        <v>44363</v>
      </c>
      <c r="E4332" s="7">
        <v>44375</v>
      </c>
      <c r="G4332" s="1" t="s">
        <v>20</v>
      </c>
      <c r="H4332" s="8">
        <v>217742.97</v>
      </c>
      <c r="I4332" s="8">
        <v>159530.20000000001</v>
      </c>
      <c r="J4332" s="1">
        <f>IF(COUNTIF($C$4:C4332,C4332)=1,1,0)</f>
        <v>1</v>
      </c>
      <c r="K4332" s="1">
        <f t="shared" si="67"/>
        <v>2021</v>
      </c>
    </row>
    <row r="4333" spans="2:11" x14ac:dyDescent="0.45">
      <c r="B4333" s="1" t="s">
        <v>4000</v>
      </c>
      <c r="C4333" s="1" t="s">
        <v>4305</v>
      </c>
      <c r="D4333" s="7">
        <v>43948</v>
      </c>
      <c r="E4333" s="7">
        <v>43962</v>
      </c>
      <c r="G4333" s="1" t="s">
        <v>16</v>
      </c>
      <c r="H4333" s="8">
        <v>3217797.2</v>
      </c>
      <c r="I4333" s="8">
        <v>2246378</v>
      </c>
      <c r="J4333" s="1">
        <f>IF(COUNTIF($C$4:C4333,C4333)=1,1,0)</f>
        <v>1</v>
      </c>
      <c r="K4333" s="1">
        <f t="shared" si="67"/>
        <v>2020</v>
      </c>
    </row>
    <row r="4334" spans="2:11" x14ac:dyDescent="0.45">
      <c r="B4334" s="1" t="s">
        <v>4000</v>
      </c>
      <c r="C4334" s="1" t="s">
        <v>4306</v>
      </c>
      <c r="D4334" s="7">
        <v>43913</v>
      </c>
      <c r="E4334" s="7">
        <v>43927</v>
      </c>
      <c r="G4334" s="1" t="s">
        <v>16</v>
      </c>
      <c r="H4334" s="8">
        <v>3060526.71</v>
      </c>
      <c r="I4334" s="8">
        <v>2106699.91</v>
      </c>
      <c r="J4334" s="1">
        <f>IF(COUNTIF($C$4:C4334,C4334)=1,1,0)</f>
        <v>1</v>
      </c>
      <c r="K4334" s="1">
        <f t="shared" si="67"/>
        <v>2020</v>
      </c>
    </row>
    <row r="4335" spans="2:11" x14ac:dyDescent="0.45">
      <c r="B4335" s="1" t="s">
        <v>4000</v>
      </c>
      <c r="C4335" s="1" t="s">
        <v>4307</v>
      </c>
      <c r="D4335" s="7">
        <v>44586</v>
      </c>
      <c r="E4335" s="7">
        <v>44600</v>
      </c>
      <c r="G4335" s="1" t="s">
        <v>1348</v>
      </c>
      <c r="H4335" s="8">
        <v>10780670.460000001</v>
      </c>
      <c r="I4335" s="8">
        <v>8096434.0999999996</v>
      </c>
      <c r="J4335" s="1">
        <f>IF(COUNTIF($C$4:C4335,C4335)=1,1,0)</f>
        <v>1</v>
      </c>
      <c r="K4335" s="1">
        <f t="shared" si="67"/>
        <v>2022</v>
      </c>
    </row>
    <row r="4336" spans="2:11" x14ac:dyDescent="0.45">
      <c r="B4336" s="1" t="s">
        <v>4000</v>
      </c>
      <c r="C4336" s="1" t="s">
        <v>4308</v>
      </c>
      <c r="D4336" s="7">
        <v>44139</v>
      </c>
      <c r="E4336" s="7">
        <v>44160</v>
      </c>
      <c r="G4336" s="1" t="s">
        <v>38</v>
      </c>
      <c r="H4336" s="8">
        <v>444460.59</v>
      </c>
      <c r="I4336" s="8">
        <v>399963.87</v>
      </c>
      <c r="J4336" s="1">
        <f>IF(COUNTIF($C$4:C4336,C4336)=1,1,0)</f>
        <v>1</v>
      </c>
      <c r="K4336" s="1">
        <f t="shared" si="67"/>
        <v>2020</v>
      </c>
    </row>
    <row r="4337" spans="2:11" x14ac:dyDescent="0.45">
      <c r="B4337" s="1" t="s">
        <v>4000</v>
      </c>
      <c r="C4337" s="1" t="s">
        <v>4309</v>
      </c>
      <c r="D4337" s="7">
        <v>44673</v>
      </c>
      <c r="E4337" s="7">
        <v>44703</v>
      </c>
      <c r="G4337" s="1" t="s">
        <v>16</v>
      </c>
      <c r="H4337" s="8">
        <v>8459319.3499999996</v>
      </c>
      <c r="I4337" s="8">
        <v>5020790.8600000003</v>
      </c>
      <c r="J4337" s="1">
        <f>IF(COUNTIF($C$4:C4337,C4337)=1,1,0)</f>
        <v>1</v>
      </c>
      <c r="K4337" s="1">
        <f t="shared" si="67"/>
        <v>2022</v>
      </c>
    </row>
    <row r="4338" spans="2:11" x14ac:dyDescent="0.45">
      <c r="B4338" s="1" t="s">
        <v>4000</v>
      </c>
      <c r="C4338" s="1" t="s">
        <v>4310</v>
      </c>
      <c r="D4338" s="7">
        <v>45349</v>
      </c>
      <c r="E4338" s="7">
        <v>45353</v>
      </c>
      <c r="G4338" s="1" t="s">
        <v>41</v>
      </c>
      <c r="H4338" s="8">
        <v>24545.05</v>
      </c>
      <c r="I4338" s="8">
        <v>18119.27</v>
      </c>
      <c r="J4338" s="1">
        <f>IF(COUNTIF($C$4:C4338,C4338)=1,1,0)</f>
        <v>1</v>
      </c>
      <c r="K4338" s="1">
        <f t="shared" si="67"/>
        <v>2024</v>
      </c>
    </row>
    <row r="4339" spans="2:11" x14ac:dyDescent="0.45">
      <c r="B4339" s="1" t="s">
        <v>4000</v>
      </c>
      <c r="C4339" s="1" t="s">
        <v>4311</v>
      </c>
      <c r="D4339" s="7">
        <v>44239</v>
      </c>
      <c r="E4339" s="7">
        <v>44258</v>
      </c>
      <c r="G4339" s="1" t="s">
        <v>44</v>
      </c>
      <c r="H4339" s="8">
        <v>18364669.870000001</v>
      </c>
      <c r="I4339" s="8">
        <v>13217764.16</v>
      </c>
      <c r="J4339" s="1">
        <f>IF(COUNTIF($C$4:C4339,C4339)=1,1,0)</f>
        <v>1</v>
      </c>
      <c r="K4339" s="1">
        <f t="shared" si="67"/>
        <v>2021</v>
      </c>
    </row>
    <row r="4340" spans="2:11" x14ac:dyDescent="0.45">
      <c r="B4340" s="1" t="s">
        <v>4000</v>
      </c>
      <c r="C4340" s="1" t="s">
        <v>4312</v>
      </c>
      <c r="D4340" s="7">
        <v>46308</v>
      </c>
      <c r="E4340" s="7">
        <v>46328</v>
      </c>
      <c r="G4340" s="1" t="s">
        <v>212</v>
      </c>
      <c r="H4340" s="8">
        <v>21781669.899999999</v>
      </c>
      <c r="I4340" s="8">
        <v>8739812.3200000003</v>
      </c>
      <c r="J4340" s="1">
        <f>IF(COUNTIF($C$4:C4340,C4340)=1,1,0)</f>
        <v>1</v>
      </c>
      <c r="K4340" s="1">
        <f t="shared" si="67"/>
        <v>2026</v>
      </c>
    </row>
    <row r="4341" spans="2:11" x14ac:dyDescent="0.45">
      <c r="B4341" s="1" t="s">
        <v>4000</v>
      </c>
      <c r="C4341" s="1" t="s">
        <v>4313</v>
      </c>
      <c r="D4341" s="7">
        <v>45988</v>
      </c>
      <c r="E4341" s="7">
        <v>45997</v>
      </c>
      <c r="G4341" s="1" t="s">
        <v>18</v>
      </c>
      <c r="H4341" s="8">
        <v>952856.74</v>
      </c>
      <c r="I4341" s="8">
        <v>863572.69</v>
      </c>
      <c r="J4341" s="1">
        <f>IF(COUNTIF($C$4:C4341,C4341)=1,1,0)</f>
        <v>1</v>
      </c>
      <c r="K4341" s="1">
        <f t="shared" si="67"/>
        <v>2025</v>
      </c>
    </row>
    <row r="4342" spans="2:11" x14ac:dyDescent="0.45">
      <c r="B4342" s="1" t="s">
        <v>4000</v>
      </c>
      <c r="C4342" s="1" t="s">
        <v>4314</v>
      </c>
      <c r="D4342" s="7">
        <v>45973</v>
      </c>
      <c r="E4342" s="7">
        <v>46003</v>
      </c>
      <c r="G4342" s="1" t="s">
        <v>22</v>
      </c>
      <c r="H4342" s="8">
        <v>8603036.1500000004</v>
      </c>
      <c r="I4342" s="8">
        <v>6156495.8799999999</v>
      </c>
      <c r="J4342" s="1">
        <f>IF(COUNTIF($C$4:C4342,C4342)=1,1,0)</f>
        <v>1</v>
      </c>
      <c r="K4342" s="1">
        <f t="shared" si="67"/>
        <v>2025</v>
      </c>
    </row>
    <row r="4343" spans="2:11" x14ac:dyDescent="0.45">
      <c r="B4343" s="1" t="s">
        <v>4000</v>
      </c>
      <c r="C4343" s="1" t="s">
        <v>4315</v>
      </c>
      <c r="D4343" s="7">
        <v>44606</v>
      </c>
      <c r="E4343" s="7">
        <v>44631</v>
      </c>
      <c r="G4343" s="1" t="s">
        <v>44</v>
      </c>
      <c r="H4343" s="8">
        <v>169921176.03999999</v>
      </c>
      <c r="I4343" s="8">
        <v>79571183.599999994</v>
      </c>
      <c r="J4343" s="1">
        <f>IF(COUNTIF($C$4:C4343,C4343)=1,1,0)</f>
        <v>1</v>
      </c>
      <c r="K4343" s="1">
        <f t="shared" si="67"/>
        <v>2022</v>
      </c>
    </row>
    <row r="4344" spans="2:11" x14ac:dyDescent="0.45">
      <c r="B4344" s="1" t="s">
        <v>4000</v>
      </c>
      <c r="C4344" s="1" t="s">
        <v>4316</v>
      </c>
      <c r="D4344" s="7">
        <v>44469</v>
      </c>
      <c r="E4344" s="7">
        <v>44475</v>
      </c>
      <c r="G4344" s="1" t="s">
        <v>16</v>
      </c>
      <c r="H4344" s="8">
        <v>720580.39</v>
      </c>
      <c r="I4344" s="8">
        <v>443394.61</v>
      </c>
      <c r="J4344" s="1">
        <f>IF(COUNTIF($C$4:C4344,C4344)=1,1,0)</f>
        <v>1</v>
      </c>
      <c r="K4344" s="1">
        <f t="shared" si="67"/>
        <v>2021</v>
      </c>
    </row>
    <row r="4345" spans="2:11" x14ac:dyDescent="0.45">
      <c r="B4345" s="1" t="s">
        <v>4000</v>
      </c>
      <c r="C4345" s="1" t="s">
        <v>4317</v>
      </c>
      <c r="D4345" s="7">
        <v>46085</v>
      </c>
      <c r="E4345" s="7">
        <v>46090</v>
      </c>
      <c r="G4345" s="1" t="s">
        <v>38</v>
      </c>
      <c r="H4345" s="8">
        <v>374191.87</v>
      </c>
      <c r="I4345" s="8">
        <v>331074.42</v>
      </c>
      <c r="J4345" s="1">
        <f>IF(COUNTIF($C$4:C4345,C4345)=1,1,0)</f>
        <v>1</v>
      </c>
      <c r="K4345" s="1">
        <f t="shared" si="67"/>
        <v>2026</v>
      </c>
    </row>
    <row r="4346" spans="2:11" x14ac:dyDescent="0.45">
      <c r="B4346" s="1" t="s">
        <v>4000</v>
      </c>
      <c r="C4346" s="1" t="s">
        <v>4318</v>
      </c>
      <c r="D4346" s="7">
        <v>44841</v>
      </c>
      <c r="E4346" s="7">
        <v>44849</v>
      </c>
      <c r="G4346" s="1" t="s">
        <v>38</v>
      </c>
      <c r="H4346" s="8">
        <v>671427.88</v>
      </c>
      <c r="I4346" s="8">
        <v>553974.25</v>
      </c>
      <c r="J4346" s="1">
        <f>IF(COUNTIF($C$4:C4346,C4346)=1,1,0)</f>
        <v>1</v>
      </c>
      <c r="K4346" s="1">
        <f t="shared" si="67"/>
        <v>2022</v>
      </c>
    </row>
    <row r="4347" spans="2:11" x14ac:dyDescent="0.45">
      <c r="B4347" s="1" t="s">
        <v>4000</v>
      </c>
      <c r="C4347" s="1" t="s">
        <v>4319</v>
      </c>
      <c r="D4347" s="7">
        <v>45701</v>
      </c>
      <c r="E4347" s="7">
        <v>45710</v>
      </c>
      <c r="G4347" s="1" t="s">
        <v>212</v>
      </c>
      <c r="H4347" s="8">
        <v>69422551.829999998</v>
      </c>
      <c r="I4347" s="8">
        <v>49146376.020000003</v>
      </c>
      <c r="J4347" s="1">
        <f>IF(COUNTIF($C$4:C4347,C4347)=1,1,0)</f>
        <v>1</v>
      </c>
      <c r="K4347" s="1">
        <f t="shared" si="67"/>
        <v>2025</v>
      </c>
    </row>
    <row r="4348" spans="2:11" x14ac:dyDescent="0.45">
      <c r="B4348" s="1" t="s">
        <v>4000</v>
      </c>
      <c r="C4348" s="1" t="s">
        <v>4320</v>
      </c>
      <c r="D4348" s="7">
        <v>45477</v>
      </c>
      <c r="E4348" s="7">
        <v>45486</v>
      </c>
      <c r="G4348" s="1" t="s">
        <v>41</v>
      </c>
      <c r="H4348" s="8">
        <v>27372.81</v>
      </c>
      <c r="I4348" s="8">
        <v>21776.39</v>
      </c>
      <c r="J4348" s="1">
        <f>IF(COUNTIF($C$4:C4348,C4348)=1,1,0)</f>
        <v>1</v>
      </c>
      <c r="K4348" s="1">
        <f t="shared" si="67"/>
        <v>2024</v>
      </c>
    </row>
    <row r="4349" spans="2:11" x14ac:dyDescent="0.45">
      <c r="B4349" s="1" t="s">
        <v>4000</v>
      </c>
      <c r="C4349" s="1" t="s">
        <v>4321</v>
      </c>
      <c r="D4349" s="7">
        <v>43999</v>
      </c>
      <c r="E4349" s="7">
        <v>44028</v>
      </c>
      <c r="G4349" s="1" t="s">
        <v>38</v>
      </c>
      <c r="H4349" s="8">
        <v>107730.92</v>
      </c>
      <c r="I4349" s="8">
        <v>81600.38</v>
      </c>
      <c r="J4349" s="1">
        <f>IF(COUNTIF($C$4:C4349,C4349)=1,1,0)</f>
        <v>1</v>
      </c>
      <c r="K4349" s="1">
        <f t="shared" si="67"/>
        <v>2020</v>
      </c>
    </row>
    <row r="4350" spans="2:11" x14ac:dyDescent="0.45">
      <c r="B4350" s="1" t="s">
        <v>4000</v>
      </c>
      <c r="C4350" s="1" t="s">
        <v>4322</v>
      </c>
      <c r="D4350" s="7">
        <v>43964</v>
      </c>
      <c r="E4350" s="7">
        <v>43981</v>
      </c>
      <c r="G4350" s="1" t="s">
        <v>20</v>
      </c>
      <c r="H4350" s="8">
        <v>1071644.83</v>
      </c>
      <c r="I4350" s="8">
        <v>587276.48</v>
      </c>
      <c r="J4350" s="1">
        <f>IF(COUNTIF($C$4:C4350,C4350)=1,1,0)</f>
        <v>1</v>
      </c>
      <c r="K4350" s="1">
        <f t="shared" si="67"/>
        <v>2020</v>
      </c>
    </row>
    <row r="4351" spans="2:11" x14ac:dyDescent="0.45">
      <c r="B4351" s="1" t="s">
        <v>4000</v>
      </c>
      <c r="C4351" s="1" t="s">
        <v>4323</v>
      </c>
      <c r="D4351" s="7">
        <v>45433</v>
      </c>
      <c r="E4351" s="7">
        <v>45457</v>
      </c>
      <c r="G4351" s="1" t="s">
        <v>1348</v>
      </c>
      <c r="H4351" s="8">
        <v>8208898.0999999996</v>
      </c>
      <c r="I4351" s="8">
        <v>3616739.99</v>
      </c>
      <c r="J4351" s="1">
        <f>IF(COUNTIF($C$4:C4351,C4351)=1,1,0)</f>
        <v>1</v>
      </c>
      <c r="K4351" s="1">
        <f t="shared" si="67"/>
        <v>2024</v>
      </c>
    </row>
    <row r="4352" spans="2:11" x14ac:dyDescent="0.45">
      <c r="B4352" s="1" t="s">
        <v>4000</v>
      </c>
      <c r="C4352" s="1" t="s">
        <v>4324</v>
      </c>
      <c r="D4352" s="7">
        <v>46320</v>
      </c>
      <c r="E4352" s="7">
        <v>46325</v>
      </c>
      <c r="G4352" s="1" t="s">
        <v>44</v>
      </c>
      <c r="H4352" s="8">
        <v>103345366.53</v>
      </c>
      <c r="I4352" s="8">
        <v>62889494.75</v>
      </c>
      <c r="J4352" s="1">
        <f>IF(COUNTIF($C$4:C4352,C4352)=1,1,0)</f>
        <v>1</v>
      </c>
      <c r="K4352" s="1">
        <f t="shared" si="67"/>
        <v>2026</v>
      </c>
    </row>
    <row r="4353" spans="2:11" x14ac:dyDescent="0.45">
      <c r="B4353" s="1" t="s">
        <v>4000</v>
      </c>
      <c r="C4353" s="1" t="s">
        <v>4325</v>
      </c>
      <c r="D4353" s="7">
        <v>46076</v>
      </c>
      <c r="E4353" s="7">
        <v>46080</v>
      </c>
      <c r="G4353" s="1" t="s">
        <v>20</v>
      </c>
      <c r="H4353" s="8">
        <v>220898.31</v>
      </c>
      <c r="I4353" s="8">
        <v>173017.66</v>
      </c>
      <c r="J4353" s="1">
        <f>IF(COUNTIF($C$4:C4353,C4353)=1,1,0)</f>
        <v>1</v>
      </c>
      <c r="K4353" s="1">
        <f t="shared" si="67"/>
        <v>2026</v>
      </c>
    </row>
    <row r="4354" spans="2:11" x14ac:dyDescent="0.45">
      <c r="B4354" s="1" t="s">
        <v>4000</v>
      </c>
      <c r="C4354" s="1" t="s">
        <v>4326</v>
      </c>
      <c r="D4354" s="7">
        <v>45914</v>
      </c>
      <c r="E4354" s="7">
        <v>45939</v>
      </c>
      <c r="G4354" s="1" t="s">
        <v>16</v>
      </c>
      <c r="H4354" s="8">
        <v>2756768.52</v>
      </c>
      <c r="I4354" s="8">
        <v>2102967.75</v>
      </c>
      <c r="J4354" s="1">
        <f>IF(COUNTIF($C$4:C4354,C4354)=1,1,0)</f>
        <v>1</v>
      </c>
      <c r="K4354" s="1">
        <f t="shared" si="67"/>
        <v>2025</v>
      </c>
    </row>
    <row r="4355" spans="2:11" x14ac:dyDescent="0.45">
      <c r="B4355" s="1" t="s">
        <v>4000</v>
      </c>
      <c r="C4355" s="1" t="s">
        <v>4327</v>
      </c>
      <c r="D4355" s="7">
        <v>44949</v>
      </c>
      <c r="E4355" s="7">
        <v>44964</v>
      </c>
      <c r="G4355" s="1" t="s">
        <v>16</v>
      </c>
      <c r="H4355" s="8">
        <v>1161934.18</v>
      </c>
      <c r="I4355" s="8">
        <v>761412.74</v>
      </c>
      <c r="J4355" s="1">
        <f>IF(COUNTIF($C$4:C4355,C4355)=1,1,0)</f>
        <v>1</v>
      </c>
      <c r="K4355" s="1">
        <f t="shared" si="67"/>
        <v>2023</v>
      </c>
    </row>
    <row r="4356" spans="2:11" x14ac:dyDescent="0.45">
      <c r="B4356" s="1" t="s">
        <v>4000</v>
      </c>
      <c r="C4356" s="1" t="s">
        <v>4328</v>
      </c>
      <c r="D4356" s="7">
        <v>43567</v>
      </c>
      <c r="E4356" s="7">
        <v>43597</v>
      </c>
      <c r="G4356" s="1" t="s">
        <v>18</v>
      </c>
      <c r="H4356" s="8">
        <v>6903512.1500000004</v>
      </c>
      <c r="I4356" s="8">
        <v>5149495.04</v>
      </c>
      <c r="J4356" s="1">
        <f>IF(COUNTIF($C$4:C4356,C4356)=1,1,0)</f>
        <v>1</v>
      </c>
      <c r="K4356" s="1">
        <f t="shared" si="67"/>
        <v>2019</v>
      </c>
    </row>
    <row r="4357" spans="2:11" x14ac:dyDescent="0.45">
      <c r="B4357" s="1" t="s">
        <v>4000</v>
      </c>
      <c r="C4357" s="1" t="s">
        <v>4329</v>
      </c>
      <c r="D4357" s="7">
        <v>45299</v>
      </c>
      <c r="E4357" s="7">
        <v>45322</v>
      </c>
      <c r="G4357" s="1" t="s">
        <v>20</v>
      </c>
      <c r="H4357" s="8">
        <v>544621.17000000004</v>
      </c>
      <c r="I4357" s="8">
        <v>409400.6</v>
      </c>
      <c r="J4357" s="1">
        <f>IF(COUNTIF($C$4:C4357,C4357)=1,1,0)</f>
        <v>1</v>
      </c>
      <c r="K4357" s="1">
        <f t="shared" ref="K4357:K4420" si="68">YEAR(D4357)</f>
        <v>2024</v>
      </c>
    </row>
    <row r="4358" spans="2:11" x14ac:dyDescent="0.45">
      <c r="B4358" s="1" t="s">
        <v>4000</v>
      </c>
      <c r="C4358" s="1" t="s">
        <v>4330</v>
      </c>
      <c r="D4358" s="7">
        <v>45455</v>
      </c>
      <c r="E4358" s="7">
        <v>45474</v>
      </c>
      <c r="G4358" s="1" t="s">
        <v>38</v>
      </c>
      <c r="H4358" s="8">
        <v>162358.07999999999</v>
      </c>
      <c r="I4358" s="8">
        <v>141052.35</v>
      </c>
      <c r="J4358" s="1">
        <f>IF(COUNTIF($C$4:C4358,C4358)=1,1,0)</f>
        <v>1</v>
      </c>
      <c r="K4358" s="1">
        <f t="shared" si="68"/>
        <v>2024</v>
      </c>
    </row>
    <row r="4359" spans="2:11" x14ac:dyDescent="0.45">
      <c r="B4359" s="1" t="s">
        <v>4000</v>
      </c>
      <c r="C4359" s="1" t="s">
        <v>4331</v>
      </c>
      <c r="D4359" s="7">
        <v>44347</v>
      </c>
      <c r="E4359" s="7">
        <v>44347</v>
      </c>
      <c r="G4359" s="1" t="s">
        <v>41</v>
      </c>
      <c r="H4359" s="8">
        <v>268411.78999999998</v>
      </c>
      <c r="I4359" s="8">
        <v>215159.07</v>
      </c>
      <c r="J4359" s="1">
        <f>IF(COUNTIF($C$4:C4359,C4359)=1,1,0)</f>
        <v>1</v>
      </c>
      <c r="K4359" s="1">
        <f t="shared" si="68"/>
        <v>2021</v>
      </c>
    </row>
    <row r="4360" spans="2:11" x14ac:dyDescent="0.45">
      <c r="B4360" s="1" t="s">
        <v>4000</v>
      </c>
      <c r="C4360" s="1" t="s">
        <v>4332</v>
      </c>
      <c r="D4360" s="7">
        <v>44600</v>
      </c>
      <c r="E4360" s="7">
        <v>44602</v>
      </c>
      <c r="G4360" s="1" t="s">
        <v>1348</v>
      </c>
      <c r="H4360" s="8">
        <v>91876060.510000005</v>
      </c>
      <c r="I4360" s="8">
        <v>47849319.270000003</v>
      </c>
      <c r="J4360" s="1">
        <f>IF(COUNTIF($C$4:C4360,C4360)=1,1,0)</f>
        <v>1</v>
      </c>
      <c r="K4360" s="1">
        <f t="shared" si="68"/>
        <v>2022</v>
      </c>
    </row>
    <row r="4361" spans="2:11" x14ac:dyDescent="0.45">
      <c r="B4361" s="1" t="s">
        <v>4000</v>
      </c>
      <c r="C4361" s="1" t="s">
        <v>4333</v>
      </c>
      <c r="D4361" s="7">
        <v>45548</v>
      </c>
      <c r="E4361" s="7">
        <v>45577</v>
      </c>
      <c r="G4361" s="1" t="s">
        <v>22</v>
      </c>
      <c r="H4361" s="8">
        <v>41383787.740000002</v>
      </c>
      <c r="I4361" s="8">
        <v>26190845.699999999</v>
      </c>
      <c r="J4361" s="1">
        <f>IF(COUNTIF($C$4:C4361,C4361)=1,1,0)</f>
        <v>1</v>
      </c>
      <c r="K4361" s="1">
        <f t="shared" si="68"/>
        <v>2024</v>
      </c>
    </row>
    <row r="4362" spans="2:11" x14ac:dyDescent="0.45">
      <c r="B4362" s="1" t="s">
        <v>4000</v>
      </c>
      <c r="C4362" s="1" t="s">
        <v>4334</v>
      </c>
      <c r="D4362" s="7">
        <v>45645</v>
      </c>
      <c r="E4362" s="7">
        <v>45675</v>
      </c>
      <c r="G4362" s="1" t="s">
        <v>38</v>
      </c>
      <c r="H4362" s="8">
        <v>661942.31999999995</v>
      </c>
      <c r="I4362" s="8">
        <v>509430.94</v>
      </c>
      <c r="J4362" s="1">
        <f>IF(COUNTIF($C$4:C4362,C4362)=1,1,0)</f>
        <v>1</v>
      </c>
      <c r="K4362" s="1">
        <f t="shared" si="68"/>
        <v>2024</v>
      </c>
    </row>
    <row r="4363" spans="2:11" x14ac:dyDescent="0.45">
      <c r="B4363" s="1" t="s">
        <v>4000</v>
      </c>
      <c r="C4363" s="1" t="s">
        <v>4335</v>
      </c>
      <c r="D4363" s="7">
        <v>45113</v>
      </c>
      <c r="E4363" s="7">
        <v>45126</v>
      </c>
      <c r="G4363" s="1" t="s">
        <v>20</v>
      </c>
      <c r="H4363" s="8">
        <v>11395092.16</v>
      </c>
      <c r="I4363" s="8">
        <v>7160550.7999999998</v>
      </c>
      <c r="J4363" s="1">
        <f>IF(COUNTIF($C$4:C4363,C4363)=1,1,0)</f>
        <v>1</v>
      </c>
      <c r="K4363" s="1">
        <f t="shared" si="68"/>
        <v>2023</v>
      </c>
    </row>
    <row r="4364" spans="2:11" x14ac:dyDescent="0.45">
      <c r="B4364" s="1" t="s">
        <v>4000</v>
      </c>
      <c r="C4364" s="1" t="s">
        <v>4336</v>
      </c>
      <c r="D4364" s="7">
        <v>43540</v>
      </c>
      <c r="E4364" s="7">
        <v>43543</v>
      </c>
      <c r="G4364" s="1" t="s">
        <v>18</v>
      </c>
      <c r="H4364" s="8">
        <v>2649053.4</v>
      </c>
      <c r="I4364" s="8">
        <v>1993945.47</v>
      </c>
      <c r="J4364" s="1">
        <f>IF(COUNTIF($C$4:C4364,C4364)=1,1,0)</f>
        <v>1</v>
      </c>
      <c r="K4364" s="1">
        <f t="shared" si="68"/>
        <v>2019</v>
      </c>
    </row>
    <row r="4365" spans="2:11" x14ac:dyDescent="0.45">
      <c r="B4365" s="1" t="s">
        <v>4000</v>
      </c>
      <c r="C4365" s="1" t="s">
        <v>4337</v>
      </c>
      <c r="D4365" s="7">
        <v>43375</v>
      </c>
      <c r="E4365" s="7">
        <v>43377</v>
      </c>
      <c r="G4365" s="1" t="s">
        <v>44</v>
      </c>
      <c r="H4365" s="8">
        <v>83183449.450000003</v>
      </c>
      <c r="I4365" s="8">
        <v>39273697.509999998</v>
      </c>
      <c r="J4365" s="1">
        <f>IF(COUNTIF($C$4:C4365,C4365)=1,1,0)</f>
        <v>1</v>
      </c>
      <c r="K4365" s="1">
        <f t="shared" si="68"/>
        <v>2018</v>
      </c>
    </row>
    <row r="4366" spans="2:11" x14ac:dyDescent="0.45">
      <c r="B4366" s="1" t="s">
        <v>4000</v>
      </c>
      <c r="C4366" s="1" t="s">
        <v>4338</v>
      </c>
      <c r="D4366" s="7">
        <v>45813</v>
      </c>
      <c r="E4366" s="7">
        <v>45822</v>
      </c>
      <c r="G4366" s="1" t="s">
        <v>13</v>
      </c>
      <c r="H4366" s="8">
        <v>139265.88</v>
      </c>
      <c r="I4366" s="8">
        <v>102099.02</v>
      </c>
      <c r="J4366" s="1">
        <f>IF(COUNTIF($C$4:C4366,C4366)=1,1,0)</f>
        <v>1</v>
      </c>
      <c r="K4366" s="1">
        <f t="shared" si="68"/>
        <v>2025</v>
      </c>
    </row>
    <row r="4367" spans="2:11" x14ac:dyDescent="0.45">
      <c r="B4367" s="1" t="s">
        <v>4000</v>
      </c>
      <c r="C4367" s="1" t="s">
        <v>4339</v>
      </c>
      <c r="D4367" s="7">
        <v>43751</v>
      </c>
      <c r="E4367" s="7">
        <v>43778</v>
      </c>
      <c r="G4367" s="1" t="s">
        <v>38</v>
      </c>
      <c r="H4367" s="8">
        <v>481837.84</v>
      </c>
      <c r="I4367" s="8">
        <v>326859.25</v>
      </c>
      <c r="J4367" s="1">
        <f>IF(COUNTIF($C$4:C4367,C4367)=1,1,0)</f>
        <v>1</v>
      </c>
      <c r="K4367" s="1">
        <f t="shared" si="68"/>
        <v>2019</v>
      </c>
    </row>
    <row r="4368" spans="2:11" x14ac:dyDescent="0.45">
      <c r="B4368" s="1" t="s">
        <v>4000</v>
      </c>
      <c r="C4368" s="1" t="s">
        <v>4340</v>
      </c>
      <c r="D4368" s="7">
        <v>44649</v>
      </c>
      <c r="E4368" s="7">
        <v>44651</v>
      </c>
      <c r="G4368" s="1" t="s">
        <v>44</v>
      </c>
      <c r="H4368" s="8">
        <v>35532539.32</v>
      </c>
      <c r="I4368" s="8">
        <v>19853981.640000001</v>
      </c>
      <c r="J4368" s="1">
        <f>IF(COUNTIF($C$4:C4368,C4368)=1,1,0)</f>
        <v>1</v>
      </c>
      <c r="K4368" s="1">
        <f t="shared" si="68"/>
        <v>2022</v>
      </c>
    </row>
    <row r="4369" spans="2:11" x14ac:dyDescent="0.45">
      <c r="B4369" s="1" t="s">
        <v>4000</v>
      </c>
      <c r="C4369" s="1" t="s">
        <v>4341</v>
      </c>
      <c r="D4369" s="7">
        <v>45582</v>
      </c>
      <c r="E4369" s="7">
        <v>45603</v>
      </c>
      <c r="G4369" s="1" t="s">
        <v>20</v>
      </c>
      <c r="H4369" s="8">
        <v>421733.26</v>
      </c>
      <c r="I4369" s="8">
        <v>338092.56</v>
      </c>
      <c r="J4369" s="1">
        <f>IF(COUNTIF($C$4:C4369,C4369)=1,1,0)</f>
        <v>1</v>
      </c>
      <c r="K4369" s="1">
        <f t="shared" si="68"/>
        <v>2024</v>
      </c>
    </row>
    <row r="4370" spans="2:11" x14ac:dyDescent="0.45">
      <c r="B4370" s="1" t="s">
        <v>4000</v>
      </c>
      <c r="C4370" s="1" t="s">
        <v>4342</v>
      </c>
      <c r="D4370" s="7">
        <v>45546</v>
      </c>
      <c r="E4370" s="7">
        <v>45552</v>
      </c>
      <c r="G4370" s="1" t="s">
        <v>44</v>
      </c>
      <c r="H4370" s="8">
        <v>19339220.629999999</v>
      </c>
      <c r="I4370" s="8">
        <v>11465793.01</v>
      </c>
      <c r="J4370" s="1">
        <f>IF(COUNTIF($C$4:C4370,C4370)=1,1,0)</f>
        <v>1</v>
      </c>
      <c r="K4370" s="1">
        <f t="shared" si="68"/>
        <v>2024</v>
      </c>
    </row>
    <row r="4371" spans="2:11" x14ac:dyDescent="0.45">
      <c r="B4371" s="1" t="s">
        <v>4000</v>
      </c>
      <c r="C4371" s="1" t="s">
        <v>4343</v>
      </c>
      <c r="D4371" s="7">
        <v>44516</v>
      </c>
      <c r="E4371" s="7">
        <v>44537</v>
      </c>
      <c r="G4371" s="1" t="s">
        <v>18</v>
      </c>
      <c r="H4371" s="8">
        <v>6309990.0599999996</v>
      </c>
      <c r="I4371" s="8">
        <v>5005679.43</v>
      </c>
      <c r="J4371" s="1">
        <f>IF(COUNTIF($C$4:C4371,C4371)=1,1,0)</f>
        <v>1</v>
      </c>
      <c r="K4371" s="1">
        <f t="shared" si="68"/>
        <v>2021</v>
      </c>
    </row>
    <row r="4372" spans="2:11" x14ac:dyDescent="0.45">
      <c r="B4372" s="1" t="s">
        <v>4000</v>
      </c>
      <c r="C4372" s="1" t="s">
        <v>4344</v>
      </c>
      <c r="D4372" s="7">
        <v>43631</v>
      </c>
      <c r="E4372" s="7">
        <v>43645</v>
      </c>
      <c r="G4372" s="1" t="s">
        <v>22</v>
      </c>
      <c r="H4372" s="8">
        <v>50389629.899999999</v>
      </c>
      <c r="I4372" s="8">
        <v>27039541.870000001</v>
      </c>
      <c r="J4372" s="1">
        <f>IF(COUNTIF($C$4:C4372,C4372)=1,1,0)</f>
        <v>1</v>
      </c>
      <c r="K4372" s="1">
        <f t="shared" si="68"/>
        <v>2019</v>
      </c>
    </row>
    <row r="4373" spans="2:11" x14ac:dyDescent="0.45">
      <c r="B4373" s="1" t="s">
        <v>4000</v>
      </c>
      <c r="C4373" s="1" t="s">
        <v>4345</v>
      </c>
      <c r="D4373" s="7">
        <v>45412</v>
      </c>
      <c r="E4373" s="7">
        <v>45426</v>
      </c>
      <c r="G4373" s="1" t="s">
        <v>38</v>
      </c>
      <c r="H4373" s="8">
        <v>1949623.7</v>
      </c>
      <c r="I4373" s="8">
        <v>1487982.94</v>
      </c>
      <c r="J4373" s="1">
        <f>IF(COUNTIF($C$4:C4373,C4373)=1,1,0)</f>
        <v>1</v>
      </c>
      <c r="K4373" s="1">
        <f t="shared" si="68"/>
        <v>2024</v>
      </c>
    </row>
    <row r="4374" spans="2:11" x14ac:dyDescent="0.45">
      <c r="B4374" s="1" t="s">
        <v>4000</v>
      </c>
      <c r="C4374" s="1" t="s">
        <v>4346</v>
      </c>
      <c r="D4374" s="7">
        <v>44138</v>
      </c>
      <c r="E4374" s="7">
        <v>44149</v>
      </c>
      <c r="G4374" s="1" t="s">
        <v>18</v>
      </c>
      <c r="H4374" s="8">
        <v>3321824.66</v>
      </c>
      <c r="I4374" s="8">
        <v>2897856.46</v>
      </c>
      <c r="J4374" s="1">
        <f>IF(COUNTIF($C$4:C4374,C4374)=1,1,0)</f>
        <v>1</v>
      </c>
      <c r="K4374" s="1">
        <f t="shared" si="68"/>
        <v>2020</v>
      </c>
    </row>
    <row r="4375" spans="2:11" x14ac:dyDescent="0.45">
      <c r="B4375" s="1" t="s">
        <v>4000</v>
      </c>
      <c r="C4375" s="1" t="s">
        <v>4347</v>
      </c>
      <c r="D4375" s="7">
        <v>45217</v>
      </c>
      <c r="E4375" s="7">
        <v>45245</v>
      </c>
      <c r="G4375" s="1" t="s">
        <v>18</v>
      </c>
      <c r="H4375" s="8">
        <v>5717110.04</v>
      </c>
      <c r="I4375" s="8">
        <v>4526695.26</v>
      </c>
      <c r="J4375" s="1">
        <f>IF(COUNTIF($C$4:C4375,C4375)=1,1,0)</f>
        <v>1</v>
      </c>
      <c r="K4375" s="1">
        <f t="shared" si="68"/>
        <v>2023</v>
      </c>
    </row>
    <row r="4376" spans="2:11" x14ac:dyDescent="0.45">
      <c r="B4376" s="1" t="s">
        <v>4000</v>
      </c>
      <c r="C4376" s="1" t="s">
        <v>4348</v>
      </c>
      <c r="D4376" s="7">
        <v>43522</v>
      </c>
      <c r="E4376" s="7">
        <v>43522</v>
      </c>
      <c r="G4376" s="1" t="s">
        <v>16</v>
      </c>
      <c r="H4376" s="8">
        <v>867976.41</v>
      </c>
      <c r="I4376" s="8">
        <v>618769.54</v>
      </c>
      <c r="J4376" s="1">
        <f>IF(COUNTIF($C$4:C4376,C4376)=1,1,0)</f>
        <v>1</v>
      </c>
      <c r="K4376" s="1">
        <f t="shared" si="68"/>
        <v>2019</v>
      </c>
    </row>
    <row r="4377" spans="2:11" x14ac:dyDescent="0.45">
      <c r="B4377" s="1" t="s">
        <v>4000</v>
      </c>
      <c r="C4377" s="1" t="s">
        <v>4349</v>
      </c>
      <c r="D4377" s="7">
        <v>45805</v>
      </c>
      <c r="E4377" s="7">
        <v>45825</v>
      </c>
      <c r="G4377" s="1" t="s">
        <v>20</v>
      </c>
      <c r="H4377" s="8">
        <v>590742.99</v>
      </c>
      <c r="I4377" s="8">
        <v>421594.65</v>
      </c>
      <c r="J4377" s="1">
        <f>IF(COUNTIF($C$4:C4377,C4377)=1,1,0)</f>
        <v>1</v>
      </c>
      <c r="K4377" s="1">
        <f t="shared" si="68"/>
        <v>2025</v>
      </c>
    </row>
    <row r="4378" spans="2:11" x14ac:dyDescent="0.45">
      <c r="B4378" s="1" t="s">
        <v>4000</v>
      </c>
      <c r="C4378" s="1" t="s">
        <v>4350</v>
      </c>
      <c r="D4378" s="7">
        <v>45652</v>
      </c>
      <c r="E4378" s="7">
        <v>45666</v>
      </c>
      <c r="G4378" s="1" t="s">
        <v>41</v>
      </c>
      <c r="H4378" s="8">
        <v>829608.68</v>
      </c>
      <c r="I4378" s="8">
        <v>686245.03</v>
      </c>
      <c r="J4378" s="1">
        <f>IF(COUNTIF($C$4:C4378,C4378)=1,1,0)</f>
        <v>1</v>
      </c>
      <c r="K4378" s="1">
        <f t="shared" si="68"/>
        <v>2024</v>
      </c>
    </row>
    <row r="4379" spans="2:11" x14ac:dyDescent="0.45">
      <c r="B4379" s="1" t="s">
        <v>4000</v>
      </c>
      <c r="C4379" s="1" t="s">
        <v>4351</v>
      </c>
      <c r="D4379" s="7">
        <v>45799</v>
      </c>
      <c r="E4379" s="7">
        <v>45810</v>
      </c>
      <c r="G4379" s="1" t="s">
        <v>44</v>
      </c>
      <c r="H4379" s="8">
        <v>170416919.58000001</v>
      </c>
      <c r="I4379" s="8">
        <v>112911342.14</v>
      </c>
      <c r="J4379" s="1">
        <f>IF(COUNTIF($C$4:C4379,C4379)=1,1,0)</f>
        <v>1</v>
      </c>
      <c r="K4379" s="1">
        <f t="shared" si="68"/>
        <v>2025</v>
      </c>
    </row>
    <row r="4380" spans="2:11" x14ac:dyDescent="0.45">
      <c r="B4380" s="1" t="s">
        <v>4000</v>
      </c>
      <c r="C4380" s="1" t="s">
        <v>4352</v>
      </c>
      <c r="D4380" s="7">
        <v>44789</v>
      </c>
      <c r="E4380" s="7">
        <v>44819</v>
      </c>
      <c r="G4380" s="1" t="s">
        <v>18</v>
      </c>
      <c r="H4380" s="8">
        <v>4804868.43</v>
      </c>
      <c r="I4380" s="8">
        <v>4347821.51</v>
      </c>
      <c r="J4380" s="1">
        <f>IF(COUNTIF($C$4:C4380,C4380)=1,1,0)</f>
        <v>1</v>
      </c>
      <c r="K4380" s="1">
        <f t="shared" si="68"/>
        <v>2022</v>
      </c>
    </row>
    <row r="4381" spans="2:11" x14ac:dyDescent="0.45">
      <c r="B4381" s="1" t="s">
        <v>4000</v>
      </c>
      <c r="C4381" s="1" t="s">
        <v>4353</v>
      </c>
      <c r="D4381" s="7">
        <v>44342</v>
      </c>
      <c r="E4381" s="7">
        <v>44361</v>
      </c>
      <c r="G4381" s="1" t="s">
        <v>20</v>
      </c>
      <c r="H4381" s="8">
        <v>54709838.57</v>
      </c>
      <c r="I4381" s="8">
        <v>35585851.270000003</v>
      </c>
      <c r="J4381" s="1">
        <f>IF(COUNTIF($C$4:C4381,C4381)=1,1,0)</f>
        <v>1</v>
      </c>
      <c r="K4381" s="1">
        <f t="shared" si="68"/>
        <v>2021</v>
      </c>
    </row>
    <row r="4382" spans="2:11" x14ac:dyDescent="0.45">
      <c r="B4382" s="1" t="s">
        <v>4000</v>
      </c>
      <c r="C4382" s="1" t="s">
        <v>4354</v>
      </c>
      <c r="D4382" s="7">
        <v>45468</v>
      </c>
      <c r="E4382" s="7">
        <v>45487</v>
      </c>
      <c r="G4382" s="1" t="s">
        <v>44</v>
      </c>
      <c r="H4382" s="8">
        <v>36777929.909999996</v>
      </c>
      <c r="I4382" s="8">
        <v>23571970.420000002</v>
      </c>
      <c r="J4382" s="1">
        <f>IF(COUNTIF($C$4:C4382,C4382)=1,1,0)</f>
        <v>1</v>
      </c>
      <c r="K4382" s="1">
        <f t="shared" si="68"/>
        <v>2024</v>
      </c>
    </row>
    <row r="4383" spans="2:11" x14ac:dyDescent="0.45">
      <c r="B4383" s="1" t="s">
        <v>4000</v>
      </c>
      <c r="C4383" s="1" t="s">
        <v>4355</v>
      </c>
      <c r="D4383" s="7">
        <v>44038</v>
      </c>
      <c r="E4383" s="7">
        <v>44060</v>
      </c>
      <c r="G4383" s="1" t="s">
        <v>212</v>
      </c>
      <c r="H4383" s="8">
        <v>11751252.949999999</v>
      </c>
      <c r="I4383" s="8">
        <v>7052340.4100000001</v>
      </c>
      <c r="J4383" s="1">
        <f>IF(COUNTIF($C$4:C4383,C4383)=1,1,0)</f>
        <v>1</v>
      </c>
      <c r="K4383" s="1">
        <f t="shared" si="68"/>
        <v>2020</v>
      </c>
    </row>
    <row r="4384" spans="2:11" x14ac:dyDescent="0.45">
      <c r="B4384" s="1" t="s">
        <v>4000</v>
      </c>
      <c r="C4384" s="1" t="s">
        <v>4356</v>
      </c>
      <c r="D4384" s="7">
        <v>45713</v>
      </c>
      <c r="E4384" s="7">
        <v>45730</v>
      </c>
      <c r="G4384" s="1" t="s">
        <v>38</v>
      </c>
      <c r="H4384" s="8">
        <v>162095.06</v>
      </c>
      <c r="I4384" s="8">
        <v>148690.82</v>
      </c>
      <c r="J4384" s="1">
        <f>IF(COUNTIF($C$4:C4384,C4384)=1,1,0)</f>
        <v>1</v>
      </c>
      <c r="K4384" s="1">
        <f t="shared" si="68"/>
        <v>2025</v>
      </c>
    </row>
    <row r="4385" spans="2:11" x14ac:dyDescent="0.45">
      <c r="B4385" s="1" t="s">
        <v>4000</v>
      </c>
      <c r="C4385" s="1" t="s">
        <v>4357</v>
      </c>
      <c r="D4385" s="7">
        <v>43978</v>
      </c>
      <c r="E4385" s="7">
        <v>44000</v>
      </c>
      <c r="G4385" s="1" t="s">
        <v>41</v>
      </c>
      <c r="H4385" s="8">
        <v>18798.96</v>
      </c>
      <c r="I4385" s="8">
        <v>14056.54</v>
      </c>
      <c r="J4385" s="1">
        <f>IF(COUNTIF($C$4:C4385,C4385)=1,1,0)</f>
        <v>1</v>
      </c>
      <c r="K4385" s="1">
        <f t="shared" si="68"/>
        <v>2020</v>
      </c>
    </row>
    <row r="4386" spans="2:11" x14ac:dyDescent="0.45">
      <c r="B4386" s="1" t="s">
        <v>4000</v>
      </c>
      <c r="C4386" s="1" t="s">
        <v>4358</v>
      </c>
      <c r="D4386" s="7">
        <v>43513</v>
      </c>
      <c r="E4386" s="7">
        <v>43541</v>
      </c>
      <c r="G4386" s="1" t="s">
        <v>13</v>
      </c>
      <c r="H4386" s="8">
        <v>717794.2</v>
      </c>
      <c r="I4386" s="8">
        <v>566933.92000000004</v>
      </c>
      <c r="J4386" s="1">
        <f>IF(COUNTIF($C$4:C4386,C4386)=1,1,0)</f>
        <v>1</v>
      </c>
      <c r="K4386" s="1">
        <f t="shared" si="68"/>
        <v>2019</v>
      </c>
    </row>
    <row r="4387" spans="2:11" x14ac:dyDescent="0.45">
      <c r="B4387" s="1" t="s">
        <v>4000</v>
      </c>
      <c r="C4387" s="1" t="s">
        <v>4359</v>
      </c>
      <c r="D4387" s="7">
        <v>43952</v>
      </c>
      <c r="E4387" s="7">
        <v>43976</v>
      </c>
      <c r="G4387" s="1" t="s">
        <v>22</v>
      </c>
      <c r="H4387" s="8">
        <v>2620534.3199999998</v>
      </c>
      <c r="I4387" s="8">
        <v>1671132.98</v>
      </c>
      <c r="J4387" s="1">
        <f>IF(COUNTIF($C$4:C4387,C4387)=1,1,0)</f>
        <v>1</v>
      </c>
      <c r="K4387" s="1">
        <f t="shared" si="68"/>
        <v>2020</v>
      </c>
    </row>
    <row r="4388" spans="2:11" x14ac:dyDescent="0.45">
      <c r="B4388" s="1" t="s">
        <v>4000</v>
      </c>
      <c r="C4388" s="1" t="s">
        <v>4360</v>
      </c>
      <c r="D4388" s="7">
        <v>43656</v>
      </c>
      <c r="E4388" s="7">
        <v>43665</v>
      </c>
      <c r="G4388" s="1" t="s">
        <v>13</v>
      </c>
      <c r="H4388" s="8">
        <v>339016.19</v>
      </c>
      <c r="I4388" s="8">
        <v>289754.23999999999</v>
      </c>
      <c r="J4388" s="1">
        <f>IF(COUNTIF($C$4:C4388,C4388)=1,1,0)</f>
        <v>1</v>
      </c>
      <c r="K4388" s="1">
        <f t="shared" si="68"/>
        <v>2019</v>
      </c>
    </row>
    <row r="4389" spans="2:11" x14ac:dyDescent="0.45">
      <c r="B4389" s="1" t="s">
        <v>4000</v>
      </c>
      <c r="C4389" s="1" t="s">
        <v>4361</v>
      </c>
      <c r="D4389" s="7">
        <v>45632</v>
      </c>
      <c r="E4389" s="7">
        <v>45641</v>
      </c>
      <c r="G4389" s="1" t="s">
        <v>20</v>
      </c>
      <c r="H4389" s="8">
        <v>3914560</v>
      </c>
      <c r="I4389" s="8">
        <v>2837044.33</v>
      </c>
      <c r="J4389" s="1">
        <f>IF(COUNTIF($C$4:C4389,C4389)=1,1,0)</f>
        <v>1</v>
      </c>
      <c r="K4389" s="1">
        <f t="shared" si="68"/>
        <v>2024</v>
      </c>
    </row>
    <row r="4390" spans="2:11" x14ac:dyDescent="0.45">
      <c r="B4390" s="1" t="s">
        <v>4000</v>
      </c>
      <c r="C4390" s="1" t="s">
        <v>4362</v>
      </c>
      <c r="D4390" s="7">
        <v>45340</v>
      </c>
      <c r="E4390" s="7">
        <v>45369</v>
      </c>
      <c r="G4390" s="1" t="s">
        <v>18</v>
      </c>
      <c r="H4390" s="8">
        <v>595330.78</v>
      </c>
      <c r="I4390" s="8">
        <v>541901.74</v>
      </c>
      <c r="J4390" s="1">
        <f>IF(COUNTIF($C$4:C4390,C4390)=1,1,0)</f>
        <v>1</v>
      </c>
      <c r="K4390" s="1">
        <f t="shared" si="68"/>
        <v>2024</v>
      </c>
    </row>
    <row r="4391" spans="2:11" x14ac:dyDescent="0.45">
      <c r="B4391" s="1" t="s">
        <v>4000</v>
      </c>
      <c r="C4391" s="1" t="s">
        <v>4363</v>
      </c>
      <c r="D4391" s="7">
        <v>45218</v>
      </c>
      <c r="E4391" s="7">
        <v>45219</v>
      </c>
      <c r="G4391" s="1" t="s">
        <v>20</v>
      </c>
      <c r="H4391" s="8">
        <v>921653.13</v>
      </c>
      <c r="I4391" s="8">
        <v>703232.01</v>
      </c>
      <c r="J4391" s="1">
        <f>IF(COUNTIF($C$4:C4391,C4391)=1,1,0)</f>
        <v>1</v>
      </c>
      <c r="K4391" s="1">
        <f t="shared" si="68"/>
        <v>2023</v>
      </c>
    </row>
    <row r="4392" spans="2:11" x14ac:dyDescent="0.45">
      <c r="B4392" s="1" t="s">
        <v>4000</v>
      </c>
      <c r="C4392" s="1" t="s">
        <v>4364</v>
      </c>
      <c r="D4392" s="7">
        <v>44936</v>
      </c>
      <c r="E4392" s="7">
        <v>44940</v>
      </c>
      <c r="G4392" s="1" t="s">
        <v>20</v>
      </c>
      <c r="H4392" s="8">
        <v>4008754.86</v>
      </c>
      <c r="I4392" s="8">
        <v>2908399.26</v>
      </c>
      <c r="J4392" s="1">
        <f>IF(COUNTIF($C$4:C4392,C4392)=1,1,0)</f>
        <v>1</v>
      </c>
      <c r="K4392" s="1">
        <f t="shared" si="68"/>
        <v>2023</v>
      </c>
    </row>
    <row r="4393" spans="2:11" x14ac:dyDescent="0.45">
      <c r="B4393" s="1" t="s">
        <v>4000</v>
      </c>
      <c r="C4393" s="1" t="s">
        <v>4365</v>
      </c>
      <c r="D4393" s="7">
        <v>44574</v>
      </c>
      <c r="E4393" s="7">
        <v>44583</v>
      </c>
      <c r="G4393" s="1" t="s">
        <v>20</v>
      </c>
      <c r="H4393" s="8">
        <v>14784637.23</v>
      </c>
      <c r="I4393" s="8">
        <v>6659283.9100000001</v>
      </c>
      <c r="J4393" s="1">
        <f>IF(COUNTIF($C$4:C4393,C4393)=1,1,0)</f>
        <v>1</v>
      </c>
      <c r="K4393" s="1">
        <f t="shared" si="68"/>
        <v>2022</v>
      </c>
    </row>
    <row r="4394" spans="2:11" x14ac:dyDescent="0.45">
      <c r="B4394" s="1" t="s">
        <v>4000</v>
      </c>
      <c r="C4394" s="1" t="s">
        <v>4366</v>
      </c>
      <c r="D4394" s="7">
        <v>45689</v>
      </c>
      <c r="E4394" s="7">
        <v>45702</v>
      </c>
      <c r="G4394" s="1" t="s">
        <v>16</v>
      </c>
      <c r="H4394" s="8">
        <v>1595643.8</v>
      </c>
      <c r="I4394" s="8">
        <v>965382.62</v>
      </c>
      <c r="J4394" s="1">
        <f>IF(COUNTIF($C$4:C4394,C4394)=1,1,0)</f>
        <v>1</v>
      </c>
      <c r="K4394" s="1">
        <f t="shared" si="68"/>
        <v>2025</v>
      </c>
    </row>
    <row r="4395" spans="2:11" x14ac:dyDescent="0.45">
      <c r="B4395" s="1" t="s">
        <v>4000</v>
      </c>
      <c r="C4395" s="1" t="s">
        <v>4367</v>
      </c>
      <c r="D4395" s="7">
        <v>43966</v>
      </c>
      <c r="E4395" s="7">
        <v>43975</v>
      </c>
      <c r="G4395" s="1" t="s">
        <v>13</v>
      </c>
      <c r="H4395" s="8">
        <v>795563.84</v>
      </c>
      <c r="I4395" s="8">
        <v>707510.12</v>
      </c>
      <c r="J4395" s="1">
        <f>IF(COUNTIF($C$4:C4395,C4395)=1,1,0)</f>
        <v>1</v>
      </c>
      <c r="K4395" s="1">
        <f t="shared" si="68"/>
        <v>2020</v>
      </c>
    </row>
    <row r="4396" spans="2:11" x14ac:dyDescent="0.45">
      <c r="B4396" s="1" t="s">
        <v>4000</v>
      </c>
      <c r="C4396" s="1" t="s">
        <v>4368</v>
      </c>
      <c r="D4396" s="7">
        <v>45007</v>
      </c>
      <c r="E4396" s="7">
        <v>45024</v>
      </c>
      <c r="G4396" s="1" t="s">
        <v>38</v>
      </c>
      <c r="H4396" s="8">
        <v>729333.64</v>
      </c>
      <c r="I4396" s="8">
        <v>584047.43000000005</v>
      </c>
      <c r="J4396" s="1">
        <f>IF(COUNTIF($C$4:C4396,C4396)=1,1,0)</f>
        <v>1</v>
      </c>
      <c r="K4396" s="1">
        <f t="shared" si="68"/>
        <v>2023</v>
      </c>
    </row>
    <row r="4397" spans="2:11" x14ac:dyDescent="0.45">
      <c r="B4397" s="1" t="s">
        <v>4000</v>
      </c>
      <c r="C4397" s="1" t="s">
        <v>4369</v>
      </c>
      <c r="D4397" s="7">
        <v>44508</v>
      </c>
      <c r="E4397" s="7">
        <v>44511</v>
      </c>
      <c r="G4397" s="1" t="s">
        <v>41</v>
      </c>
      <c r="H4397" s="8">
        <v>26016.880000000001</v>
      </c>
      <c r="I4397" s="8">
        <v>22963.49</v>
      </c>
      <c r="J4397" s="1">
        <f>IF(COUNTIF($C$4:C4397,C4397)=1,1,0)</f>
        <v>1</v>
      </c>
      <c r="K4397" s="1">
        <f t="shared" si="68"/>
        <v>2021</v>
      </c>
    </row>
    <row r="4398" spans="2:11" x14ac:dyDescent="0.45">
      <c r="B4398" s="1" t="s">
        <v>4000</v>
      </c>
      <c r="C4398" s="1" t="s">
        <v>4370</v>
      </c>
      <c r="D4398" s="7">
        <v>44415</v>
      </c>
      <c r="E4398" s="7">
        <v>44429</v>
      </c>
      <c r="G4398" s="1" t="s">
        <v>18</v>
      </c>
      <c r="H4398" s="8">
        <v>6047717.6100000003</v>
      </c>
      <c r="I4398" s="8">
        <v>4411274.84</v>
      </c>
      <c r="J4398" s="1">
        <f>IF(COUNTIF($C$4:C4398,C4398)=1,1,0)</f>
        <v>1</v>
      </c>
      <c r="K4398" s="1">
        <f t="shared" si="68"/>
        <v>2021</v>
      </c>
    </row>
    <row r="4399" spans="2:11" x14ac:dyDescent="0.45">
      <c r="B4399" s="1" t="s">
        <v>4000</v>
      </c>
      <c r="C4399" s="1" t="s">
        <v>4371</v>
      </c>
      <c r="D4399" s="7">
        <v>43265</v>
      </c>
      <c r="E4399" s="7">
        <v>43272</v>
      </c>
      <c r="G4399" s="1" t="s">
        <v>20</v>
      </c>
      <c r="H4399" s="8">
        <v>487415.87</v>
      </c>
      <c r="I4399" s="8">
        <v>326176.61</v>
      </c>
      <c r="J4399" s="1">
        <f>IF(COUNTIF($C$4:C4399,C4399)=1,1,0)</f>
        <v>1</v>
      </c>
      <c r="K4399" s="1">
        <f t="shared" si="68"/>
        <v>2018</v>
      </c>
    </row>
    <row r="4400" spans="2:11" x14ac:dyDescent="0.45">
      <c r="B4400" s="1" t="s">
        <v>4000</v>
      </c>
      <c r="C4400" s="1" t="s">
        <v>4372</v>
      </c>
      <c r="D4400" s="7">
        <v>43746</v>
      </c>
      <c r="E4400" s="7">
        <v>43752</v>
      </c>
      <c r="G4400" s="1" t="s">
        <v>38</v>
      </c>
      <c r="H4400" s="8">
        <v>359649.9</v>
      </c>
      <c r="I4400" s="8">
        <v>332339.05</v>
      </c>
      <c r="J4400" s="1">
        <f>IF(COUNTIF($C$4:C4400,C4400)=1,1,0)</f>
        <v>1</v>
      </c>
      <c r="K4400" s="1">
        <f t="shared" si="68"/>
        <v>2019</v>
      </c>
    </row>
    <row r="4401" spans="2:11" x14ac:dyDescent="0.45">
      <c r="B4401" s="1" t="s">
        <v>4000</v>
      </c>
      <c r="C4401" s="1" t="s">
        <v>4373</v>
      </c>
      <c r="D4401" s="7">
        <v>43832</v>
      </c>
      <c r="E4401" s="7">
        <v>43861</v>
      </c>
      <c r="G4401" s="1" t="s">
        <v>13</v>
      </c>
      <c r="H4401" s="8">
        <v>442955.01</v>
      </c>
      <c r="I4401" s="8">
        <v>326503.19</v>
      </c>
      <c r="J4401" s="1">
        <f>IF(COUNTIF($C$4:C4401,C4401)=1,1,0)</f>
        <v>1</v>
      </c>
      <c r="K4401" s="1">
        <f t="shared" si="68"/>
        <v>2020</v>
      </c>
    </row>
    <row r="4402" spans="2:11" x14ac:dyDescent="0.45">
      <c r="B4402" s="1" t="s">
        <v>4000</v>
      </c>
      <c r="C4402" s="1" t="s">
        <v>4374</v>
      </c>
      <c r="D4402" s="7">
        <v>45753</v>
      </c>
      <c r="E4402" s="7">
        <v>45778</v>
      </c>
      <c r="G4402" s="1" t="s">
        <v>20</v>
      </c>
      <c r="H4402" s="8">
        <v>951723.32</v>
      </c>
      <c r="I4402" s="8">
        <v>634934.72</v>
      </c>
      <c r="J4402" s="1">
        <f>IF(COUNTIF($C$4:C4402,C4402)=1,1,0)</f>
        <v>1</v>
      </c>
      <c r="K4402" s="1">
        <f t="shared" si="68"/>
        <v>2025</v>
      </c>
    </row>
    <row r="4403" spans="2:11" x14ac:dyDescent="0.45">
      <c r="B4403" s="1" t="s">
        <v>4000</v>
      </c>
      <c r="C4403" s="1" t="s">
        <v>4375</v>
      </c>
      <c r="D4403" s="7">
        <v>43569</v>
      </c>
      <c r="E4403" s="7">
        <v>43598</v>
      </c>
      <c r="G4403" s="1" t="s">
        <v>38</v>
      </c>
      <c r="H4403" s="8">
        <v>483761.21</v>
      </c>
      <c r="I4403" s="8">
        <v>344797.05</v>
      </c>
      <c r="J4403" s="1">
        <f>IF(COUNTIF($C$4:C4403,C4403)=1,1,0)</f>
        <v>1</v>
      </c>
      <c r="K4403" s="1">
        <f t="shared" si="68"/>
        <v>2019</v>
      </c>
    </row>
    <row r="4404" spans="2:11" x14ac:dyDescent="0.45">
      <c r="B4404" s="1" t="s">
        <v>4000</v>
      </c>
      <c r="C4404" s="1" t="s">
        <v>4376</v>
      </c>
      <c r="D4404" s="7">
        <v>44580</v>
      </c>
      <c r="E4404" s="7">
        <v>44588</v>
      </c>
      <c r="G4404" s="1" t="s">
        <v>20</v>
      </c>
      <c r="H4404" s="8">
        <v>52584139.079999998</v>
      </c>
      <c r="I4404" s="8">
        <v>33187529.719999999</v>
      </c>
      <c r="J4404" s="1">
        <f>IF(COUNTIF($C$4:C4404,C4404)=1,1,0)</f>
        <v>1</v>
      </c>
      <c r="K4404" s="1">
        <f t="shared" si="68"/>
        <v>2022</v>
      </c>
    </row>
    <row r="4405" spans="2:11" x14ac:dyDescent="0.45">
      <c r="B4405" s="1" t="s">
        <v>4000</v>
      </c>
      <c r="C4405" s="1" t="s">
        <v>4377</v>
      </c>
      <c r="D4405" s="7">
        <v>44741</v>
      </c>
      <c r="E4405" s="7">
        <v>44756</v>
      </c>
      <c r="G4405" s="1" t="s">
        <v>212</v>
      </c>
      <c r="H4405" s="8">
        <v>1032402.48</v>
      </c>
      <c r="I4405" s="8">
        <v>564894.35</v>
      </c>
      <c r="J4405" s="1">
        <f>IF(COUNTIF($C$4:C4405,C4405)=1,1,0)</f>
        <v>1</v>
      </c>
      <c r="K4405" s="1">
        <f t="shared" si="68"/>
        <v>2022</v>
      </c>
    </row>
    <row r="4406" spans="2:11" x14ac:dyDescent="0.45">
      <c r="B4406" s="1" t="s">
        <v>4000</v>
      </c>
      <c r="C4406" s="1" t="s">
        <v>4378</v>
      </c>
      <c r="D4406" s="7">
        <v>45292</v>
      </c>
      <c r="E4406" s="7">
        <v>45312</v>
      </c>
      <c r="G4406" s="1" t="s">
        <v>22</v>
      </c>
      <c r="H4406" s="8">
        <v>4735513.92</v>
      </c>
      <c r="I4406" s="8">
        <v>3378270.9</v>
      </c>
      <c r="J4406" s="1">
        <f>IF(COUNTIF($C$4:C4406,C4406)=1,1,0)</f>
        <v>1</v>
      </c>
      <c r="K4406" s="1">
        <f t="shared" si="68"/>
        <v>2024</v>
      </c>
    </row>
    <row r="4407" spans="2:11" x14ac:dyDescent="0.45">
      <c r="B4407" s="1" t="s">
        <v>4000</v>
      </c>
      <c r="C4407" s="1" t="s">
        <v>4379</v>
      </c>
      <c r="D4407" s="7">
        <v>45484</v>
      </c>
      <c r="E4407" s="7">
        <v>45499</v>
      </c>
      <c r="G4407" s="1" t="s">
        <v>16</v>
      </c>
      <c r="H4407" s="8">
        <v>3627535.01</v>
      </c>
      <c r="I4407" s="8">
        <v>2426965.27</v>
      </c>
      <c r="J4407" s="1">
        <f>IF(COUNTIF($C$4:C4407,C4407)=1,1,0)</f>
        <v>1</v>
      </c>
      <c r="K4407" s="1">
        <f t="shared" si="68"/>
        <v>2024</v>
      </c>
    </row>
    <row r="4408" spans="2:11" x14ac:dyDescent="0.45">
      <c r="B4408" s="1" t="s">
        <v>4000</v>
      </c>
      <c r="C4408" s="1" t="s">
        <v>4380</v>
      </c>
      <c r="D4408" s="7">
        <v>44454</v>
      </c>
      <c r="E4408" s="7">
        <v>44471</v>
      </c>
      <c r="G4408" s="1" t="s">
        <v>41</v>
      </c>
      <c r="H4408" s="8">
        <v>124942.13</v>
      </c>
      <c r="I4408" s="8">
        <v>95668.9</v>
      </c>
      <c r="J4408" s="1">
        <f>IF(COUNTIF($C$4:C4408,C4408)=1,1,0)</f>
        <v>1</v>
      </c>
      <c r="K4408" s="1">
        <f t="shared" si="68"/>
        <v>2021</v>
      </c>
    </row>
    <row r="4409" spans="2:11" x14ac:dyDescent="0.45">
      <c r="B4409" s="1" t="s">
        <v>4000</v>
      </c>
      <c r="C4409" s="1" t="s">
        <v>4381</v>
      </c>
      <c r="D4409" s="7">
        <v>45992</v>
      </c>
      <c r="E4409" s="7">
        <v>46007</v>
      </c>
      <c r="G4409" s="1" t="s">
        <v>212</v>
      </c>
      <c r="H4409" s="8">
        <v>19620876.260000002</v>
      </c>
      <c r="I4409" s="8">
        <v>10155901.48</v>
      </c>
      <c r="J4409" s="1">
        <f>IF(COUNTIF($C$4:C4409,C4409)=1,1,0)</f>
        <v>1</v>
      </c>
      <c r="K4409" s="1">
        <f t="shared" si="68"/>
        <v>2025</v>
      </c>
    </row>
    <row r="4410" spans="2:11" x14ac:dyDescent="0.45">
      <c r="B4410" s="1" t="s">
        <v>4000</v>
      </c>
      <c r="C4410" s="1" t="s">
        <v>4382</v>
      </c>
      <c r="D4410" s="7">
        <v>45557</v>
      </c>
      <c r="E4410" s="7">
        <v>45581</v>
      </c>
      <c r="G4410" s="1" t="s">
        <v>41</v>
      </c>
      <c r="H4410" s="8">
        <v>66578.91</v>
      </c>
      <c r="I4410" s="8">
        <v>52258.36</v>
      </c>
      <c r="J4410" s="1">
        <f>IF(COUNTIF($C$4:C4410,C4410)=1,1,0)</f>
        <v>1</v>
      </c>
      <c r="K4410" s="1">
        <f t="shared" si="68"/>
        <v>2024</v>
      </c>
    </row>
    <row r="4411" spans="2:11" x14ac:dyDescent="0.45">
      <c r="B4411" s="1" t="s">
        <v>4000</v>
      </c>
      <c r="C4411" s="1" t="s">
        <v>4383</v>
      </c>
      <c r="D4411" s="7">
        <v>45876</v>
      </c>
      <c r="E4411" s="7">
        <v>45889</v>
      </c>
      <c r="G4411" s="1" t="s">
        <v>22</v>
      </c>
      <c r="H4411" s="8">
        <v>2759113.13</v>
      </c>
      <c r="I4411" s="8">
        <v>2113799.54</v>
      </c>
      <c r="J4411" s="1">
        <f>IF(COUNTIF($C$4:C4411,C4411)=1,1,0)</f>
        <v>1</v>
      </c>
      <c r="K4411" s="1">
        <f t="shared" si="68"/>
        <v>2025</v>
      </c>
    </row>
    <row r="4412" spans="2:11" x14ac:dyDescent="0.45">
      <c r="B4412" s="1" t="s">
        <v>4000</v>
      </c>
      <c r="C4412" s="1" t="s">
        <v>4384</v>
      </c>
      <c r="D4412" s="7">
        <v>43711</v>
      </c>
      <c r="E4412" s="7">
        <v>43735</v>
      </c>
      <c r="G4412" s="1" t="s">
        <v>41</v>
      </c>
      <c r="H4412" s="8">
        <v>117123.27</v>
      </c>
      <c r="I4412" s="8">
        <v>105483.92</v>
      </c>
      <c r="J4412" s="1">
        <f>IF(COUNTIF($C$4:C4412,C4412)=1,1,0)</f>
        <v>1</v>
      </c>
      <c r="K4412" s="1">
        <f t="shared" si="68"/>
        <v>2019</v>
      </c>
    </row>
    <row r="4413" spans="2:11" x14ac:dyDescent="0.45">
      <c r="B4413" s="1" t="s">
        <v>4000</v>
      </c>
      <c r="C4413" s="1" t="s">
        <v>4385</v>
      </c>
      <c r="D4413" s="7">
        <v>43508</v>
      </c>
      <c r="E4413" s="7">
        <v>43510</v>
      </c>
      <c r="G4413" s="1" t="s">
        <v>20</v>
      </c>
      <c r="H4413" s="8">
        <v>758622.75</v>
      </c>
      <c r="I4413" s="8">
        <v>489389.75</v>
      </c>
      <c r="J4413" s="1">
        <f>IF(COUNTIF($C$4:C4413,C4413)=1,1,0)</f>
        <v>1</v>
      </c>
      <c r="K4413" s="1">
        <f t="shared" si="68"/>
        <v>2019</v>
      </c>
    </row>
    <row r="4414" spans="2:11" x14ac:dyDescent="0.45">
      <c r="B4414" s="1" t="s">
        <v>4000</v>
      </c>
      <c r="C4414" s="1" t="s">
        <v>4386</v>
      </c>
      <c r="D4414" s="7">
        <v>44278</v>
      </c>
      <c r="E4414" s="7">
        <v>44301</v>
      </c>
      <c r="G4414" s="1" t="s">
        <v>212</v>
      </c>
      <c r="H4414" s="8">
        <v>15215025.75</v>
      </c>
      <c r="I4414" s="8">
        <v>7710668.1500000004</v>
      </c>
      <c r="J4414" s="1">
        <f>IF(COUNTIF($C$4:C4414,C4414)=1,1,0)</f>
        <v>1</v>
      </c>
      <c r="K4414" s="1">
        <f t="shared" si="68"/>
        <v>2021</v>
      </c>
    </row>
    <row r="4415" spans="2:11" x14ac:dyDescent="0.45">
      <c r="B4415" s="1" t="s">
        <v>4000</v>
      </c>
      <c r="C4415" s="1" t="s">
        <v>4387</v>
      </c>
      <c r="D4415" s="7">
        <v>44417</v>
      </c>
      <c r="E4415" s="7">
        <v>44428</v>
      </c>
      <c r="G4415" s="1" t="s">
        <v>18</v>
      </c>
      <c r="H4415" s="8">
        <v>3236222.5</v>
      </c>
      <c r="I4415" s="8">
        <v>2881682.38</v>
      </c>
      <c r="J4415" s="1">
        <f>IF(COUNTIF($C$4:C4415,C4415)=1,1,0)</f>
        <v>1</v>
      </c>
      <c r="K4415" s="1">
        <f t="shared" si="68"/>
        <v>2021</v>
      </c>
    </row>
    <row r="4416" spans="2:11" x14ac:dyDescent="0.45">
      <c r="B4416" s="1" t="s">
        <v>4000</v>
      </c>
      <c r="C4416" s="1" t="s">
        <v>4388</v>
      </c>
      <c r="D4416" s="7">
        <v>45217</v>
      </c>
      <c r="E4416" s="7">
        <v>45227</v>
      </c>
      <c r="G4416" s="1" t="s">
        <v>41</v>
      </c>
      <c r="H4416" s="8">
        <v>169052.15</v>
      </c>
      <c r="I4416" s="8">
        <v>153211.88</v>
      </c>
      <c r="J4416" s="1">
        <f>IF(COUNTIF($C$4:C4416,C4416)=1,1,0)</f>
        <v>1</v>
      </c>
      <c r="K4416" s="1">
        <f t="shared" si="68"/>
        <v>2023</v>
      </c>
    </row>
    <row r="4417" spans="2:11" x14ac:dyDescent="0.45">
      <c r="B4417" s="1" t="s">
        <v>4000</v>
      </c>
      <c r="C4417" s="1" t="s">
        <v>4389</v>
      </c>
      <c r="D4417" s="7">
        <v>43301</v>
      </c>
      <c r="E4417" s="7">
        <v>43326</v>
      </c>
      <c r="G4417" s="1" t="s">
        <v>20</v>
      </c>
      <c r="H4417" s="8">
        <v>564226.44999999995</v>
      </c>
      <c r="I4417" s="8">
        <v>310220.84000000003</v>
      </c>
      <c r="J4417" s="1">
        <f>IF(COUNTIF($C$4:C4417,C4417)=1,1,0)</f>
        <v>1</v>
      </c>
      <c r="K4417" s="1">
        <f t="shared" si="68"/>
        <v>2018</v>
      </c>
    </row>
    <row r="4418" spans="2:11" x14ac:dyDescent="0.45">
      <c r="B4418" s="1" t="s">
        <v>4000</v>
      </c>
      <c r="C4418" s="1" t="s">
        <v>4390</v>
      </c>
      <c r="D4418" s="7">
        <v>45971</v>
      </c>
      <c r="E4418" s="7">
        <v>45986</v>
      </c>
      <c r="G4418" s="1" t="s">
        <v>22</v>
      </c>
      <c r="H4418" s="8">
        <v>9416141.7300000004</v>
      </c>
      <c r="I4418" s="8">
        <v>4568168.58</v>
      </c>
      <c r="J4418" s="1">
        <f>IF(COUNTIF($C$4:C4418,C4418)=1,1,0)</f>
        <v>1</v>
      </c>
      <c r="K4418" s="1">
        <f t="shared" si="68"/>
        <v>2025</v>
      </c>
    </row>
    <row r="4419" spans="2:11" x14ac:dyDescent="0.45">
      <c r="B4419" s="1" t="s">
        <v>4000</v>
      </c>
      <c r="C4419" s="1" t="s">
        <v>4391</v>
      </c>
      <c r="D4419" s="7">
        <v>43998</v>
      </c>
      <c r="E4419" s="7">
        <v>44002</v>
      </c>
      <c r="G4419" s="1" t="s">
        <v>41</v>
      </c>
      <c r="H4419" s="8">
        <v>18288.84</v>
      </c>
      <c r="I4419" s="8">
        <v>16227.44</v>
      </c>
      <c r="J4419" s="1">
        <f>IF(COUNTIF($C$4:C4419,C4419)=1,1,0)</f>
        <v>1</v>
      </c>
      <c r="K4419" s="1">
        <f t="shared" si="68"/>
        <v>2020</v>
      </c>
    </row>
    <row r="4420" spans="2:11" x14ac:dyDescent="0.45">
      <c r="B4420" s="1" t="s">
        <v>4000</v>
      </c>
      <c r="C4420" s="1" t="s">
        <v>4392</v>
      </c>
      <c r="D4420" s="7">
        <v>44330</v>
      </c>
      <c r="E4420" s="7">
        <v>44346</v>
      </c>
      <c r="G4420" s="1" t="s">
        <v>41</v>
      </c>
      <c r="H4420" s="8">
        <v>206027.99</v>
      </c>
      <c r="I4420" s="8">
        <v>189642.26</v>
      </c>
      <c r="J4420" s="1">
        <f>IF(COUNTIF($C$4:C4420,C4420)=1,1,0)</f>
        <v>1</v>
      </c>
      <c r="K4420" s="1">
        <f t="shared" si="68"/>
        <v>2021</v>
      </c>
    </row>
    <row r="4421" spans="2:11" x14ac:dyDescent="0.45">
      <c r="B4421" s="1" t="s">
        <v>4000</v>
      </c>
      <c r="C4421" s="1" t="s">
        <v>4393</v>
      </c>
      <c r="D4421" s="7">
        <v>44802</v>
      </c>
      <c r="E4421" s="7">
        <v>44816</v>
      </c>
      <c r="G4421" s="1" t="s">
        <v>20</v>
      </c>
      <c r="H4421" s="8">
        <v>689266.59</v>
      </c>
      <c r="I4421" s="8">
        <v>496923.63</v>
      </c>
      <c r="J4421" s="1">
        <f>IF(COUNTIF($C$4:C4421,C4421)=1,1,0)</f>
        <v>1</v>
      </c>
      <c r="K4421" s="1">
        <f t="shared" ref="K4421:K4484" si="69">YEAR(D4421)</f>
        <v>2022</v>
      </c>
    </row>
    <row r="4422" spans="2:11" x14ac:dyDescent="0.45">
      <c r="B4422" s="1" t="s">
        <v>4000</v>
      </c>
      <c r="C4422" s="1" t="s">
        <v>4290</v>
      </c>
      <c r="D4422" s="7">
        <v>44032</v>
      </c>
      <c r="E4422" s="7">
        <v>44050</v>
      </c>
      <c r="G4422" s="1" t="s">
        <v>18</v>
      </c>
      <c r="H4422" s="8">
        <v>3164290.9</v>
      </c>
      <c r="I4422" s="8">
        <v>2872030.46</v>
      </c>
      <c r="J4422" s="1">
        <f>IF(COUNTIF($C$4:C4422,C4422)=1,1,0)</f>
        <v>0</v>
      </c>
      <c r="K4422" s="1">
        <f t="shared" si="69"/>
        <v>2020</v>
      </c>
    </row>
    <row r="4423" spans="2:11" x14ac:dyDescent="0.45">
      <c r="B4423" s="1" t="s">
        <v>4000</v>
      </c>
      <c r="C4423" s="1" t="s">
        <v>4394</v>
      </c>
      <c r="D4423" s="7">
        <v>44075</v>
      </c>
      <c r="E4423" s="7">
        <v>44096</v>
      </c>
      <c r="G4423" s="1" t="s">
        <v>16</v>
      </c>
      <c r="H4423" s="8">
        <v>1391473.27</v>
      </c>
      <c r="I4423" s="8">
        <v>929499.46</v>
      </c>
      <c r="J4423" s="1">
        <f>IF(COUNTIF($C$4:C4423,C4423)=1,1,0)</f>
        <v>1</v>
      </c>
      <c r="K4423" s="1">
        <f t="shared" si="69"/>
        <v>2020</v>
      </c>
    </row>
    <row r="4424" spans="2:11" x14ac:dyDescent="0.45">
      <c r="B4424" s="1" t="s">
        <v>4000</v>
      </c>
      <c r="C4424" s="1" t="s">
        <v>4395</v>
      </c>
      <c r="D4424" s="7">
        <v>45004</v>
      </c>
      <c r="E4424" s="7">
        <v>45019</v>
      </c>
      <c r="G4424" s="1" t="s">
        <v>22</v>
      </c>
      <c r="H4424" s="8">
        <v>56498477.869999997</v>
      </c>
      <c r="I4424" s="8">
        <v>40193878.640000001</v>
      </c>
      <c r="J4424" s="1">
        <f>IF(COUNTIF($C$4:C4424,C4424)=1,1,0)</f>
        <v>1</v>
      </c>
      <c r="K4424" s="1">
        <f t="shared" si="69"/>
        <v>2023</v>
      </c>
    </row>
    <row r="4425" spans="2:11" x14ac:dyDescent="0.45">
      <c r="B4425" s="1" t="s">
        <v>4000</v>
      </c>
      <c r="C4425" s="1" t="s">
        <v>4396</v>
      </c>
      <c r="D4425" s="7">
        <v>45423</v>
      </c>
      <c r="E4425" s="7">
        <v>45450</v>
      </c>
      <c r="G4425" s="1" t="s">
        <v>13</v>
      </c>
      <c r="H4425" s="8">
        <v>64304.1</v>
      </c>
      <c r="I4425" s="8">
        <v>51105.14</v>
      </c>
      <c r="J4425" s="1">
        <f>IF(COUNTIF($C$4:C4425,C4425)=1,1,0)</f>
        <v>1</v>
      </c>
      <c r="K4425" s="1">
        <f t="shared" si="69"/>
        <v>2024</v>
      </c>
    </row>
    <row r="4426" spans="2:11" x14ac:dyDescent="0.45">
      <c r="B4426" s="1" t="s">
        <v>4000</v>
      </c>
      <c r="C4426" s="1" t="s">
        <v>4397</v>
      </c>
      <c r="D4426" s="7">
        <v>45127</v>
      </c>
      <c r="E4426" s="7">
        <v>45151</v>
      </c>
      <c r="G4426" s="1" t="s">
        <v>41</v>
      </c>
      <c r="H4426" s="8">
        <v>20845.27</v>
      </c>
      <c r="I4426" s="8">
        <v>18644.060000000001</v>
      </c>
      <c r="J4426" s="1">
        <f>IF(COUNTIF($C$4:C4426,C4426)=1,1,0)</f>
        <v>1</v>
      </c>
      <c r="K4426" s="1">
        <f t="shared" si="69"/>
        <v>2023</v>
      </c>
    </row>
    <row r="4427" spans="2:11" x14ac:dyDescent="0.45">
      <c r="B4427" s="1" t="s">
        <v>4000</v>
      </c>
      <c r="C4427" s="1" t="s">
        <v>4398</v>
      </c>
      <c r="D4427" s="7">
        <v>43392</v>
      </c>
      <c r="E4427" s="7">
        <v>43414</v>
      </c>
      <c r="G4427" s="1" t="s">
        <v>18</v>
      </c>
      <c r="H4427" s="8">
        <v>10083682.119999999</v>
      </c>
      <c r="I4427" s="8">
        <v>8205044.6100000003</v>
      </c>
      <c r="J4427" s="1">
        <f>IF(COUNTIF($C$4:C4427,C4427)=1,1,0)</f>
        <v>1</v>
      </c>
      <c r="K4427" s="1">
        <f t="shared" si="69"/>
        <v>2018</v>
      </c>
    </row>
    <row r="4428" spans="2:11" x14ac:dyDescent="0.45">
      <c r="B4428" s="1" t="s">
        <v>4000</v>
      </c>
      <c r="C4428" s="1" t="s">
        <v>4399</v>
      </c>
      <c r="D4428" s="7">
        <v>44169</v>
      </c>
      <c r="E4428" s="7">
        <v>44177</v>
      </c>
      <c r="G4428" s="1" t="s">
        <v>16</v>
      </c>
      <c r="H4428" s="8">
        <v>113448.31</v>
      </c>
      <c r="I4428" s="8">
        <v>74511.289999999994</v>
      </c>
      <c r="J4428" s="1">
        <f>IF(COUNTIF($C$4:C4428,C4428)=1,1,0)</f>
        <v>1</v>
      </c>
      <c r="K4428" s="1">
        <f t="shared" si="69"/>
        <v>2020</v>
      </c>
    </row>
    <row r="4429" spans="2:11" x14ac:dyDescent="0.45">
      <c r="B4429" s="1" t="s">
        <v>4000</v>
      </c>
      <c r="C4429" s="1" t="s">
        <v>4400</v>
      </c>
      <c r="D4429" s="7">
        <v>44784</v>
      </c>
      <c r="E4429" s="7">
        <v>44802</v>
      </c>
      <c r="G4429" s="1" t="s">
        <v>212</v>
      </c>
      <c r="H4429" s="8">
        <v>22553381.09</v>
      </c>
      <c r="I4429" s="8">
        <v>16273635.619999999</v>
      </c>
      <c r="J4429" s="1">
        <f>IF(COUNTIF($C$4:C4429,C4429)=1,1,0)</f>
        <v>1</v>
      </c>
      <c r="K4429" s="1">
        <f t="shared" si="69"/>
        <v>2022</v>
      </c>
    </row>
    <row r="4430" spans="2:11" x14ac:dyDescent="0.45">
      <c r="B4430" s="1" t="s">
        <v>4000</v>
      </c>
      <c r="C4430" s="1" t="s">
        <v>4401</v>
      </c>
      <c r="D4430" s="7">
        <v>44551</v>
      </c>
      <c r="E4430" s="7">
        <v>44566</v>
      </c>
      <c r="G4430" s="1" t="s">
        <v>22</v>
      </c>
      <c r="H4430" s="8">
        <v>37867534.469999999</v>
      </c>
      <c r="I4430" s="8">
        <v>15320368.74</v>
      </c>
      <c r="J4430" s="1">
        <f>IF(COUNTIF($C$4:C4430,C4430)=1,1,0)</f>
        <v>1</v>
      </c>
      <c r="K4430" s="1">
        <f t="shared" si="69"/>
        <v>2021</v>
      </c>
    </row>
    <row r="4431" spans="2:11" x14ac:dyDescent="0.45">
      <c r="B4431" s="1" t="s">
        <v>4000</v>
      </c>
      <c r="C4431" s="1" t="s">
        <v>4402</v>
      </c>
      <c r="D4431" s="7">
        <v>46024</v>
      </c>
      <c r="E4431" s="7">
        <v>46029</v>
      </c>
      <c r="G4431" s="1" t="s">
        <v>13</v>
      </c>
      <c r="H4431" s="8">
        <v>407130.4</v>
      </c>
      <c r="I4431" s="8">
        <v>363166.06</v>
      </c>
      <c r="J4431" s="1">
        <f>IF(COUNTIF($C$4:C4431,C4431)=1,1,0)</f>
        <v>1</v>
      </c>
      <c r="K4431" s="1">
        <f t="shared" si="69"/>
        <v>2026</v>
      </c>
    </row>
    <row r="4432" spans="2:11" x14ac:dyDescent="0.45">
      <c r="B4432" s="1" t="s">
        <v>4000</v>
      </c>
      <c r="C4432" s="1" t="s">
        <v>4403</v>
      </c>
      <c r="D4432" s="7">
        <v>45840</v>
      </c>
      <c r="E4432" s="7">
        <v>45855</v>
      </c>
      <c r="G4432" s="1" t="s">
        <v>16</v>
      </c>
      <c r="H4432" s="8">
        <v>494733.41</v>
      </c>
      <c r="I4432" s="8">
        <v>306478.7</v>
      </c>
      <c r="J4432" s="1">
        <f>IF(COUNTIF($C$4:C4432,C4432)=1,1,0)</f>
        <v>1</v>
      </c>
      <c r="K4432" s="1">
        <f t="shared" si="69"/>
        <v>2025</v>
      </c>
    </row>
    <row r="4433" spans="2:11" x14ac:dyDescent="0.45">
      <c r="B4433" s="1" t="s">
        <v>4000</v>
      </c>
      <c r="C4433" s="1" t="s">
        <v>4404</v>
      </c>
      <c r="D4433" s="7">
        <v>46074</v>
      </c>
      <c r="E4433" s="7">
        <v>46083</v>
      </c>
      <c r="G4433" s="1" t="s">
        <v>22</v>
      </c>
      <c r="H4433" s="8">
        <v>2293340</v>
      </c>
      <c r="I4433" s="8">
        <v>941959.06</v>
      </c>
      <c r="J4433" s="1">
        <f>IF(COUNTIF($C$4:C4433,C4433)=1,1,0)</f>
        <v>1</v>
      </c>
      <c r="K4433" s="1">
        <f t="shared" si="69"/>
        <v>2026</v>
      </c>
    </row>
    <row r="4434" spans="2:11" x14ac:dyDescent="0.45">
      <c r="B4434" s="1" t="s">
        <v>4000</v>
      </c>
      <c r="C4434" s="1" t="s">
        <v>4405</v>
      </c>
      <c r="D4434" s="7">
        <v>43790</v>
      </c>
      <c r="E4434" s="7">
        <v>43800</v>
      </c>
      <c r="G4434" s="1" t="s">
        <v>41</v>
      </c>
      <c r="H4434" s="8">
        <v>161969.79</v>
      </c>
      <c r="I4434" s="8">
        <v>136658.28</v>
      </c>
      <c r="J4434" s="1">
        <f>IF(COUNTIF($C$4:C4434,C4434)=1,1,0)</f>
        <v>1</v>
      </c>
      <c r="K4434" s="1">
        <f t="shared" si="69"/>
        <v>2019</v>
      </c>
    </row>
    <row r="4435" spans="2:11" x14ac:dyDescent="0.45">
      <c r="B4435" s="1" t="s">
        <v>4000</v>
      </c>
      <c r="C4435" s="1" t="s">
        <v>4406</v>
      </c>
      <c r="D4435" s="7">
        <v>45545</v>
      </c>
      <c r="E4435" s="7">
        <v>45557</v>
      </c>
      <c r="G4435" s="1" t="s">
        <v>20</v>
      </c>
      <c r="H4435" s="8">
        <v>217466.79</v>
      </c>
      <c r="I4435" s="8">
        <v>172244.81</v>
      </c>
      <c r="J4435" s="1">
        <f>IF(COUNTIF($C$4:C4435,C4435)=1,1,0)</f>
        <v>1</v>
      </c>
      <c r="K4435" s="1">
        <f t="shared" si="69"/>
        <v>2024</v>
      </c>
    </row>
    <row r="4436" spans="2:11" x14ac:dyDescent="0.45">
      <c r="B4436" s="1" t="s">
        <v>4000</v>
      </c>
      <c r="C4436" s="1" t="s">
        <v>4407</v>
      </c>
      <c r="D4436" s="7">
        <v>43283</v>
      </c>
      <c r="E4436" s="7">
        <v>43307</v>
      </c>
      <c r="G4436" s="1" t="s">
        <v>212</v>
      </c>
      <c r="H4436" s="8">
        <v>41377454.630000003</v>
      </c>
      <c r="I4436" s="8">
        <v>25008325.469999999</v>
      </c>
      <c r="J4436" s="1">
        <f>IF(COUNTIF($C$4:C4436,C4436)=1,1,0)</f>
        <v>1</v>
      </c>
      <c r="K4436" s="1">
        <f t="shared" si="69"/>
        <v>2018</v>
      </c>
    </row>
    <row r="4437" spans="2:11" x14ac:dyDescent="0.45">
      <c r="B4437" s="1" t="s">
        <v>4000</v>
      </c>
      <c r="C4437" s="1" t="s">
        <v>4408</v>
      </c>
      <c r="D4437" s="7">
        <v>44856</v>
      </c>
      <c r="E4437" s="7">
        <v>44877</v>
      </c>
      <c r="G4437" s="1" t="s">
        <v>212</v>
      </c>
      <c r="H4437" s="8">
        <v>6230707.2199999997</v>
      </c>
      <c r="I4437" s="8">
        <v>4787241.3</v>
      </c>
      <c r="J4437" s="1">
        <f>IF(COUNTIF($C$4:C4437,C4437)=1,1,0)</f>
        <v>1</v>
      </c>
      <c r="K4437" s="1">
        <f t="shared" si="69"/>
        <v>2022</v>
      </c>
    </row>
    <row r="4438" spans="2:11" x14ac:dyDescent="0.45">
      <c r="B4438" s="1" t="s">
        <v>4000</v>
      </c>
      <c r="C4438" s="1" t="s">
        <v>4409</v>
      </c>
      <c r="D4438" s="7">
        <v>43524</v>
      </c>
      <c r="E4438" s="7">
        <v>43526</v>
      </c>
      <c r="G4438" s="1" t="s">
        <v>16</v>
      </c>
      <c r="H4438" s="8">
        <v>2687680.42</v>
      </c>
      <c r="I4438" s="8">
        <v>1998884.59</v>
      </c>
      <c r="J4438" s="1">
        <f>IF(COUNTIF($C$4:C4438,C4438)=1,1,0)</f>
        <v>1</v>
      </c>
      <c r="K4438" s="1">
        <f t="shared" si="69"/>
        <v>2019</v>
      </c>
    </row>
    <row r="4439" spans="2:11" x14ac:dyDescent="0.45">
      <c r="B4439" s="1" t="s">
        <v>4000</v>
      </c>
      <c r="C4439" s="1" t="s">
        <v>4410</v>
      </c>
      <c r="D4439" s="7">
        <v>45246</v>
      </c>
      <c r="E4439" s="7">
        <v>45275</v>
      </c>
      <c r="G4439" s="1" t="s">
        <v>20</v>
      </c>
      <c r="H4439" s="8">
        <v>198935.22</v>
      </c>
      <c r="I4439" s="8">
        <v>151771.10999999999</v>
      </c>
      <c r="J4439" s="1">
        <f>IF(COUNTIF($C$4:C4439,C4439)=1,1,0)</f>
        <v>1</v>
      </c>
      <c r="K4439" s="1">
        <f t="shared" si="69"/>
        <v>2023</v>
      </c>
    </row>
    <row r="4440" spans="2:11" x14ac:dyDescent="0.45">
      <c r="B4440" s="1" t="s">
        <v>4000</v>
      </c>
      <c r="C4440" s="1" t="s">
        <v>4411</v>
      </c>
      <c r="D4440" s="7">
        <v>44506</v>
      </c>
      <c r="E4440" s="7">
        <v>44523</v>
      </c>
      <c r="G4440" s="1" t="s">
        <v>18</v>
      </c>
      <c r="H4440" s="8">
        <v>7076110.0099999998</v>
      </c>
      <c r="I4440" s="8">
        <v>5535006.2199999997</v>
      </c>
      <c r="J4440" s="1">
        <f>IF(COUNTIF($C$4:C4440,C4440)=1,1,0)</f>
        <v>1</v>
      </c>
      <c r="K4440" s="1">
        <f t="shared" si="69"/>
        <v>2021</v>
      </c>
    </row>
    <row r="4441" spans="2:11" x14ac:dyDescent="0.45">
      <c r="B4441" s="1" t="s">
        <v>4000</v>
      </c>
      <c r="C4441" s="1" t="s">
        <v>4412</v>
      </c>
      <c r="D4441" s="7">
        <v>43431</v>
      </c>
      <c r="E4441" s="7">
        <v>43447</v>
      </c>
      <c r="G4441" s="1" t="s">
        <v>38</v>
      </c>
      <c r="H4441" s="8">
        <v>784223.05</v>
      </c>
      <c r="I4441" s="8">
        <v>681004.38</v>
      </c>
      <c r="J4441" s="1">
        <f>IF(COUNTIF($C$4:C4441,C4441)=1,1,0)</f>
        <v>1</v>
      </c>
      <c r="K4441" s="1">
        <f t="shared" si="69"/>
        <v>2018</v>
      </c>
    </row>
    <row r="4442" spans="2:11" x14ac:dyDescent="0.45">
      <c r="B4442" s="1" t="s">
        <v>4000</v>
      </c>
      <c r="C4442" s="1" t="s">
        <v>4413</v>
      </c>
      <c r="D4442" s="7">
        <v>44728</v>
      </c>
      <c r="E4442" s="7">
        <v>44757</v>
      </c>
      <c r="G4442" s="1" t="s">
        <v>38</v>
      </c>
      <c r="H4442" s="8">
        <v>90427.12</v>
      </c>
      <c r="I4442" s="8">
        <v>78940.33</v>
      </c>
      <c r="J4442" s="1">
        <f>IF(COUNTIF($C$4:C4442,C4442)=1,1,0)</f>
        <v>1</v>
      </c>
      <c r="K4442" s="1">
        <f t="shared" si="69"/>
        <v>2022</v>
      </c>
    </row>
    <row r="4443" spans="2:11" x14ac:dyDescent="0.45">
      <c r="B4443" s="1" t="s">
        <v>4000</v>
      </c>
      <c r="C4443" s="1" t="s">
        <v>4414</v>
      </c>
      <c r="D4443" s="7">
        <v>45480</v>
      </c>
      <c r="E4443" s="7">
        <v>45484</v>
      </c>
      <c r="G4443" s="1" t="s">
        <v>22</v>
      </c>
      <c r="H4443" s="8">
        <v>8979927.0700000003</v>
      </c>
      <c r="I4443" s="8">
        <v>6271063.75</v>
      </c>
      <c r="J4443" s="1">
        <f>IF(COUNTIF($C$4:C4443,C4443)=1,1,0)</f>
        <v>1</v>
      </c>
      <c r="K4443" s="1">
        <f t="shared" si="69"/>
        <v>2024</v>
      </c>
    </row>
    <row r="4444" spans="2:11" x14ac:dyDescent="0.45">
      <c r="B4444" s="1" t="s">
        <v>4000</v>
      </c>
      <c r="C4444" s="1" t="s">
        <v>4415</v>
      </c>
      <c r="D4444" s="7">
        <v>43800</v>
      </c>
      <c r="E4444" s="7">
        <v>43807</v>
      </c>
      <c r="G4444" s="1" t="s">
        <v>13</v>
      </c>
      <c r="H4444" s="8">
        <v>79390.38</v>
      </c>
      <c r="I4444" s="8">
        <v>59644.6</v>
      </c>
      <c r="J4444" s="1">
        <f>IF(COUNTIF($C$4:C4444,C4444)=1,1,0)</f>
        <v>1</v>
      </c>
      <c r="K4444" s="1">
        <f t="shared" si="69"/>
        <v>2019</v>
      </c>
    </row>
    <row r="4445" spans="2:11" x14ac:dyDescent="0.45">
      <c r="B4445" s="1" t="s">
        <v>4000</v>
      </c>
      <c r="C4445" s="1" t="s">
        <v>4416</v>
      </c>
      <c r="D4445" s="7">
        <v>46149</v>
      </c>
      <c r="E4445" s="7">
        <v>46169</v>
      </c>
      <c r="G4445" s="1" t="s">
        <v>13</v>
      </c>
      <c r="H4445" s="8">
        <v>147426.01999999999</v>
      </c>
      <c r="I4445" s="8">
        <v>111497.1</v>
      </c>
      <c r="J4445" s="1">
        <f>IF(COUNTIF($C$4:C4445,C4445)=1,1,0)</f>
        <v>1</v>
      </c>
      <c r="K4445" s="1">
        <f t="shared" si="69"/>
        <v>2026</v>
      </c>
    </row>
    <row r="4446" spans="2:11" x14ac:dyDescent="0.45">
      <c r="B4446" s="1" t="s">
        <v>4000</v>
      </c>
      <c r="C4446" s="1" t="s">
        <v>4417</v>
      </c>
      <c r="D4446" s="7">
        <v>45980</v>
      </c>
      <c r="E4446" s="7">
        <v>45998</v>
      </c>
      <c r="G4446" s="1" t="s">
        <v>38</v>
      </c>
      <c r="H4446" s="8">
        <v>96201.279999999999</v>
      </c>
      <c r="I4446" s="8">
        <v>88466.96</v>
      </c>
      <c r="J4446" s="1">
        <f>IF(COUNTIF($C$4:C4446,C4446)=1,1,0)</f>
        <v>1</v>
      </c>
      <c r="K4446" s="1">
        <f t="shared" si="69"/>
        <v>2025</v>
      </c>
    </row>
    <row r="4447" spans="2:11" x14ac:dyDescent="0.45">
      <c r="B4447" s="1" t="s">
        <v>4000</v>
      </c>
      <c r="C4447" s="1" t="s">
        <v>4418</v>
      </c>
      <c r="D4447" s="7">
        <v>45944</v>
      </c>
      <c r="E4447" s="7">
        <v>45945</v>
      </c>
      <c r="G4447" s="1" t="s">
        <v>20</v>
      </c>
      <c r="H4447" s="8">
        <v>577691.98</v>
      </c>
      <c r="I4447" s="8">
        <v>458465.67</v>
      </c>
      <c r="J4447" s="1">
        <f>IF(COUNTIF($C$4:C4447,C4447)=1,1,0)</f>
        <v>1</v>
      </c>
      <c r="K4447" s="1">
        <f t="shared" si="69"/>
        <v>2025</v>
      </c>
    </row>
    <row r="4448" spans="2:11" x14ac:dyDescent="0.45">
      <c r="B4448" s="1" t="s">
        <v>4000</v>
      </c>
      <c r="C4448" s="1" t="s">
        <v>4419</v>
      </c>
      <c r="D4448" s="7">
        <v>43957</v>
      </c>
      <c r="E4448" s="7">
        <v>43970</v>
      </c>
      <c r="G4448" s="1" t="s">
        <v>212</v>
      </c>
      <c r="H4448" s="8">
        <v>2792184.65</v>
      </c>
      <c r="I4448" s="8">
        <v>1466868.35</v>
      </c>
      <c r="J4448" s="1">
        <f>IF(COUNTIF($C$4:C4448,C4448)=1,1,0)</f>
        <v>1</v>
      </c>
      <c r="K4448" s="1">
        <f t="shared" si="69"/>
        <v>2020</v>
      </c>
    </row>
    <row r="4449" spans="2:11" x14ac:dyDescent="0.45">
      <c r="B4449" s="1" t="s">
        <v>4000</v>
      </c>
      <c r="C4449" s="1" t="s">
        <v>4420</v>
      </c>
      <c r="D4449" s="7">
        <v>44466</v>
      </c>
      <c r="E4449" s="7">
        <v>44466</v>
      </c>
      <c r="G4449" s="1" t="s">
        <v>22</v>
      </c>
      <c r="H4449" s="8">
        <v>5704621.2000000002</v>
      </c>
      <c r="I4449" s="8">
        <v>3501048.94</v>
      </c>
      <c r="J4449" s="1">
        <f>IF(COUNTIF($C$4:C4449,C4449)=1,1,0)</f>
        <v>1</v>
      </c>
      <c r="K4449" s="1">
        <f t="shared" si="69"/>
        <v>2021</v>
      </c>
    </row>
    <row r="4450" spans="2:11" x14ac:dyDescent="0.45">
      <c r="B4450" s="1" t="s">
        <v>4000</v>
      </c>
      <c r="C4450" s="1" t="s">
        <v>4421</v>
      </c>
      <c r="D4450" s="7">
        <v>43920</v>
      </c>
      <c r="E4450" s="7">
        <v>43932</v>
      </c>
      <c r="G4450" s="1" t="s">
        <v>13</v>
      </c>
      <c r="H4450" s="8">
        <v>412960.67</v>
      </c>
      <c r="I4450" s="8">
        <v>357459.38</v>
      </c>
      <c r="J4450" s="1">
        <f>IF(COUNTIF($C$4:C4450,C4450)=1,1,0)</f>
        <v>1</v>
      </c>
      <c r="K4450" s="1">
        <f t="shared" si="69"/>
        <v>2020</v>
      </c>
    </row>
    <row r="4451" spans="2:11" x14ac:dyDescent="0.45">
      <c r="B4451" s="1" t="s">
        <v>4000</v>
      </c>
      <c r="C4451" s="1" t="s">
        <v>4422</v>
      </c>
      <c r="D4451" s="7">
        <v>45535</v>
      </c>
      <c r="E4451" s="7">
        <v>45556</v>
      </c>
      <c r="G4451" s="1" t="s">
        <v>20</v>
      </c>
      <c r="H4451" s="8">
        <v>285458.88</v>
      </c>
      <c r="I4451" s="8">
        <v>199647.63</v>
      </c>
      <c r="J4451" s="1">
        <f>IF(COUNTIF($C$4:C4451,C4451)=1,1,0)</f>
        <v>1</v>
      </c>
      <c r="K4451" s="1">
        <f t="shared" si="69"/>
        <v>2024</v>
      </c>
    </row>
    <row r="4452" spans="2:11" x14ac:dyDescent="0.45">
      <c r="B4452" s="1" t="s">
        <v>4000</v>
      </c>
      <c r="C4452" s="1" t="s">
        <v>4423</v>
      </c>
      <c r="D4452" s="7">
        <v>44429</v>
      </c>
      <c r="E4452" s="7">
        <v>44448</v>
      </c>
      <c r="G4452" s="1" t="s">
        <v>13</v>
      </c>
      <c r="H4452" s="8">
        <v>347143.69</v>
      </c>
      <c r="I4452" s="8">
        <v>295716.18</v>
      </c>
      <c r="J4452" s="1">
        <f>IF(COUNTIF($C$4:C4452,C4452)=1,1,0)</f>
        <v>1</v>
      </c>
      <c r="K4452" s="1">
        <f t="shared" si="69"/>
        <v>2021</v>
      </c>
    </row>
    <row r="4453" spans="2:11" x14ac:dyDescent="0.45">
      <c r="B4453" s="1" t="s">
        <v>4000</v>
      </c>
      <c r="C4453" s="1" t="s">
        <v>4424</v>
      </c>
      <c r="D4453" s="7">
        <v>43821</v>
      </c>
      <c r="E4453" s="7">
        <v>43846</v>
      </c>
      <c r="G4453" s="1" t="s">
        <v>13</v>
      </c>
      <c r="H4453" s="8">
        <v>100093.28</v>
      </c>
      <c r="I4453" s="8">
        <v>82669.710000000006</v>
      </c>
      <c r="J4453" s="1">
        <f>IF(COUNTIF($C$4:C4453,C4453)=1,1,0)</f>
        <v>1</v>
      </c>
      <c r="K4453" s="1">
        <f t="shared" si="69"/>
        <v>2019</v>
      </c>
    </row>
    <row r="4454" spans="2:11" x14ac:dyDescent="0.45">
      <c r="B4454" s="1" t="s">
        <v>4000</v>
      </c>
      <c r="C4454" s="1" t="s">
        <v>4425</v>
      </c>
      <c r="D4454" s="7">
        <v>44186</v>
      </c>
      <c r="E4454" s="7">
        <v>44202</v>
      </c>
      <c r="G4454" s="1" t="s">
        <v>20</v>
      </c>
      <c r="H4454" s="8">
        <v>255773.18</v>
      </c>
      <c r="I4454" s="8">
        <v>188970.89</v>
      </c>
      <c r="J4454" s="1">
        <f>IF(COUNTIF($C$4:C4454,C4454)=1,1,0)</f>
        <v>1</v>
      </c>
      <c r="K4454" s="1">
        <f t="shared" si="69"/>
        <v>2020</v>
      </c>
    </row>
    <row r="4455" spans="2:11" x14ac:dyDescent="0.45">
      <c r="B4455" s="1" t="s">
        <v>4000</v>
      </c>
      <c r="C4455" s="1" t="s">
        <v>4426</v>
      </c>
      <c r="D4455" s="7">
        <v>44935</v>
      </c>
      <c r="E4455" s="7">
        <v>44946</v>
      </c>
      <c r="G4455" s="1" t="s">
        <v>22</v>
      </c>
      <c r="H4455" s="8">
        <v>33637077.549999997</v>
      </c>
      <c r="I4455" s="8">
        <v>23805156.780000001</v>
      </c>
      <c r="J4455" s="1">
        <f>IF(COUNTIF($C$4:C4455,C4455)=1,1,0)</f>
        <v>1</v>
      </c>
      <c r="K4455" s="1">
        <f t="shared" si="69"/>
        <v>2023</v>
      </c>
    </row>
    <row r="4456" spans="2:11" x14ac:dyDescent="0.45">
      <c r="B4456" s="1" t="s">
        <v>4000</v>
      </c>
      <c r="C4456" s="1" t="s">
        <v>4427</v>
      </c>
      <c r="D4456" s="7">
        <v>43562</v>
      </c>
      <c r="E4456" s="7">
        <v>43563</v>
      </c>
      <c r="G4456" s="1" t="s">
        <v>41</v>
      </c>
      <c r="H4456" s="8">
        <v>838202.4</v>
      </c>
      <c r="I4456" s="8">
        <v>728583.31</v>
      </c>
      <c r="J4456" s="1">
        <f>IF(COUNTIF($C$4:C4456,C4456)=1,1,0)</f>
        <v>1</v>
      </c>
      <c r="K4456" s="1">
        <f t="shared" si="69"/>
        <v>2019</v>
      </c>
    </row>
    <row r="4457" spans="2:11" x14ac:dyDescent="0.45">
      <c r="B4457" s="1" t="s">
        <v>4000</v>
      </c>
      <c r="C4457" s="1" t="s">
        <v>4428</v>
      </c>
      <c r="D4457" s="7">
        <v>43676</v>
      </c>
      <c r="E4457" s="7">
        <v>43680</v>
      </c>
      <c r="G4457" s="1" t="s">
        <v>18</v>
      </c>
      <c r="H4457" s="8">
        <v>3982640.59</v>
      </c>
      <c r="I4457" s="8">
        <v>3411674.82</v>
      </c>
      <c r="J4457" s="1">
        <f>IF(COUNTIF($C$4:C4457,C4457)=1,1,0)</f>
        <v>1</v>
      </c>
      <c r="K4457" s="1">
        <f t="shared" si="69"/>
        <v>2019</v>
      </c>
    </row>
    <row r="4458" spans="2:11" x14ac:dyDescent="0.45">
      <c r="B4458" s="1" t="s">
        <v>4000</v>
      </c>
      <c r="C4458" s="1" t="s">
        <v>4429</v>
      </c>
      <c r="D4458" s="7">
        <v>44030</v>
      </c>
      <c r="E4458" s="7">
        <v>44036</v>
      </c>
      <c r="G4458" s="1" t="s">
        <v>16</v>
      </c>
      <c r="H4458" s="8">
        <v>183586.07</v>
      </c>
      <c r="I4458" s="8">
        <v>123571.13</v>
      </c>
      <c r="J4458" s="1">
        <f>IF(COUNTIF($C$4:C4458,C4458)=1,1,0)</f>
        <v>1</v>
      </c>
      <c r="K4458" s="1">
        <f t="shared" si="69"/>
        <v>2020</v>
      </c>
    </row>
    <row r="4459" spans="2:11" x14ac:dyDescent="0.45">
      <c r="B4459" s="1" t="s">
        <v>4000</v>
      </c>
      <c r="C4459" s="1" t="s">
        <v>4430</v>
      </c>
      <c r="D4459" s="7">
        <v>44996</v>
      </c>
      <c r="E4459" s="7">
        <v>45025</v>
      </c>
      <c r="G4459" s="1" t="s">
        <v>16</v>
      </c>
      <c r="H4459" s="8">
        <v>3293528.51</v>
      </c>
      <c r="I4459" s="8">
        <v>2197585.4700000002</v>
      </c>
      <c r="J4459" s="1">
        <f>IF(COUNTIF($C$4:C4459,C4459)=1,1,0)</f>
        <v>1</v>
      </c>
      <c r="K4459" s="1">
        <f t="shared" si="69"/>
        <v>2023</v>
      </c>
    </row>
    <row r="4460" spans="2:11" x14ac:dyDescent="0.45">
      <c r="B4460" s="1" t="s">
        <v>4000</v>
      </c>
      <c r="C4460" s="1" t="s">
        <v>4431</v>
      </c>
      <c r="D4460" s="7">
        <v>45323</v>
      </c>
      <c r="E4460" s="7">
        <v>45327</v>
      </c>
      <c r="G4460" s="1" t="s">
        <v>22</v>
      </c>
      <c r="H4460" s="8">
        <v>20161274.77</v>
      </c>
      <c r="I4460" s="8">
        <v>10731177.16</v>
      </c>
      <c r="J4460" s="1">
        <f>IF(COUNTIF($C$4:C4460,C4460)=1,1,0)</f>
        <v>1</v>
      </c>
      <c r="K4460" s="1">
        <f t="shared" si="69"/>
        <v>2024</v>
      </c>
    </row>
    <row r="4461" spans="2:11" x14ac:dyDescent="0.45">
      <c r="B4461" s="1" t="s">
        <v>4000</v>
      </c>
      <c r="C4461" s="1" t="s">
        <v>4432</v>
      </c>
      <c r="D4461" s="7">
        <v>43942</v>
      </c>
      <c r="E4461" s="7">
        <v>43948</v>
      </c>
      <c r="G4461" s="1" t="s">
        <v>18</v>
      </c>
      <c r="H4461" s="8">
        <v>3219312.1</v>
      </c>
      <c r="I4461" s="8">
        <v>2288875.52</v>
      </c>
      <c r="J4461" s="1">
        <f>IF(COUNTIF($C$4:C4461,C4461)=1,1,0)</f>
        <v>1</v>
      </c>
      <c r="K4461" s="1">
        <f t="shared" si="69"/>
        <v>2020</v>
      </c>
    </row>
    <row r="4462" spans="2:11" x14ac:dyDescent="0.45">
      <c r="B4462" s="1" t="s">
        <v>4000</v>
      </c>
      <c r="C4462" s="1" t="s">
        <v>4433</v>
      </c>
      <c r="D4462" s="7">
        <v>45649</v>
      </c>
      <c r="E4462" s="7">
        <v>45656</v>
      </c>
      <c r="G4462" s="1" t="s">
        <v>212</v>
      </c>
      <c r="H4462" s="8">
        <v>24522376.510000002</v>
      </c>
      <c r="I4462" s="8">
        <v>17376359.43</v>
      </c>
      <c r="J4462" s="1">
        <f>IF(COUNTIF($C$4:C4462,C4462)=1,1,0)</f>
        <v>1</v>
      </c>
      <c r="K4462" s="1">
        <f t="shared" si="69"/>
        <v>2024</v>
      </c>
    </row>
    <row r="4463" spans="2:11" x14ac:dyDescent="0.45">
      <c r="B4463" s="1" t="s">
        <v>4000</v>
      </c>
      <c r="C4463" s="1" t="s">
        <v>4434</v>
      </c>
      <c r="D4463" s="7">
        <v>44311</v>
      </c>
      <c r="E4463" s="7">
        <v>44317</v>
      </c>
      <c r="G4463" s="1" t="s">
        <v>18</v>
      </c>
      <c r="H4463" s="8">
        <v>1289064.52</v>
      </c>
      <c r="I4463" s="8">
        <v>1089849.44</v>
      </c>
      <c r="J4463" s="1">
        <f>IF(COUNTIF($C$4:C4463,C4463)=1,1,0)</f>
        <v>1</v>
      </c>
      <c r="K4463" s="1">
        <f t="shared" si="69"/>
        <v>2021</v>
      </c>
    </row>
    <row r="4464" spans="2:11" x14ac:dyDescent="0.45">
      <c r="B4464" s="1" t="s">
        <v>4000</v>
      </c>
      <c r="C4464" s="1" t="s">
        <v>4435</v>
      </c>
      <c r="D4464" s="7">
        <v>44967</v>
      </c>
      <c r="E4464" s="7">
        <v>44997</v>
      </c>
      <c r="G4464" s="1" t="s">
        <v>22</v>
      </c>
      <c r="H4464" s="8">
        <v>3936018.28</v>
      </c>
      <c r="I4464" s="8">
        <v>1789866.76</v>
      </c>
      <c r="J4464" s="1">
        <f>IF(COUNTIF($C$4:C4464,C4464)=1,1,0)</f>
        <v>1</v>
      </c>
      <c r="K4464" s="1">
        <f t="shared" si="69"/>
        <v>2023</v>
      </c>
    </row>
    <row r="4465" spans="2:11" x14ac:dyDescent="0.45">
      <c r="B4465" s="1" t="s">
        <v>4000</v>
      </c>
      <c r="C4465" s="1" t="s">
        <v>4436</v>
      </c>
      <c r="D4465" s="7">
        <v>43738</v>
      </c>
      <c r="E4465" s="7">
        <v>43749</v>
      </c>
      <c r="G4465" s="1" t="s">
        <v>13</v>
      </c>
      <c r="H4465" s="8">
        <v>62101.52</v>
      </c>
      <c r="I4465" s="8">
        <v>50162.92</v>
      </c>
      <c r="J4465" s="1">
        <f>IF(COUNTIF($C$4:C4465,C4465)=1,1,0)</f>
        <v>1</v>
      </c>
      <c r="K4465" s="1">
        <f t="shared" si="69"/>
        <v>2019</v>
      </c>
    </row>
    <row r="4466" spans="2:11" x14ac:dyDescent="0.45">
      <c r="B4466" s="1" t="s">
        <v>4000</v>
      </c>
      <c r="C4466" s="1" t="s">
        <v>4437</v>
      </c>
      <c r="D4466" s="7">
        <v>44596</v>
      </c>
      <c r="E4466" s="7">
        <v>44619</v>
      </c>
      <c r="G4466" s="1" t="s">
        <v>13</v>
      </c>
      <c r="H4466" s="8">
        <v>98662.2</v>
      </c>
      <c r="I4466" s="8">
        <v>78527.320000000007</v>
      </c>
      <c r="J4466" s="1">
        <f>IF(COUNTIF($C$4:C4466,C4466)=1,1,0)</f>
        <v>1</v>
      </c>
      <c r="K4466" s="1">
        <f t="shared" si="69"/>
        <v>2022</v>
      </c>
    </row>
    <row r="4467" spans="2:11" x14ac:dyDescent="0.45">
      <c r="B4467" s="1" t="s">
        <v>4000</v>
      </c>
      <c r="C4467" s="1" t="s">
        <v>4438</v>
      </c>
      <c r="D4467" s="7">
        <v>43518</v>
      </c>
      <c r="E4467" s="7">
        <v>43535</v>
      </c>
      <c r="G4467" s="1" t="s">
        <v>41</v>
      </c>
      <c r="H4467" s="8">
        <v>291892.21999999997</v>
      </c>
      <c r="I4467" s="8">
        <v>244064.06</v>
      </c>
      <c r="J4467" s="1">
        <f>IF(COUNTIF($C$4:C4467,C4467)=1,1,0)</f>
        <v>1</v>
      </c>
      <c r="K4467" s="1">
        <f t="shared" si="69"/>
        <v>2019</v>
      </c>
    </row>
    <row r="4468" spans="2:11" x14ac:dyDescent="0.45">
      <c r="B4468" s="1" t="s">
        <v>4000</v>
      </c>
      <c r="C4468" s="1" t="s">
        <v>4439</v>
      </c>
      <c r="D4468" s="7">
        <v>44131</v>
      </c>
      <c r="E4468" s="7">
        <v>44136</v>
      </c>
      <c r="G4468" s="1" t="s">
        <v>20</v>
      </c>
      <c r="H4468" s="8">
        <v>873400.62</v>
      </c>
      <c r="I4468" s="8">
        <v>539453.62</v>
      </c>
      <c r="J4468" s="1">
        <f>IF(COUNTIF($C$4:C4468,C4468)=1,1,0)</f>
        <v>1</v>
      </c>
      <c r="K4468" s="1">
        <f t="shared" si="69"/>
        <v>2020</v>
      </c>
    </row>
    <row r="4469" spans="2:11" x14ac:dyDescent="0.45">
      <c r="B4469" s="1" t="s">
        <v>4000</v>
      </c>
      <c r="C4469" s="1" t="s">
        <v>4440</v>
      </c>
      <c r="D4469" s="7">
        <v>45972</v>
      </c>
      <c r="E4469" s="7">
        <v>45999</v>
      </c>
      <c r="G4469" s="1" t="s">
        <v>13</v>
      </c>
      <c r="H4469" s="8">
        <v>83399.429999999993</v>
      </c>
      <c r="I4469" s="8">
        <v>70097.87</v>
      </c>
      <c r="J4469" s="1">
        <f>IF(COUNTIF($C$4:C4469,C4469)=1,1,0)</f>
        <v>1</v>
      </c>
      <c r="K4469" s="1">
        <f t="shared" si="69"/>
        <v>2025</v>
      </c>
    </row>
    <row r="4470" spans="2:11" x14ac:dyDescent="0.45">
      <c r="B4470" s="1" t="s">
        <v>4000</v>
      </c>
      <c r="C4470" s="1" t="s">
        <v>4441</v>
      </c>
      <c r="D4470" s="7">
        <v>44289</v>
      </c>
      <c r="E4470" s="7">
        <v>44297</v>
      </c>
      <c r="G4470" s="1" t="s">
        <v>41</v>
      </c>
      <c r="H4470" s="8">
        <v>99947.05</v>
      </c>
      <c r="I4470" s="8">
        <v>77081.94</v>
      </c>
      <c r="J4470" s="1">
        <f>IF(COUNTIF($C$4:C4470,C4470)=1,1,0)</f>
        <v>1</v>
      </c>
      <c r="K4470" s="1">
        <f t="shared" si="69"/>
        <v>2021</v>
      </c>
    </row>
    <row r="4471" spans="2:11" x14ac:dyDescent="0.45">
      <c r="B4471" s="1" t="s">
        <v>4000</v>
      </c>
      <c r="C4471" s="1" t="s">
        <v>4140</v>
      </c>
      <c r="D4471" s="7">
        <v>45895</v>
      </c>
      <c r="E4471" s="7">
        <v>45914</v>
      </c>
      <c r="G4471" s="1" t="s">
        <v>16</v>
      </c>
      <c r="H4471" s="8">
        <v>7608972.5899999999</v>
      </c>
      <c r="I4471" s="8">
        <v>4818522.9000000004</v>
      </c>
      <c r="J4471" s="1">
        <f>IF(COUNTIF($C$4:C4471,C4471)=1,1,0)</f>
        <v>0</v>
      </c>
      <c r="K4471" s="1">
        <f t="shared" si="69"/>
        <v>2025</v>
      </c>
    </row>
    <row r="4472" spans="2:11" x14ac:dyDescent="0.45">
      <c r="B4472" s="1" t="s">
        <v>4000</v>
      </c>
      <c r="C4472" s="1" t="s">
        <v>4442</v>
      </c>
      <c r="D4472" s="7">
        <v>44063</v>
      </c>
      <c r="E4472" s="7">
        <v>44078</v>
      </c>
      <c r="G4472" s="1" t="s">
        <v>16</v>
      </c>
      <c r="H4472" s="8">
        <v>4461298.25</v>
      </c>
      <c r="I4472" s="8">
        <v>3050248.51</v>
      </c>
      <c r="J4472" s="1">
        <f>IF(COUNTIF($C$4:C4472,C4472)=1,1,0)</f>
        <v>1</v>
      </c>
      <c r="K4472" s="1">
        <f t="shared" si="69"/>
        <v>2020</v>
      </c>
    </row>
    <row r="4473" spans="2:11" x14ac:dyDescent="0.45">
      <c r="B4473" s="1" t="s">
        <v>4000</v>
      </c>
      <c r="C4473" s="1" t="s">
        <v>4443</v>
      </c>
      <c r="D4473" s="7">
        <v>43565</v>
      </c>
      <c r="E4473" s="7">
        <v>43585</v>
      </c>
      <c r="G4473" s="1" t="s">
        <v>22</v>
      </c>
      <c r="H4473" s="8">
        <v>13525516.6</v>
      </c>
      <c r="I4473" s="8">
        <v>6334934.4900000002</v>
      </c>
      <c r="J4473" s="1">
        <f>IF(COUNTIF($C$4:C4473,C4473)=1,1,0)</f>
        <v>1</v>
      </c>
      <c r="K4473" s="1">
        <f t="shared" si="69"/>
        <v>2019</v>
      </c>
    </row>
    <row r="4474" spans="2:11" x14ac:dyDescent="0.45">
      <c r="B4474" s="1" t="s">
        <v>4000</v>
      </c>
      <c r="C4474" s="1" t="s">
        <v>4444</v>
      </c>
      <c r="D4474" s="7">
        <v>44363</v>
      </c>
      <c r="E4474" s="7">
        <v>44373</v>
      </c>
      <c r="G4474" s="1" t="s">
        <v>38</v>
      </c>
      <c r="H4474" s="8">
        <v>1246927.76</v>
      </c>
      <c r="I4474" s="8">
        <v>1118145.04</v>
      </c>
      <c r="J4474" s="1">
        <f>IF(COUNTIF($C$4:C4474,C4474)=1,1,0)</f>
        <v>1</v>
      </c>
      <c r="K4474" s="1">
        <f t="shared" si="69"/>
        <v>2021</v>
      </c>
    </row>
    <row r="4475" spans="2:11" x14ac:dyDescent="0.45">
      <c r="B4475" s="1" t="s">
        <v>4000</v>
      </c>
      <c r="C4475" s="1" t="s">
        <v>4445</v>
      </c>
      <c r="D4475" s="7">
        <v>43689</v>
      </c>
      <c r="E4475" s="7">
        <v>43693</v>
      </c>
      <c r="G4475" s="1" t="s">
        <v>13</v>
      </c>
      <c r="H4475" s="8">
        <v>250624.21</v>
      </c>
      <c r="I4475" s="8">
        <v>172274.22</v>
      </c>
      <c r="J4475" s="1">
        <f>IF(COUNTIF($C$4:C4475,C4475)=1,1,0)</f>
        <v>1</v>
      </c>
      <c r="K4475" s="1">
        <f t="shared" si="69"/>
        <v>2019</v>
      </c>
    </row>
    <row r="4476" spans="2:11" x14ac:dyDescent="0.45">
      <c r="B4476" s="1" t="s">
        <v>4000</v>
      </c>
      <c r="C4476" s="1" t="s">
        <v>4446</v>
      </c>
      <c r="D4476" s="7">
        <v>45112</v>
      </c>
      <c r="E4476" s="7">
        <v>45138</v>
      </c>
      <c r="G4476" s="1" t="s">
        <v>13</v>
      </c>
      <c r="H4476" s="8">
        <v>618331.96</v>
      </c>
      <c r="I4476" s="8">
        <v>451411.05</v>
      </c>
      <c r="J4476" s="1">
        <f>IF(COUNTIF($C$4:C4476,C4476)=1,1,0)</f>
        <v>1</v>
      </c>
      <c r="K4476" s="1">
        <f t="shared" si="69"/>
        <v>2023</v>
      </c>
    </row>
    <row r="4477" spans="2:11" x14ac:dyDescent="0.45">
      <c r="B4477" s="1" t="s">
        <v>4000</v>
      </c>
      <c r="C4477" s="1" t="s">
        <v>4447</v>
      </c>
      <c r="D4477" s="7">
        <v>43845</v>
      </c>
      <c r="E4477" s="7">
        <v>43857</v>
      </c>
      <c r="G4477" s="1" t="s">
        <v>212</v>
      </c>
      <c r="H4477" s="8">
        <v>16385551.460000001</v>
      </c>
      <c r="I4477" s="8">
        <v>7335832.9299999997</v>
      </c>
      <c r="J4477" s="1">
        <f>IF(COUNTIF($C$4:C4477,C4477)=1,1,0)</f>
        <v>1</v>
      </c>
      <c r="K4477" s="1">
        <f t="shared" si="69"/>
        <v>2020</v>
      </c>
    </row>
    <row r="4478" spans="2:11" x14ac:dyDescent="0.45">
      <c r="B4478" s="1" t="s">
        <v>4000</v>
      </c>
      <c r="C4478" s="1" t="s">
        <v>4290</v>
      </c>
      <c r="D4478" s="7">
        <v>45871</v>
      </c>
      <c r="E4478" s="7">
        <v>45872</v>
      </c>
      <c r="G4478" s="1" t="s">
        <v>18</v>
      </c>
      <c r="H4478" s="8">
        <v>333609.03000000003</v>
      </c>
      <c r="I4478" s="8">
        <v>258145.9</v>
      </c>
      <c r="J4478" s="1">
        <f>IF(COUNTIF($C$4:C4478,C4478)=1,1,0)</f>
        <v>0</v>
      </c>
      <c r="K4478" s="1">
        <f t="shared" si="69"/>
        <v>2025</v>
      </c>
    </row>
    <row r="4479" spans="2:11" x14ac:dyDescent="0.45">
      <c r="B4479" s="1" t="s">
        <v>4000</v>
      </c>
      <c r="C4479" s="1" t="s">
        <v>4448</v>
      </c>
      <c r="D4479" s="7">
        <v>43326</v>
      </c>
      <c r="E4479" s="7">
        <v>43326</v>
      </c>
      <c r="G4479" s="1" t="s">
        <v>20</v>
      </c>
      <c r="H4479" s="8">
        <v>387870.28</v>
      </c>
      <c r="I4479" s="8">
        <v>293078.5</v>
      </c>
      <c r="J4479" s="1">
        <f>IF(COUNTIF($C$4:C4479,C4479)=1,1,0)</f>
        <v>1</v>
      </c>
      <c r="K4479" s="1">
        <f t="shared" si="69"/>
        <v>2018</v>
      </c>
    </row>
    <row r="4480" spans="2:11" x14ac:dyDescent="0.45">
      <c r="B4480" s="1" t="s">
        <v>4000</v>
      </c>
      <c r="C4480" s="1" t="s">
        <v>4449</v>
      </c>
      <c r="D4480" s="7">
        <v>43224</v>
      </c>
      <c r="E4480" s="7">
        <v>43241</v>
      </c>
      <c r="G4480" s="1" t="s">
        <v>16</v>
      </c>
      <c r="H4480" s="8">
        <v>1187558.6499999999</v>
      </c>
      <c r="I4480" s="8">
        <v>938588.74</v>
      </c>
      <c r="J4480" s="1">
        <f>IF(COUNTIF($C$4:C4480,C4480)=1,1,0)</f>
        <v>1</v>
      </c>
      <c r="K4480" s="1">
        <f t="shared" si="69"/>
        <v>2018</v>
      </c>
    </row>
    <row r="4481" spans="2:11" x14ac:dyDescent="0.45">
      <c r="B4481" s="1" t="s">
        <v>4000</v>
      </c>
      <c r="C4481" s="1" t="s">
        <v>4450</v>
      </c>
      <c r="D4481" s="7">
        <v>44400</v>
      </c>
      <c r="E4481" s="7">
        <v>44423</v>
      </c>
      <c r="G4481" s="1" t="s">
        <v>22</v>
      </c>
      <c r="H4481" s="8">
        <v>18800853.539999999</v>
      </c>
      <c r="I4481" s="8">
        <v>8451661.9700000007</v>
      </c>
      <c r="J4481" s="1">
        <f>IF(COUNTIF($C$4:C4481,C4481)=1,1,0)</f>
        <v>1</v>
      </c>
      <c r="K4481" s="1">
        <f t="shared" si="69"/>
        <v>2021</v>
      </c>
    </row>
    <row r="4482" spans="2:11" x14ac:dyDescent="0.45">
      <c r="B4482" s="1" t="s">
        <v>4000</v>
      </c>
      <c r="C4482" s="1" t="s">
        <v>4451</v>
      </c>
      <c r="D4482" s="7">
        <v>44806</v>
      </c>
      <c r="E4482" s="7">
        <v>44830</v>
      </c>
      <c r="G4482" s="1" t="s">
        <v>20</v>
      </c>
      <c r="H4482" s="8">
        <v>15693883.16</v>
      </c>
      <c r="I4482" s="8">
        <v>9463563.8200000003</v>
      </c>
      <c r="J4482" s="1">
        <f>IF(COUNTIF($C$4:C4482,C4482)=1,1,0)</f>
        <v>1</v>
      </c>
      <c r="K4482" s="1">
        <f t="shared" si="69"/>
        <v>2022</v>
      </c>
    </row>
    <row r="4483" spans="2:11" x14ac:dyDescent="0.45">
      <c r="B4483" s="1" t="s">
        <v>4000</v>
      </c>
      <c r="C4483" s="1" t="s">
        <v>4452</v>
      </c>
      <c r="D4483" s="7">
        <v>45094</v>
      </c>
      <c r="E4483" s="7">
        <v>45116</v>
      </c>
      <c r="G4483" s="1" t="s">
        <v>22</v>
      </c>
      <c r="H4483" s="8">
        <v>9360671.5999999996</v>
      </c>
      <c r="I4483" s="8">
        <v>6923042.7699999996</v>
      </c>
      <c r="J4483" s="1">
        <f>IF(COUNTIF($C$4:C4483,C4483)=1,1,0)</f>
        <v>1</v>
      </c>
      <c r="K4483" s="1">
        <f t="shared" si="69"/>
        <v>2023</v>
      </c>
    </row>
    <row r="4484" spans="2:11" x14ac:dyDescent="0.45">
      <c r="B4484" s="1" t="s">
        <v>4000</v>
      </c>
      <c r="C4484" s="1" t="s">
        <v>4453</v>
      </c>
      <c r="D4484" s="7">
        <v>44255</v>
      </c>
      <c r="E4484" s="7">
        <v>44255</v>
      </c>
      <c r="G4484" s="1" t="s">
        <v>22</v>
      </c>
      <c r="H4484" s="8">
        <v>703821.24</v>
      </c>
      <c r="I4484" s="8">
        <v>291090.65000000002</v>
      </c>
      <c r="J4484" s="1">
        <f>IF(COUNTIF($C$4:C4484,C4484)=1,1,0)</f>
        <v>1</v>
      </c>
      <c r="K4484" s="1">
        <f t="shared" si="69"/>
        <v>2021</v>
      </c>
    </row>
    <row r="4485" spans="2:11" x14ac:dyDescent="0.45">
      <c r="B4485" s="1" t="s">
        <v>4000</v>
      </c>
      <c r="C4485" s="1" t="s">
        <v>4454</v>
      </c>
      <c r="D4485" s="7">
        <v>44435</v>
      </c>
      <c r="E4485" s="7">
        <v>44459</v>
      </c>
      <c r="G4485" s="1" t="s">
        <v>20</v>
      </c>
      <c r="H4485" s="8">
        <v>879471.2</v>
      </c>
      <c r="I4485" s="8">
        <v>630917.93000000005</v>
      </c>
      <c r="J4485" s="1">
        <f>IF(COUNTIF($C$4:C4485,C4485)=1,1,0)</f>
        <v>1</v>
      </c>
      <c r="K4485" s="1">
        <f t="shared" ref="K4485:K4548" si="70">YEAR(D4485)</f>
        <v>2021</v>
      </c>
    </row>
    <row r="4486" spans="2:11" x14ac:dyDescent="0.45">
      <c r="B4486" s="1" t="s">
        <v>4000</v>
      </c>
      <c r="C4486" s="1" t="s">
        <v>4455</v>
      </c>
      <c r="D4486" s="7">
        <v>43782</v>
      </c>
      <c r="E4486" s="7">
        <v>43791</v>
      </c>
      <c r="G4486" s="1" t="s">
        <v>38</v>
      </c>
      <c r="H4486" s="8">
        <v>327536.75</v>
      </c>
      <c r="I4486" s="8">
        <v>267567.84999999998</v>
      </c>
      <c r="J4486" s="1">
        <f>IF(COUNTIF($C$4:C4486,C4486)=1,1,0)</f>
        <v>1</v>
      </c>
      <c r="K4486" s="1">
        <f t="shared" si="70"/>
        <v>2019</v>
      </c>
    </row>
    <row r="4487" spans="2:11" x14ac:dyDescent="0.45">
      <c r="B4487" s="1" t="s">
        <v>4000</v>
      </c>
      <c r="C4487" s="1" t="s">
        <v>4456</v>
      </c>
      <c r="D4487" s="7">
        <v>45831</v>
      </c>
      <c r="E4487" s="7">
        <v>45840</v>
      </c>
      <c r="G4487" s="1" t="s">
        <v>22</v>
      </c>
      <c r="H4487" s="8">
        <v>3916143.59</v>
      </c>
      <c r="I4487" s="8">
        <v>2023241.64</v>
      </c>
      <c r="J4487" s="1">
        <f>IF(COUNTIF($C$4:C4487,C4487)=1,1,0)</f>
        <v>1</v>
      </c>
      <c r="K4487" s="1">
        <f t="shared" si="70"/>
        <v>2025</v>
      </c>
    </row>
    <row r="4488" spans="2:11" x14ac:dyDescent="0.45">
      <c r="B4488" s="1" t="s">
        <v>4000</v>
      </c>
      <c r="C4488" s="1" t="s">
        <v>4457</v>
      </c>
      <c r="D4488" s="7">
        <v>44549</v>
      </c>
      <c r="E4488" s="7">
        <v>44551</v>
      </c>
      <c r="G4488" s="1" t="s">
        <v>16</v>
      </c>
      <c r="H4488" s="8">
        <v>343061.83</v>
      </c>
      <c r="I4488" s="8">
        <v>218555.41</v>
      </c>
      <c r="J4488" s="1">
        <f>IF(COUNTIF($C$4:C4488,C4488)=1,1,0)</f>
        <v>1</v>
      </c>
      <c r="K4488" s="1">
        <f t="shared" si="70"/>
        <v>2021</v>
      </c>
    </row>
    <row r="4489" spans="2:11" x14ac:dyDescent="0.45">
      <c r="B4489" s="1" t="s">
        <v>4000</v>
      </c>
      <c r="C4489" s="1" t="s">
        <v>4458</v>
      </c>
      <c r="D4489" s="7">
        <v>43924</v>
      </c>
      <c r="E4489" s="7">
        <v>43934</v>
      </c>
      <c r="G4489" s="1" t="s">
        <v>41</v>
      </c>
      <c r="H4489" s="8">
        <v>115474.42</v>
      </c>
      <c r="I4489" s="8">
        <v>102808.16</v>
      </c>
      <c r="J4489" s="1">
        <f>IF(COUNTIF($C$4:C4489,C4489)=1,1,0)</f>
        <v>1</v>
      </c>
      <c r="K4489" s="1">
        <f t="shared" si="70"/>
        <v>2020</v>
      </c>
    </row>
    <row r="4490" spans="2:11" x14ac:dyDescent="0.45">
      <c r="B4490" s="1" t="s">
        <v>4000</v>
      </c>
      <c r="C4490" s="1" t="s">
        <v>4459</v>
      </c>
      <c r="D4490" s="7">
        <v>44039</v>
      </c>
      <c r="E4490" s="7">
        <v>44066</v>
      </c>
      <c r="G4490" s="1" t="s">
        <v>20</v>
      </c>
      <c r="H4490" s="8">
        <v>12991233.109999999</v>
      </c>
      <c r="I4490" s="8">
        <v>7680468</v>
      </c>
      <c r="J4490" s="1">
        <f>IF(COUNTIF($C$4:C4490,C4490)=1,1,0)</f>
        <v>1</v>
      </c>
      <c r="K4490" s="1">
        <f t="shared" si="70"/>
        <v>2020</v>
      </c>
    </row>
    <row r="4491" spans="2:11" x14ac:dyDescent="0.45">
      <c r="B4491" s="1" t="s">
        <v>4000</v>
      </c>
      <c r="C4491" s="1" t="s">
        <v>4460</v>
      </c>
      <c r="D4491" s="7">
        <v>43928</v>
      </c>
      <c r="E4491" s="7">
        <v>43957</v>
      </c>
      <c r="G4491" s="1" t="s">
        <v>20</v>
      </c>
      <c r="H4491" s="8">
        <v>34220920.100000001</v>
      </c>
      <c r="I4491" s="8">
        <v>22313481.109999999</v>
      </c>
      <c r="J4491" s="1">
        <f>IF(COUNTIF($C$4:C4491,C4491)=1,1,0)</f>
        <v>1</v>
      </c>
      <c r="K4491" s="1">
        <f t="shared" si="70"/>
        <v>2020</v>
      </c>
    </row>
    <row r="4492" spans="2:11" x14ac:dyDescent="0.45">
      <c r="B4492" s="1" t="s">
        <v>4000</v>
      </c>
      <c r="C4492" s="1" t="s">
        <v>4461</v>
      </c>
      <c r="D4492" s="7">
        <v>45044</v>
      </c>
      <c r="E4492" s="7">
        <v>45065</v>
      </c>
      <c r="G4492" s="1" t="s">
        <v>16</v>
      </c>
      <c r="H4492" s="8">
        <v>1459574.39</v>
      </c>
      <c r="I4492" s="8">
        <v>1064489.83</v>
      </c>
      <c r="J4492" s="1">
        <f>IF(COUNTIF($C$4:C4492,C4492)=1,1,0)</f>
        <v>1</v>
      </c>
      <c r="K4492" s="1">
        <f t="shared" si="70"/>
        <v>2023</v>
      </c>
    </row>
    <row r="4493" spans="2:11" x14ac:dyDescent="0.45">
      <c r="B4493" s="1" t="s">
        <v>4000</v>
      </c>
      <c r="C4493" s="1" t="s">
        <v>4462</v>
      </c>
      <c r="D4493" s="7">
        <v>44010</v>
      </c>
      <c r="E4493" s="7">
        <v>44014</v>
      </c>
      <c r="G4493" s="1" t="s">
        <v>212</v>
      </c>
      <c r="H4493" s="8">
        <v>11302063.99</v>
      </c>
      <c r="I4493" s="8">
        <v>5060803.7699999996</v>
      </c>
      <c r="J4493" s="1">
        <f>IF(COUNTIF($C$4:C4493,C4493)=1,1,0)</f>
        <v>1</v>
      </c>
      <c r="K4493" s="1">
        <f t="shared" si="70"/>
        <v>2020</v>
      </c>
    </row>
    <row r="4494" spans="2:11" x14ac:dyDescent="0.45">
      <c r="B4494" s="1" t="s">
        <v>4000</v>
      </c>
      <c r="C4494" s="1" t="s">
        <v>4463</v>
      </c>
      <c r="D4494" s="7">
        <v>45145</v>
      </c>
      <c r="E4494" s="7">
        <v>45164</v>
      </c>
      <c r="G4494" s="1" t="s">
        <v>41</v>
      </c>
      <c r="H4494" s="8">
        <v>185559.22</v>
      </c>
      <c r="I4494" s="8">
        <v>131356.23000000001</v>
      </c>
      <c r="J4494" s="1">
        <f>IF(COUNTIF($C$4:C4494,C4494)=1,1,0)</f>
        <v>1</v>
      </c>
      <c r="K4494" s="1">
        <f t="shared" si="70"/>
        <v>2023</v>
      </c>
    </row>
    <row r="4495" spans="2:11" x14ac:dyDescent="0.45">
      <c r="B4495" s="1" t="s">
        <v>4000</v>
      </c>
      <c r="C4495" s="1" t="s">
        <v>4464</v>
      </c>
      <c r="D4495" s="7">
        <v>43164</v>
      </c>
      <c r="E4495" s="7">
        <v>43186</v>
      </c>
      <c r="G4495" s="1" t="s">
        <v>22</v>
      </c>
      <c r="H4495" s="8">
        <v>9243315.7799999993</v>
      </c>
      <c r="I4495" s="8">
        <v>3436193.16</v>
      </c>
      <c r="J4495" s="1">
        <f>IF(COUNTIF($C$4:C4495,C4495)=1,1,0)</f>
        <v>1</v>
      </c>
      <c r="K4495" s="1">
        <f t="shared" si="70"/>
        <v>2018</v>
      </c>
    </row>
    <row r="4496" spans="2:11" x14ac:dyDescent="0.45">
      <c r="B4496" s="1" t="s">
        <v>4000</v>
      </c>
      <c r="C4496" s="1" t="s">
        <v>4465</v>
      </c>
      <c r="D4496" s="7">
        <v>44606</v>
      </c>
      <c r="E4496" s="7">
        <v>44614</v>
      </c>
      <c r="G4496" s="1" t="s">
        <v>18</v>
      </c>
      <c r="H4496" s="8">
        <v>2503437.56</v>
      </c>
      <c r="I4496" s="8">
        <v>2097990.58</v>
      </c>
      <c r="J4496" s="1">
        <f>IF(COUNTIF($C$4:C4496,C4496)=1,1,0)</f>
        <v>1</v>
      </c>
      <c r="K4496" s="1">
        <f t="shared" si="70"/>
        <v>2022</v>
      </c>
    </row>
    <row r="4497" spans="2:11" x14ac:dyDescent="0.45">
      <c r="B4497" s="1" t="s">
        <v>4000</v>
      </c>
      <c r="C4497" s="1" t="s">
        <v>4466</v>
      </c>
      <c r="D4497" s="7">
        <v>46187</v>
      </c>
      <c r="E4497" s="7">
        <v>46209</v>
      </c>
      <c r="G4497" s="1" t="s">
        <v>38</v>
      </c>
      <c r="H4497" s="8">
        <v>92576.18</v>
      </c>
      <c r="I4497" s="8">
        <v>85341.82</v>
      </c>
      <c r="J4497" s="1">
        <f>IF(COUNTIF($C$4:C4497,C4497)=1,1,0)</f>
        <v>1</v>
      </c>
      <c r="K4497" s="1">
        <f t="shared" si="70"/>
        <v>2026</v>
      </c>
    </row>
    <row r="4498" spans="2:11" x14ac:dyDescent="0.45">
      <c r="B4498" s="1" t="s">
        <v>4000</v>
      </c>
      <c r="C4498" s="1" t="s">
        <v>4467</v>
      </c>
      <c r="D4498" s="7">
        <v>45434</v>
      </c>
      <c r="E4498" s="7">
        <v>45452</v>
      </c>
      <c r="G4498" s="1" t="s">
        <v>20</v>
      </c>
      <c r="H4498" s="8">
        <v>36204545.579999998</v>
      </c>
      <c r="I4498" s="8">
        <v>19801431.399999999</v>
      </c>
      <c r="J4498" s="1">
        <f>IF(COUNTIF($C$4:C4498,C4498)=1,1,0)</f>
        <v>1</v>
      </c>
      <c r="K4498" s="1">
        <f t="shared" si="70"/>
        <v>2024</v>
      </c>
    </row>
    <row r="4499" spans="2:11" x14ac:dyDescent="0.45">
      <c r="B4499" s="1" t="s">
        <v>4000</v>
      </c>
      <c r="C4499" s="1" t="s">
        <v>4468</v>
      </c>
      <c r="D4499" s="7">
        <v>45554</v>
      </c>
      <c r="E4499" s="7">
        <v>45564</v>
      </c>
      <c r="G4499" s="1" t="s">
        <v>13</v>
      </c>
      <c r="H4499" s="8">
        <v>189264.61</v>
      </c>
      <c r="I4499" s="8">
        <v>161451.32999999999</v>
      </c>
      <c r="J4499" s="1">
        <f>IF(COUNTIF($C$4:C4499,C4499)=1,1,0)</f>
        <v>1</v>
      </c>
      <c r="K4499" s="1">
        <f t="shared" si="70"/>
        <v>2024</v>
      </c>
    </row>
    <row r="4500" spans="2:11" x14ac:dyDescent="0.45">
      <c r="B4500" s="1" t="s">
        <v>4000</v>
      </c>
      <c r="C4500" s="1" t="s">
        <v>4469</v>
      </c>
      <c r="D4500" s="7">
        <v>45750</v>
      </c>
      <c r="E4500" s="7">
        <v>45765</v>
      </c>
      <c r="G4500" s="1" t="s">
        <v>16</v>
      </c>
      <c r="H4500" s="8">
        <v>3095384.25</v>
      </c>
      <c r="I4500" s="8">
        <v>2175160.0499999998</v>
      </c>
      <c r="J4500" s="1">
        <f>IF(COUNTIF($C$4:C4500,C4500)=1,1,0)</f>
        <v>1</v>
      </c>
      <c r="K4500" s="1">
        <f t="shared" si="70"/>
        <v>2025</v>
      </c>
    </row>
    <row r="4501" spans="2:11" x14ac:dyDescent="0.45">
      <c r="B4501" s="1" t="s">
        <v>4000</v>
      </c>
      <c r="C4501" s="1" t="s">
        <v>4470</v>
      </c>
      <c r="D4501" s="7">
        <v>44083</v>
      </c>
      <c r="E4501" s="7">
        <v>44087</v>
      </c>
      <c r="G4501" s="1" t="s">
        <v>41</v>
      </c>
      <c r="H4501" s="8">
        <v>478200</v>
      </c>
      <c r="I4501" s="8">
        <v>405736.13</v>
      </c>
      <c r="J4501" s="1">
        <f>IF(COUNTIF($C$4:C4501,C4501)=1,1,0)</f>
        <v>1</v>
      </c>
      <c r="K4501" s="1">
        <f t="shared" si="70"/>
        <v>2020</v>
      </c>
    </row>
    <row r="4502" spans="2:11" x14ac:dyDescent="0.45">
      <c r="B4502" s="1" t="s">
        <v>4000</v>
      </c>
      <c r="C4502" s="1" t="s">
        <v>4471</v>
      </c>
      <c r="D4502" s="7">
        <v>45798</v>
      </c>
      <c r="E4502" s="7">
        <v>45806</v>
      </c>
      <c r="G4502" s="1" t="s">
        <v>20</v>
      </c>
      <c r="H4502" s="8">
        <v>13183509.68</v>
      </c>
      <c r="I4502" s="8">
        <v>8741540.6199999992</v>
      </c>
      <c r="J4502" s="1">
        <f>IF(COUNTIF($C$4:C4502,C4502)=1,1,0)</f>
        <v>1</v>
      </c>
      <c r="K4502" s="1">
        <f t="shared" si="70"/>
        <v>2025</v>
      </c>
    </row>
    <row r="4503" spans="2:11" x14ac:dyDescent="0.45">
      <c r="B4503" s="1" t="s">
        <v>4000</v>
      </c>
      <c r="C4503" s="1" t="s">
        <v>4472</v>
      </c>
      <c r="D4503" s="7">
        <v>43756</v>
      </c>
      <c r="E4503" s="7">
        <v>43782</v>
      </c>
      <c r="G4503" s="1" t="s">
        <v>16</v>
      </c>
      <c r="H4503" s="8">
        <v>1374109.17</v>
      </c>
      <c r="I4503" s="8">
        <v>925642.12</v>
      </c>
      <c r="J4503" s="1">
        <f>IF(COUNTIF($C$4:C4503,C4503)=1,1,0)</f>
        <v>1</v>
      </c>
      <c r="K4503" s="1">
        <f t="shared" si="70"/>
        <v>2019</v>
      </c>
    </row>
    <row r="4504" spans="2:11" x14ac:dyDescent="0.45">
      <c r="B4504" s="1" t="s">
        <v>4000</v>
      </c>
      <c r="C4504" s="1" t="s">
        <v>4473</v>
      </c>
      <c r="D4504" s="7">
        <v>45936</v>
      </c>
      <c r="E4504" s="7">
        <v>45955</v>
      </c>
      <c r="G4504" s="1" t="s">
        <v>13</v>
      </c>
      <c r="H4504" s="8">
        <v>580325.34</v>
      </c>
      <c r="I4504" s="8">
        <v>523931.71</v>
      </c>
      <c r="J4504" s="1">
        <f>IF(COUNTIF($C$4:C4504,C4504)=1,1,0)</f>
        <v>1</v>
      </c>
      <c r="K4504" s="1">
        <f t="shared" si="70"/>
        <v>2025</v>
      </c>
    </row>
    <row r="4505" spans="2:11" x14ac:dyDescent="0.45">
      <c r="B4505" s="1" t="s">
        <v>4000</v>
      </c>
      <c r="C4505" s="1" t="s">
        <v>4474</v>
      </c>
      <c r="D4505" s="7">
        <v>45722</v>
      </c>
      <c r="E4505" s="7">
        <v>45743</v>
      </c>
      <c r="G4505" s="1" t="s">
        <v>22</v>
      </c>
      <c r="H4505" s="8">
        <v>11284750.369999999</v>
      </c>
      <c r="I4505" s="8">
        <v>8590107.1300000008</v>
      </c>
      <c r="J4505" s="1">
        <f>IF(COUNTIF($C$4:C4505,C4505)=1,1,0)</f>
        <v>1</v>
      </c>
      <c r="K4505" s="1">
        <f t="shared" si="70"/>
        <v>2025</v>
      </c>
    </row>
    <row r="4506" spans="2:11" x14ac:dyDescent="0.45">
      <c r="B4506" s="1" t="s">
        <v>4000</v>
      </c>
      <c r="C4506" s="1" t="s">
        <v>4475</v>
      </c>
      <c r="D4506" s="7">
        <v>45623</v>
      </c>
      <c r="E4506" s="7">
        <v>45645</v>
      </c>
      <c r="G4506" s="1" t="s">
        <v>13</v>
      </c>
      <c r="H4506" s="8">
        <v>435536.76</v>
      </c>
      <c r="I4506" s="8">
        <v>377034.09</v>
      </c>
      <c r="J4506" s="1">
        <f>IF(COUNTIF($C$4:C4506,C4506)=1,1,0)</f>
        <v>1</v>
      </c>
      <c r="K4506" s="1">
        <f t="shared" si="70"/>
        <v>2024</v>
      </c>
    </row>
    <row r="4507" spans="2:11" x14ac:dyDescent="0.45">
      <c r="B4507" s="1" t="s">
        <v>4000</v>
      </c>
      <c r="C4507" s="1" t="s">
        <v>4476</v>
      </c>
      <c r="D4507" s="7">
        <v>44122</v>
      </c>
      <c r="E4507" s="7">
        <v>44144</v>
      </c>
      <c r="G4507" s="1" t="s">
        <v>212</v>
      </c>
      <c r="H4507" s="8">
        <v>7397102.5599999996</v>
      </c>
      <c r="I4507" s="8">
        <v>3225872.74</v>
      </c>
      <c r="J4507" s="1">
        <f>IF(COUNTIF($C$4:C4507,C4507)=1,1,0)</f>
        <v>1</v>
      </c>
      <c r="K4507" s="1">
        <f t="shared" si="70"/>
        <v>2020</v>
      </c>
    </row>
    <row r="4508" spans="2:11" x14ac:dyDescent="0.45">
      <c r="B4508" s="1" t="s">
        <v>4000</v>
      </c>
      <c r="C4508" s="1" t="s">
        <v>4477</v>
      </c>
      <c r="D4508" s="7">
        <v>43750</v>
      </c>
      <c r="E4508" s="7">
        <v>43775</v>
      </c>
      <c r="G4508" s="1" t="s">
        <v>1348</v>
      </c>
      <c r="H4508" s="8">
        <v>10543047.029999999</v>
      </c>
      <c r="I4508" s="8">
        <v>5181317.01</v>
      </c>
      <c r="J4508" s="1">
        <f>IF(COUNTIF($C$4:C4508,C4508)=1,1,0)</f>
        <v>1</v>
      </c>
      <c r="K4508" s="1">
        <f t="shared" si="70"/>
        <v>2019</v>
      </c>
    </row>
    <row r="4509" spans="2:11" x14ac:dyDescent="0.45">
      <c r="B4509" s="1" t="s">
        <v>4000</v>
      </c>
      <c r="C4509" s="1" t="s">
        <v>4478</v>
      </c>
      <c r="D4509" s="7">
        <v>44690</v>
      </c>
      <c r="E4509" s="7">
        <v>44716</v>
      </c>
      <c r="G4509" s="1" t="s">
        <v>38</v>
      </c>
      <c r="H4509" s="8">
        <v>100094.06</v>
      </c>
      <c r="I4509" s="8">
        <v>84500.06</v>
      </c>
      <c r="J4509" s="1">
        <f>IF(COUNTIF($C$4:C4509,C4509)=1,1,0)</f>
        <v>1</v>
      </c>
      <c r="K4509" s="1">
        <f t="shared" si="70"/>
        <v>2022</v>
      </c>
    </row>
    <row r="4510" spans="2:11" x14ac:dyDescent="0.45">
      <c r="B4510" s="1" t="s">
        <v>4000</v>
      </c>
      <c r="C4510" s="1" t="s">
        <v>4479</v>
      </c>
      <c r="D4510" s="7">
        <v>44076</v>
      </c>
      <c r="E4510" s="7">
        <v>44099</v>
      </c>
      <c r="G4510" s="1" t="s">
        <v>212</v>
      </c>
      <c r="H4510" s="8">
        <v>509579.51</v>
      </c>
      <c r="I4510" s="8">
        <v>266339.21000000002</v>
      </c>
      <c r="J4510" s="1">
        <f>IF(COUNTIF($C$4:C4510,C4510)=1,1,0)</f>
        <v>1</v>
      </c>
      <c r="K4510" s="1">
        <f t="shared" si="70"/>
        <v>2020</v>
      </c>
    </row>
    <row r="4511" spans="2:11" x14ac:dyDescent="0.45">
      <c r="B4511" s="1" t="s">
        <v>4000</v>
      </c>
      <c r="C4511" s="1" t="s">
        <v>4480</v>
      </c>
      <c r="D4511" s="7">
        <v>44033</v>
      </c>
      <c r="E4511" s="7">
        <v>44054</v>
      </c>
      <c r="G4511" s="1" t="s">
        <v>22</v>
      </c>
      <c r="H4511" s="8">
        <v>25842377.370000001</v>
      </c>
      <c r="I4511" s="8">
        <v>19804407.539999999</v>
      </c>
      <c r="J4511" s="1">
        <f>IF(COUNTIF($C$4:C4511,C4511)=1,1,0)</f>
        <v>1</v>
      </c>
      <c r="K4511" s="1">
        <f t="shared" si="70"/>
        <v>2020</v>
      </c>
    </row>
    <row r="4512" spans="2:11" x14ac:dyDescent="0.45">
      <c r="B4512" s="1" t="s">
        <v>4000</v>
      </c>
      <c r="C4512" s="1" t="s">
        <v>4481</v>
      </c>
      <c r="D4512" s="7">
        <v>44817</v>
      </c>
      <c r="E4512" s="7">
        <v>44828</v>
      </c>
      <c r="G4512" s="1" t="s">
        <v>18</v>
      </c>
      <c r="H4512" s="8">
        <v>5397765.3399999999</v>
      </c>
      <c r="I4512" s="8">
        <v>4728570.4000000004</v>
      </c>
      <c r="J4512" s="1">
        <f>IF(COUNTIF($C$4:C4512,C4512)=1,1,0)</f>
        <v>1</v>
      </c>
      <c r="K4512" s="1">
        <f t="shared" si="70"/>
        <v>2022</v>
      </c>
    </row>
    <row r="4513" spans="2:11" x14ac:dyDescent="0.45">
      <c r="B4513" s="1" t="s">
        <v>4000</v>
      </c>
      <c r="C4513" s="1" t="s">
        <v>4482</v>
      </c>
      <c r="D4513" s="7">
        <v>43890</v>
      </c>
      <c r="E4513" s="7">
        <v>43893</v>
      </c>
      <c r="G4513" s="1" t="s">
        <v>38</v>
      </c>
      <c r="H4513" s="8">
        <v>233181.94</v>
      </c>
      <c r="I4513" s="8">
        <v>202296.01</v>
      </c>
      <c r="J4513" s="1">
        <f>IF(COUNTIF($C$4:C4513,C4513)=1,1,0)</f>
        <v>1</v>
      </c>
      <c r="K4513" s="1">
        <f t="shared" si="70"/>
        <v>2020</v>
      </c>
    </row>
    <row r="4514" spans="2:11" x14ac:dyDescent="0.45">
      <c r="B4514" s="1" t="s">
        <v>4000</v>
      </c>
      <c r="C4514" s="1" t="s">
        <v>4483</v>
      </c>
      <c r="D4514" s="7">
        <v>45986</v>
      </c>
      <c r="E4514" s="7">
        <v>46006</v>
      </c>
      <c r="G4514" s="1" t="s">
        <v>38</v>
      </c>
      <c r="H4514" s="8">
        <v>568912.24</v>
      </c>
      <c r="I4514" s="8">
        <v>456779.52000000002</v>
      </c>
      <c r="J4514" s="1">
        <f>IF(COUNTIF($C$4:C4514,C4514)=1,1,0)</f>
        <v>1</v>
      </c>
      <c r="K4514" s="1">
        <f t="shared" si="70"/>
        <v>2025</v>
      </c>
    </row>
    <row r="4515" spans="2:11" x14ac:dyDescent="0.45">
      <c r="B4515" s="1" t="s">
        <v>4000</v>
      </c>
      <c r="C4515" s="1" t="s">
        <v>4484</v>
      </c>
      <c r="D4515" s="7">
        <v>44089</v>
      </c>
      <c r="E4515" s="7">
        <v>44099</v>
      </c>
      <c r="G4515" s="1" t="s">
        <v>22</v>
      </c>
      <c r="H4515" s="8">
        <v>12423280.91</v>
      </c>
      <c r="I4515" s="8">
        <v>7152472.3899999997</v>
      </c>
      <c r="J4515" s="1">
        <f>IF(COUNTIF($C$4:C4515,C4515)=1,1,0)</f>
        <v>1</v>
      </c>
      <c r="K4515" s="1">
        <f t="shared" si="70"/>
        <v>2020</v>
      </c>
    </row>
    <row r="4516" spans="2:11" x14ac:dyDescent="0.45">
      <c r="B4516" s="1" t="s">
        <v>4000</v>
      </c>
      <c r="C4516" s="1" t="s">
        <v>4485</v>
      </c>
      <c r="D4516" s="7">
        <v>45771</v>
      </c>
      <c r="E4516" s="7">
        <v>45772</v>
      </c>
      <c r="G4516" s="1" t="s">
        <v>41</v>
      </c>
      <c r="H4516" s="8">
        <v>97893.79</v>
      </c>
      <c r="I4516" s="8">
        <v>74905.03</v>
      </c>
      <c r="J4516" s="1">
        <f>IF(COUNTIF($C$4:C4516,C4516)=1,1,0)</f>
        <v>1</v>
      </c>
      <c r="K4516" s="1">
        <f t="shared" si="70"/>
        <v>2025</v>
      </c>
    </row>
    <row r="4517" spans="2:11" x14ac:dyDescent="0.45">
      <c r="B4517" s="1" t="s">
        <v>4000</v>
      </c>
      <c r="C4517" s="1" t="s">
        <v>4486</v>
      </c>
      <c r="D4517" s="7">
        <v>45014</v>
      </c>
      <c r="E4517" s="7">
        <v>45030</v>
      </c>
      <c r="G4517" s="1" t="s">
        <v>18</v>
      </c>
      <c r="H4517" s="8">
        <v>230822.35</v>
      </c>
      <c r="I4517" s="8">
        <v>193156.67</v>
      </c>
      <c r="J4517" s="1">
        <f>IF(COUNTIF($C$4:C4517,C4517)=1,1,0)</f>
        <v>1</v>
      </c>
      <c r="K4517" s="1">
        <f t="shared" si="70"/>
        <v>2023</v>
      </c>
    </row>
    <row r="4518" spans="2:11" x14ac:dyDescent="0.45">
      <c r="B4518" s="1" t="s">
        <v>4000</v>
      </c>
      <c r="C4518" s="1" t="s">
        <v>4487</v>
      </c>
      <c r="D4518" s="7">
        <v>44452</v>
      </c>
      <c r="E4518" s="7">
        <v>44471</v>
      </c>
      <c r="G4518" s="1" t="s">
        <v>22</v>
      </c>
      <c r="H4518" s="8">
        <v>79080766.799999997</v>
      </c>
      <c r="I4518" s="8">
        <v>64924764.329999998</v>
      </c>
      <c r="J4518" s="1">
        <f>IF(COUNTIF($C$4:C4518,C4518)=1,1,0)</f>
        <v>1</v>
      </c>
      <c r="K4518" s="1">
        <f t="shared" si="70"/>
        <v>2021</v>
      </c>
    </row>
    <row r="4519" spans="2:11" x14ac:dyDescent="0.45">
      <c r="B4519" s="1" t="s">
        <v>4000</v>
      </c>
      <c r="C4519" s="1" t="s">
        <v>4488</v>
      </c>
      <c r="D4519" s="7">
        <v>43294</v>
      </c>
      <c r="E4519" s="7">
        <v>43313</v>
      </c>
      <c r="G4519" s="1" t="s">
        <v>41</v>
      </c>
      <c r="H4519" s="8">
        <v>178067.85</v>
      </c>
      <c r="I4519" s="8">
        <v>161049.09</v>
      </c>
      <c r="J4519" s="1">
        <f>IF(COUNTIF($C$4:C4519,C4519)=1,1,0)</f>
        <v>1</v>
      </c>
      <c r="K4519" s="1">
        <f t="shared" si="70"/>
        <v>2018</v>
      </c>
    </row>
    <row r="4520" spans="2:11" x14ac:dyDescent="0.45">
      <c r="B4520" s="1" t="s">
        <v>4000</v>
      </c>
      <c r="C4520" s="1" t="s">
        <v>4489</v>
      </c>
      <c r="D4520" s="7">
        <v>43376</v>
      </c>
      <c r="E4520" s="7">
        <v>43381</v>
      </c>
      <c r="G4520" s="1" t="s">
        <v>20</v>
      </c>
      <c r="H4520" s="8">
        <v>442700.58</v>
      </c>
      <c r="I4520" s="8">
        <v>287495.53999999998</v>
      </c>
      <c r="J4520" s="1">
        <f>IF(COUNTIF($C$4:C4520,C4520)=1,1,0)</f>
        <v>1</v>
      </c>
      <c r="K4520" s="1">
        <f t="shared" si="70"/>
        <v>2018</v>
      </c>
    </row>
    <row r="4521" spans="2:11" x14ac:dyDescent="0.45">
      <c r="B4521" s="1" t="s">
        <v>4000</v>
      </c>
      <c r="C4521" s="1" t="s">
        <v>4490</v>
      </c>
      <c r="D4521" s="7">
        <v>44671</v>
      </c>
      <c r="E4521" s="7">
        <v>44688</v>
      </c>
      <c r="G4521" s="1" t="s">
        <v>13</v>
      </c>
      <c r="H4521" s="8">
        <v>502818.86</v>
      </c>
      <c r="I4521" s="8">
        <v>371200.69</v>
      </c>
      <c r="J4521" s="1">
        <f>IF(COUNTIF($C$4:C4521,C4521)=1,1,0)</f>
        <v>1</v>
      </c>
      <c r="K4521" s="1">
        <f t="shared" si="70"/>
        <v>2022</v>
      </c>
    </row>
    <row r="4522" spans="2:11" x14ac:dyDescent="0.45">
      <c r="B4522" s="1" t="s">
        <v>4000</v>
      </c>
      <c r="C4522" s="1" t="s">
        <v>4491</v>
      </c>
      <c r="D4522" s="7">
        <v>44356</v>
      </c>
      <c r="E4522" s="7">
        <v>44358</v>
      </c>
      <c r="G4522" s="1" t="s">
        <v>212</v>
      </c>
      <c r="H4522" s="8">
        <v>53571148.229999997</v>
      </c>
      <c r="I4522" s="8">
        <v>37109540.119999997</v>
      </c>
      <c r="J4522" s="1">
        <f>IF(COUNTIF($C$4:C4522,C4522)=1,1,0)</f>
        <v>1</v>
      </c>
      <c r="K4522" s="1">
        <f t="shared" si="70"/>
        <v>2021</v>
      </c>
    </row>
    <row r="4523" spans="2:11" x14ac:dyDescent="0.45">
      <c r="B4523" s="1" t="s">
        <v>4000</v>
      </c>
      <c r="C4523" s="1" t="s">
        <v>4492</v>
      </c>
      <c r="D4523" s="7">
        <v>45689</v>
      </c>
      <c r="E4523" s="7">
        <v>45694</v>
      </c>
      <c r="G4523" s="1" t="s">
        <v>22</v>
      </c>
      <c r="H4523" s="8">
        <v>29564836.27</v>
      </c>
      <c r="I4523" s="8">
        <v>15990290.26</v>
      </c>
      <c r="J4523" s="1">
        <f>IF(COUNTIF($C$4:C4523,C4523)=1,1,0)</f>
        <v>1</v>
      </c>
      <c r="K4523" s="1">
        <f t="shared" si="70"/>
        <v>2025</v>
      </c>
    </row>
    <row r="4524" spans="2:11" x14ac:dyDescent="0.45">
      <c r="B4524" s="1" t="s">
        <v>4000</v>
      </c>
      <c r="C4524" s="1" t="s">
        <v>4493</v>
      </c>
      <c r="D4524" s="7">
        <v>44117</v>
      </c>
      <c r="E4524" s="7">
        <v>44132</v>
      </c>
      <c r="G4524" s="1" t="s">
        <v>20</v>
      </c>
      <c r="H4524" s="8">
        <v>606092.42000000004</v>
      </c>
      <c r="I4524" s="8">
        <v>486393.51</v>
      </c>
      <c r="J4524" s="1">
        <f>IF(COUNTIF($C$4:C4524,C4524)=1,1,0)</f>
        <v>1</v>
      </c>
      <c r="K4524" s="1">
        <f t="shared" si="70"/>
        <v>2020</v>
      </c>
    </row>
    <row r="4525" spans="2:11" x14ac:dyDescent="0.45">
      <c r="B4525" s="1" t="s">
        <v>4000</v>
      </c>
      <c r="C4525" s="1" t="s">
        <v>4494</v>
      </c>
      <c r="D4525" s="7">
        <v>43990</v>
      </c>
      <c r="E4525" s="7">
        <v>44010</v>
      </c>
      <c r="G4525" s="1" t="s">
        <v>38</v>
      </c>
      <c r="H4525" s="8">
        <v>910346.41</v>
      </c>
      <c r="I4525" s="8">
        <v>784399.42</v>
      </c>
      <c r="J4525" s="1">
        <f>IF(COUNTIF($C$4:C4525,C4525)=1,1,0)</f>
        <v>1</v>
      </c>
      <c r="K4525" s="1">
        <f t="shared" si="70"/>
        <v>2020</v>
      </c>
    </row>
    <row r="4526" spans="2:11" x14ac:dyDescent="0.45">
      <c r="B4526" s="1" t="s">
        <v>4000</v>
      </c>
      <c r="C4526" s="1" t="s">
        <v>4495</v>
      </c>
      <c r="D4526" s="7">
        <v>46050</v>
      </c>
      <c r="E4526" s="7">
        <v>46074</v>
      </c>
      <c r="G4526" s="1" t="s">
        <v>41</v>
      </c>
      <c r="H4526" s="8">
        <v>34420.400000000001</v>
      </c>
      <c r="I4526" s="8">
        <v>28757.72</v>
      </c>
      <c r="J4526" s="1">
        <f>IF(COUNTIF($C$4:C4526,C4526)=1,1,0)</f>
        <v>1</v>
      </c>
      <c r="K4526" s="1">
        <f t="shared" si="70"/>
        <v>2026</v>
      </c>
    </row>
    <row r="4527" spans="2:11" x14ac:dyDescent="0.45">
      <c r="B4527" s="1" t="s">
        <v>4000</v>
      </c>
      <c r="C4527" s="1" t="s">
        <v>4496</v>
      </c>
      <c r="D4527" s="7">
        <v>46011</v>
      </c>
      <c r="E4527" s="7">
        <v>46038</v>
      </c>
      <c r="G4527" s="1" t="s">
        <v>18</v>
      </c>
      <c r="H4527" s="8">
        <v>1954297.56</v>
      </c>
      <c r="I4527" s="8">
        <v>1738001.72</v>
      </c>
      <c r="J4527" s="1">
        <f>IF(COUNTIF($C$4:C4527,C4527)=1,1,0)</f>
        <v>1</v>
      </c>
      <c r="K4527" s="1">
        <f t="shared" si="70"/>
        <v>2025</v>
      </c>
    </row>
    <row r="4528" spans="2:11" x14ac:dyDescent="0.45">
      <c r="B4528" s="1" t="s">
        <v>4000</v>
      </c>
      <c r="C4528" s="1" t="s">
        <v>4497</v>
      </c>
      <c r="D4528" s="7">
        <v>43551</v>
      </c>
      <c r="E4528" s="7">
        <v>43557</v>
      </c>
      <c r="G4528" s="1" t="s">
        <v>16</v>
      </c>
      <c r="H4528" s="8">
        <v>270474.21999999997</v>
      </c>
      <c r="I4528" s="8">
        <v>202023.37</v>
      </c>
      <c r="J4528" s="1">
        <f>IF(COUNTIF($C$4:C4528,C4528)=1,1,0)</f>
        <v>1</v>
      </c>
      <c r="K4528" s="1">
        <f t="shared" si="70"/>
        <v>2019</v>
      </c>
    </row>
    <row r="4529" spans="2:11" x14ac:dyDescent="0.45">
      <c r="B4529" s="1" t="s">
        <v>4000</v>
      </c>
      <c r="C4529" s="1" t="s">
        <v>4498</v>
      </c>
      <c r="D4529" s="7">
        <v>45440</v>
      </c>
      <c r="E4529" s="7">
        <v>45456</v>
      </c>
      <c r="G4529" s="1" t="s">
        <v>22</v>
      </c>
      <c r="H4529" s="8">
        <v>4089425.61</v>
      </c>
      <c r="I4529" s="8">
        <v>2135042.52</v>
      </c>
      <c r="J4529" s="1">
        <f>IF(COUNTIF($C$4:C4529,C4529)=1,1,0)</f>
        <v>1</v>
      </c>
      <c r="K4529" s="1">
        <f t="shared" si="70"/>
        <v>2024</v>
      </c>
    </row>
    <row r="4530" spans="2:11" x14ac:dyDescent="0.45">
      <c r="B4530" s="1" t="s">
        <v>4000</v>
      </c>
      <c r="C4530" s="1" t="s">
        <v>4499</v>
      </c>
      <c r="D4530" s="7">
        <v>44368</v>
      </c>
      <c r="E4530" s="7">
        <v>44387</v>
      </c>
      <c r="G4530" s="1" t="s">
        <v>13</v>
      </c>
      <c r="H4530" s="8">
        <v>118687.88</v>
      </c>
      <c r="I4530" s="8">
        <v>99902.42</v>
      </c>
      <c r="J4530" s="1">
        <f>IF(COUNTIF($C$4:C4530,C4530)=1,1,0)</f>
        <v>1</v>
      </c>
      <c r="K4530" s="1">
        <f t="shared" si="70"/>
        <v>2021</v>
      </c>
    </row>
    <row r="4531" spans="2:11" x14ac:dyDescent="0.45">
      <c r="B4531" s="1" t="s">
        <v>4000</v>
      </c>
      <c r="C4531" s="1" t="s">
        <v>4500</v>
      </c>
      <c r="D4531" s="7">
        <v>46227</v>
      </c>
      <c r="E4531" s="7">
        <v>46244</v>
      </c>
      <c r="G4531" s="1" t="s">
        <v>1348</v>
      </c>
      <c r="H4531" s="8">
        <v>43489922.460000001</v>
      </c>
      <c r="I4531" s="8">
        <v>35498273.75</v>
      </c>
      <c r="J4531" s="1">
        <f>IF(COUNTIF($C$4:C4531,C4531)=1,1,0)</f>
        <v>1</v>
      </c>
      <c r="K4531" s="1">
        <f t="shared" si="70"/>
        <v>2026</v>
      </c>
    </row>
    <row r="4532" spans="2:11" x14ac:dyDescent="0.45">
      <c r="B4532" s="1" t="s">
        <v>4000</v>
      </c>
      <c r="C4532" s="1" t="s">
        <v>4501</v>
      </c>
      <c r="D4532" s="7">
        <v>45367</v>
      </c>
      <c r="E4532" s="7">
        <v>45395</v>
      </c>
      <c r="G4532" s="1" t="s">
        <v>1348</v>
      </c>
      <c r="H4532" s="8">
        <v>10605769.550000001</v>
      </c>
      <c r="I4532" s="8">
        <v>5917012.3399999999</v>
      </c>
      <c r="J4532" s="1">
        <f>IF(COUNTIF($C$4:C4532,C4532)=1,1,0)</f>
        <v>1</v>
      </c>
      <c r="K4532" s="1">
        <f t="shared" si="70"/>
        <v>2024</v>
      </c>
    </row>
    <row r="4533" spans="2:11" x14ac:dyDescent="0.45">
      <c r="B4533" s="1" t="s">
        <v>4000</v>
      </c>
      <c r="C4533" s="1" t="s">
        <v>4502</v>
      </c>
      <c r="D4533" s="7">
        <v>44402</v>
      </c>
      <c r="E4533" s="7">
        <v>44402</v>
      </c>
      <c r="G4533" s="1" t="s">
        <v>20</v>
      </c>
      <c r="H4533" s="8">
        <v>1062580.8500000001</v>
      </c>
      <c r="I4533" s="8">
        <v>748741.81</v>
      </c>
      <c r="J4533" s="1">
        <f>IF(COUNTIF($C$4:C4533,C4533)=1,1,0)</f>
        <v>1</v>
      </c>
      <c r="K4533" s="1">
        <f t="shared" si="70"/>
        <v>2021</v>
      </c>
    </row>
    <row r="4534" spans="2:11" x14ac:dyDescent="0.45">
      <c r="B4534" s="1" t="s">
        <v>4000</v>
      </c>
      <c r="C4534" s="1" t="s">
        <v>4503</v>
      </c>
      <c r="D4534" s="7">
        <v>44326</v>
      </c>
      <c r="E4534" s="7">
        <v>44339</v>
      </c>
      <c r="G4534" s="1" t="s">
        <v>41</v>
      </c>
      <c r="H4534" s="8">
        <v>416480.87</v>
      </c>
      <c r="I4534" s="8">
        <v>380116.12</v>
      </c>
      <c r="J4534" s="1">
        <f>IF(COUNTIF($C$4:C4534,C4534)=1,1,0)</f>
        <v>1</v>
      </c>
      <c r="K4534" s="1">
        <f t="shared" si="70"/>
        <v>2021</v>
      </c>
    </row>
    <row r="4535" spans="2:11" x14ac:dyDescent="0.45">
      <c r="B4535" s="1" t="s">
        <v>4000</v>
      </c>
      <c r="C4535" s="1" t="s">
        <v>4504</v>
      </c>
      <c r="D4535" s="7">
        <v>43447</v>
      </c>
      <c r="E4535" s="7">
        <v>43469</v>
      </c>
      <c r="G4535" s="1" t="s">
        <v>22</v>
      </c>
      <c r="H4535" s="8">
        <v>5275653.3600000003</v>
      </c>
      <c r="I4535" s="8">
        <v>3706228.28</v>
      </c>
      <c r="J4535" s="1">
        <f>IF(COUNTIF($C$4:C4535,C4535)=1,1,0)</f>
        <v>1</v>
      </c>
      <c r="K4535" s="1">
        <f t="shared" si="70"/>
        <v>2018</v>
      </c>
    </row>
    <row r="4536" spans="2:11" x14ac:dyDescent="0.45">
      <c r="B4536" s="1" t="s">
        <v>4000</v>
      </c>
      <c r="C4536" s="1" t="s">
        <v>4505</v>
      </c>
      <c r="D4536" s="7">
        <v>44693</v>
      </c>
      <c r="E4536" s="7">
        <v>44722</v>
      </c>
      <c r="G4536" s="1" t="s">
        <v>13</v>
      </c>
      <c r="H4536" s="8">
        <v>188201.64</v>
      </c>
      <c r="I4536" s="8">
        <v>143837.67000000001</v>
      </c>
      <c r="J4536" s="1">
        <f>IF(COUNTIF($C$4:C4536,C4536)=1,1,0)</f>
        <v>1</v>
      </c>
      <c r="K4536" s="1">
        <f t="shared" si="70"/>
        <v>2022</v>
      </c>
    </row>
    <row r="4537" spans="2:11" x14ac:dyDescent="0.45">
      <c r="B4537" s="1" t="s">
        <v>4000</v>
      </c>
      <c r="C4537" s="1" t="s">
        <v>4506</v>
      </c>
      <c r="D4537" s="7">
        <v>43552</v>
      </c>
      <c r="E4537" s="7">
        <v>43557</v>
      </c>
      <c r="G4537" s="1" t="s">
        <v>13</v>
      </c>
      <c r="H4537" s="8">
        <v>166353.85999999999</v>
      </c>
      <c r="I4537" s="8">
        <v>114211.45</v>
      </c>
      <c r="J4537" s="1">
        <f>IF(COUNTIF($C$4:C4537,C4537)=1,1,0)</f>
        <v>1</v>
      </c>
      <c r="K4537" s="1">
        <f t="shared" si="70"/>
        <v>2019</v>
      </c>
    </row>
    <row r="4538" spans="2:11" x14ac:dyDescent="0.45">
      <c r="B4538" s="1" t="s">
        <v>4000</v>
      </c>
      <c r="C4538" s="1" t="s">
        <v>4507</v>
      </c>
      <c r="D4538" s="7">
        <v>45755</v>
      </c>
      <c r="E4538" s="7">
        <v>45777</v>
      </c>
      <c r="G4538" s="1" t="s">
        <v>20</v>
      </c>
      <c r="H4538" s="8">
        <v>1397265.45</v>
      </c>
      <c r="I4538" s="8">
        <v>824570.44</v>
      </c>
      <c r="J4538" s="1">
        <f>IF(COUNTIF($C$4:C4538,C4538)=1,1,0)</f>
        <v>1</v>
      </c>
      <c r="K4538" s="1">
        <f t="shared" si="70"/>
        <v>2025</v>
      </c>
    </row>
    <row r="4539" spans="2:11" x14ac:dyDescent="0.45">
      <c r="B4539" s="1" t="s">
        <v>4000</v>
      </c>
      <c r="C4539" s="1" t="s">
        <v>4508</v>
      </c>
      <c r="D4539" s="7">
        <v>44627</v>
      </c>
      <c r="E4539" s="7">
        <v>44654</v>
      </c>
      <c r="G4539" s="1" t="s">
        <v>1348</v>
      </c>
      <c r="H4539" s="8">
        <v>34774044.420000002</v>
      </c>
      <c r="I4539" s="8">
        <v>24894712.079999998</v>
      </c>
      <c r="J4539" s="1">
        <f>IF(COUNTIF($C$4:C4539,C4539)=1,1,0)</f>
        <v>1</v>
      </c>
      <c r="K4539" s="1">
        <f t="shared" si="70"/>
        <v>2022</v>
      </c>
    </row>
    <row r="4540" spans="2:11" x14ac:dyDescent="0.45">
      <c r="B4540" s="1" t="s">
        <v>4000</v>
      </c>
      <c r="C4540" s="1" t="s">
        <v>4509</v>
      </c>
      <c r="D4540" s="7">
        <v>45521</v>
      </c>
      <c r="E4540" s="7">
        <v>45531</v>
      </c>
      <c r="G4540" s="1" t="s">
        <v>13</v>
      </c>
      <c r="H4540" s="8">
        <v>427663.15</v>
      </c>
      <c r="I4540" s="8">
        <v>351740.7</v>
      </c>
      <c r="J4540" s="1">
        <f>IF(COUNTIF($C$4:C4540,C4540)=1,1,0)</f>
        <v>1</v>
      </c>
      <c r="K4540" s="1">
        <f t="shared" si="70"/>
        <v>2024</v>
      </c>
    </row>
    <row r="4541" spans="2:11" x14ac:dyDescent="0.45">
      <c r="B4541" s="1" t="s">
        <v>4000</v>
      </c>
      <c r="C4541" s="1" t="s">
        <v>4510</v>
      </c>
      <c r="D4541" s="7">
        <v>44530</v>
      </c>
      <c r="E4541" s="7">
        <v>44549</v>
      </c>
      <c r="G4541" s="1" t="s">
        <v>38</v>
      </c>
      <c r="H4541" s="8">
        <v>1015142.5</v>
      </c>
      <c r="I4541" s="8">
        <v>710573.94</v>
      </c>
      <c r="J4541" s="1">
        <f>IF(COUNTIF($C$4:C4541,C4541)=1,1,0)</f>
        <v>1</v>
      </c>
      <c r="K4541" s="1">
        <f t="shared" si="70"/>
        <v>2021</v>
      </c>
    </row>
    <row r="4542" spans="2:11" x14ac:dyDescent="0.45">
      <c r="B4542" s="1" t="s">
        <v>4000</v>
      </c>
      <c r="C4542" s="1" t="s">
        <v>4511</v>
      </c>
      <c r="D4542" s="7">
        <v>43786</v>
      </c>
      <c r="E4542" s="7">
        <v>43792</v>
      </c>
      <c r="G4542" s="1" t="s">
        <v>38</v>
      </c>
      <c r="H4542" s="8">
        <v>808936.04</v>
      </c>
      <c r="I4542" s="8">
        <v>718935.39</v>
      </c>
      <c r="J4542" s="1">
        <f>IF(COUNTIF($C$4:C4542,C4542)=1,1,0)</f>
        <v>1</v>
      </c>
      <c r="K4542" s="1">
        <f t="shared" si="70"/>
        <v>2019</v>
      </c>
    </row>
    <row r="4543" spans="2:11" x14ac:dyDescent="0.45">
      <c r="B4543" s="1" t="s">
        <v>4000</v>
      </c>
      <c r="C4543" s="1" t="s">
        <v>4512</v>
      </c>
      <c r="D4543" s="7">
        <v>45321</v>
      </c>
      <c r="E4543" s="7">
        <v>45343</v>
      </c>
      <c r="G4543" s="1" t="s">
        <v>22</v>
      </c>
      <c r="H4543" s="8">
        <v>27920444.989999998</v>
      </c>
      <c r="I4543" s="8">
        <v>20754905.02</v>
      </c>
      <c r="J4543" s="1">
        <f>IF(COUNTIF($C$4:C4543,C4543)=1,1,0)</f>
        <v>1</v>
      </c>
      <c r="K4543" s="1">
        <f t="shared" si="70"/>
        <v>2024</v>
      </c>
    </row>
    <row r="4544" spans="2:11" x14ac:dyDescent="0.45">
      <c r="B4544" s="1" t="s">
        <v>4000</v>
      </c>
      <c r="C4544" s="1" t="s">
        <v>4513</v>
      </c>
      <c r="D4544" s="7">
        <v>43996</v>
      </c>
      <c r="E4544" s="7">
        <v>44011</v>
      </c>
      <c r="G4544" s="1" t="s">
        <v>16</v>
      </c>
      <c r="H4544" s="8">
        <v>647802.77</v>
      </c>
      <c r="I4544" s="8">
        <v>349415.98</v>
      </c>
      <c r="J4544" s="1">
        <f>IF(COUNTIF($C$4:C4544,C4544)=1,1,0)</f>
        <v>1</v>
      </c>
      <c r="K4544" s="1">
        <f t="shared" si="70"/>
        <v>2020</v>
      </c>
    </row>
    <row r="4545" spans="2:11" x14ac:dyDescent="0.45">
      <c r="B4545" s="1" t="s">
        <v>4000</v>
      </c>
      <c r="C4545" s="1" t="s">
        <v>4514</v>
      </c>
      <c r="D4545" s="7">
        <v>45740</v>
      </c>
      <c r="E4545" s="7">
        <v>45751</v>
      </c>
      <c r="G4545" s="1" t="s">
        <v>16</v>
      </c>
      <c r="H4545" s="8">
        <v>1307496.82</v>
      </c>
      <c r="I4545" s="8">
        <v>1014139.12</v>
      </c>
      <c r="J4545" s="1">
        <f>IF(COUNTIF($C$4:C4545,C4545)=1,1,0)</f>
        <v>1</v>
      </c>
      <c r="K4545" s="1">
        <f t="shared" si="70"/>
        <v>2025</v>
      </c>
    </row>
    <row r="4546" spans="2:11" x14ac:dyDescent="0.45">
      <c r="B4546" s="1" t="s">
        <v>4000</v>
      </c>
      <c r="C4546" s="1" t="s">
        <v>4515</v>
      </c>
      <c r="D4546" s="7">
        <v>45689</v>
      </c>
      <c r="E4546" s="7">
        <v>45691</v>
      </c>
      <c r="G4546" s="1" t="s">
        <v>41</v>
      </c>
      <c r="H4546" s="8">
        <v>748220.98</v>
      </c>
      <c r="I4546" s="8">
        <v>494554.67</v>
      </c>
      <c r="J4546" s="1">
        <f>IF(COUNTIF($C$4:C4546,C4546)=1,1,0)</f>
        <v>1</v>
      </c>
      <c r="K4546" s="1">
        <f t="shared" si="70"/>
        <v>2025</v>
      </c>
    </row>
    <row r="4547" spans="2:11" x14ac:dyDescent="0.45">
      <c r="B4547" s="1" t="s">
        <v>4000</v>
      </c>
      <c r="C4547" s="1" t="s">
        <v>4516</v>
      </c>
      <c r="D4547" s="7">
        <v>45807</v>
      </c>
      <c r="E4547" s="7">
        <v>45818</v>
      </c>
      <c r="G4547" s="1" t="s">
        <v>41</v>
      </c>
      <c r="H4547" s="8">
        <v>477801.46</v>
      </c>
      <c r="I4547" s="8">
        <v>342638.7</v>
      </c>
      <c r="J4547" s="1">
        <f>IF(COUNTIF($C$4:C4547,C4547)=1,1,0)</f>
        <v>1</v>
      </c>
      <c r="K4547" s="1">
        <f t="shared" si="70"/>
        <v>2025</v>
      </c>
    </row>
    <row r="4548" spans="2:11" x14ac:dyDescent="0.45">
      <c r="B4548" s="1" t="s">
        <v>4000</v>
      </c>
      <c r="C4548" s="1" t="s">
        <v>4517</v>
      </c>
      <c r="D4548" s="7">
        <v>44796</v>
      </c>
      <c r="E4548" s="7">
        <v>44810</v>
      </c>
      <c r="G4548" s="1" t="s">
        <v>20</v>
      </c>
      <c r="H4548" s="8">
        <v>167430.12</v>
      </c>
      <c r="I4548" s="8">
        <v>124307.27</v>
      </c>
      <c r="J4548" s="1">
        <f>IF(COUNTIF($C$4:C4548,C4548)=1,1,0)</f>
        <v>1</v>
      </c>
      <c r="K4548" s="1">
        <f t="shared" si="70"/>
        <v>2022</v>
      </c>
    </row>
    <row r="4549" spans="2:11" x14ac:dyDescent="0.45">
      <c r="B4549" s="1" t="s">
        <v>4000</v>
      </c>
      <c r="C4549" s="1" t="s">
        <v>4518</v>
      </c>
      <c r="D4549" s="7">
        <v>44972</v>
      </c>
      <c r="E4549" s="7">
        <v>44995</v>
      </c>
      <c r="G4549" s="1" t="s">
        <v>41</v>
      </c>
      <c r="H4549" s="8">
        <v>399473.1</v>
      </c>
      <c r="I4549" s="8">
        <v>335773.63</v>
      </c>
      <c r="J4549" s="1">
        <f>IF(COUNTIF($C$4:C4549,C4549)=1,1,0)</f>
        <v>1</v>
      </c>
      <c r="K4549" s="1">
        <f t="shared" ref="K4549:K4612" si="71">YEAR(D4549)</f>
        <v>2023</v>
      </c>
    </row>
    <row r="4550" spans="2:11" x14ac:dyDescent="0.45">
      <c r="B4550" s="1" t="s">
        <v>4000</v>
      </c>
      <c r="C4550" s="1" t="s">
        <v>4519</v>
      </c>
      <c r="D4550" s="7">
        <v>45991</v>
      </c>
      <c r="E4550" s="7">
        <v>46019</v>
      </c>
      <c r="G4550" s="1" t="s">
        <v>41</v>
      </c>
      <c r="H4550" s="8">
        <v>27201.599999999999</v>
      </c>
      <c r="I4550" s="8">
        <v>21440.31</v>
      </c>
      <c r="J4550" s="1">
        <f>IF(COUNTIF($C$4:C4550,C4550)=1,1,0)</f>
        <v>1</v>
      </c>
      <c r="K4550" s="1">
        <f t="shared" si="71"/>
        <v>2025</v>
      </c>
    </row>
    <row r="4551" spans="2:11" x14ac:dyDescent="0.45">
      <c r="B4551" s="1" t="s">
        <v>4000</v>
      </c>
      <c r="C4551" s="1" t="s">
        <v>4520</v>
      </c>
      <c r="D4551" s="7">
        <v>43374</v>
      </c>
      <c r="E4551" s="7">
        <v>43396</v>
      </c>
      <c r="G4551" s="1" t="s">
        <v>13</v>
      </c>
      <c r="H4551" s="8">
        <v>142372.93</v>
      </c>
      <c r="I4551" s="8">
        <v>129494.11</v>
      </c>
      <c r="J4551" s="1">
        <f>IF(COUNTIF($C$4:C4551,C4551)=1,1,0)</f>
        <v>1</v>
      </c>
      <c r="K4551" s="1">
        <f t="shared" si="71"/>
        <v>2018</v>
      </c>
    </row>
    <row r="4552" spans="2:11" x14ac:dyDescent="0.45">
      <c r="B4552" s="1" t="s">
        <v>4000</v>
      </c>
      <c r="C4552" s="1" t="s">
        <v>4521</v>
      </c>
      <c r="D4552" s="7">
        <v>43517</v>
      </c>
      <c r="E4552" s="7">
        <v>43533</v>
      </c>
      <c r="G4552" s="1" t="s">
        <v>16</v>
      </c>
      <c r="H4552" s="8">
        <v>2500794.63</v>
      </c>
      <c r="I4552" s="8">
        <v>2049091.1</v>
      </c>
      <c r="J4552" s="1">
        <f>IF(COUNTIF($C$4:C4552,C4552)=1,1,0)</f>
        <v>1</v>
      </c>
      <c r="K4552" s="1">
        <f t="shared" si="71"/>
        <v>2019</v>
      </c>
    </row>
    <row r="4553" spans="2:11" x14ac:dyDescent="0.45">
      <c r="B4553" s="1" t="s">
        <v>4000</v>
      </c>
      <c r="C4553" s="1" t="s">
        <v>4522</v>
      </c>
      <c r="D4553" s="7">
        <v>44053</v>
      </c>
      <c r="E4553" s="7">
        <v>44071</v>
      </c>
      <c r="G4553" s="1" t="s">
        <v>44</v>
      </c>
      <c r="H4553" s="8">
        <v>13261710.48</v>
      </c>
      <c r="I4553" s="8">
        <v>10361857.75</v>
      </c>
      <c r="J4553" s="1">
        <f>IF(COUNTIF($C$4:C4553,C4553)=1,1,0)</f>
        <v>1</v>
      </c>
      <c r="K4553" s="1">
        <f t="shared" si="71"/>
        <v>2020</v>
      </c>
    </row>
    <row r="4554" spans="2:11" x14ac:dyDescent="0.45">
      <c r="B4554" s="1" t="s">
        <v>4000</v>
      </c>
      <c r="C4554" s="1" t="s">
        <v>4523</v>
      </c>
      <c r="D4554" s="7">
        <v>45245</v>
      </c>
      <c r="E4554" s="7">
        <v>45251</v>
      </c>
      <c r="G4554" s="1" t="s">
        <v>13</v>
      </c>
      <c r="H4554" s="8">
        <v>1799829.62</v>
      </c>
      <c r="I4554" s="8">
        <v>1618098.75</v>
      </c>
      <c r="J4554" s="1">
        <f>IF(COUNTIF($C$4:C4554,C4554)=1,1,0)</f>
        <v>1</v>
      </c>
      <c r="K4554" s="1">
        <f t="shared" si="71"/>
        <v>2023</v>
      </c>
    </row>
    <row r="4555" spans="2:11" x14ac:dyDescent="0.45">
      <c r="B4555" s="1" t="s">
        <v>4000</v>
      </c>
      <c r="C4555" s="1" t="s">
        <v>4524</v>
      </c>
      <c r="D4555" s="7">
        <v>44494</v>
      </c>
      <c r="E4555" s="7">
        <v>44497</v>
      </c>
      <c r="G4555" s="1" t="s">
        <v>22</v>
      </c>
      <c r="H4555" s="8">
        <v>2898227</v>
      </c>
      <c r="I4555" s="8">
        <v>2238011.35</v>
      </c>
      <c r="J4555" s="1">
        <f>IF(COUNTIF($C$4:C4555,C4555)=1,1,0)</f>
        <v>1</v>
      </c>
      <c r="K4555" s="1">
        <f t="shared" si="71"/>
        <v>2021</v>
      </c>
    </row>
    <row r="4556" spans="2:11" x14ac:dyDescent="0.45">
      <c r="B4556" s="1" t="s">
        <v>4000</v>
      </c>
      <c r="C4556" s="1" t="s">
        <v>4525</v>
      </c>
      <c r="D4556" s="7">
        <v>46057</v>
      </c>
      <c r="E4556" s="7">
        <v>46059</v>
      </c>
      <c r="G4556" s="1" t="s">
        <v>212</v>
      </c>
      <c r="H4556" s="8">
        <v>20246766.379999999</v>
      </c>
      <c r="I4556" s="8">
        <v>14402338.42</v>
      </c>
      <c r="J4556" s="1">
        <f>IF(COUNTIF($C$4:C4556,C4556)=1,1,0)</f>
        <v>1</v>
      </c>
      <c r="K4556" s="1">
        <f t="shared" si="71"/>
        <v>2026</v>
      </c>
    </row>
    <row r="4557" spans="2:11" x14ac:dyDescent="0.45">
      <c r="B4557" s="1" t="s">
        <v>4000</v>
      </c>
      <c r="C4557" s="1" t="s">
        <v>4526</v>
      </c>
      <c r="D4557" s="7">
        <v>46258</v>
      </c>
      <c r="E4557" s="7">
        <v>46271</v>
      </c>
      <c r="G4557" s="1" t="s">
        <v>212</v>
      </c>
      <c r="H4557" s="8">
        <v>14964733.550000001</v>
      </c>
      <c r="I4557" s="8">
        <v>10430391.83</v>
      </c>
      <c r="J4557" s="1">
        <f>IF(COUNTIF($C$4:C4557,C4557)=1,1,0)</f>
        <v>1</v>
      </c>
      <c r="K4557" s="1">
        <f t="shared" si="71"/>
        <v>2026</v>
      </c>
    </row>
    <row r="4558" spans="2:11" x14ac:dyDescent="0.45">
      <c r="B4558" s="1" t="s">
        <v>4000</v>
      </c>
      <c r="C4558" s="1" t="s">
        <v>4527</v>
      </c>
      <c r="D4558" s="7">
        <v>43857</v>
      </c>
      <c r="E4558" s="7">
        <v>43876</v>
      </c>
      <c r="G4558" s="1" t="s">
        <v>44</v>
      </c>
      <c r="H4558" s="8">
        <v>180272673.28</v>
      </c>
      <c r="I4558" s="8">
        <v>119536058.94</v>
      </c>
      <c r="J4558" s="1">
        <f>IF(COUNTIF($C$4:C4558,C4558)=1,1,0)</f>
        <v>1</v>
      </c>
      <c r="K4558" s="1">
        <f t="shared" si="71"/>
        <v>2020</v>
      </c>
    </row>
    <row r="4559" spans="2:11" x14ac:dyDescent="0.45">
      <c r="B4559" s="1" t="s">
        <v>4000</v>
      </c>
      <c r="C4559" s="1" t="s">
        <v>4528</v>
      </c>
      <c r="D4559" s="7">
        <v>45348</v>
      </c>
      <c r="E4559" s="7">
        <v>45349</v>
      </c>
      <c r="G4559" s="1" t="s">
        <v>13</v>
      </c>
      <c r="H4559" s="8">
        <v>124236.43</v>
      </c>
      <c r="I4559" s="8">
        <v>85340.63</v>
      </c>
      <c r="J4559" s="1">
        <f>IF(COUNTIF($C$4:C4559,C4559)=1,1,0)</f>
        <v>1</v>
      </c>
      <c r="K4559" s="1">
        <f t="shared" si="71"/>
        <v>2024</v>
      </c>
    </row>
    <row r="4560" spans="2:11" x14ac:dyDescent="0.45">
      <c r="B4560" s="1" t="s">
        <v>4000</v>
      </c>
      <c r="C4560" s="1" t="s">
        <v>4529</v>
      </c>
      <c r="D4560" s="7">
        <v>44256</v>
      </c>
      <c r="E4560" s="7">
        <v>44286</v>
      </c>
      <c r="G4560" s="1" t="s">
        <v>44</v>
      </c>
      <c r="H4560" s="8">
        <v>134455975.12</v>
      </c>
      <c r="I4560" s="8">
        <v>63170782.039999999</v>
      </c>
      <c r="J4560" s="1">
        <f>IF(COUNTIF($C$4:C4560,C4560)=1,1,0)</f>
        <v>1</v>
      </c>
      <c r="K4560" s="1">
        <f t="shared" si="71"/>
        <v>2021</v>
      </c>
    </row>
    <row r="4561" spans="2:11" x14ac:dyDescent="0.45">
      <c r="B4561" s="1" t="s">
        <v>4000</v>
      </c>
      <c r="C4561" s="1" t="s">
        <v>4530</v>
      </c>
      <c r="D4561" s="7">
        <v>44072</v>
      </c>
      <c r="E4561" s="7">
        <v>44093</v>
      </c>
      <c r="G4561" s="1" t="s">
        <v>16</v>
      </c>
      <c r="H4561" s="8">
        <v>5371767.2800000003</v>
      </c>
      <c r="I4561" s="8">
        <v>4133655.43</v>
      </c>
      <c r="J4561" s="1">
        <f>IF(COUNTIF($C$4:C4561,C4561)=1,1,0)</f>
        <v>1</v>
      </c>
      <c r="K4561" s="1">
        <f t="shared" si="71"/>
        <v>2020</v>
      </c>
    </row>
    <row r="4562" spans="2:11" x14ac:dyDescent="0.45">
      <c r="B4562" s="1" t="s">
        <v>4000</v>
      </c>
      <c r="C4562" s="1" t="s">
        <v>4531</v>
      </c>
      <c r="D4562" s="7">
        <v>43362</v>
      </c>
      <c r="E4562" s="7">
        <v>43391</v>
      </c>
      <c r="G4562" s="1" t="s">
        <v>18</v>
      </c>
      <c r="H4562" s="8">
        <v>356801.97</v>
      </c>
      <c r="I4562" s="8">
        <v>262262.71000000002</v>
      </c>
      <c r="J4562" s="1">
        <f>IF(COUNTIF($C$4:C4562,C4562)=1,1,0)</f>
        <v>1</v>
      </c>
      <c r="K4562" s="1">
        <f t="shared" si="71"/>
        <v>2018</v>
      </c>
    </row>
    <row r="4563" spans="2:11" x14ac:dyDescent="0.45">
      <c r="B4563" s="1" t="s">
        <v>4000</v>
      </c>
      <c r="C4563" s="1" t="s">
        <v>4532</v>
      </c>
      <c r="D4563" s="7">
        <v>45517</v>
      </c>
      <c r="E4563" s="7">
        <v>45541</v>
      </c>
      <c r="G4563" s="1" t="s">
        <v>38</v>
      </c>
      <c r="H4563" s="8">
        <v>705211.19</v>
      </c>
      <c r="I4563" s="8">
        <v>625935.1</v>
      </c>
      <c r="J4563" s="1">
        <f>IF(COUNTIF($C$4:C4563,C4563)=1,1,0)</f>
        <v>1</v>
      </c>
      <c r="K4563" s="1">
        <f t="shared" si="71"/>
        <v>2024</v>
      </c>
    </row>
    <row r="4564" spans="2:11" x14ac:dyDescent="0.45">
      <c r="B4564" s="1" t="s">
        <v>4000</v>
      </c>
      <c r="C4564" s="1" t="s">
        <v>4533</v>
      </c>
      <c r="D4564" s="7">
        <v>45516</v>
      </c>
      <c r="E4564" s="7">
        <v>45538</v>
      </c>
      <c r="G4564" s="1" t="s">
        <v>38</v>
      </c>
      <c r="H4564" s="8">
        <v>2125321.15</v>
      </c>
      <c r="I4564" s="8">
        <v>1966460.84</v>
      </c>
      <c r="J4564" s="1">
        <f>IF(COUNTIF($C$4:C4564,C4564)=1,1,0)</f>
        <v>1</v>
      </c>
      <c r="K4564" s="1">
        <f t="shared" si="71"/>
        <v>2024</v>
      </c>
    </row>
    <row r="4565" spans="2:11" x14ac:dyDescent="0.45">
      <c r="B4565" s="1" t="s">
        <v>4000</v>
      </c>
      <c r="C4565" s="1" t="s">
        <v>4534</v>
      </c>
      <c r="D4565" s="7">
        <v>45991</v>
      </c>
      <c r="E4565" s="7">
        <v>46015</v>
      </c>
      <c r="G4565" s="1" t="s">
        <v>38</v>
      </c>
      <c r="H4565" s="8">
        <v>299711.07</v>
      </c>
      <c r="I4565" s="8">
        <v>232506.27</v>
      </c>
      <c r="J4565" s="1">
        <f>IF(COUNTIF($C$4:C4565,C4565)=1,1,0)</f>
        <v>1</v>
      </c>
      <c r="K4565" s="1">
        <f t="shared" si="71"/>
        <v>2025</v>
      </c>
    </row>
    <row r="4566" spans="2:11" x14ac:dyDescent="0.45">
      <c r="B4566" s="1" t="s">
        <v>4000</v>
      </c>
      <c r="C4566" s="1" t="s">
        <v>4535</v>
      </c>
      <c r="D4566" s="7">
        <v>44894</v>
      </c>
      <c r="E4566" s="7">
        <v>44923</v>
      </c>
      <c r="G4566" s="1" t="s">
        <v>22</v>
      </c>
      <c r="H4566" s="8">
        <v>76171478.540000007</v>
      </c>
      <c r="I4566" s="8">
        <v>37807096.399999999</v>
      </c>
      <c r="J4566" s="1">
        <f>IF(COUNTIF($C$4:C4566,C4566)=1,1,0)</f>
        <v>1</v>
      </c>
      <c r="K4566" s="1">
        <f t="shared" si="71"/>
        <v>2022</v>
      </c>
    </row>
    <row r="4567" spans="2:11" x14ac:dyDescent="0.45">
      <c r="B4567" s="1" t="s">
        <v>4000</v>
      </c>
      <c r="C4567" s="1" t="s">
        <v>4536</v>
      </c>
      <c r="D4567" s="7">
        <v>44310</v>
      </c>
      <c r="E4567" s="7">
        <v>44316</v>
      </c>
      <c r="G4567" s="1" t="s">
        <v>41</v>
      </c>
      <c r="H4567" s="8">
        <v>69983.009999999995</v>
      </c>
      <c r="I4567" s="8">
        <v>57787.41</v>
      </c>
      <c r="J4567" s="1">
        <f>IF(COUNTIF($C$4:C4567,C4567)=1,1,0)</f>
        <v>1</v>
      </c>
      <c r="K4567" s="1">
        <f t="shared" si="71"/>
        <v>2021</v>
      </c>
    </row>
    <row r="4568" spans="2:11" x14ac:dyDescent="0.45">
      <c r="B4568" s="1" t="s">
        <v>4000</v>
      </c>
      <c r="C4568" s="1" t="s">
        <v>4537</v>
      </c>
      <c r="D4568" s="7">
        <v>43486</v>
      </c>
      <c r="E4568" s="7">
        <v>43504</v>
      </c>
      <c r="G4568" s="1" t="s">
        <v>212</v>
      </c>
      <c r="H4568" s="8">
        <v>8205301.5499999998</v>
      </c>
      <c r="I4568" s="8">
        <v>3238985.27</v>
      </c>
      <c r="J4568" s="1">
        <f>IF(COUNTIF($C$4:C4568,C4568)=1,1,0)</f>
        <v>1</v>
      </c>
      <c r="K4568" s="1">
        <f t="shared" si="71"/>
        <v>2019</v>
      </c>
    </row>
    <row r="4569" spans="2:11" x14ac:dyDescent="0.45">
      <c r="B4569" s="1" t="s">
        <v>4000</v>
      </c>
      <c r="C4569" s="1" t="s">
        <v>4538</v>
      </c>
      <c r="D4569" s="7">
        <v>44579</v>
      </c>
      <c r="E4569" s="7">
        <v>44579</v>
      </c>
      <c r="G4569" s="1" t="s">
        <v>44</v>
      </c>
      <c r="H4569" s="8">
        <v>139052751.56</v>
      </c>
      <c r="I4569" s="8">
        <v>82698798.730000004</v>
      </c>
      <c r="J4569" s="1">
        <f>IF(COUNTIF($C$4:C4569,C4569)=1,1,0)</f>
        <v>1</v>
      </c>
      <c r="K4569" s="1">
        <f t="shared" si="71"/>
        <v>2022</v>
      </c>
    </row>
    <row r="4570" spans="2:11" x14ac:dyDescent="0.45">
      <c r="B4570" s="1" t="s">
        <v>4000</v>
      </c>
      <c r="C4570" s="1" t="s">
        <v>4539</v>
      </c>
      <c r="D4570" s="7">
        <v>44643</v>
      </c>
      <c r="E4570" s="7">
        <v>44667</v>
      </c>
      <c r="G4570" s="1" t="s">
        <v>13</v>
      </c>
      <c r="H4570" s="8">
        <v>261513.68</v>
      </c>
      <c r="I4570" s="8">
        <v>227592.36</v>
      </c>
      <c r="J4570" s="1">
        <f>IF(COUNTIF($C$4:C4570,C4570)=1,1,0)</f>
        <v>1</v>
      </c>
      <c r="K4570" s="1">
        <f t="shared" si="71"/>
        <v>2022</v>
      </c>
    </row>
    <row r="4571" spans="2:11" x14ac:dyDescent="0.45">
      <c r="B4571" s="1" t="s">
        <v>4000</v>
      </c>
      <c r="C4571" s="1" t="s">
        <v>4540</v>
      </c>
      <c r="D4571" s="7">
        <v>45925</v>
      </c>
      <c r="E4571" s="7">
        <v>45929</v>
      </c>
      <c r="G4571" s="1" t="s">
        <v>18</v>
      </c>
      <c r="H4571" s="8">
        <v>8894849.4800000004</v>
      </c>
      <c r="I4571" s="8">
        <v>5897155.7400000002</v>
      </c>
      <c r="J4571" s="1">
        <f>IF(COUNTIF($C$4:C4571,C4571)=1,1,0)</f>
        <v>1</v>
      </c>
      <c r="K4571" s="1">
        <f t="shared" si="71"/>
        <v>2025</v>
      </c>
    </row>
    <row r="4572" spans="2:11" x14ac:dyDescent="0.45">
      <c r="B4572" s="1" t="s">
        <v>4000</v>
      </c>
      <c r="C4572" s="1" t="s">
        <v>4541</v>
      </c>
      <c r="D4572" s="7">
        <v>44901</v>
      </c>
      <c r="E4572" s="7">
        <v>44915</v>
      </c>
      <c r="G4572" s="1" t="s">
        <v>16</v>
      </c>
      <c r="H4572" s="8">
        <v>1630538.98</v>
      </c>
      <c r="I4572" s="8">
        <v>1014041.4</v>
      </c>
      <c r="J4572" s="1">
        <f>IF(COUNTIF($C$4:C4572,C4572)=1,1,0)</f>
        <v>1</v>
      </c>
      <c r="K4572" s="1">
        <f t="shared" si="71"/>
        <v>2022</v>
      </c>
    </row>
    <row r="4573" spans="2:11" x14ac:dyDescent="0.45">
      <c r="B4573" s="1" t="s">
        <v>4000</v>
      </c>
      <c r="C4573" s="1" t="s">
        <v>4455</v>
      </c>
      <c r="D4573" s="7">
        <v>46317</v>
      </c>
      <c r="E4573" s="7">
        <v>46330</v>
      </c>
      <c r="G4573" s="1" t="s">
        <v>38</v>
      </c>
      <c r="H4573" s="8">
        <v>358295.59</v>
      </c>
      <c r="I4573" s="8">
        <v>274654.53000000003</v>
      </c>
      <c r="J4573" s="1">
        <f>IF(COUNTIF($C$4:C4573,C4573)=1,1,0)</f>
        <v>0</v>
      </c>
      <c r="K4573" s="1">
        <f t="shared" si="71"/>
        <v>2026</v>
      </c>
    </row>
    <row r="4574" spans="2:11" x14ac:dyDescent="0.45">
      <c r="B4574" s="1" t="s">
        <v>4000</v>
      </c>
      <c r="C4574" s="1" t="s">
        <v>4542</v>
      </c>
      <c r="D4574" s="7">
        <v>44789</v>
      </c>
      <c r="E4574" s="7">
        <v>44815</v>
      </c>
      <c r="G4574" s="1" t="s">
        <v>44</v>
      </c>
      <c r="H4574" s="8">
        <v>97369831.900000006</v>
      </c>
      <c r="I4574" s="8">
        <v>46181401</v>
      </c>
      <c r="J4574" s="1">
        <f>IF(COUNTIF($C$4:C4574,C4574)=1,1,0)</f>
        <v>1</v>
      </c>
      <c r="K4574" s="1">
        <f t="shared" si="71"/>
        <v>2022</v>
      </c>
    </row>
    <row r="4575" spans="2:11" x14ac:dyDescent="0.45">
      <c r="B4575" s="1" t="s">
        <v>4000</v>
      </c>
      <c r="C4575" s="1" t="s">
        <v>4543</v>
      </c>
      <c r="D4575" s="7">
        <v>45806</v>
      </c>
      <c r="E4575" s="7">
        <v>45825</v>
      </c>
      <c r="G4575" s="1" t="s">
        <v>18</v>
      </c>
      <c r="H4575" s="8">
        <v>1445312.51</v>
      </c>
      <c r="I4575" s="8">
        <v>1229789.6499999999</v>
      </c>
      <c r="J4575" s="1">
        <f>IF(COUNTIF($C$4:C4575,C4575)=1,1,0)</f>
        <v>1</v>
      </c>
      <c r="K4575" s="1">
        <f t="shared" si="71"/>
        <v>2025</v>
      </c>
    </row>
    <row r="4576" spans="2:11" x14ac:dyDescent="0.45">
      <c r="B4576" s="1" t="s">
        <v>4000</v>
      </c>
      <c r="C4576" s="1" t="s">
        <v>4544</v>
      </c>
      <c r="D4576" s="7">
        <v>44491</v>
      </c>
      <c r="E4576" s="7">
        <v>44521</v>
      </c>
      <c r="G4576" s="1" t="s">
        <v>16</v>
      </c>
      <c r="H4576" s="8">
        <v>2627220.87</v>
      </c>
      <c r="I4576" s="8">
        <v>1787003.62</v>
      </c>
      <c r="J4576" s="1">
        <f>IF(COUNTIF($C$4:C4576,C4576)=1,1,0)</f>
        <v>1</v>
      </c>
      <c r="K4576" s="1">
        <f t="shared" si="71"/>
        <v>2021</v>
      </c>
    </row>
    <row r="4577" spans="2:11" x14ac:dyDescent="0.45">
      <c r="B4577" s="1" t="s">
        <v>4000</v>
      </c>
      <c r="C4577" s="1" t="s">
        <v>4545</v>
      </c>
      <c r="D4577" s="7">
        <v>44383</v>
      </c>
      <c r="E4577" s="7">
        <v>44386</v>
      </c>
      <c r="G4577" s="1" t="s">
        <v>13</v>
      </c>
      <c r="H4577" s="8">
        <v>1506675.77</v>
      </c>
      <c r="I4577" s="8">
        <v>1140760.67</v>
      </c>
      <c r="J4577" s="1">
        <f>IF(COUNTIF($C$4:C4577,C4577)=1,1,0)</f>
        <v>1</v>
      </c>
      <c r="K4577" s="1">
        <f t="shared" si="71"/>
        <v>2021</v>
      </c>
    </row>
    <row r="4578" spans="2:11" x14ac:dyDescent="0.45">
      <c r="B4578" s="1" t="s">
        <v>4000</v>
      </c>
      <c r="C4578" s="1" t="s">
        <v>4546</v>
      </c>
      <c r="D4578" s="7">
        <v>45637</v>
      </c>
      <c r="E4578" s="7">
        <v>45655</v>
      </c>
      <c r="G4578" s="1" t="s">
        <v>16</v>
      </c>
      <c r="H4578" s="8">
        <v>1329655.8</v>
      </c>
      <c r="I4578" s="8">
        <v>785100.14</v>
      </c>
      <c r="J4578" s="1">
        <f>IF(COUNTIF($C$4:C4578,C4578)=1,1,0)</f>
        <v>1</v>
      </c>
      <c r="K4578" s="1">
        <f t="shared" si="71"/>
        <v>2024</v>
      </c>
    </row>
    <row r="4579" spans="2:11" x14ac:dyDescent="0.45">
      <c r="B4579" s="1" t="s">
        <v>4000</v>
      </c>
      <c r="C4579" s="1" t="s">
        <v>4547</v>
      </c>
      <c r="D4579" s="7">
        <v>44043</v>
      </c>
      <c r="E4579" s="7">
        <v>44056</v>
      </c>
      <c r="G4579" s="1" t="s">
        <v>44</v>
      </c>
      <c r="H4579" s="8">
        <v>68490480.680000007</v>
      </c>
      <c r="I4579" s="8">
        <v>30586088.989999998</v>
      </c>
      <c r="J4579" s="1">
        <f>IF(COUNTIF($C$4:C4579,C4579)=1,1,0)</f>
        <v>1</v>
      </c>
      <c r="K4579" s="1">
        <f t="shared" si="71"/>
        <v>2020</v>
      </c>
    </row>
    <row r="4580" spans="2:11" x14ac:dyDescent="0.45">
      <c r="B4580" s="1" t="s">
        <v>4000</v>
      </c>
      <c r="C4580" s="1" t="s">
        <v>4548</v>
      </c>
      <c r="D4580" s="7">
        <v>45284</v>
      </c>
      <c r="E4580" s="7">
        <v>45311</v>
      </c>
      <c r="G4580" s="1" t="s">
        <v>41</v>
      </c>
      <c r="H4580" s="8">
        <v>173322.31</v>
      </c>
      <c r="I4580" s="8">
        <v>133767.10999999999</v>
      </c>
      <c r="J4580" s="1">
        <f>IF(COUNTIF($C$4:C4580,C4580)=1,1,0)</f>
        <v>1</v>
      </c>
      <c r="K4580" s="1">
        <f t="shared" si="71"/>
        <v>2023</v>
      </c>
    </row>
    <row r="4581" spans="2:11" x14ac:dyDescent="0.45">
      <c r="B4581" s="1" t="s">
        <v>4000</v>
      </c>
      <c r="C4581" s="1" t="s">
        <v>4549</v>
      </c>
      <c r="D4581" s="7">
        <v>45371</v>
      </c>
      <c r="E4581" s="7">
        <v>45393</v>
      </c>
      <c r="G4581" s="1" t="s">
        <v>212</v>
      </c>
      <c r="H4581" s="8">
        <v>37377844.090000004</v>
      </c>
      <c r="I4581" s="8">
        <v>24166265.859999999</v>
      </c>
      <c r="J4581" s="1">
        <f>IF(COUNTIF($C$4:C4581,C4581)=1,1,0)</f>
        <v>1</v>
      </c>
      <c r="K4581" s="1">
        <f t="shared" si="71"/>
        <v>2024</v>
      </c>
    </row>
    <row r="4582" spans="2:11" x14ac:dyDescent="0.45">
      <c r="B4582" s="1" t="s">
        <v>4000</v>
      </c>
      <c r="C4582" s="1" t="s">
        <v>3774</v>
      </c>
      <c r="D4582" s="7">
        <v>44756</v>
      </c>
      <c r="E4582" s="7">
        <v>44766</v>
      </c>
      <c r="G4582" s="1" t="s">
        <v>1348</v>
      </c>
      <c r="H4582" s="8">
        <v>1448612.81</v>
      </c>
      <c r="I4582" s="8">
        <v>575835.25</v>
      </c>
      <c r="J4582" s="1">
        <f>IF(COUNTIF($C$4:C4582,C4582)=1,1,0)</f>
        <v>0</v>
      </c>
      <c r="K4582" s="1">
        <f t="shared" si="71"/>
        <v>2022</v>
      </c>
    </row>
    <row r="4583" spans="2:11" x14ac:dyDescent="0.45">
      <c r="B4583" s="1" t="s">
        <v>4000</v>
      </c>
      <c r="C4583" s="1" t="s">
        <v>4550</v>
      </c>
      <c r="D4583" s="7">
        <v>43924</v>
      </c>
      <c r="E4583" s="7">
        <v>43927</v>
      </c>
      <c r="G4583" s="1" t="s">
        <v>44</v>
      </c>
      <c r="H4583" s="8">
        <v>60305579.880000003</v>
      </c>
      <c r="I4583" s="8">
        <v>47039937.329999998</v>
      </c>
      <c r="J4583" s="1">
        <f>IF(COUNTIF($C$4:C4583,C4583)=1,1,0)</f>
        <v>1</v>
      </c>
      <c r="K4583" s="1">
        <f t="shared" si="71"/>
        <v>2020</v>
      </c>
    </row>
    <row r="4584" spans="2:11" x14ac:dyDescent="0.45">
      <c r="B4584" s="1" t="s">
        <v>4000</v>
      </c>
      <c r="C4584" s="1" t="s">
        <v>4551</v>
      </c>
      <c r="D4584" s="7">
        <v>45743</v>
      </c>
      <c r="E4584" s="7">
        <v>45752</v>
      </c>
      <c r="G4584" s="1" t="s">
        <v>38</v>
      </c>
      <c r="H4584" s="8">
        <v>511957.5</v>
      </c>
      <c r="I4584" s="8">
        <v>442354.51</v>
      </c>
      <c r="J4584" s="1">
        <f>IF(COUNTIF($C$4:C4584,C4584)=1,1,0)</f>
        <v>1</v>
      </c>
      <c r="K4584" s="1">
        <f t="shared" si="71"/>
        <v>2025</v>
      </c>
    </row>
    <row r="4585" spans="2:11" x14ac:dyDescent="0.45">
      <c r="B4585" s="1" t="s">
        <v>4000</v>
      </c>
      <c r="C4585" s="1" t="s">
        <v>4552</v>
      </c>
      <c r="D4585" s="7">
        <v>45553</v>
      </c>
      <c r="E4585" s="7">
        <v>45554</v>
      </c>
      <c r="G4585" s="1" t="s">
        <v>13</v>
      </c>
      <c r="H4585" s="8">
        <v>809267.79</v>
      </c>
      <c r="I4585" s="8">
        <v>561787.26</v>
      </c>
      <c r="J4585" s="1">
        <f>IF(COUNTIF($C$4:C4585,C4585)=1,1,0)</f>
        <v>1</v>
      </c>
      <c r="K4585" s="1">
        <f t="shared" si="71"/>
        <v>2024</v>
      </c>
    </row>
    <row r="4586" spans="2:11" x14ac:dyDescent="0.45">
      <c r="B4586" s="1" t="s">
        <v>4000</v>
      </c>
      <c r="C4586" s="1" t="s">
        <v>4553</v>
      </c>
      <c r="D4586" s="7">
        <v>46059</v>
      </c>
      <c r="E4586" s="7">
        <v>46080</v>
      </c>
      <c r="G4586" s="1" t="s">
        <v>41</v>
      </c>
      <c r="H4586" s="8">
        <v>132657.54</v>
      </c>
      <c r="I4586" s="8">
        <v>100843.8</v>
      </c>
      <c r="J4586" s="1">
        <f>IF(COUNTIF($C$4:C4586,C4586)=1,1,0)</f>
        <v>1</v>
      </c>
      <c r="K4586" s="1">
        <f t="shared" si="71"/>
        <v>2026</v>
      </c>
    </row>
    <row r="4587" spans="2:11" x14ac:dyDescent="0.45">
      <c r="B4587" s="1" t="s">
        <v>4000</v>
      </c>
      <c r="C4587" s="1" t="s">
        <v>4290</v>
      </c>
      <c r="D4587" s="7">
        <v>45131</v>
      </c>
      <c r="E4587" s="7">
        <v>45142</v>
      </c>
      <c r="G4587" s="1" t="s">
        <v>18</v>
      </c>
      <c r="H4587" s="8">
        <v>12884418.73</v>
      </c>
      <c r="I4587" s="8">
        <v>10697442</v>
      </c>
      <c r="J4587" s="1">
        <f>IF(COUNTIF($C$4:C4587,C4587)=1,1,0)</f>
        <v>0</v>
      </c>
      <c r="K4587" s="1">
        <f t="shared" si="71"/>
        <v>2023</v>
      </c>
    </row>
    <row r="4588" spans="2:11" x14ac:dyDescent="0.45">
      <c r="B4588" s="1" t="s">
        <v>4000</v>
      </c>
      <c r="C4588" s="1" t="s">
        <v>4554</v>
      </c>
      <c r="D4588" s="7">
        <v>44162</v>
      </c>
      <c r="E4588" s="7">
        <v>44176</v>
      </c>
      <c r="G4588" s="1" t="s">
        <v>16</v>
      </c>
      <c r="H4588" s="8">
        <v>4438825.6900000004</v>
      </c>
      <c r="I4588" s="8">
        <v>3416096.95</v>
      </c>
      <c r="J4588" s="1">
        <f>IF(COUNTIF($C$4:C4588,C4588)=1,1,0)</f>
        <v>1</v>
      </c>
      <c r="K4588" s="1">
        <f t="shared" si="71"/>
        <v>2020</v>
      </c>
    </row>
    <row r="4589" spans="2:11" x14ac:dyDescent="0.45">
      <c r="B4589" s="1" t="s">
        <v>4000</v>
      </c>
      <c r="C4589" s="1" t="s">
        <v>4555</v>
      </c>
      <c r="D4589" s="7">
        <v>45347</v>
      </c>
      <c r="E4589" s="7">
        <v>45355</v>
      </c>
      <c r="G4589" s="1" t="s">
        <v>22</v>
      </c>
      <c r="H4589" s="8">
        <v>78704308.120000005</v>
      </c>
      <c r="I4589" s="8">
        <v>43014654.060000002</v>
      </c>
      <c r="J4589" s="1">
        <f>IF(COUNTIF($C$4:C4589,C4589)=1,1,0)</f>
        <v>1</v>
      </c>
      <c r="K4589" s="1">
        <f t="shared" si="71"/>
        <v>2024</v>
      </c>
    </row>
    <row r="4590" spans="2:11" x14ac:dyDescent="0.45">
      <c r="B4590" s="1" t="s">
        <v>4000</v>
      </c>
      <c r="C4590" s="1" t="s">
        <v>4556</v>
      </c>
      <c r="D4590" s="7">
        <v>44616</v>
      </c>
      <c r="E4590" s="7">
        <v>44623</v>
      </c>
      <c r="G4590" s="1" t="s">
        <v>44</v>
      </c>
      <c r="H4590" s="8">
        <v>108055436.29000001</v>
      </c>
      <c r="I4590" s="8">
        <v>63710427.490000002</v>
      </c>
      <c r="J4590" s="1">
        <f>IF(COUNTIF($C$4:C4590,C4590)=1,1,0)</f>
        <v>1</v>
      </c>
      <c r="K4590" s="1">
        <f t="shared" si="71"/>
        <v>2022</v>
      </c>
    </row>
    <row r="4591" spans="2:11" x14ac:dyDescent="0.45">
      <c r="B4591" s="1" t="s">
        <v>4000</v>
      </c>
      <c r="C4591" s="1" t="s">
        <v>4290</v>
      </c>
      <c r="D4591" s="7">
        <v>44371</v>
      </c>
      <c r="E4591" s="7">
        <v>44401</v>
      </c>
      <c r="G4591" s="1" t="s">
        <v>18</v>
      </c>
      <c r="H4591" s="8">
        <v>1136374.25</v>
      </c>
      <c r="I4591" s="8">
        <v>934495.95</v>
      </c>
      <c r="J4591" s="1">
        <f>IF(COUNTIF($C$4:C4591,C4591)=1,1,0)</f>
        <v>0</v>
      </c>
      <c r="K4591" s="1">
        <f t="shared" si="71"/>
        <v>2021</v>
      </c>
    </row>
    <row r="4592" spans="2:11" x14ac:dyDescent="0.45">
      <c r="B4592" s="1" t="s">
        <v>4000</v>
      </c>
      <c r="C4592" s="1" t="s">
        <v>4557</v>
      </c>
      <c r="D4592" s="7">
        <v>43212</v>
      </c>
      <c r="E4592" s="7">
        <v>43220</v>
      </c>
      <c r="G4592" s="1" t="s">
        <v>20</v>
      </c>
      <c r="H4592" s="8">
        <v>404655.67</v>
      </c>
      <c r="I4592" s="8">
        <v>260275.28</v>
      </c>
      <c r="J4592" s="1">
        <f>IF(COUNTIF($C$4:C4592,C4592)=1,1,0)</f>
        <v>1</v>
      </c>
      <c r="K4592" s="1">
        <f t="shared" si="71"/>
        <v>2018</v>
      </c>
    </row>
    <row r="4593" spans="2:11" x14ac:dyDescent="0.45">
      <c r="B4593" s="1" t="s">
        <v>4000</v>
      </c>
      <c r="C4593" s="1" t="s">
        <v>4558</v>
      </c>
      <c r="D4593" s="7">
        <v>43375</v>
      </c>
      <c r="E4593" s="7">
        <v>43383</v>
      </c>
      <c r="G4593" s="1" t="s">
        <v>1348</v>
      </c>
      <c r="H4593" s="8">
        <v>41579194.789999999</v>
      </c>
      <c r="I4593" s="8">
        <v>28307985.050000001</v>
      </c>
      <c r="J4593" s="1">
        <f>IF(COUNTIF($C$4:C4593,C4593)=1,1,0)</f>
        <v>1</v>
      </c>
      <c r="K4593" s="1">
        <f t="shared" si="71"/>
        <v>2018</v>
      </c>
    </row>
    <row r="4594" spans="2:11" x14ac:dyDescent="0.45">
      <c r="B4594" s="1" t="s">
        <v>4000</v>
      </c>
      <c r="C4594" s="1" t="s">
        <v>4559</v>
      </c>
      <c r="D4594" s="7">
        <v>45927</v>
      </c>
      <c r="E4594" s="7">
        <v>45935</v>
      </c>
      <c r="G4594" s="1" t="s">
        <v>44</v>
      </c>
      <c r="H4594" s="8">
        <v>51789281.990000002</v>
      </c>
      <c r="I4594" s="8">
        <v>38674245.359999999</v>
      </c>
      <c r="J4594" s="1">
        <f>IF(COUNTIF($C$4:C4594,C4594)=1,1,0)</f>
        <v>1</v>
      </c>
      <c r="K4594" s="1">
        <f t="shared" si="71"/>
        <v>2025</v>
      </c>
    </row>
    <row r="4595" spans="2:11" x14ac:dyDescent="0.45">
      <c r="B4595" s="1" t="s">
        <v>4000</v>
      </c>
      <c r="C4595" s="1" t="s">
        <v>4560</v>
      </c>
      <c r="D4595" s="7">
        <v>43545</v>
      </c>
      <c r="E4595" s="7">
        <v>43545</v>
      </c>
      <c r="G4595" s="1" t="s">
        <v>20</v>
      </c>
      <c r="H4595" s="8">
        <v>428645.96</v>
      </c>
      <c r="I4595" s="8">
        <v>324607.62</v>
      </c>
      <c r="J4595" s="1">
        <f>IF(COUNTIF($C$4:C4595,C4595)=1,1,0)</f>
        <v>1</v>
      </c>
      <c r="K4595" s="1">
        <f t="shared" si="71"/>
        <v>2019</v>
      </c>
    </row>
    <row r="4596" spans="2:11" x14ac:dyDescent="0.45">
      <c r="B4596" s="1" t="s">
        <v>4000</v>
      </c>
      <c r="C4596" s="1" t="s">
        <v>4561</v>
      </c>
      <c r="D4596" s="7">
        <v>43769</v>
      </c>
      <c r="E4596" s="7">
        <v>43785</v>
      </c>
      <c r="G4596" s="1" t="s">
        <v>212</v>
      </c>
      <c r="H4596" s="8">
        <v>3103197.8</v>
      </c>
      <c r="I4596" s="8">
        <v>1065902.8999999999</v>
      </c>
      <c r="J4596" s="1">
        <f>IF(COUNTIF($C$4:C4596,C4596)=1,1,0)</f>
        <v>1</v>
      </c>
      <c r="K4596" s="1">
        <f t="shared" si="71"/>
        <v>2019</v>
      </c>
    </row>
    <row r="4597" spans="2:11" x14ac:dyDescent="0.45">
      <c r="B4597" s="1" t="s">
        <v>4000</v>
      </c>
      <c r="C4597" s="1" t="s">
        <v>4562</v>
      </c>
      <c r="D4597" s="7">
        <v>44709</v>
      </c>
      <c r="E4597" s="7">
        <v>44728</v>
      </c>
      <c r="G4597" s="1" t="s">
        <v>16</v>
      </c>
      <c r="H4597" s="8">
        <v>1201043.6499999999</v>
      </c>
      <c r="I4597" s="8">
        <v>676614.56</v>
      </c>
      <c r="J4597" s="1">
        <f>IF(COUNTIF($C$4:C4597,C4597)=1,1,0)</f>
        <v>1</v>
      </c>
      <c r="K4597" s="1">
        <f t="shared" si="71"/>
        <v>2022</v>
      </c>
    </row>
    <row r="4598" spans="2:11" x14ac:dyDescent="0.45">
      <c r="B4598" s="1" t="s">
        <v>4000</v>
      </c>
      <c r="C4598" s="1" t="s">
        <v>4290</v>
      </c>
      <c r="D4598" s="7">
        <v>43550</v>
      </c>
      <c r="E4598" s="7">
        <v>43577</v>
      </c>
      <c r="G4598" s="1" t="s">
        <v>18</v>
      </c>
      <c r="H4598" s="8">
        <v>2135312.89</v>
      </c>
      <c r="I4598" s="8">
        <v>1881822.01</v>
      </c>
      <c r="J4598" s="1">
        <f>IF(COUNTIF($C$4:C4598,C4598)=1,1,0)</f>
        <v>0</v>
      </c>
      <c r="K4598" s="1">
        <f t="shared" si="71"/>
        <v>2019</v>
      </c>
    </row>
    <row r="4599" spans="2:11" x14ac:dyDescent="0.45">
      <c r="B4599" s="1" t="s">
        <v>4000</v>
      </c>
      <c r="C4599" s="1" t="s">
        <v>4290</v>
      </c>
      <c r="D4599" s="7">
        <v>45027</v>
      </c>
      <c r="E4599" s="7">
        <v>45053</v>
      </c>
      <c r="G4599" s="1" t="s">
        <v>18</v>
      </c>
      <c r="H4599" s="8">
        <v>2758586.79</v>
      </c>
      <c r="I4599" s="8">
        <v>2110909.13</v>
      </c>
      <c r="J4599" s="1">
        <f>IF(COUNTIF($C$4:C4599,C4599)=1,1,0)</f>
        <v>0</v>
      </c>
      <c r="K4599" s="1">
        <f t="shared" si="71"/>
        <v>2023</v>
      </c>
    </row>
    <row r="4600" spans="2:11" x14ac:dyDescent="0.45">
      <c r="B4600" s="1" t="s">
        <v>4000</v>
      </c>
      <c r="C4600" s="1" t="s">
        <v>4563</v>
      </c>
      <c r="D4600" s="7">
        <v>44250</v>
      </c>
      <c r="E4600" s="7">
        <v>44262</v>
      </c>
      <c r="G4600" s="1" t="s">
        <v>38</v>
      </c>
      <c r="H4600" s="8">
        <v>797956.74</v>
      </c>
      <c r="I4600" s="8">
        <v>696291.35</v>
      </c>
      <c r="J4600" s="1">
        <f>IF(COUNTIF($C$4:C4600,C4600)=1,1,0)</f>
        <v>1</v>
      </c>
      <c r="K4600" s="1">
        <f t="shared" si="71"/>
        <v>2021</v>
      </c>
    </row>
    <row r="4601" spans="2:11" x14ac:dyDescent="0.45">
      <c r="B4601" s="1" t="s">
        <v>4000</v>
      </c>
      <c r="C4601" s="1" t="s">
        <v>4564</v>
      </c>
      <c r="D4601" s="7">
        <v>44919</v>
      </c>
      <c r="E4601" s="7">
        <v>44922</v>
      </c>
      <c r="G4601" s="1" t="s">
        <v>212</v>
      </c>
      <c r="H4601" s="8">
        <v>33252133.170000002</v>
      </c>
      <c r="I4601" s="8">
        <v>14610859.289999999</v>
      </c>
      <c r="J4601" s="1">
        <f>IF(COUNTIF($C$4:C4601,C4601)=1,1,0)</f>
        <v>1</v>
      </c>
      <c r="K4601" s="1">
        <f t="shared" si="71"/>
        <v>2022</v>
      </c>
    </row>
    <row r="4602" spans="2:11" x14ac:dyDescent="0.45">
      <c r="B4602" s="1" t="s">
        <v>4000</v>
      </c>
      <c r="C4602" s="1" t="s">
        <v>4565</v>
      </c>
      <c r="D4602" s="7">
        <v>45376</v>
      </c>
      <c r="E4602" s="7">
        <v>45384</v>
      </c>
      <c r="G4602" s="1" t="s">
        <v>13</v>
      </c>
      <c r="H4602" s="8">
        <v>540011.19999999995</v>
      </c>
      <c r="I4602" s="8">
        <v>408652.53</v>
      </c>
      <c r="J4602" s="1">
        <f>IF(COUNTIF($C$4:C4602,C4602)=1,1,0)</f>
        <v>1</v>
      </c>
      <c r="K4602" s="1">
        <f t="shared" si="71"/>
        <v>2024</v>
      </c>
    </row>
    <row r="4603" spans="2:11" x14ac:dyDescent="0.45">
      <c r="B4603" s="1" t="s">
        <v>4000</v>
      </c>
      <c r="C4603" s="1" t="s">
        <v>4566</v>
      </c>
      <c r="D4603" s="7">
        <v>45456</v>
      </c>
      <c r="E4603" s="7">
        <v>45461</v>
      </c>
      <c r="G4603" s="1" t="s">
        <v>16</v>
      </c>
      <c r="H4603" s="8">
        <v>1812175.41</v>
      </c>
      <c r="I4603" s="8">
        <v>1441338.95</v>
      </c>
      <c r="J4603" s="1">
        <f>IF(COUNTIF($C$4:C4603,C4603)=1,1,0)</f>
        <v>1</v>
      </c>
      <c r="K4603" s="1">
        <f t="shared" si="71"/>
        <v>2024</v>
      </c>
    </row>
    <row r="4604" spans="2:11" x14ac:dyDescent="0.45">
      <c r="B4604" s="1" t="s">
        <v>4000</v>
      </c>
      <c r="C4604" s="1" t="s">
        <v>4567</v>
      </c>
      <c r="D4604" s="7">
        <v>45160</v>
      </c>
      <c r="E4604" s="7">
        <v>45165</v>
      </c>
      <c r="G4604" s="1" t="s">
        <v>44</v>
      </c>
      <c r="H4604" s="8">
        <v>248061832.59</v>
      </c>
      <c r="I4604" s="8">
        <v>131835893.34999999</v>
      </c>
      <c r="J4604" s="1">
        <f>IF(COUNTIF($C$4:C4604,C4604)=1,1,0)</f>
        <v>1</v>
      </c>
      <c r="K4604" s="1">
        <f t="shared" si="71"/>
        <v>2023</v>
      </c>
    </row>
    <row r="4605" spans="2:11" x14ac:dyDescent="0.45">
      <c r="B4605" s="1" t="s">
        <v>4000</v>
      </c>
      <c r="C4605" s="1" t="s">
        <v>4568</v>
      </c>
      <c r="D4605" s="7">
        <v>44212</v>
      </c>
      <c r="E4605" s="7">
        <v>44220</v>
      </c>
      <c r="G4605" s="1" t="s">
        <v>44</v>
      </c>
      <c r="H4605" s="8">
        <v>117879497.52</v>
      </c>
      <c r="I4605" s="8">
        <v>81020960.739999995</v>
      </c>
      <c r="J4605" s="1">
        <f>IF(COUNTIF($C$4:C4605,C4605)=1,1,0)</f>
        <v>1</v>
      </c>
      <c r="K4605" s="1">
        <f t="shared" si="71"/>
        <v>2021</v>
      </c>
    </row>
    <row r="4606" spans="2:11" x14ac:dyDescent="0.45">
      <c r="B4606" s="1" t="s">
        <v>4000</v>
      </c>
      <c r="C4606" s="1" t="s">
        <v>4569</v>
      </c>
      <c r="D4606" s="7">
        <v>45049</v>
      </c>
      <c r="E4606" s="7">
        <v>45054</v>
      </c>
      <c r="G4606" s="1" t="s">
        <v>44</v>
      </c>
      <c r="H4606" s="8">
        <v>54161640.159999996</v>
      </c>
      <c r="I4606" s="8">
        <v>42335824.159999996</v>
      </c>
      <c r="J4606" s="1">
        <f>IF(COUNTIF($C$4:C4606,C4606)=1,1,0)</f>
        <v>1</v>
      </c>
      <c r="K4606" s="1">
        <f t="shared" si="71"/>
        <v>2023</v>
      </c>
    </row>
    <row r="4607" spans="2:11" x14ac:dyDescent="0.45">
      <c r="B4607" s="1" t="s">
        <v>4000</v>
      </c>
      <c r="C4607" s="1" t="s">
        <v>4570</v>
      </c>
      <c r="D4607" s="7">
        <v>45474</v>
      </c>
      <c r="E4607" s="7">
        <v>45477</v>
      </c>
      <c r="G4607" s="1" t="s">
        <v>13</v>
      </c>
      <c r="H4607" s="8">
        <v>48028.22</v>
      </c>
      <c r="I4607" s="8">
        <v>37515.230000000003</v>
      </c>
      <c r="J4607" s="1">
        <f>IF(COUNTIF($C$4:C4607,C4607)=1,1,0)</f>
        <v>1</v>
      </c>
      <c r="K4607" s="1">
        <f t="shared" si="71"/>
        <v>2024</v>
      </c>
    </row>
    <row r="4608" spans="2:11" x14ac:dyDescent="0.45">
      <c r="B4608" s="1" t="s">
        <v>4000</v>
      </c>
      <c r="C4608" s="1" t="s">
        <v>4571</v>
      </c>
      <c r="D4608" s="7">
        <v>43962</v>
      </c>
      <c r="E4608" s="7">
        <v>43988</v>
      </c>
      <c r="G4608" s="1" t="s">
        <v>38</v>
      </c>
      <c r="H4608" s="8">
        <v>719154.91</v>
      </c>
      <c r="I4608" s="8">
        <v>639208.95999999996</v>
      </c>
      <c r="J4608" s="1">
        <f>IF(COUNTIF($C$4:C4608,C4608)=1,1,0)</f>
        <v>1</v>
      </c>
      <c r="K4608" s="1">
        <f t="shared" si="71"/>
        <v>2020</v>
      </c>
    </row>
    <row r="4609" spans="2:11" x14ac:dyDescent="0.45">
      <c r="B4609" s="1" t="s">
        <v>4000</v>
      </c>
      <c r="C4609" s="1" t="s">
        <v>4572</v>
      </c>
      <c r="D4609" s="7">
        <v>44574</v>
      </c>
      <c r="E4609" s="7">
        <v>44601</v>
      </c>
      <c r="G4609" s="1" t="s">
        <v>20</v>
      </c>
      <c r="H4609" s="8">
        <v>2010013.88</v>
      </c>
      <c r="I4609" s="8">
        <v>1492306.46</v>
      </c>
      <c r="J4609" s="1">
        <f>IF(COUNTIF($C$4:C4609,C4609)=1,1,0)</f>
        <v>1</v>
      </c>
      <c r="K4609" s="1">
        <f t="shared" si="71"/>
        <v>2022</v>
      </c>
    </row>
    <row r="4610" spans="2:11" x14ac:dyDescent="0.45">
      <c r="B4610" s="1" t="s">
        <v>4000</v>
      </c>
      <c r="C4610" s="1" t="s">
        <v>4573</v>
      </c>
      <c r="D4610" s="7">
        <v>45042</v>
      </c>
      <c r="E4610" s="7">
        <v>45046</v>
      </c>
      <c r="G4610" s="1" t="s">
        <v>41</v>
      </c>
      <c r="H4610" s="8">
        <v>8095.39</v>
      </c>
      <c r="I4610" s="8">
        <v>5674.04</v>
      </c>
      <c r="J4610" s="1">
        <f>IF(COUNTIF($C$4:C4610,C4610)=1,1,0)</f>
        <v>1</v>
      </c>
      <c r="K4610" s="1">
        <f t="shared" si="71"/>
        <v>2023</v>
      </c>
    </row>
    <row r="4611" spans="2:11" x14ac:dyDescent="0.45">
      <c r="B4611" s="1" t="s">
        <v>4000</v>
      </c>
      <c r="C4611" s="1" t="s">
        <v>4574</v>
      </c>
      <c r="D4611" s="7">
        <v>43193</v>
      </c>
      <c r="E4611" s="7">
        <v>43219</v>
      </c>
      <c r="G4611" s="1" t="s">
        <v>20</v>
      </c>
      <c r="H4611" s="8">
        <v>50275.6</v>
      </c>
      <c r="I4611" s="8">
        <v>33290.730000000003</v>
      </c>
      <c r="J4611" s="1">
        <f>IF(COUNTIF($C$4:C4611,C4611)=1,1,0)</f>
        <v>1</v>
      </c>
      <c r="K4611" s="1">
        <f t="shared" si="71"/>
        <v>2018</v>
      </c>
    </row>
    <row r="4612" spans="2:11" x14ac:dyDescent="0.45">
      <c r="B4612" s="1" t="s">
        <v>4000</v>
      </c>
      <c r="C4612" s="1" t="s">
        <v>4575</v>
      </c>
      <c r="D4612" s="7">
        <v>45929</v>
      </c>
      <c r="E4612" s="7">
        <v>45938</v>
      </c>
      <c r="G4612" s="1" t="s">
        <v>22</v>
      </c>
      <c r="H4612" s="8">
        <v>48769433.689999998</v>
      </c>
      <c r="I4612" s="8">
        <v>29351234.82</v>
      </c>
      <c r="J4612" s="1">
        <f>IF(COUNTIF($C$4:C4612,C4612)=1,1,0)</f>
        <v>1</v>
      </c>
      <c r="K4612" s="1">
        <f t="shared" si="71"/>
        <v>2025</v>
      </c>
    </row>
    <row r="4613" spans="2:11" x14ac:dyDescent="0.45">
      <c r="B4613" s="1" t="s">
        <v>4000</v>
      </c>
      <c r="C4613" s="1" t="s">
        <v>4576</v>
      </c>
      <c r="D4613" s="7">
        <v>45262</v>
      </c>
      <c r="E4613" s="7">
        <v>45287</v>
      </c>
      <c r="G4613" s="1" t="s">
        <v>1348</v>
      </c>
      <c r="H4613" s="8">
        <v>11272430.68</v>
      </c>
      <c r="I4613" s="8">
        <v>6306419.5599999996</v>
      </c>
      <c r="J4613" s="1">
        <f>IF(COUNTIF($C$4:C4613,C4613)=1,1,0)</f>
        <v>1</v>
      </c>
      <c r="K4613" s="1">
        <f t="shared" ref="K4613:K4676" si="72">YEAR(D4613)</f>
        <v>2023</v>
      </c>
    </row>
    <row r="4614" spans="2:11" x14ac:dyDescent="0.45">
      <c r="B4614" s="1" t="s">
        <v>4000</v>
      </c>
      <c r="C4614" s="1" t="s">
        <v>4577</v>
      </c>
      <c r="D4614" s="7">
        <v>45109</v>
      </c>
      <c r="E4614" s="7">
        <v>45112</v>
      </c>
      <c r="G4614" s="1" t="s">
        <v>41</v>
      </c>
      <c r="H4614" s="8">
        <v>622002.17000000004</v>
      </c>
      <c r="I4614" s="8">
        <v>480768.29</v>
      </c>
      <c r="J4614" s="1">
        <f>IF(COUNTIF($C$4:C4614,C4614)=1,1,0)</f>
        <v>1</v>
      </c>
      <c r="K4614" s="1">
        <f t="shared" si="72"/>
        <v>2023</v>
      </c>
    </row>
    <row r="4615" spans="2:11" x14ac:dyDescent="0.45">
      <c r="B4615" s="1" t="s">
        <v>4000</v>
      </c>
      <c r="C4615" s="1" t="s">
        <v>4578</v>
      </c>
      <c r="D4615" s="7">
        <v>45152</v>
      </c>
      <c r="E4615" s="7">
        <v>45168</v>
      </c>
      <c r="G4615" s="1" t="s">
        <v>18</v>
      </c>
      <c r="H4615" s="8">
        <v>173693.45</v>
      </c>
      <c r="I4615" s="8">
        <v>132544.19</v>
      </c>
      <c r="J4615" s="1">
        <f>IF(COUNTIF($C$4:C4615,C4615)=1,1,0)</f>
        <v>1</v>
      </c>
      <c r="K4615" s="1">
        <f t="shared" si="72"/>
        <v>2023</v>
      </c>
    </row>
    <row r="4616" spans="2:11" x14ac:dyDescent="0.45">
      <c r="B4616" s="1" t="s">
        <v>4000</v>
      </c>
      <c r="C4616" s="1" t="s">
        <v>4579</v>
      </c>
      <c r="D4616" s="7">
        <v>44645</v>
      </c>
      <c r="E4616" s="7">
        <v>44664</v>
      </c>
      <c r="G4616" s="1" t="s">
        <v>22</v>
      </c>
      <c r="H4616" s="8">
        <v>9838885.5199999996</v>
      </c>
      <c r="I4616" s="8">
        <v>4921055.0199999996</v>
      </c>
      <c r="J4616" s="1">
        <f>IF(COUNTIF($C$4:C4616,C4616)=1,1,0)</f>
        <v>1</v>
      </c>
      <c r="K4616" s="1">
        <f t="shared" si="72"/>
        <v>2022</v>
      </c>
    </row>
    <row r="4617" spans="2:11" x14ac:dyDescent="0.45">
      <c r="B4617" s="1" t="s">
        <v>4000</v>
      </c>
      <c r="C4617" s="1" t="s">
        <v>4580</v>
      </c>
      <c r="D4617" s="7">
        <v>44074</v>
      </c>
      <c r="E4617" s="7">
        <v>44079</v>
      </c>
      <c r="G4617" s="1" t="s">
        <v>13</v>
      </c>
      <c r="H4617" s="8">
        <v>402054.91</v>
      </c>
      <c r="I4617" s="8">
        <v>345442.9</v>
      </c>
      <c r="J4617" s="1">
        <f>IF(COUNTIF($C$4:C4617,C4617)=1,1,0)</f>
        <v>1</v>
      </c>
      <c r="K4617" s="1">
        <f t="shared" si="72"/>
        <v>2020</v>
      </c>
    </row>
    <row r="4618" spans="2:11" x14ac:dyDescent="0.45">
      <c r="B4618" s="1" t="s">
        <v>4000</v>
      </c>
      <c r="C4618" s="1" t="s">
        <v>4581</v>
      </c>
      <c r="D4618" s="7">
        <v>43620</v>
      </c>
      <c r="E4618" s="7">
        <v>43630</v>
      </c>
      <c r="G4618" s="1" t="s">
        <v>1348</v>
      </c>
      <c r="H4618" s="8">
        <v>23786143.469999999</v>
      </c>
      <c r="I4618" s="8">
        <v>17427837.649999999</v>
      </c>
      <c r="J4618" s="1">
        <f>IF(COUNTIF($C$4:C4618,C4618)=1,1,0)</f>
        <v>1</v>
      </c>
      <c r="K4618" s="1">
        <f t="shared" si="72"/>
        <v>2019</v>
      </c>
    </row>
    <row r="4619" spans="2:11" x14ac:dyDescent="0.45">
      <c r="B4619" s="1" t="s">
        <v>4000</v>
      </c>
      <c r="C4619" s="1" t="s">
        <v>4582</v>
      </c>
      <c r="D4619" s="7">
        <v>45260</v>
      </c>
      <c r="E4619" s="7">
        <v>45271</v>
      </c>
      <c r="G4619" s="1" t="s">
        <v>38</v>
      </c>
      <c r="H4619" s="8">
        <v>113867.37</v>
      </c>
      <c r="I4619" s="8">
        <v>90405.85</v>
      </c>
      <c r="J4619" s="1">
        <f>IF(COUNTIF($C$4:C4619,C4619)=1,1,0)</f>
        <v>1</v>
      </c>
      <c r="K4619" s="1">
        <f t="shared" si="72"/>
        <v>2023</v>
      </c>
    </row>
    <row r="4620" spans="2:11" x14ac:dyDescent="0.45">
      <c r="B4620" s="1" t="s">
        <v>4000</v>
      </c>
      <c r="C4620" s="1" t="s">
        <v>4583</v>
      </c>
      <c r="D4620" s="7">
        <v>45660</v>
      </c>
      <c r="E4620" s="7">
        <v>45661</v>
      </c>
      <c r="G4620" s="1" t="s">
        <v>18</v>
      </c>
      <c r="H4620" s="8">
        <v>2260663.23</v>
      </c>
      <c r="I4620" s="8">
        <v>2014850.75</v>
      </c>
      <c r="J4620" s="1">
        <f>IF(COUNTIF($C$4:C4620,C4620)=1,1,0)</f>
        <v>1</v>
      </c>
      <c r="K4620" s="1">
        <f t="shared" si="72"/>
        <v>2025</v>
      </c>
    </row>
    <row r="4621" spans="2:11" x14ac:dyDescent="0.45">
      <c r="B4621" s="1" t="s">
        <v>4000</v>
      </c>
      <c r="C4621" s="1" t="s">
        <v>4584</v>
      </c>
      <c r="D4621" s="7">
        <v>45627</v>
      </c>
      <c r="E4621" s="7">
        <v>45654</v>
      </c>
      <c r="G4621" s="1" t="s">
        <v>38</v>
      </c>
      <c r="H4621" s="8">
        <v>679303.37</v>
      </c>
      <c r="I4621" s="8">
        <v>458877.65</v>
      </c>
      <c r="J4621" s="1">
        <f>IF(COUNTIF($C$4:C4621,C4621)=1,1,0)</f>
        <v>1</v>
      </c>
      <c r="K4621" s="1">
        <f t="shared" si="72"/>
        <v>2024</v>
      </c>
    </row>
    <row r="4622" spans="2:11" x14ac:dyDescent="0.45">
      <c r="B4622" s="1" t="s">
        <v>4000</v>
      </c>
      <c r="C4622" s="1" t="s">
        <v>4585</v>
      </c>
      <c r="D4622" s="7">
        <v>43729</v>
      </c>
      <c r="E4622" s="7">
        <v>43733</v>
      </c>
      <c r="G4622" s="1" t="s">
        <v>1348</v>
      </c>
      <c r="H4622" s="8">
        <v>23302741.140000001</v>
      </c>
      <c r="I4622" s="8">
        <v>11550476.82</v>
      </c>
      <c r="J4622" s="1">
        <f>IF(COUNTIF($C$4:C4622,C4622)=1,1,0)</f>
        <v>1</v>
      </c>
      <c r="K4622" s="1">
        <f t="shared" si="72"/>
        <v>2019</v>
      </c>
    </row>
    <row r="4623" spans="2:11" x14ac:dyDescent="0.45">
      <c r="B4623" s="1" t="s">
        <v>4000</v>
      </c>
      <c r="C4623" s="1" t="s">
        <v>4586</v>
      </c>
      <c r="D4623" s="7">
        <v>44169</v>
      </c>
      <c r="E4623" s="7">
        <v>44191</v>
      </c>
      <c r="G4623" s="1" t="s">
        <v>41</v>
      </c>
      <c r="H4623" s="8">
        <v>150939.09</v>
      </c>
      <c r="I4623" s="8">
        <v>128167.59</v>
      </c>
      <c r="J4623" s="1">
        <f>IF(COUNTIF($C$4:C4623,C4623)=1,1,0)</f>
        <v>1</v>
      </c>
      <c r="K4623" s="1">
        <f t="shared" si="72"/>
        <v>2020</v>
      </c>
    </row>
    <row r="4624" spans="2:11" x14ac:dyDescent="0.45">
      <c r="B4624" s="1" t="s">
        <v>4000</v>
      </c>
      <c r="C4624" s="1" t="s">
        <v>4587</v>
      </c>
      <c r="D4624" s="7">
        <v>45713</v>
      </c>
      <c r="E4624" s="7">
        <v>45730</v>
      </c>
      <c r="G4624" s="1" t="s">
        <v>20</v>
      </c>
      <c r="H4624" s="8">
        <v>322718.25</v>
      </c>
      <c r="I4624" s="8">
        <v>190230.32</v>
      </c>
      <c r="J4624" s="1">
        <f>IF(COUNTIF($C$4:C4624,C4624)=1,1,0)</f>
        <v>1</v>
      </c>
      <c r="K4624" s="1">
        <f t="shared" si="72"/>
        <v>2025</v>
      </c>
    </row>
    <row r="4625" spans="2:11" x14ac:dyDescent="0.45">
      <c r="B4625" s="1" t="s">
        <v>4000</v>
      </c>
      <c r="C4625" s="1" t="s">
        <v>4588</v>
      </c>
      <c r="D4625" s="7">
        <v>43710</v>
      </c>
      <c r="E4625" s="7">
        <v>43721</v>
      </c>
      <c r="G4625" s="1" t="s">
        <v>44</v>
      </c>
      <c r="H4625" s="8">
        <v>26023851.510000002</v>
      </c>
      <c r="I4625" s="8">
        <v>13499884.609999999</v>
      </c>
      <c r="J4625" s="1">
        <f>IF(COUNTIF($C$4:C4625,C4625)=1,1,0)</f>
        <v>1</v>
      </c>
      <c r="K4625" s="1">
        <f t="shared" si="72"/>
        <v>2019</v>
      </c>
    </row>
    <row r="4626" spans="2:11" x14ac:dyDescent="0.45">
      <c r="B4626" s="1" t="s">
        <v>4000</v>
      </c>
      <c r="C4626" s="1" t="s">
        <v>4589</v>
      </c>
      <c r="D4626" s="7">
        <v>45673</v>
      </c>
      <c r="E4626" s="7">
        <v>45698</v>
      </c>
      <c r="G4626" s="1" t="s">
        <v>20</v>
      </c>
      <c r="H4626" s="8">
        <v>1099089.94</v>
      </c>
      <c r="I4626" s="8">
        <v>910034.16</v>
      </c>
      <c r="J4626" s="1">
        <f>IF(COUNTIF($C$4:C4626,C4626)=1,1,0)</f>
        <v>1</v>
      </c>
      <c r="K4626" s="1">
        <f t="shared" si="72"/>
        <v>2025</v>
      </c>
    </row>
    <row r="4627" spans="2:11" x14ac:dyDescent="0.45">
      <c r="B4627" s="1" t="s">
        <v>4000</v>
      </c>
      <c r="C4627" s="1" t="s">
        <v>4590</v>
      </c>
      <c r="D4627" s="7">
        <v>43870</v>
      </c>
      <c r="E4627" s="7">
        <v>43899</v>
      </c>
      <c r="G4627" s="1" t="s">
        <v>20</v>
      </c>
      <c r="H4627" s="8">
        <v>322860.53000000003</v>
      </c>
      <c r="I4627" s="8">
        <v>210318.34</v>
      </c>
      <c r="J4627" s="1">
        <f>IF(COUNTIF($C$4:C4627,C4627)=1,1,0)</f>
        <v>1</v>
      </c>
      <c r="K4627" s="1">
        <f t="shared" si="72"/>
        <v>2020</v>
      </c>
    </row>
    <row r="4628" spans="2:11" x14ac:dyDescent="0.45">
      <c r="B4628" s="1" t="s">
        <v>4000</v>
      </c>
      <c r="C4628" s="1" t="s">
        <v>4591</v>
      </c>
      <c r="D4628" s="7">
        <v>43134</v>
      </c>
      <c r="E4628" s="7">
        <v>43155</v>
      </c>
      <c r="G4628" s="1" t="s">
        <v>18</v>
      </c>
      <c r="H4628" s="8">
        <v>3220915</v>
      </c>
      <c r="I4628" s="8">
        <v>2380841.35</v>
      </c>
      <c r="J4628" s="1">
        <f>IF(COUNTIF($C$4:C4628,C4628)=1,1,0)</f>
        <v>1</v>
      </c>
      <c r="K4628" s="1">
        <f t="shared" si="72"/>
        <v>2018</v>
      </c>
    </row>
    <row r="4629" spans="2:11" x14ac:dyDescent="0.45">
      <c r="B4629" s="1" t="s">
        <v>4000</v>
      </c>
      <c r="C4629" s="1" t="s">
        <v>4592</v>
      </c>
      <c r="D4629" s="7">
        <v>43967</v>
      </c>
      <c r="E4629" s="7">
        <v>43986</v>
      </c>
      <c r="G4629" s="1" t="s">
        <v>22</v>
      </c>
      <c r="H4629" s="8">
        <v>10635306</v>
      </c>
      <c r="I4629" s="8">
        <v>6806632.3099999996</v>
      </c>
      <c r="J4629" s="1">
        <f>IF(COUNTIF($C$4:C4629,C4629)=1,1,0)</f>
        <v>1</v>
      </c>
      <c r="K4629" s="1">
        <f t="shared" si="72"/>
        <v>2020</v>
      </c>
    </row>
    <row r="4630" spans="2:11" x14ac:dyDescent="0.45">
      <c r="B4630" s="1" t="s">
        <v>4000</v>
      </c>
      <c r="C4630" s="1" t="s">
        <v>4593</v>
      </c>
      <c r="D4630" s="7">
        <v>45472</v>
      </c>
      <c r="E4630" s="7">
        <v>45492</v>
      </c>
      <c r="G4630" s="1" t="s">
        <v>18</v>
      </c>
      <c r="H4630" s="8">
        <v>2103554.15</v>
      </c>
      <c r="I4630" s="8">
        <v>1780740.73</v>
      </c>
      <c r="J4630" s="1">
        <f>IF(COUNTIF($C$4:C4630,C4630)=1,1,0)</f>
        <v>1</v>
      </c>
      <c r="K4630" s="1">
        <f t="shared" si="72"/>
        <v>2024</v>
      </c>
    </row>
    <row r="4631" spans="2:11" x14ac:dyDescent="0.45">
      <c r="B4631" s="1" t="s">
        <v>4000</v>
      </c>
      <c r="C4631" s="1" t="s">
        <v>4594</v>
      </c>
      <c r="D4631" s="7">
        <v>45029</v>
      </c>
      <c r="E4631" s="7">
        <v>45036</v>
      </c>
      <c r="G4631" s="1" t="s">
        <v>44</v>
      </c>
      <c r="H4631" s="8">
        <v>118309450.13</v>
      </c>
      <c r="I4631" s="8">
        <v>93065375.840000004</v>
      </c>
      <c r="J4631" s="1">
        <f>IF(COUNTIF($C$4:C4631,C4631)=1,1,0)</f>
        <v>1</v>
      </c>
      <c r="K4631" s="1">
        <f t="shared" si="72"/>
        <v>2023</v>
      </c>
    </row>
    <row r="4632" spans="2:11" x14ac:dyDescent="0.45">
      <c r="B4632" s="1" t="s">
        <v>4000</v>
      </c>
      <c r="C4632" s="1" t="s">
        <v>4595</v>
      </c>
      <c r="D4632" s="7">
        <v>45188</v>
      </c>
      <c r="E4632" s="7">
        <v>45194</v>
      </c>
      <c r="G4632" s="1" t="s">
        <v>212</v>
      </c>
      <c r="H4632" s="8">
        <v>19605351.699999999</v>
      </c>
      <c r="I4632" s="8">
        <v>9836694.0299999993</v>
      </c>
      <c r="J4632" s="1">
        <f>IF(COUNTIF($C$4:C4632,C4632)=1,1,0)</f>
        <v>1</v>
      </c>
      <c r="K4632" s="1">
        <f t="shared" si="72"/>
        <v>2023</v>
      </c>
    </row>
    <row r="4633" spans="2:11" x14ac:dyDescent="0.45">
      <c r="B4633" s="1" t="s">
        <v>4000</v>
      </c>
      <c r="C4633" s="1" t="s">
        <v>4596</v>
      </c>
      <c r="D4633" s="7">
        <v>46212</v>
      </c>
      <c r="E4633" s="7">
        <v>46228</v>
      </c>
      <c r="G4633" s="1" t="s">
        <v>41</v>
      </c>
      <c r="H4633" s="8">
        <v>115461.11</v>
      </c>
      <c r="I4633" s="8">
        <v>92836.28</v>
      </c>
      <c r="J4633" s="1">
        <f>IF(COUNTIF($C$4:C4633,C4633)=1,1,0)</f>
        <v>1</v>
      </c>
      <c r="K4633" s="1">
        <f t="shared" si="72"/>
        <v>2026</v>
      </c>
    </row>
    <row r="4634" spans="2:11" x14ac:dyDescent="0.45">
      <c r="B4634" s="1" t="s">
        <v>4000</v>
      </c>
      <c r="C4634" s="1" t="s">
        <v>4597</v>
      </c>
      <c r="D4634" s="7">
        <v>44584</v>
      </c>
      <c r="E4634" s="7">
        <v>44611</v>
      </c>
      <c r="G4634" s="1" t="s">
        <v>20</v>
      </c>
      <c r="H4634" s="8">
        <v>410602.95</v>
      </c>
      <c r="I4634" s="8">
        <v>337944.9</v>
      </c>
      <c r="J4634" s="1">
        <f>IF(COUNTIF($C$4:C4634,C4634)=1,1,0)</f>
        <v>1</v>
      </c>
      <c r="K4634" s="1">
        <f t="shared" si="72"/>
        <v>2022</v>
      </c>
    </row>
    <row r="4635" spans="2:11" x14ac:dyDescent="0.45">
      <c r="B4635" s="1" t="s">
        <v>4000</v>
      </c>
      <c r="C4635" s="1" t="s">
        <v>4598</v>
      </c>
      <c r="D4635" s="7">
        <v>45494</v>
      </c>
      <c r="E4635" s="7">
        <v>45523</v>
      </c>
      <c r="G4635" s="1" t="s">
        <v>16</v>
      </c>
      <c r="H4635" s="8">
        <v>743358.73</v>
      </c>
      <c r="I4635" s="8">
        <v>592475.91</v>
      </c>
      <c r="J4635" s="1">
        <f>IF(COUNTIF($C$4:C4635,C4635)=1,1,0)</f>
        <v>1</v>
      </c>
      <c r="K4635" s="1">
        <f t="shared" si="72"/>
        <v>2024</v>
      </c>
    </row>
    <row r="4636" spans="2:11" x14ac:dyDescent="0.45">
      <c r="B4636" s="1" t="s">
        <v>4000</v>
      </c>
      <c r="C4636" s="1" t="s">
        <v>4599</v>
      </c>
      <c r="D4636" s="7">
        <v>44917</v>
      </c>
      <c r="E4636" s="7">
        <v>44923</v>
      </c>
      <c r="G4636" s="1" t="s">
        <v>18</v>
      </c>
      <c r="H4636" s="8">
        <v>15447739.460000001</v>
      </c>
      <c r="I4636" s="8">
        <v>10712714.82</v>
      </c>
      <c r="J4636" s="1">
        <f>IF(COUNTIF($C$4:C4636,C4636)=1,1,0)</f>
        <v>1</v>
      </c>
      <c r="K4636" s="1">
        <f t="shared" si="72"/>
        <v>2022</v>
      </c>
    </row>
    <row r="4637" spans="2:11" x14ac:dyDescent="0.45">
      <c r="B4637" s="1" t="s">
        <v>4000</v>
      </c>
      <c r="C4637" s="1" t="s">
        <v>4600</v>
      </c>
      <c r="D4637" s="7">
        <v>43651</v>
      </c>
      <c r="E4637" s="7">
        <v>43666</v>
      </c>
      <c r="G4637" s="1" t="s">
        <v>212</v>
      </c>
      <c r="H4637" s="8">
        <v>22130392.149999999</v>
      </c>
      <c r="I4637" s="8">
        <v>15278104.029999999</v>
      </c>
      <c r="J4637" s="1">
        <f>IF(COUNTIF($C$4:C4637,C4637)=1,1,0)</f>
        <v>1</v>
      </c>
      <c r="K4637" s="1">
        <f t="shared" si="72"/>
        <v>2019</v>
      </c>
    </row>
    <row r="4638" spans="2:11" x14ac:dyDescent="0.45">
      <c r="B4638" s="1" t="s">
        <v>4000</v>
      </c>
      <c r="C4638" s="1" t="s">
        <v>4601</v>
      </c>
      <c r="D4638" s="7">
        <v>45317</v>
      </c>
      <c r="E4638" s="7">
        <v>45330</v>
      </c>
      <c r="G4638" s="1" t="s">
        <v>38</v>
      </c>
      <c r="H4638" s="8">
        <v>1092683.3600000001</v>
      </c>
      <c r="I4638" s="8">
        <v>791815.49</v>
      </c>
      <c r="J4638" s="1">
        <f>IF(COUNTIF($C$4:C4638,C4638)=1,1,0)</f>
        <v>1</v>
      </c>
      <c r="K4638" s="1">
        <f t="shared" si="72"/>
        <v>2024</v>
      </c>
    </row>
    <row r="4639" spans="2:11" x14ac:dyDescent="0.45">
      <c r="B4639" s="1" t="s">
        <v>4000</v>
      </c>
      <c r="C4639" s="1" t="s">
        <v>4602</v>
      </c>
      <c r="D4639" s="7">
        <v>44371</v>
      </c>
      <c r="E4639" s="7">
        <v>44393</v>
      </c>
      <c r="G4639" s="1" t="s">
        <v>13</v>
      </c>
      <c r="H4639" s="8">
        <v>753791.95</v>
      </c>
      <c r="I4639" s="8">
        <v>605645.5</v>
      </c>
      <c r="J4639" s="1">
        <f>IF(COUNTIF($C$4:C4639,C4639)=1,1,0)</f>
        <v>1</v>
      </c>
      <c r="K4639" s="1">
        <f t="shared" si="72"/>
        <v>2021</v>
      </c>
    </row>
    <row r="4640" spans="2:11" x14ac:dyDescent="0.45">
      <c r="B4640" s="1" t="s">
        <v>4000</v>
      </c>
      <c r="C4640" s="1" t="s">
        <v>4603</v>
      </c>
      <c r="D4640" s="7">
        <v>44666</v>
      </c>
      <c r="E4640" s="7">
        <v>44696</v>
      </c>
      <c r="G4640" s="1" t="s">
        <v>1348</v>
      </c>
      <c r="H4640" s="8">
        <v>29584205.32</v>
      </c>
      <c r="I4640" s="8">
        <v>18104384.129999999</v>
      </c>
      <c r="J4640" s="1">
        <f>IF(COUNTIF($C$4:C4640,C4640)=1,1,0)</f>
        <v>1</v>
      </c>
      <c r="K4640" s="1">
        <f t="shared" si="72"/>
        <v>2022</v>
      </c>
    </row>
    <row r="4641" spans="2:11" x14ac:dyDescent="0.45">
      <c r="B4641" s="1" t="s">
        <v>4000</v>
      </c>
      <c r="C4641" s="1" t="s">
        <v>4604</v>
      </c>
      <c r="D4641" s="7">
        <v>45914</v>
      </c>
      <c r="E4641" s="7">
        <v>45943</v>
      </c>
      <c r="G4641" s="1" t="s">
        <v>212</v>
      </c>
      <c r="H4641" s="8">
        <v>54700489.079999998</v>
      </c>
      <c r="I4641" s="8">
        <v>25575453.41</v>
      </c>
      <c r="J4641" s="1">
        <f>IF(COUNTIF($C$4:C4641,C4641)=1,1,0)</f>
        <v>1</v>
      </c>
      <c r="K4641" s="1">
        <f t="shared" si="72"/>
        <v>2025</v>
      </c>
    </row>
    <row r="4642" spans="2:11" x14ac:dyDescent="0.45">
      <c r="B4642" s="1" t="s">
        <v>4000</v>
      </c>
      <c r="C4642" s="1" t="s">
        <v>4605</v>
      </c>
      <c r="D4642" s="7">
        <v>44567</v>
      </c>
      <c r="E4642" s="7">
        <v>44594</v>
      </c>
      <c r="G4642" s="1" t="s">
        <v>44</v>
      </c>
      <c r="H4642" s="8">
        <v>93685533.530000001</v>
      </c>
      <c r="I4642" s="8">
        <v>59311439.560000002</v>
      </c>
      <c r="J4642" s="1">
        <f>IF(COUNTIF($C$4:C4642,C4642)=1,1,0)</f>
        <v>1</v>
      </c>
      <c r="K4642" s="1">
        <f t="shared" si="72"/>
        <v>2022</v>
      </c>
    </row>
    <row r="4643" spans="2:11" x14ac:dyDescent="0.45">
      <c r="B4643" s="1" t="s">
        <v>4000</v>
      </c>
      <c r="C4643" s="1" t="s">
        <v>4346</v>
      </c>
      <c r="D4643" s="7">
        <v>44049</v>
      </c>
      <c r="E4643" s="7">
        <v>44049</v>
      </c>
      <c r="G4643" s="1" t="s">
        <v>18</v>
      </c>
      <c r="H4643" s="8">
        <v>434930.85</v>
      </c>
      <c r="I4643" s="8">
        <v>346949.24</v>
      </c>
      <c r="J4643" s="1">
        <f>IF(COUNTIF($C$4:C4643,C4643)=1,1,0)</f>
        <v>0</v>
      </c>
      <c r="K4643" s="1">
        <f t="shared" si="72"/>
        <v>2020</v>
      </c>
    </row>
    <row r="4644" spans="2:11" x14ac:dyDescent="0.45">
      <c r="B4644" s="1" t="s">
        <v>4000</v>
      </c>
      <c r="C4644" s="1" t="s">
        <v>4606</v>
      </c>
      <c r="D4644" s="7">
        <v>44135</v>
      </c>
      <c r="E4644" s="7">
        <v>44157</v>
      </c>
      <c r="G4644" s="1" t="s">
        <v>1348</v>
      </c>
      <c r="H4644" s="8">
        <v>213279347.22</v>
      </c>
      <c r="I4644" s="8">
        <v>127647087.42</v>
      </c>
      <c r="J4644" s="1">
        <f>IF(COUNTIF($C$4:C4644,C4644)=1,1,0)</f>
        <v>1</v>
      </c>
      <c r="K4644" s="1">
        <f t="shared" si="72"/>
        <v>2020</v>
      </c>
    </row>
    <row r="4645" spans="2:11" x14ac:dyDescent="0.45">
      <c r="B4645" s="1" t="s">
        <v>4000</v>
      </c>
      <c r="C4645" s="1" t="s">
        <v>4607</v>
      </c>
      <c r="D4645" s="7">
        <v>45305</v>
      </c>
      <c r="E4645" s="7">
        <v>45335</v>
      </c>
      <c r="G4645" s="1" t="s">
        <v>44</v>
      </c>
      <c r="H4645" s="8">
        <v>102091645.08</v>
      </c>
      <c r="I4645" s="8">
        <v>64077586.130000003</v>
      </c>
      <c r="J4645" s="1">
        <f>IF(COUNTIF($C$4:C4645,C4645)=1,1,0)</f>
        <v>1</v>
      </c>
      <c r="K4645" s="1">
        <f t="shared" si="72"/>
        <v>2024</v>
      </c>
    </row>
    <row r="4646" spans="2:11" x14ac:dyDescent="0.45">
      <c r="B4646" s="1" t="s">
        <v>4000</v>
      </c>
      <c r="C4646" s="1" t="s">
        <v>4608</v>
      </c>
      <c r="D4646" s="7">
        <v>44823</v>
      </c>
      <c r="E4646" s="7">
        <v>44832</v>
      </c>
      <c r="G4646" s="1" t="s">
        <v>1348</v>
      </c>
      <c r="H4646" s="8">
        <v>6501879.3600000003</v>
      </c>
      <c r="I4646" s="8">
        <v>4936963.3499999996</v>
      </c>
      <c r="J4646" s="1">
        <f>IF(COUNTIF($C$4:C4646,C4646)=1,1,0)</f>
        <v>1</v>
      </c>
      <c r="K4646" s="1">
        <f t="shared" si="72"/>
        <v>2022</v>
      </c>
    </row>
    <row r="4647" spans="2:11" x14ac:dyDescent="0.45">
      <c r="B4647" s="1" t="s">
        <v>4000</v>
      </c>
      <c r="C4647" s="1" t="s">
        <v>4609</v>
      </c>
      <c r="D4647" s="7">
        <v>43367</v>
      </c>
      <c r="E4647" s="7">
        <v>43394</v>
      </c>
      <c r="G4647" s="1" t="s">
        <v>13</v>
      </c>
      <c r="H4647" s="8">
        <v>256811.18</v>
      </c>
      <c r="I4647" s="8">
        <v>228116.29</v>
      </c>
      <c r="J4647" s="1">
        <f>IF(COUNTIF($C$4:C4647,C4647)=1,1,0)</f>
        <v>1</v>
      </c>
      <c r="K4647" s="1">
        <f t="shared" si="72"/>
        <v>2018</v>
      </c>
    </row>
    <row r="4648" spans="2:11" x14ac:dyDescent="0.45">
      <c r="B4648" s="1" t="s">
        <v>4000</v>
      </c>
      <c r="C4648" s="1" t="s">
        <v>4610</v>
      </c>
      <c r="D4648" s="7">
        <v>43265</v>
      </c>
      <c r="E4648" s="7">
        <v>43287</v>
      </c>
      <c r="G4648" s="1" t="s">
        <v>212</v>
      </c>
      <c r="H4648" s="8">
        <v>28109422.190000001</v>
      </c>
      <c r="I4648" s="8">
        <v>17030750.100000001</v>
      </c>
      <c r="J4648" s="1">
        <f>IF(COUNTIF($C$4:C4648,C4648)=1,1,0)</f>
        <v>1</v>
      </c>
      <c r="K4648" s="1">
        <f t="shared" si="72"/>
        <v>2018</v>
      </c>
    </row>
    <row r="4649" spans="2:11" x14ac:dyDescent="0.45">
      <c r="B4649" s="1" t="s">
        <v>4000</v>
      </c>
      <c r="C4649" s="1" t="s">
        <v>4611</v>
      </c>
      <c r="D4649" s="7">
        <v>43699</v>
      </c>
      <c r="E4649" s="7">
        <v>43724</v>
      </c>
      <c r="G4649" s="1" t="s">
        <v>44</v>
      </c>
      <c r="H4649" s="8">
        <v>27639463.09</v>
      </c>
      <c r="I4649" s="8">
        <v>15803823.939999999</v>
      </c>
      <c r="J4649" s="1">
        <f>IF(COUNTIF($C$4:C4649,C4649)=1,1,0)</f>
        <v>1</v>
      </c>
      <c r="K4649" s="1">
        <f t="shared" si="72"/>
        <v>2019</v>
      </c>
    </row>
    <row r="4650" spans="2:11" x14ac:dyDescent="0.45">
      <c r="B4650" s="1" t="s">
        <v>4000</v>
      </c>
      <c r="C4650" s="1" t="s">
        <v>4612</v>
      </c>
      <c r="D4650" s="7">
        <v>45347</v>
      </c>
      <c r="E4650" s="7">
        <v>45377</v>
      </c>
      <c r="G4650" s="1" t="s">
        <v>38</v>
      </c>
      <c r="H4650" s="8">
        <v>73678.11</v>
      </c>
      <c r="I4650" s="8">
        <v>66855.679999999993</v>
      </c>
      <c r="J4650" s="1">
        <f>IF(COUNTIF($C$4:C4650,C4650)=1,1,0)</f>
        <v>1</v>
      </c>
      <c r="K4650" s="1">
        <f t="shared" si="72"/>
        <v>2024</v>
      </c>
    </row>
    <row r="4651" spans="2:11" x14ac:dyDescent="0.45">
      <c r="B4651" s="1" t="s">
        <v>4000</v>
      </c>
      <c r="C4651" s="1" t="s">
        <v>4613</v>
      </c>
      <c r="D4651" s="7">
        <v>44296</v>
      </c>
      <c r="E4651" s="7">
        <v>44305</v>
      </c>
      <c r="G4651" s="1" t="s">
        <v>18</v>
      </c>
      <c r="H4651" s="8">
        <v>3994068.04</v>
      </c>
      <c r="I4651" s="8">
        <v>2900796.91</v>
      </c>
      <c r="J4651" s="1">
        <f>IF(COUNTIF($C$4:C4651,C4651)=1,1,0)</f>
        <v>1</v>
      </c>
      <c r="K4651" s="1">
        <f t="shared" si="72"/>
        <v>2021</v>
      </c>
    </row>
    <row r="4652" spans="2:11" x14ac:dyDescent="0.45">
      <c r="B4652" s="1" t="s">
        <v>4000</v>
      </c>
      <c r="C4652" s="1" t="s">
        <v>4614</v>
      </c>
      <c r="D4652" s="7">
        <v>44285</v>
      </c>
      <c r="E4652" s="7">
        <v>44312</v>
      </c>
      <c r="G4652" s="1" t="s">
        <v>13</v>
      </c>
      <c r="H4652" s="8">
        <v>482890.52</v>
      </c>
      <c r="I4652" s="8">
        <v>439196.22</v>
      </c>
      <c r="J4652" s="1">
        <f>IF(COUNTIF($C$4:C4652,C4652)=1,1,0)</f>
        <v>1</v>
      </c>
      <c r="K4652" s="1">
        <f t="shared" si="72"/>
        <v>2021</v>
      </c>
    </row>
    <row r="4653" spans="2:11" x14ac:dyDescent="0.45">
      <c r="B4653" s="1" t="s">
        <v>4000</v>
      </c>
      <c r="C4653" s="1" t="s">
        <v>4615</v>
      </c>
      <c r="D4653" s="7">
        <v>45837</v>
      </c>
      <c r="E4653" s="7">
        <v>45854</v>
      </c>
      <c r="G4653" s="1" t="s">
        <v>44</v>
      </c>
      <c r="H4653" s="8">
        <v>68725035.010000005</v>
      </c>
      <c r="I4653" s="8">
        <v>37588010.07</v>
      </c>
      <c r="J4653" s="1">
        <f>IF(COUNTIF($C$4:C4653,C4653)=1,1,0)</f>
        <v>1</v>
      </c>
      <c r="K4653" s="1">
        <f t="shared" si="72"/>
        <v>2025</v>
      </c>
    </row>
    <row r="4654" spans="2:11" x14ac:dyDescent="0.45">
      <c r="B4654" s="1" t="s">
        <v>4000</v>
      </c>
      <c r="C4654" s="1" t="s">
        <v>4616</v>
      </c>
      <c r="D4654" s="7">
        <v>45870</v>
      </c>
      <c r="E4654" s="7">
        <v>45871</v>
      </c>
      <c r="G4654" s="1" t="s">
        <v>22</v>
      </c>
      <c r="H4654" s="8">
        <v>15404012.25</v>
      </c>
      <c r="I4654" s="8">
        <v>10887076.050000001</v>
      </c>
      <c r="J4654" s="1">
        <f>IF(COUNTIF($C$4:C4654,C4654)=1,1,0)</f>
        <v>1</v>
      </c>
      <c r="K4654" s="1">
        <f t="shared" si="72"/>
        <v>2025</v>
      </c>
    </row>
    <row r="4655" spans="2:11" x14ac:dyDescent="0.45">
      <c r="B4655" s="1" t="s">
        <v>4000</v>
      </c>
      <c r="C4655" s="1" t="s">
        <v>4617</v>
      </c>
      <c r="D4655" s="7">
        <v>44251</v>
      </c>
      <c r="E4655" s="7">
        <v>44257</v>
      </c>
      <c r="G4655" s="1" t="s">
        <v>22</v>
      </c>
      <c r="H4655" s="8">
        <v>700650.31</v>
      </c>
      <c r="I4655" s="8">
        <v>357326.46</v>
      </c>
      <c r="J4655" s="1">
        <f>IF(COUNTIF($C$4:C4655,C4655)=1,1,0)</f>
        <v>1</v>
      </c>
      <c r="K4655" s="1">
        <f t="shared" si="72"/>
        <v>2021</v>
      </c>
    </row>
    <row r="4656" spans="2:11" x14ac:dyDescent="0.45">
      <c r="B4656" s="1" t="s">
        <v>4000</v>
      </c>
      <c r="C4656" s="1" t="s">
        <v>4618</v>
      </c>
      <c r="D4656" s="7">
        <v>45443</v>
      </c>
      <c r="E4656" s="7">
        <v>45450</v>
      </c>
      <c r="G4656" s="1" t="s">
        <v>38</v>
      </c>
      <c r="H4656" s="8">
        <v>260909.69</v>
      </c>
      <c r="I4656" s="8">
        <v>215791.62</v>
      </c>
      <c r="J4656" s="1">
        <f>IF(COUNTIF($C$4:C4656,C4656)=1,1,0)</f>
        <v>1</v>
      </c>
      <c r="K4656" s="1">
        <f t="shared" si="72"/>
        <v>2024</v>
      </c>
    </row>
    <row r="4657" spans="2:11" x14ac:dyDescent="0.45">
      <c r="B4657" s="1" t="s">
        <v>4000</v>
      </c>
      <c r="C4657" s="1" t="s">
        <v>4619</v>
      </c>
      <c r="D4657" s="7">
        <v>44488</v>
      </c>
      <c r="E4657" s="7">
        <v>44494</v>
      </c>
      <c r="G4657" s="1" t="s">
        <v>41</v>
      </c>
      <c r="H4657" s="8">
        <v>19118.73</v>
      </c>
      <c r="I4657" s="8">
        <v>16575.72</v>
      </c>
      <c r="J4657" s="1">
        <f>IF(COUNTIF($C$4:C4657,C4657)=1,1,0)</f>
        <v>1</v>
      </c>
      <c r="K4657" s="1">
        <f t="shared" si="72"/>
        <v>2021</v>
      </c>
    </row>
    <row r="4658" spans="2:11" x14ac:dyDescent="0.45">
      <c r="B4658" s="1" t="s">
        <v>4000</v>
      </c>
      <c r="C4658" s="1" t="s">
        <v>4620</v>
      </c>
      <c r="D4658" s="7">
        <v>45722</v>
      </c>
      <c r="E4658" s="7">
        <v>45739</v>
      </c>
      <c r="G4658" s="1" t="s">
        <v>38</v>
      </c>
      <c r="H4658" s="8">
        <v>163016.89000000001</v>
      </c>
      <c r="I4658" s="8">
        <v>145112.75</v>
      </c>
      <c r="J4658" s="1">
        <f>IF(COUNTIF($C$4:C4658,C4658)=1,1,0)</f>
        <v>1</v>
      </c>
      <c r="K4658" s="1">
        <f t="shared" si="72"/>
        <v>2025</v>
      </c>
    </row>
    <row r="4659" spans="2:11" x14ac:dyDescent="0.45">
      <c r="B4659" s="1" t="s">
        <v>4000</v>
      </c>
      <c r="C4659" s="1" t="s">
        <v>4621</v>
      </c>
      <c r="D4659" s="7">
        <v>43751</v>
      </c>
      <c r="E4659" s="7">
        <v>43762</v>
      </c>
      <c r="G4659" s="1" t="s">
        <v>16</v>
      </c>
      <c r="H4659" s="8">
        <v>7218976.7999999998</v>
      </c>
      <c r="I4659" s="8">
        <v>6102287.9800000004</v>
      </c>
      <c r="J4659" s="1">
        <f>IF(COUNTIF($C$4:C4659,C4659)=1,1,0)</f>
        <v>1</v>
      </c>
      <c r="K4659" s="1">
        <f t="shared" si="72"/>
        <v>2019</v>
      </c>
    </row>
    <row r="4660" spans="2:11" x14ac:dyDescent="0.45">
      <c r="B4660" s="1" t="s">
        <v>4000</v>
      </c>
      <c r="C4660" s="1" t="s">
        <v>4622</v>
      </c>
      <c r="D4660" s="7">
        <v>45021</v>
      </c>
      <c r="E4660" s="7">
        <v>45039</v>
      </c>
      <c r="G4660" s="1" t="s">
        <v>44</v>
      </c>
      <c r="H4660" s="8">
        <v>27967281.219999999</v>
      </c>
      <c r="I4660" s="8">
        <v>15542879.960000001</v>
      </c>
      <c r="J4660" s="1">
        <f>IF(COUNTIF($C$4:C4660,C4660)=1,1,0)</f>
        <v>1</v>
      </c>
      <c r="K4660" s="1">
        <f t="shared" si="72"/>
        <v>2023</v>
      </c>
    </row>
    <row r="4661" spans="2:11" x14ac:dyDescent="0.45">
      <c r="B4661" s="1" t="s">
        <v>4000</v>
      </c>
      <c r="C4661" s="1" t="s">
        <v>4623</v>
      </c>
      <c r="D4661" s="7">
        <v>43646</v>
      </c>
      <c r="E4661" s="7">
        <v>43662</v>
      </c>
      <c r="G4661" s="1" t="s">
        <v>13</v>
      </c>
      <c r="H4661" s="8">
        <v>73045.3</v>
      </c>
      <c r="I4661" s="8">
        <v>58801.08</v>
      </c>
      <c r="J4661" s="1">
        <f>IF(COUNTIF($C$4:C4661,C4661)=1,1,0)</f>
        <v>1</v>
      </c>
      <c r="K4661" s="1">
        <f t="shared" si="72"/>
        <v>2019</v>
      </c>
    </row>
    <row r="4662" spans="2:11" x14ac:dyDescent="0.45">
      <c r="B4662" s="1" t="s">
        <v>4000</v>
      </c>
      <c r="C4662" s="1" t="s">
        <v>4624</v>
      </c>
      <c r="D4662" s="7">
        <v>43380</v>
      </c>
      <c r="E4662" s="7">
        <v>43392</v>
      </c>
      <c r="G4662" s="1" t="s">
        <v>38</v>
      </c>
      <c r="H4662" s="8">
        <v>361949.19</v>
      </c>
      <c r="I4662" s="8">
        <v>267048.84000000003</v>
      </c>
      <c r="J4662" s="1">
        <f>IF(COUNTIF($C$4:C4662,C4662)=1,1,0)</f>
        <v>1</v>
      </c>
      <c r="K4662" s="1">
        <f t="shared" si="72"/>
        <v>2018</v>
      </c>
    </row>
    <row r="4663" spans="2:11" x14ac:dyDescent="0.45">
      <c r="B4663" s="1" t="s">
        <v>4000</v>
      </c>
      <c r="C4663" s="1" t="s">
        <v>4625</v>
      </c>
      <c r="D4663" s="7">
        <v>43665</v>
      </c>
      <c r="E4663" s="7">
        <v>43675</v>
      </c>
      <c r="G4663" s="1" t="s">
        <v>212</v>
      </c>
      <c r="H4663" s="8">
        <v>43957332.399999999</v>
      </c>
      <c r="I4663" s="8">
        <v>20822850.329999998</v>
      </c>
      <c r="J4663" s="1">
        <f>IF(COUNTIF($C$4:C4663,C4663)=1,1,0)</f>
        <v>1</v>
      </c>
      <c r="K4663" s="1">
        <f t="shared" si="72"/>
        <v>2019</v>
      </c>
    </row>
    <row r="4664" spans="2:11" x14ac:dyDescent="0.45">
      <c r="B4664" s="1" t="s">
        <v>4000</v>
      </c>
      <c r="C4664" s="1" t="s">
        <v>4626</v>
      </c>
      <c r="D4664" s="7">
        <v>43925</v>
      </c>
      <c r="E4664" s="7">
        <v>43926</v>
      </c>
      <c r="G4664" s="1" t="s">
        <v>1348</v>
      </c>
      <c r="H4664" s="8">
        <v>13669702.130000001</v>
      </c>
      <c r="I4664" s="8">
        <v>4736041.75</v>
      </c>
      <c r="J4664" s="1">
        <f>IF(COUNTIF($C$4:C4664,C4664)=1,1,0)</f>
        <v>1</v>
      </c>
      <c r="K4664" s="1">
        <f t="shared" si="72"/>
        <v>2020</v>
      </c>
    </row>
    <row r="4665" spans="2:11" x14ac:dyDescent="0.45">
      <c r="B4665" s="1" t="s">
        <v>4000</v>
      </c>
      <c r="C4665" s="1" t="s">
        <v>4627</v>
      </c>
      <c r="D4665" s="7">
        <v>44713</v>
      </c>
      <c r="E4665" s="7">
        <v>44742</v>
      </c>
      <c r="G4665" s="1" t="s">
        <v>44</v>
      </c>
      <c r="H4665" s="8">
        <v>17237862.68</v>
      </c>
      <c r="I4665" s="8">
        <v>13365111.15</v>
      </c>
      <c r="J4665" s="1">
        <f>IF(COUNTIF($C$4:C4665,C4665)=1,1,0)</f>
        <v>1</v>
      </c>
      <c r="K4665" s="1">
        <f t="shared" si="72"/>
        <v>2022</v>
      </c>
    </row>
    <row r="4666" spans="2:11" x14ac:dyDescent="0.45">
      <c r="B4666" s="1" t="s">
        <v>4000</v>
      </c>
      <c r="C4666" s="1" t="s">
        <v>4628</v>
      </c>
      <c r="D4666" s="7">
        <v>44729</v>
      </c>
      <c r="E4666" s="7">
        <v>44755</v>
      </c>
      <c r="G4666" s="1" t="s">
        <v>1348</v>
      </c>
      <c r="H4666" s="8">
        <v>28705848.859999999</v>
      </c>
      <c r="I4666" s="8">
        <v>17338935.039999999</v>
      </c>
      <c r="J4666" s="1">
        <f>IF(COUNTIF($C$4:C4666,C4666)=1,1,0)</f>
        <v>1</v>
      </c>
      <c r="K4666" s="1">
        <f t="shared" si="72"/>
        <v>2022</v>
      </c>
    </row>
    <row r="4667" spans="2:11" x14ac:dyDescent="0.45">
      <c r="B4667" s="1" t="s">
        <v>4000</v>
      </c>
      <c r="C4667" s="1" t="s">
        <v>4629</v>
      </c>
      <c r="D4667" s="7">
        <v>45655</v>
      </c>
      <c r="E4667" s="7">
        <v>45685</v>
      </c>
      <c r="G4667" s="1" t="s">
        <v>16</v>
      </c>
      <c r="H4667" s="8">
        <v>2148975.8199999998</v>
      </c>
      <c r="I4667" s="8">
        <v>1736205.01</v>
      </c>
      <c r="J4667" s="1">
        <f>IF(COUNTIF($C$4:C4667,C4667)=1,1,0)</f>
        <v>1</v>
      </c>
      <c r="K4667" s="1">
        <f t="shared" si="72"/>
        <v>2024</v>
      </c>
    </row>
    <row r="4668" spans="2:11" x14ac:dyDescent="0.45">
      <c r="B4668" s="1" t="s">
        <v>4000</v>
      </c>
      <c r="C4668" s="1" t="s">
        <v>4630</v>
      </c>
      <c r="D4668" s="7">
        <v>44999</v>
      </c>
      <c r="E4668" s="7">
        <v>45013</v>
      </c>
      <c r="G4668" s="1" t="s">
        <v>13</v>
      </c>
      <c r="H4668" s="8">
        <v>635200.69999999995</v>
      </c>
      <c r="I4668" s="8">
        <v>467250.76</v>
      </c>
      <c r="J4668" s="1">
        <f>IF(COUNTIF($C$4:C4668,C4668)=1,1,0)</f>
        <v>1</v>
      </c>
      <c r="K4668" s="1">
        <f t="shared" si="72"/>
        <v>2023</v>
      </c>
    </row>
    <row r="4669" spans="2:11" x14ac:dyDescent="0.45">
      <c r="B4669" s="1" t="s">
        <v>4000</v>
      </c>
      <c r="C4669" s="1" t="s">
        <v>4631</v>
      </c>
      <c r="D4669" s="7">
        <v>45530</v>
      </c>
      <c r="E4669" s="7">
        <v>45552</v>
      </c>
      <c r="G4669" s="1" t="s">
        <v>13</v>
      </c>
      <c r="H4669" s="8">
        <v>525444.55000000005</v>
      </c>
      <c r="I4669" s="8">
        <v>442298.62</v>
      </c>
      <c r="J4669" s="1">
        <f>IF(COUNTIF($C$4:C4669,C4669)=1,1,0)</f>
        <v>1</v>
      </c>
      <c r="K4669" s="1">
        <f t="shared" si="72"/>
        <v>2024</v>
      </c>
    </row>
    <row r="4670" spans="2:11" x14ac:dyDescent="0.45">
      <c r="B4670" s="1" t="s">
        <v>4000</v>
      </c>
      <c r="C4670" s="1" t="s">
        <v>4290</v>
      </c>
      <c r="D4670" s="7">
        <v>46132</v>
      </c>
      <c r="E4670" s="7">
        <v>46162</v>
      </c>
      <c r="G4670" s="1" t="s">
        <v>18</v>
      </c>
      <c r="H4670" s="8">
        <v>4023397.62</v>
      </c>
      <c r="I4670" s="8">
        <v>3602550.95</v>
      </c>
      <c r="J4670" s="1">
        <f>IF(COUNTIF($C$4:C4670,C4670)=1,1,0)</f>
        <v>0</v>
      </c>
      <c r="K4670" s="1">
        <f t="shared" si="72"/>
        <v>2026</v>
      </c>
    </row>
    <row r="4671" spans="2:11" x14ac:dyDescent="0.45">
      <c r="B4671" s="1" t="s">
        <v>4000</v>
      </c>
      <c r="C4671" s="1" t="s">
        <v>4632</v>
      </c>
      <c r="D4671" s="7">
        <v>44547</v>
      </c>
      <c r="E4671" s="7">
        <v>44555</v>
      </c>
      <c r="G4671" s="1" t="s">
        <v>41</v>
      </c>
      <c r="H4671" s="8">
        <v>869409</v>
      </c>
      <c r="I4671" s="8">
        <v>667105.66</v>
      </c>
      <c r="J4671" s="1">
        <f>IF(COUNTIF($C$4:C4671,C4671)=1,1,0)</f>
        <v>1</v>
      </c>
      <c r="K4671" s="1">
        <f t="shared" si="72"/>
        <v>2021</v>
      </c>
    </row>
    <row r="4672" spans="2:11" x14ac:dyDescent="0.45">
      <c r="B4672" s="1" t="s">
        <v>4000</v>
      </c>
      <c r="C4672" s="1" t="s">
        <v>4633</v>
      </c>
      <c r="D4672" s="7">
        <v>45399</v>
      </c>
      <c r="E4672" s="7">
        <v>45429</v>
      </c>
      <c r="G4672" s="1" t="s">
        <v>22</v>
      </c>
      <c r="H4672" s="8">
        <v>56563748.509999998</v>
      </c>
      <c r="I4672" s="8">
        <v>34036800.799999997</v>
      </c>
      <c r="J4672" s="1">
        <f>IF(COUNTIF($C$4:C4672,C4672)=1,1,0)</f>
        <v>1</v>
      </c>
      <c r="K4672" s="1">
        <f t="shared" si="72"/>
        <v>2024</v>
      </c>
    </row>
    <row r="4673" spans="2:11" x14ac:dyDescent="0.45">
      <c r="B4673" s="1" t="s">
        <v>4000</v>
      </c>
      <c r="C4673" s="1" t="s">
        <v>4634</v>
      </c>
      <c r="D4673" s="7">
        <v>45116</v>
      </c>
      <c r="E4673" s="7">
        <v>45134</v>
      </c>
      <c r="G4673" s="1" t="s">
        <v>1348</v>
      </c>
      <c r="H4673" s="8">
        <v>65878768.409999996</v>
      </c>
      <c r="I4673" s="8">
        <v>49302599.509999998</v>
      </c>
      <c r="J4673" s="1">
        <f>IF(COUNTIF($C$4:C4673,C4673)=1,1,0)</f>
        <v>1</v>
      </c>
      <c r="K4673" s="1">
        <f t="shared" si="72"/>
        <v>2023</v>
      </c>
    </row>
    <row r="4674" spans="2:11" x14ac:dyDescent="0.45">
      <c r="B4674" s="1" t="s">
        <v>4000</v>
      </c>
      <c r="C4674" s="1" t="s">
        <v>4635</v>
      </c>
      <c r="D4674" s="7">
        <v>44426</v>
      </c>
      <c r="E4674" s="7">
        <v>44456</v>
      </c>
      <c r="G4674" s="1" t="s">
        <v>212</v>
      </c>
      <c r="H4674" s="8">
        <v>3944463.42</v>
      </c>
      <c r="I4674" s="8">
        <v>1813698.66</v>
      </c>
      <c r="J4674" s="1">
        <f>IF(COUNTIF($C$4:C4674,C4674)=1,1,0)</f>
        <v>1</v>
      </c>
      <c r="K4674" s="1">
        <f t="shared" si="72"/>
        <v>2021</v>
      </c>
    </row>
    <row r="4675" spans="2:11" x14ac:dyDescent="0.45">
      <c r="B4675" s="1" t="s">
        <v>4000</v>
      </c>
      <c r="C4675" s="1" t="s">
        <v>4636</v>
      </c>
      <c r="D4675" s="7">
        <v>43790</v>
      </c>
      <c r="E4675" s="7">
        <v>43790</v>
      </c>
      <c r="G4675" s="1" t="s">
        <v>13</v>
      </c>
      <c r="H4675" s="8">
        <v>63185.93</v>
      </c>
      <c r="I4675" s="8">
        <v>50250.71</v>
      </c>
      <c r="J4675" s="1">
        <f>IF(COUNTIF($C$4:C4675,C4675)=1,1,0)</f>
        <v>1</v>
      </c>
      <c r="K4675" s="1">
        <f t="shared" si="72"/>
        <v>2019</v>
      </c>
    </row>
    <row r="4676" spans="2:11" x14ac:dyDescent="0.45">
      <c r="B4676" s="1" t="s">
        <v>4000</v>
      </c>
      <c r="C4676" s="1" t="s">
        <v>4637</v>
      </c>
      <c r="D4676" s="7">
        <v>44137</v>
      </c>
      <c r="E4676" s="7">
        <v>44150</v>
      </c>
      <c r="G4676" s="1" t="s">
        <v>16</v>
      </c>
      <c r="H4676" s="8">
        <v>306458.17</v>
      </c>
      <c r="I4676" s="8">
        <v>163031.54</v>
      </c>
      <c r="J4676" s="1">
        <f>IF(COUNTIF($C$4:C4676,C4676)=1,1,0)</f>
        <v>1</v>
      </c>
      <c r="K4676" s="1">
        <f t="shared" si="72"/>
        <v>2020</v>
      </c>
    </row>
    <row r="4677" spans="2:11" x14ac:dyDescent="0.45">
      <c r="B4677" s="1" t="s">
        <v>4000</v>
      </c>
      <c r="C4677" s="1" t="s">
        <v>4638</v>
      </c>
      <c r="D4677" s="7">
        <v>43674</v>
      </c>
      <c r="E4677" s="7">
        <v>43696</v>
      </c>
      <c r="G4677" s="1" t="s">
        <v>1348</v>
      </c>
      <c r="H4677" s="8">
        <v>111394132.06999999</v>
      </c>
      <c r="I4677" s="8">
        <v>84368503.180000007</v>
      </c>
      <c r="J4677" s="1">
        <f>IF(COUNTIF($C$4:C4677,C4677)=1,1,0)</f>
        <v>1</v>
      </c>
      <c r="K4677" s="1">
        <f t="shared" ref="K4677:K4740" si="73">YEAR(D4677)</f>
        <v>2019</v>
      </c>
    </row>
    <row r="4678" spans="2:11" x14ac:dyDescent="0.45">
      <c r="B4678" s="1" t="s">
        <v>4000</v>
      </c>
      <c r="C4678" s="1" t="s">
        <v>4639</v>
      </c>
      <c r="D4678" s="7">
        <v>45984</v>
      </c>
      <c r="E4678" s="7">
        <v>45992</v>
      </c>
      <c r="G4678" s="1" t="s">
        <v>212</v>
      </c>
      <c r="H4678" s="8">
        <v>15115691.58</v>
      </c>
      <c r="I4678" s="8">
        <v>10288275.27</v>
      </c>
      <c r="J4678" s="1">
        <f>IF(COUNTIF($C$4:C4678,C4678)=1,1,0)</f>
        <v>1</v>
      </c>
      <c r="K4678" s="1">
        <f t="shared" si="73"/>
        <v>2025</v>
      </c>
    </row>
    <row r="4679" spans="2:11" x14ac:dyDescent="0.45">
      <c r="B4679" s="1" t="s">
        <v>4000</v>
      </c>
      <c r="C4679" s="1" t="s">
        <v>4640</v>
      </c>
      <c r="D4679" s="7">
        <v>43629</v>
      </c>
      <c r="E4679" s="7">
        <v>43639</v>
      </c>
      <c r="G4679" s="1" t="s">
        <v>1348</v>
      </c>
      <c r="H4679" s="8">
        <v>93096405.040000007</v>
      </c>
      <c r="I4679" s="8">
        <v>66771682.079999998</v>
      </c>
      <c r="J4679" s="1">
        <f>IF(COUNTIF($C$4:C4679,C4679)=1,1,0)</f>
        <v>1</v>
      </c>
      <c r="K4679" s="1">
        <f t="shared" si="73"/>
        <v>2019</v>
      </c>
    </row>
    <row r="4680" spans="2:11" x14ac:dyDescent="0.45">
      <c r="B4680" s="1" t="s">
        <v>4000</v>
      </c>
      <c r="C4680" s="1" t="s">
        <v>4641</v>
      </c>
      <c r="D4680" s="7">
        <v>43650</v>
      </c>
      <c r="E4680" s="7">
        <v>43677</v>
      </c>
      <c r="G4680" s="1" t="s">
        <v>18</v>
      </c>
      <c r="H4680" s="8">
        <v>722713.46</v>
      </c>
      <c r="I4680" s="8">
        <v>536391.67000000004</v>
      </c>
      <c r="J4680" s="1">
        <f>IF(COUNTIF($C$4:C4680,C4680)=1,1,0)</f>
        <v>1</v>
      </c>
      <c r="K4680" s="1">
        <f t="shared" si="73"/>
        <v>2019</v>
      </c>
    </row>
    <row r="4681" spans="2:11" x14ac:dyDescent="0.45">
      <c r="B4681" s="1" t="s">
        <v>4000</v>
      </c>
      <c r="C4681" s="1" t="s">
        <v>4642</v>
      </c>
      <c r="D4681" s="7">
        <v>43195</v>
      </c>
      <c r="E4681" s="7">
        <v>43200</v>
      </c>
      <c r="G4681" s="1" t="s">
        <v>16</v>
      </c>
      <c r="H4681" s="8">
        <v>903251.9</v>
      </c>
      <c r="I4681" s="8">
        <v>754275.47</v>
      </c>
      <c r="J4681" s="1">
        <f>IF(COUNTIF($C$4:C4681,C4681)=1,1,0)</f>
        <v>1</v>
      </c>
      <c r="K4681" s="1">
        <f t="shared" si="73"/>
        <v>2018</v>
      </c>
    </row>
    <row r="4682" spans="2:11" x14ac:dyDescent="0.45">
      <c r="B4682" s="1" t="s">
        <v>4000</v>
      </c>
      <c r="C4682" s="1" t="s">
        <v>4643</v>
      </c>
      <c r="D4682" s="7">
        <v>44658</v>
      </c>
      <c r="E4682" s="7">
        <v>44668</v>
      </c>
      <c r="G4682" s="1" t="s">
        <v>13</v>
      </c>
      <c r="H4682" s="8">
        <v>523160.89</v>
      </c>
      <c r="I4682" s="8">
        <v>469981.06</v>
      </c>
      <c r="J4682" s="1">
        <f>IF(COUNTIF($C$4:C4682,C4682)=1,1,0)</f>
        <v>1</v>
      </c>
      <c r="K4682" s="1">
        <f t="shared" si="73"/>
        <v>2022</v>
      </c>
    </row>
    <row r="4683" spans="2:11" x14ac:dyDescent="0.45">
      <c r="B4683" s="1" t="s">
        <v>4000</v>
      </c>
      <c r="C4683" s="1" t="s">
        <v>4644</v>
      </c>
      <c r="D4683" s="7">
        <v>46020</v>
      </c>
      <c r="E4683" s="7">
        <v>46048</v>
      </c>
      <c r="G4683" s="1" t="s">
        <v>16</v>
      </c>
      <c r="H4683" s="8">
        <v>8123270.5999999996</v>
      </c>
      <c r="I4683" s="8">
        <v>5703014.1699999999</v>
      </c>
      <c r="J4683" s="1">
        <f>IF(COUNTIF($C$4:C4683,C4683)=1,1,0)</f>
        <v>1</v>
      </c>
      <c r="K4683" s="1">
        <f t="shared" si="73"/>
        <v>2025</v>
      </c>
    </row>
    <row r="4684" spans="2:11" x14ac:dyDescent="0.45">
      <c r="B4684" s="1" t="s">
        <v>4000</v>
      </c>
      <c r="C4684" s="1" t="s">
        <v>4645</v>
      </c>
      <c r="D4684" s="7">
        <v>45515</v>
      </c>
      <c r="E4684" s="7">
        <v>45518</v>
      </c>
      <c r="G4684" s="1" t="s">
        <v>16</v>
      </c>
      <c r="H4684" s="8">
        <v>4971583</v>
      </c>
      <c r="I4684" s="8">
        <v>3126965.14</v>
      </c>
      <c r="J4684" s="1">
        <f>IF(COUNTIF($C$4:C4684,C4684)=1,1,0)</f>
        <v>1</v>
      </c>
      <c r="K4684" s="1">
        <f t="shared" si="73"/>
        <v>2024</v>
      </c>
    </row>
    <row r="4685" spans="2:11" x14ac:dyDescent="0.45">
      <c r="B4685" s="1" t="s">
        <v>4000</v>
      </c>
      <c r="C4685" s="1" t="s">
        <v>4646</v>
      </c>
      <c r="D4685" s="7">
        <v>45907</v>
      </c>
      <c r="E4685" s="7">
        <v>45916</v>
      </c>
      <c r="G4685" s="1" t="s">
        <v>20</v>
      </c>
      <c r="H4685" s="8">
        <v>1683329.6</v>
      </c>
      <c r="I4685" s="8">
        <v>1377978.75</v>
      </c>
      <c r="J4685" s="1">
        <f>IF(COUNTIF($C$4:C4685,C4685)=1,1,0)</f>
        <v>1</v>
      </c>
      <c r="K4685" s="1">
        <f t="shared" si="73"/>
        <v>2025</v>
      </c>
    </row>
    <row r="4686" spans="2:11" x14ac:dyDescent="0.45">
      <c r="B4686" s="1" t="s">
        <v>4000</v>
      </c>
      <c r="C4686" s="1" t="s">
        <v>4647</v>
      </c>
      <c r="D4686" s="7">
        <v>44091</v>
      </c>
      <c r="E4686" s="7">
        <v>44095</v>
      </c>
      <c r="G4686" s="1" t="s">
        <v>20</v>
      </c>
      <c r="H4686" s="8">
        <v>1022459.1</v>
      </c>
      <c r="I4686" s="8">
        <v>587577.31000000006</v>
      </c>
      <c r="J4686" s="1">
        <f>IF(COUNTIF($C$4:C4686,C4686)=1,1,0)</f>
        <v>1</v>
      </c>
      <c r="K4686" s="1">
        <f t="shared" si="73"/>
        <v>2020</v>
      </c>
    </row>
    <row r="4687" spans="2:11" x14ac:dyDescent="0.45">
      <c r="B4687" s="1" t="s">
        <v>4000</v>
      </c>
      <c r="C4687" s="1" t="s">
        <v>4648</v>
      </c>
      <c r="D4687" s="7">
        <v>44594</v>
      </c>
      <c r="E4687" s="7">
        <v>44609</v>
      </c>
      <c r="G4687" s="1" t="s">
        <v>18</v>
      </c>
      <c r="H4687" s="8">
        <v>702293.79</v>
      </c>
      <c r="I4687" s="8">
        <v>593057.34</v>
      </c>
      <c r="J4687" s="1">
        <f>IF(COUNTIF($C$4:C4687,C4687)=1,1,0)</f>
        <v>1</v>
      </c>
      <c r="K4687" s="1">
        <f t="shared" si="73"/>
        <v>2022</v>
      </c>
    </row>
    <row r="4688" spans="2:11" x14ac:dyDescent="0.45">
      <c r="B4688" s="1" t="s">
        <v>4000</v>
      </c>
      <c r="C4688" s="1" t="s">
        <v>4649</v>
      </c>
      <c r="D4688" s="7">
        <v>45571</v>
      </c>
      <c r="E4688" s="7">
        <v>45585</v>
      </c>
      <c r="G4688" s="1" t="s">
        <v>22</v>
      </c>
      <c r="H4688" s="8">
        <v>1309903.93</v>
      </c>
      <c r="I4688" s="8">
        <v>801112.24</v>
      </c>
      <c r="J4688" s="1">
        <f>IF(COUNTIF($C$4:C4688,C4688)=1,1,0)</f>
        <v>1</v>
      </c>
      <c r="K4688" s="1">
        <f t="shared" si="73"/>
        <v>2024</v>
      </c>
    </row>
    <row r="4689" spans="2:11" x14ac:dyDescent="0.45">
      <c r="B4689" s="1" t="s">
        <v>4000</v>
      </c>
      <c r="C4689" s="1" t="s">
        <v>4650</v>
      </c>
      <c r="D4689" s="7">
        <v>43712</v>
      </c>
      <c r="E4689" s="7">
        <v>43719</v>
      </c>
      <c r="G4689" s="1" t="s">
        <v>16</v>
      </c>
      <c r="H4689" s="8">
        <v>568103.76</v>
      </c>
      <c r="I4689" s="8">
        <v>411799.29</v>
      </c>
      <c r="J4689" s="1">
        <f>IF(COUNTIF($C$4:C4689,C4689)=1,1,0)</f>
        <v>1</v>
      </c>
      <c r="K4689" s="1">
        <f t="shared" si="73"/>
        <v>2019</v>
      </c>
    </row>
    <row r="4690" spans="2:11" x14ac:dyDescent="0.45">
      <c r="B4690" s="1" t="s">
        <v>4000</v>
      </c>
      <c r="C4690" s="1" t="s">
        <v>4651</v>
      </c>
      <c r="D4690" s="7">
        <v>43414</v>
      </c>
      <c r="E4690" s="7">
        <v>43439</v>
      </c>
      <c r="G4690" s="1" t="s">
        <v>13</v>
      </c>
      <c r="H4690" s="8">
        <v>221393.54</v>
      </c>
      <c r="I4690" s="8">
        <v>194085.77</v>
      </c>
      <c r="J4690" s="1">
        <f>IF(COUNTIF($C$4:C4690,C4690)=1,1,0)</f>
        <v>1</v>
      </c>
      <c r="K4690" s="1">
        <f t="shared" si="73"/>
        <v>2018</v>
      </c>
    </row>
    <row r="4691" spans="2:11" x14ac:dyDescent="0.45">
      <c r="B4691" s="1" t="s">
        <v>4000</v>
      </c>
      <c r="C4691" s="1" t="s">
        <v>4652</v>
      </c>
      <c r="D4691" s="7">
        <v>44368</v>
      </c>
      <c r="E4691" s="7">
        <v>44378</v>
      </c>
      <c r="G4691" s="1" t="s">
        <v>20</v>
      </c>
      <c r="H4691" s="8">
        <v>649529.01</v>
      </c>
      <c r="I4691" s="8">
        <v>483737.01</v>
      </c>
      <c r="J4691" s="1">
        <f>IF(COUNTIF($C$4:C4691,C4691)=1,1,0)</f>
        <v>1</v>
      </c>
      <c r="K4691" s="1">
        <f t="shared" si="73"/>
        <v>2021</v>
      </c>
    </row>
    <row r="4692" spans="2:11" x14ac:dyDescent="0.45">
      <c r="B4692" s="1" t="s">
        <v>4000</v>
      </c>
      <c r="C4692" s="1" t="s">
        <v>4653</v>
      </c>
      <c r="D4692" s="7">
        <v>43625</v>
      </c>
      <c r="E4692" s="7">
        <v>43632</v>
      </c>
      <c r="G4692" s="1" t="s">
        <v>22</v>
      </c>
      <c r="H4692" s="8">
        <v>14497937.33</v>
      </c>
      <c r="I4692" s="8">
        <v>11439908.02</v>
      </c>
      <c r="J4692" s="1">
        <f>IF(COUNTIF($C$4:C4692,C4692)=1,1,0)</f>
        <v>1</v>
      </c>
      <c r="K4692" s="1">
        <f t="shared" si="73"/>
        <v>2019</v>
      </c>
    </row>
    <row r="4693" spans="2:11" x14ac:dyDescent="0.45">
      <c r="B4693" s="1" t="s">
        <v>4000</v>
      </c>
      <c r="C4693" s="1" t="s">
        <v>4654</v>
      </c>
      <c r="D4693" s="7">
        <v>44930</v>
      </c>
      <c r="E4693" s="7">
        <v>44938</v>
      </c>
      <c r="G4693" s="1" t="s">
        <v>18</v>
      </c>
      <c r="H4693" s="8">
        <v>1460140.36</v>
      </c>
      <c r="I4693" s="8">
        <v>1297260.25</v>
      </c>
      <c r="J4693" s="1">
        <f>IF(COUNTIF($C$4:C4693,C4693)=1,1,0)</f>
        <v>1</v>
      </c>
      <c r="K4693" s="1">
        <f t="shared" si="73"/>
        <v>2023</v>
      </c>
    </row>
    <row r="4694" spans="2:11" x14ac:dyDescent="0.45">
      <c r="B4694" s="1" t="s">
        <v>4000</v>
      </c>
      <c r="C4694" s="1" t="s">
        <v>4655</v>
      </c>
      <c r="D4694" s="7">
        <v>45120</v>
      </c>
      <c r="E4694" s="7">
        <v>45137</v>
      </c>
      <c r="G4694" s="1" t="s">
        <v>18</v>
      </c>
      <c r="H4694" s="8">
        <v>369799.59</v>
      </c>
      <c r="I4694" s="8">
        <v>342536.08</v>
      </c>
      <c r="J4694" s="1">
        <f>IF(COUNTIF($C$4:C4694,C4694)=1,1,0)</f>
        <v>1</v>
      </c>
      <c r="K4694" s="1">
        <f t="shared" si="73"/>
        <v>2023</v>
      </c>
    </row>
    <row r="4695" spans="2:11" x14ac:dyDescent="0.45">
      <c r="B4695" s="1" t="s">
        <v>4000</v>
      </c>
      <c r="C4695" s="1" t="s">
        <v>4656</v>
      </c>
      <c r="D4695" s="7">
        <v>43714</v>
      </c>
      <c r="E4695" s="7">
        <v>43715</v>
      </c>
      <c r="G4695" s="1" t="s">
        <v>41</v>
      </c>
      <c r="H4695" s="8">
        <v>408300.53</v>
      </c>
      <c r="I4695" s="8">
        <v>297842.71000000002</v>
      </c>
      <c r="J4695" s="1">
        <f>IF(COUNTIF($C$4:C4695,C4695)=1,1,0)</f>
        <v>1</v>
      </c>
      <c r="K4695" s="1">
        <f t="shared" si="73"/>
        <v>2019</v>
      </c>
    </row>
    <row r="4696" spans="2:11" x14ac:dyDescent="0.45">
      <c r="B4696" s="1" t="s">
        <v>4000</v>
      </c>
      <c r="C4696" s="1" t="s">
        <v>4657</v>
      </c>
      <c r="D4696" s="7">
        <v>45613</v>
      </c>
      <c r="E4696" s="7">
        <v>45629</v>
      </c>
      <c r="G4696" s="1" t="s">
        <v>1348</v>
      </c>
      <c r="H4696" s="8">
        <v>150054632.72999999</v>
      </c>
      <c r="I4696" s="8">
        <v>69497602.120000005</v>
      </c>
      <c r="J4696" s="1">
        <f>IF(COUNTIF($C$4:C4696,C4696)=1,1,0)</f>
        <v>1</v>
      </c>
      <c r="K4696" s="1">
        <f t="shared" si="73"/>
        <v>2024</v>
      </c>
    </row>
    <row r="4697" spans="2:11" x14ac:dyDescent="0.45">
      <c r="B4697" s="1" t="s">
        <v>4000</v>
      </c>
      <c r="C4697" s="1" t="s">
        <v>4658</v>
      </c>
      <c r="D4697" s="7">
        <v>45889</v>
      </c>
      <c r="E4697" s="7">
        <v>45900</v>
      </c>
      <c r="G4697" s="1" t="s">
        <v>212</v>
      </c>
      <c r="H4697" s="8">
        <v>8426927.6799999997</v>
      </c>
      <c r="I4697" s="8">
        <v>5071221.38</v>
      </c>
      <c r="J4697" s="1">
        <f>IF(COUNTIF($C$4:C4697,C4697)=1,1,0)</f>
        <v>1</v>
      </c>
      <c r="K4697" s="1">
        <f t="shared" si="73"/>
        <v>2025</v>
      </c>
    </row>
    <row r="4698" spans="2:11" x14ac:dyDescent="0.45">
      <c r="B4698" s="1" t="s">
        <v>4000</v>
      </c>
      <c r="C4698" s="1" t="s">
        <v>4659</v>
      </c>
      <c r="D4698" s="7">
        <v>45110</v>
      </c>
      <c r="E4698" s="7">
        <v>45122</v>
      </c>
      <c r="G4698" s="1" t="s">
        <v>41</v>
      </c>
      <c r="H4698" s="8">
        <v>50020.36</v>
      </c>
      <c r="I4698" s="8">
        <v>43677.62</v>
      </c>
      <c r="J4698" s="1">
        <f>IF(COUNTIF($C$4:C4698,C4698)=1,1,0)</f>
        <v>1</v>
      </c>
      <c r="K4698" s="1">
        <f t="shared" si="73"/>
        <v>2023</v>
      </c>
    </row>
    <row r="4699" spans="2:11" x14ac:dyDescent="0.45">
      <c r="B4699" s="1" t="s">
        <v>4000</v>
      </c>
      <c r="C4699" s="1" t="s">
        <v>4660</v>
      </c>
      <c r="D4699" s="7">
        <v>46086</v>
      </c>
      <c r="E4699" s="7">
        <v>46094</v>
      </c>
      <c r="G4699" s="1" t="s">
        <v>13</v>
      </c>
      <c r="H4699" s="8">
        <v>126162.75</v>
      </c>
      <c r="I4699" s="8">
        <v>93522.64</v>
      </c>
      <c r="J4699" s="1">
        <f>IF(COUNTIF($C$4:C4699,C4699)=1,1,0)</f>
        <v>1</v>
      </c>
      <c r="K4699" s="1">
        <f t="shared" si="73"/>
        <v>2026</v>
      </c>
    </row>
    <row r="4700" spans="2:11" x14ac:dyDescent="0.45">
      <c r="B4700" s="1" t="s">
        <v>4000</v>
      </c>
      <c r="C4700" s="1" t="s">
        <v>4661</v>
      </c>
      <c r="D4700" s="7">
        <v>45316</v>
      </c>
      <c r="E4700" s="7">
        <v>45341</v>
      </c>
      <c r="G4700" s="1" t="s">
        <v>212</v>
      </c>
      <c r="H4700" s="8">
        <v>11369203.369999999</v>
      </c>
      <c r="I4700" s="8">
        <v>5488226.3899999997</v>
      </c>
      <c r="J4700" s="1">
        <f>IF(COUNTIF($C$4:C4700,C4700)=1,1,0)</f>
        <v>1</v>
      </c>
      <c r="K4700" s="1">
        <f t="shared" si="73"/>
        <v>2024</v>
      </c>
    </row>
    <row r="4701" spans="2:11" x14ac:dyDescent="0.45">
      <c r="B4701" s="1" t="s">
        <v>4000</v>
      </c>
      <c r="C4701" s="1" t="s">
        <v>4662</v>
      </c>
      <c r="D4701" s="7">
        <v>46090</v>
      </c>
      <c r="E4701" s="7">
        <v>46097</v>
      </c>
      <c r="G4701" s="1" t="s">
        <v>1348</v>
      </c>
      <c r="H4701" s="8">
        <v>52093297.960000001</v>
      </c>
      <c r="I4701" s="8">
        <v>41212910.689999998</v>
      </c>
      <c r="J4701" s="1">
        <f>IF(COUNTIF($C$4:C4701,C4701)=1,1,0)</f>
        <v>1</v>
      </c>
      <c r="K4701" s="1">
        <f t="shared" si="73"/>
        <v>2026</v>
      </c>
    </row>
    <row r="4702" spans="2:11" x14ac:dyDescent="0.45">
      <c r="B4702" s="1" t="s">
        <v>4000</v>
      </c>
      <c r="C4702" s="1" t="s">
        <v>4663</v>
      </c>
      <c r="D4702" s="7">
        <v>45622</v>
      </c>
      <c r="E4702" s="7">
        <v>45645</v>
      </c>
      <c r="G4702" s="1" t="s">
        <v>41</v>
      </c>
      <c r="H4702" s="8">
        <v>356210.66</v>
      </c>
      <c r="I4702" s="8">
        <v>280065.44</v>
      </c>
      <c r="J4702" s="1">
        <f>IF(COUNTIF($C$4:C4702,C4702)=1,1,0)</f>
        <v>1</v>
      </c>
      <c r="K4702" s="1">
        <f t="shared" si="73"/>
        <v>2024</v>
      </c>
    </row>
    <row r="4703" spans="2:11" x14ac:dyDescent="0.45">
      <c r="B4703" s="1" t="s">
        <v>4000</v>
      </c>
      <c r="C4703" s="1" t="s">
        <v>4664</v>
      </c>
      <c r="D4703" s="7">
        <v>45130</v>
      </c>
      <c r="E4703" s="7">
        <v>45159</v>
      </c>
      <c r="G4703" s="1" t="s">
        <v>16</v>
      </c>
      <c r="H4703" s="8">
        <v>1933357.42</v>
      </c>
      <c r="I4703" s="8">
        <v>1518861.99</v>
      </c>
      <c r="J4703" s="1">
        <f>IF(COUNTIF($C$4:C4703,C4703)=1,1,0)</f>
        <v>1</v>
      </c>
      <c r="K4703" s="1">
        <f t="shared" si="73"/>
        <v>2023</v>
      </c>
    </row>
    <row r="4704" spans="2:11" x14ac:dyDescent="0.45">
      <c r="B4704" s="1" t="s">
        <v>4000</v>
      </c>
      <c r="C4704" s="1" t="s">
        <v>4665</v>
      </c>
      <c r="D4704" s="7">
        <v>44694</v>
      </c>
      <c r="E4704" s="7">
        <v>44715</v>
      </c>
      <c r="G4704" s="1" t="s">
        <v>16</v>
      </c>
      <c r="H4704" s="8">
        <v>1785950.74</v>
      </c>
      <c r="I4704" s="8">
        <v>1428528.84</v>
      </c>
      <c r="J4704" s="1">
        <f>IF(COUNTIF($C$4:C4704,C4704)=1,1,0)</f>
        <v>1</v>
      </c>
      <c r="K4704" s="1">
        <f t="shared" si="73"/>
        <v>2022</v>
      </c>
    </row>
    <row r="4705" spans="2:11" x14ac:dyDescent="0.45">
      <c r="B4705" s="1" t="s">
        <v>4000</v>
      </c>
      <c r="C4705" s="1" t="s">
        <v>4666</v>
      </c>
      <c r="D4705" s="7">
        <v>43438</v>
      </c>
      <c r="E4705" s="7">
        <v>43465</v>
      </c>
      <c r="G4705" s="1" t="s">
        <v>22</v>
      </c>
      <c r="H4705" s="8">
        <v>40699715.25</v>
      </c>
      <c r="I4705" s="8">
        <v>22639774.079999998</v>
      </c>
      <c r="J4705" s="1">
        <f>IF(COUNTIF($C$4:C4705,C4705)=1,1,0)</f>
        <v>1</v>
      </c>
      <c r="K4705" s="1">
        <f t="shared" si="73"/>
        <v>2018</v>
      </c>
    </row>
    <row r="4706" spans="2:11" x14ac:dyDescent="0.45">
      <c r="B4706" s="1" t="s">
        <v>4000</v>
      </c>
      <c r="C4706" s="1" t="s">
        <v>4667</v>
      </c>
      <c r="D4706" s="7">
        <v>44240</v>
      </c>
      <c r="E4706" s="7">
        <v>44262</v>
      </c>
      <c r="G4706" s="1" t="s">
        <v>212</v>
      </c>
      <c r="H4706" s="8">
        <v>27086067.350000001</v>
      </c>
      <c r="I4706" s="8">
        <v>18406827.809999999</v>
      </c>
      <c r="J4706" s="1">
        <f>IF(COUNTIF($C$4:C4706,C4706)=1,1,0)</f>
        <v>1</v>
      </c>
      <c r="K4706" s="1">
        <f t="shared" si="73"/>
        <v>2021</v>
      </c>
    </row>
    <row r="4707" spans="2:11" x14ac:dyDescent="0.45">
      <c r="B4707" s="1" t="s">
        <v>4000</v>
      </c>
      <c r="C4707" s="1" t="s">
        <v>4668</v>
      </c>
      <c r="D4707" s="7">
        <v>45675</v>
      </c>
      <c r="E4707" s="7">
        <v>45683</v>
      </c>
      <c r="G4707" s="1" t="s">
        <v>22</v>
      </c>
      <c r="H4707" s="8">
        <v>11362882.380000001</v>
      </c>
      <c r="I4707" s="8">
        <v>8925186.6500000004</v>
      </c>
      <c r="J4707" s="1">
        <f>IF(COUNTIF($C$4:C4707,C4707)=1,1,0)</f>
        <v>1</v>
      </c>
      <c r="K4707" s="1">
        <f t="shared" si="73"/>
        <v>2025</v>
      </c>
    </row>
    <row r="4708" spans="2:11" x14ac:dyDescent="0.45">
      <c r="B4708" s="1" t="s">
        <v>4000</v>
      </c>
      <c r="C4708" s="1" t="s">
        <v>4669</v>
      </c>
      <c r="D4708" s="7">
        <v>44158</v>
      </c>
      <c r="E4708" s="7">
        <v>44159</v>
      </c>
      <c r="G4708" s="1" t="s">
        <v>212</v>
      </c>
      <c r="H4708" s="8">
        <v>2137145.08</v>
      </c>
      <c r="I4708" s="8">
        <v>828948.7</v>
      </c>
      <c r="J4708" s="1">
        <f>IF(COUNTIF($C$4:C4708,C4708)=1,1,0)</f>
        <v>1</v>
      </c>
      <c r="K4708" s="1">
        <f t="shared" si="73"/>
        <v>2020</v>
      </c>
    </row>
    <row r="4709" spans="2:11" x14ac:dyDescent="0.45">
      <c r="B4709" s="1" t="s">
        <v>4000</v>
      </c>
      <c r="C4709" s="1" t="s">
        <v>4670</v>
      </c>
      <c r="D4709" s="7">
        <v>46081</v>
      </c>
      <c r="E4709" s="7">
        <v>46104</v>
      </c>
      <c r="G4709" s="1" t="s">
        <v>41</v>
      </c>
      <c r="H4709" s="8">
        <v>7346.22</v>
      </c>
      <c r="I4709" s="8">
        <v>6659.36</v>
      </c>
      <c r="J4709" s="1">
        <f>IF(COUNTIF($C$4:C4709,C4709)=1,1,0)</f>
        <v>1</v>
      </c>
      <c r="K4709" s="1">
        <f t="shared" si="73"/>
        <v>2026</v>
      </c>
    </row>
    <row r="4710" spans="2:11" x14ac:dyDescent="0.45">
      <c r="B4710" s="1" t="s">
        <v>4000</v>
      </c>
      <c r="C4710" s="1" t="s">
        <v>4671</v>
      </c>
      <c r="D4710" s="7">
        <v>45449</v>
      </c>
      <c r="E4710" s="7">
        <v>45457</v>
      </c>
      <c r="G4710" s="1" t="s">
        <v>16</v>
      </c>
      <c r="H4710" s="8">
        <v>1664128.86</v>
      </c>
      <c r="I4710" s="8">
        <v>1197685.1200000001</v>
      </c>
      <c r="J4710" s="1">
        <f>IF(COUNTIF($C$4:C4710,C4710)=1,1,0)</f>
        <v>1</v>
      </c>
      <c r="K4710" s="1">
        <f t="shared" si="73"/>
        <v>2024</v>
      </c>
    </row>
    <row r="4711" spans="2:11" x14ac:dyDescent="0.45">
      <c r="B4711" s="1" t="s">
        <v>4000</v>
      </c>
      <c r="C4711" s="1" t="s">
        <v>4672</v>
      </c>
      <c r="D4711" s="7">
        <v>43888</v>
      </c>
      <c r="E4711" s="7">
        <v>43901</v>
      </c>
      <c r="G4711" s="1" t="s">
        <v>38</v>
      </c>
      <c r="H4711" s="8">
        <v>198864.29</v>
      </c>
      <c r="I4711" s="8">
        <v>158686.87</v>
      </c>
      <c r="J4711" s="1">
        <f>IF(COUNTIF($C$4:C4711,C4711)=1,1,0)</f>
        <v>1</v>
      </c>
      <c r="K4711" s="1">
        <f t="shared" si="73"/>
        <v>2020</v>
      </c>
    </row>
    <row r="4712" spans="2:11" x14ac:dyDescent="0.45">
      <c r="B4712" s="1" t="s">
        <v>4000</v>
      </c>
      <c r="C4712" s="1" t="s">
        <v>4673</v>
      </c>
      <c r="D4712" s="7">
        <v>45892</v>
      </c>
      <c r="E4712" s="7">
        <v>45917</v>
      </c>
      <c r="G4712" s="1" t="s">
        <v>20</v>
      </c>
      <c r="H4712" s="8">
        <v>1562508.3</v>
      </c>
      <c r="I4712" s="8">
        <v>1304053.08</v>
      </c>
      <c r="J4712" s="1">
        <f>IF(COUNTIF($C$4:C4712,C4712)=1,1,0)</f>
        <v>1</v>
      </c>
      <c r="K4712" s="1">
        <f t="shared" si="73"/>
        <v>2025</v>
      </c>
    </row>
    <row r="4713" spans="2:11" x14ac:dyDescent="0.45">
      <c r="B4713" s="1" t="s">
        <v>4000</v>
      </c>
      <c r="C4713" s="1" t="s">
        <v>4674</v>
      </c>
      <c r="D4713" s="7">
        <v>44151</v>
      </c>
      <c r="E4713" s="7">
        <v>44168</v>
      </c>
      <c r="G4713" s="1" t="s">
        <v>1348</v>
      </c>
      <c r="H4713" s="8">
        <v>70844609.359999999</v>
      </c>
      <c r="I4713" s="8">
        <v>37710307.579999998</v>
      </c>
      <c r="J4713" s="1">
        <f>IF(COUNTIF($C$4:C4713,C4713)=1,1,0)</f>
        <v>1</v>
      </c>
      <c r="K4713" s="1">
        <f t="shared" si="73"/>
        <v>2020</v>
      </c>
    </row>
    <row r="4714" spans="2:11" x14ac:dyDescent="0.45">
      <c r="B4714" s="1" t="s">
        <v>4000</v>
      </c>
      <c r="C4714" s="1" t="s">
        <v>4675</v>
      </c>
      <c r="D4714" s="7">
        <v>45645</v>
      </c>
      <c r="E4714" s="7">
        <v>45663</v>
      </c>
      <c r="G4714" s="1" t="s">
        <v>212</v>
      </c>
      <c r="H4714" s="8">
        <v>10878730.5</v>
      </c>
      <c r="I4714" s="8">
        <v>5415052.4800000004</v>
      </c>
      <c r="J4714" s="1">
        <f>IF(COUNTIF($C$4:C4714,C4714)=1,1,0)</f>
        <v>1</v>
      </c>
      <c r="K4714" s="1">
        <f t="shared" si="73"/>
        <v>2024</v>
      </c>
    </row>
    <row r="4715" spans="2:11" x14ac:dyDescent="0.45">
      <c r="B4715" s="1" t="s">
        <v>4000</v>
      </c>
      <c r="C4715" s="1" t="s">
        <v>4676</v>
      </c>
      <c r="D4715" s="7">
        <v>43293</v>
      </c>
      <c r="E4715" s="7">
        <v>43294</v>
      </c>
      <c r="G4715" s="1" t="s">
        <v>212</v>
      </c>
      <c r="H4715" s="8">
        <v>44907310.890000001</v>
      </c>
      <c r="I4715" s="8">
        <v>26925881.949999999</v>
      </c>
      <c r="J4715" s="1">
        <f>IF(COUNTIF($C$4:C4715,C4715)=1,1,0)</f>
        <v>1</v>
      </c>
      <c r="K4715" s="1">
        <f t="shared" si="73"/>
        <v>2018</v>
      </c>
    </row>
    <row r="4716" spans="2:11" x14ac:dyDescent="0.45">
      <c r="B4716" s="1" t="s">
        <v>4000</v>
      </c>
      <c r="C4716" s="1" t="s">
        <v>4677</v>
      </c>
      <c r="D4716" s="7">
        <v>44229</v>
      </c>
      <c r="E4716" s="7">
        <v>44247</v>
      </c>
      <c r="G4716" s="1" t="s">
        <v>16</v>
      </c>
      <c r="H4716" s="8">
        <v>743328.01</v>
      </c>
      <c r="I4716" s="8">
        <v>537349.44999999995</v>
      </c>
      <c r="J4716" s="1">
        <f>IF(COUNTIF($C$4:C4716,C4716)=1,1,0)</f>
        <v>1</v>
      </c>
      <c r="K4716" s="1">
        <f t="shared" si="73"/>
        <v>2021</v>
      </c>
    </row>
    <row r="4717" spans="2:11" x14ac:dyDescent="0.45">
      <c r="B4717" s="1" t="s">
        <v>4000</v>
      </c>
      <c r="C4717" s="1" t="s">
        <v>4678</v>
      </c>
      <c r="D4717" s="7">
        <v>45119</v>
      </c>
      <c r="E4717" s="7">
        <v>45141</v>
      </c>
      <c r="G4717" s="1" t="s">
        <v>212</v>
      </c>
      <c r="H4717" s="8">
        <v>13124360.4</v>
      </c>
      <c r="I4717" s="8">
        <v>9263689.9100000001</v>
      </c>
      <c r="J4717" s="1">
        <f>IF(COUNTIF($C$4:C4717,C4717)=1,1,0)</f>
        <v>1</v>
      </c>
      <c r="K4717" s="1">
        <f t="shared" si="73"/>
        <v>2023</v>
      </c>
    </row>
    <row r="4718" spans="2:11" x14ac:dyDescent="0.45">
      <c r="B4718" s="1" t="s">
        <v>4000</v>
      </c>
      <c r="C4718" s="1" t="s">
        <v>4679</v>
      </c>
      <c r="D4718" s="7">
        <v>43186</v>
      </c>
      <c r="E4718" s="7">
        <v>43189</v>
      </c>
      <c r="G4718" s="1" t="s">
        <v>16</v>
      </c>
      <c r="H4718" s="8">
        <v>6138896.25</v>
      </c>
      <c r="I4718" s="8">
        <v>3653242.85</v>
      </c>
      <c r="J4718" s="1">
        <f>IF(COUNTIF($C$4:C4718,C4718)=1,1,0)</f>
        <v>1</v>
      </c>
      <c r="K4718" s="1">
        <f t="shared" si="73"/>
        <v>2018</v>
      </c>
    </row>
    <row r="4719" spans="2:11" x14ac:dyDescent="0.45">
      <c r="B4719" s="1" t="s">
        <v>4000</v>
      </c>
      <c r="C4719" s="1" t="s">
        <v>4680</v>
      </c>
      <c r="D4719" s="7">
        <v>44170</v>
      </c>
      <c r="E4719" s="7">
        <v>44173</v>
      </c>
      <c r="G4719" s="1" t="s">
        <v>41</v>
      </c>
      <c r="H4719" s="8">
        <v>902288.93</v>
      </c>
      <c r="I4719" s="8">
        <v>671801.2</v>
      </c>
      <c r="J4719" s="1">
        <f>IF(COUNTIF($C$4:C4719,C4719)=1,1,0)</f>
        <v>1</v>
      </c>
      <c r="K4719" s="1">
        <f t="shared" si="73"/>
        <v>2020</v>
      </c>
    </row>
    <row r="4720" spans="2:11" x14ac:dyDescent="0.45">
      <c r="B4720" s="1" t="s">
        <v>4000</v>
      </c>
      <c r="C4720" s="1" t="s">
        <v>4681</v>
      </c>
      <c r="D4720" s="7">
        <v>43158</v>
      </c>
      <c r="E4720" s="7">
        <v>43187</v>
      </c>
      <c r="G4720" s="1" t="s">
        <v>212</v>
      </c>
      <c r="H4720" s="8">
        <v>26704255.59</v>
      </c>
      <c r="I4720" s="8">
        <v>14939549.17</v>
      </c>
      <c r="J4720" s="1">
        <f>IF(COUNTIF($C$4:C4720,C4720)=1,1,0)</f>
        <v>1</v>
      </c>
      <c r="K4720" s="1">
        <f t="shared" si="73"/>
        <v>2018</v>
      </c>
    </row>
    <row r="4721" spans="2:11" x14ac:dyDescent="0.45">
      <c r="B4721" s="1" t="s">
        <v>4000</v>
      </c>
      <c r="C4721" s="1" t="s">
        <v>4682</v>
      </c>
      <c r="D4721" s="7">
        <v>44380</v>
      </c>
      <c r="E4721" s="7">
        <v>44390</v>
      </c>
      <c r="G4721" s="1" t="s">
        <v>16</v>
      </c>
      <c r="H4721" s="8">
        <v>704198.06</v>
      </c>
      <c r="I4721" s="8">
        <v>361719.05</v>
      </c>
      <c r="J4721" s="1">
        <f>IF(COUNTIF($C$4:C4721,C4721)=1,1,0)</f>
        <v>1</v>
      </c>
      <c r="K4721" s="1">
        <f t="shared" si="73"/>
        <v>2021</v>
      </c>
    </row>
    <row r="4722" spans="2:11" x14ac:dyDescent="0.45">
      <c r="B4722" s="1" t="s">
        <v>4000</v>
      </c>
      <c r="C4722" s="1" t="s">
        <v>4683</v>
      </c>
      <c r="D4722" s="7">
        <v>44610</v>
      </c>
      <c r="E4722" s="7">
        <v>44629</v>
      </c>
      <c r="G4722" s="1" t="s">
        <v>1348</v>
      </c>
      <c r="H4722" s="8">
        <v>20118035.34</v>
      </c>
      <c r="I4722" s="8">
        <v>12123158.310000001</v>
      </c>
      <c r="J4722" s="1">
        <f>IF(COUNTIF($C$4:C4722,C4722)=1,1,0)</f>
        <v>1</v>
      </c>
      <c r="K4722" s="1">
        <f t="shared" si="73"/>
        <v>2022</v>
      </c>
    </row>
    <row r="4723" spans="2:11" x14ac:dyDescent="0.45">
      <c r="B4723" s="1" t="s">
        <v>4000</v>
      </c>
      <c r="C4723" s="1" t="s">
        <v>4684</v>
      </c>
      <c r="D4723" s="7">
        <v>45863</v>
      </c>
      <c r="E4723" s="7">
        <v>45868</v>
      </c>
      <c r="G4723" s="1" t="s">
        <v>13</v>
      </c>
      <c r="H4723" s="8">
        <v>429799.37</v>
      </c>
      <c r="I4723" s="8">
        <v>392372.26</v>
      </c>
      <c r="J4723" s="1">
        <f>IF(COUNTIF($C$4:C4723,C4723)=1,1,0)</f>
        <v>1</v>
      </c>
      <c r="K4723" s="1">
        <f t="shared" si="73"/>
        <v>2025</v>
      </c>
    </row>
    <row r="4724" spans="2:11" x14ac:dyDescent="0.45">
      <c r="B4724" s="1" t="s">
        <v>4000</v>
      </c>
      <c r="C4724" s="1" t="s">
        <v>4685</v>
      </c>
      <c r="D4724" s="7">
        <v>44642</v>
      </c>
      <c r="E4724" s="7">
        <v>44656</v>
      </c>
      <c r="G4724" s="1" t="s">
        <v>13</v>
      </c>
      <c r="H4724" s="8">
        <v>342154.64</v>
      </c>
      <c r="I4724" s="8">
        <v>291774.15999999997</v>
      </c>
      <c r="J4724" s="1">
        <f>IF(COUNTIF($C$4:C4724,C4724)=1,1,0)</f>
        <v>1</v>
      </c>
      <c r="K4724" s="1">
        <f t="shared" si="73"/>
        <v>2022</v>
      </c>
    </row>
    <row r="4725" spans="2:11" x14ac:dyDescent="0.45">
      <c r="B4725" s="1" t="s">
        <v>4000</v>
      </c>
      <c r="C4725" s="1" t="s">
        <v>4686</v>
      </c>
      <c r="D4725" s="7">
        <v>43596</v>
      </c>
      <c r="E4725" s="7">
        <v>43623</v>
      </c>
      <c r="G4725" s="1" t="s">
        <v>20</v>
      </c>
      <c r="H4725" s="8">
        <v>567578.54</v>
      </c>
      <c r="I4725" s="8">
        <v>355659.31</v>
      </c>
      <c r="J4725" s="1">
        <f>IF(COUNTIF($C$4:C4725,C4725)=1,1,0)</f>
        <v>1</v>
      </c>
      <c r="K4725" s="1">
        <f t="shared" si="73"/>
        <v>2019</v>
      </c>
    </row>
    <row r="4726" spans="2:11" x14ac:dyDescent="0.45">
      <c r="B4726" s="1" t="s">
        <v>4000</v>
      </c>
      <c r="C4726" s="1" t="s">
        <v>4687</v>
      </c>
      <c r="D4726" s="7">
        <v>45169</v>
      </c>
      <c r="E4726" s="7">
        <v>45199</v>
      </c>
      <c r="G4726" s="1" t="s">
        <v>38</v>
      </c>
      <c r="H4726" s="8">
        <v>401047.17</v>
      </c>
      <c r="I4726" s="8">
        <v>354800.52</v>
      </c>
      <c r="J4726" s="1">
        <f>IF(COUNTIF($C$4:C4726,C4726)=1,1,0)</f>
        <v>1</v>
      </c>
      <c r="K4726" s="1">
        <f t="shared" si="73"/>
        <v>2023</v>
      </c>
    </row>
    <row r="4727" spans="2:11" x14ac:dyDescent="0.45">
      <c r="B4727" s="1" t="s">
        <v>4000</v>
      </c>
      <c r="C4727" s="1" t="s">
        <v>4688</v>
      </c>
      <c r="D4727" s="7">
        <v>43683</v>
      </c>
      <c r="E4727" s="7">
        <v>43690</v>
      </c>
      <c r="G4727" s="1" t="s">
        <v>22</v>
      </c>
      <c r="H4727" s="8">
        <v>18210904.719999999</v>
      </c>
      <c r="I4727" s="8">
        <v>12135146.51</v>
      </c>
      <c r="J4727" s="1">
        <f>IF(COUNTIF($C$4:C4727,C4727)=1,1,0)</f>
        <v>1</v>
      </c>
      <c r="K4727" s="1">
        <f t="shared" si="73"/>
        <v>2019</v>
      </c>
    </row>
    <row r="4728" spans="2:11" x14ac:dyDescent="0.45">
      <c r="B4728" s="1" t="s">
        <v>4000</v>
      </c>
      <c r="C4728" s="1" t="s">
        <v>4689</v>
      </c>
      <c r="D4728" s="7">
        <v>43994</v>
      </c>
      <c r="E4728" s="7">
        <v>44012</v>
      </c>
      <c r="G4728" s="1" t="s">
        <v>41</v>
      </c>
      <c r="H4728" s="8">
        <v>94529.91</v>
      </c>
      <c r="I4728" s="8">
        <v>82631.039999999994</v>
      </c>
      <c r="J4728" s="1">
        <f>IF(COUNTIF($C$4:C4728,C4728)=1,1,0)</f>
        <v>1</v>
      </c>
      <c r="K4728" s="1">
        <f t="shared" si="73"/>
        <v>2020</v>
      </c>
    </row>
    <row r="4729" spans="2:11" x14ac:dyDescent="0.45">
      <c r="B4729" s="1" t="s">
        <v>4000</v>
      </c>
      <c r="C4729" s="1" t="s">
        <v>4690</v>
      </c>
      <c r="D4729" s="7">
        <v>44808</v>
      </c>
      <c r="E4729" s="7">
        <v>44813</v>
      </c>
      <c r="G4729" s="1" t="s">
        <v>212</v>
      </c>
      <c r="H4729" s="8">
        <v>9849434.7699999996</v>
      </c>
      <c r="I4729" s="8">
        <v>6515873.0700000003</v>
      </c>
      <c r="J4729" s="1">
        <f>IF(COUNTIF($C$4:C4729,C4729)=1,1,0)</f>
        <v>1</v>
      </c>
      <c r="K4729" s="1">
        <f t="shared" si="73"/>
        <v>2022</v>
      </c>
    </row>
    <row r="4730" spans="2:11" x14ac:dyDescent="0.45">
      <c r="B4730" s="1" t="s">
        <v>4000</v>
      </c>
      <c r="C4730" s="1" t="s">
        <v>4691</v>
      </c>
      <c r="D4730" s="7">
        <v>45934</v>
      </c>
      <c r="E4730" s="7">
        <v>45948</v>
      </c>
      <c r="G4730" s="1" t="s">
        <v>16</v>
      </c>
      <c r="H4730" s="8">
        <v>13823286.6</v>
      </c>
      <c r="I4730" s="8">
        <v>11402774.220000001</v>
      </c>
      <c r="J4730" s="1">
        <f>IF(COUNTIF($C$4:C4730,C4730)=1,1,0)</f>
        <v>1</v>
      </c>
      <c r="K4730" s="1">
        <f t="shared" si="73"/>
        <v>2025</v>
      </c>
    </row>
    <row r="4731" spans="2:11" x14ac:dyDescent="0.45">
      <c r="B4731" s="1" t="s">
        <v>4000</v>
      </c>
      <c r="C4731" s="1" t="s">
        <v>4692</v>
      </c>
      <c r="D4731" s="7">
        <v>43301</v>
      </c>
      <c r="E4731" s="7">
        <v>43303</v>
      </c>
      <c r="G4731" s="1" t="s">
        <v>13</v>
      </c>
      <c r="H4731" s="8">
        <v>319146.58</v>
      </c>
      <c r="I4731" s="8">
        <v>282467.58</v>
      </c>
      <c r="J4731" s="1">
        <f>IF(COUNTIF($C$4:C4731,C4731)=1,1,0)</f>
        <v>1</v>
      </c>
      <c r="K4731" s="1">
        <f t="shared" si="73"/>
        <v>2018</v>
      </c>
    </row>
    <row r="4732" spans="2:11" x14ac:dyDescent="0.45">
      <c r="B4732" s="1" t="s">
        <v>4000</v>
      </c>
      <c r="C4732" s="1" t="s">
        <v>4693</v>
      </c>
      <c r="D4732" s="7">
        <v>43424</v>
      </c>
      <c r="E4732" s="7">
        <v>43447</v>
      </c>
      <c r="G4732" s="1" t="s">
        <v>1348</v>
      </c>
      <c r="H4732" s="8">
        <v>54156123.509999998</v>
      </c>
      <c r="I4732" s="8">
        <v>28774199.800000001</v>
      </c>
      <c r="J4732" s="1">
        <f>IF(COUNTIF($C$4:C4732,C4732)=1,1,0)</f>
        <v>1</v>
      </c>
      <c r="K4732" s="1">
        <f t="shared" si="73"/>
        <v>2018</v>
      </c>
    </row>
    <row r="4733" spans="2:11" x14ac:dyDescent="0.45">
      <c r="B4733" s="1" t="s">
        <v>4000</v>
      </c>
      <c r="C4733" s="1" t="s">
        <v>4694</v>
      </c>
      <c r="D4733" s="7">
        <v>44505</v>
      </c>
      <c r="E4733" s="7">
        <v>44522</v>
      </c>
      <c r="G4733" s="1" t="s">
        <v>1348</v>
      </c>
      <c r="H4733" s="8">
        <v>3049720.37</v>
      </c>
      <c r="I4733" s="8">
        <v>1446516.07</v>
      </c>
      <c r="J4733" s="1">
        <f>IF(COUNTIF($C$4:C4733,C4733)=1,1,0)</f>
        <v>1</v>
      </c>
      <c r="K4733" s="1">
        <f t="shared" si="73"/>
        <v>2021</v>
      </c>
    </row>
    <row r="4734" spans="2:11" x14ac:dyDescent="0.45">
      <c r="B4734" s="1" t="s">
        <v>4000</v>
      </c>
      <c r="C4734" s="1" t="s">
        <v>4695</v>
      </c>
      <c r="D4734" s="7">
        <v>46285</v>
      </c>
      <c r="E4734" s="7">
        <v>46315</v>
      </c>
      <c r="G4734" s="1" t="s">
        <v>20</v>
      </c>
      <c r="H4734" s="8">
        <v>1320369.2</v>
      </c>
      <c r="I4734" s="8">
        <v>970304.32</v>
      </c>
      <c r="J4734" s="1">
        <f>IF(COUNTIF($C$4:C4734,C4734)=1,1,0)</f>
        <v>1</v>
      </c>
      <c r="K4734" s="1">
        <f t="shared" si="73"/>
        <v>2026</v>
      </c>
    </row>
    <row r="4735" spans="2:11" x14ac:dyDescent="0.45">
      <c r="B4735" s="1" t="s">
        <v>4000</v>
      </c>
      <c r="C4735" s="1" t="s">
        <v>4696</v>
      </c>
      <c r="D4735" s="7">
        <v>44283</v>
      </c>
      <c r="E4735" s="7">
        <v>44305</v>
      </c>
      <c r="G4735" s="1" t="s">
        <v>20</v>
      </c>
      <c r="H4735" s="8">
        <v>243805.15</v>
      </c>
      <c r="I4735" s="8">
        <v>156092.07999999999</v>
      </c>
      <c r="J4735" s="1">
        <f>IF(COUNTIF($C$4:C4735,C4735)=1,1,0)</f>
        <v>1</v>
      </c>
      <c r="K4735" s="1">
        <f t="shared" si="73"/>
        <v>2021</v>
      </c>
    </row>
    <row r="4736" spans="2:11" x14ac:dyDescent="0.45">
      <c r="B4736" s="1" t="s">
        <v>4000</v>
      </c>
      <c r="C4736" s="1" t="s">
        <v>4697</v>
      </c>
      <c r="D4736" s="7">
        <v>44644</v>
      </c>
      <c r="E4736" s="7">
        <v>44649</v>
      </c>
      <c r="G4736" s="1" t="s">
        <v>20</v>
      </c>
      <c r="H4736" s="8">
        <v>338773.42</v>
      </c>
      <c r="I4736" s="8">
        <v>223471.42</v>
      </c>
      <c r="J4736" s="1">
        <f>IF(COUNTIF($C$4:C4736,C4736)=1,1,0)</f>
        <v>1</v>
      </c>
      <c r="K4736" s="1">
        <f t="shared" si="73"/>
        <v>2022</v>
      </c>
    </row>
    <row r="4737" spans="2:11" x14ac:dyDescent="0.45">
      <c r="B4737" s="1" t="s">
        <v>4000</v>
      </c>
      <c r="C4737" s="1" t="s">
        <v>4698</v>
      </c>
      <c r="D4737" s="7">
        <v>44786</v>
      </c>
      <c r="E4737" s="7">
        <v>44799</v>
      </c>
      <c r="G4737" s="1" t="s">
        <v>38</v>
      </c>
      <c r="H4737" s="8">
        <v>383273.77</v>
      </c>
      <c r="I4737" s="8">
        <v>317760.12</v>
      </c>
      <c r="J4737" s="1">
        <f>IF(COUNTIF($C$4:C4737,C4737)=1,1,0)</f>
        <v>1</v>
      </c>
      <c r="K4737" s="1">
        <f t="shared" si="73"/>
        <v>2022</v>
      </c>
    </row>
    <row r="4738" spans="2:11" x14ac:dyDescent="0.45">
      <c r="B4738" s="1" t="s">
        <v>4000</v>
      </c>
      <c r="C4738" s="1" t="s">
        <v>4699</v>
      </c>
      <c r="D4738" s="7">
        <v>45941</v>
      </c>
      <c r="E4738" s="7">
        <v>45964</v>
      </c>
      <c r="G4738" s="1" t="s">
        <v>1348</v>
      </c>
      <c r="H4738" s="8">
        <v>28011011.079999998</v>
      </c>
      <c r="I4738" s="8">
        <v>13812778.42</v>
      </c>
      <c r="J4738" s="1">
        <f>IF(COUNTIF($C$4:C4738,C4738)=1,1,0)</f>
        <v>1</v>
      </c>
      <c r="K4738" s="1">
        <f t="shared" si="73"/>
        <v>2025</v>
      </c>
    </row>
    <row r="4739" spans="2:11" x14ac:dyDescent="0.45">
      <c r="B4739" s="1" t="s">
        <v>4000</v>
      </c>
      <c r="C4739" s="1" t="s">
        <v>4700</v>
      </c>
      <c r="D4739" s="7">
        <v>46254</v>
      </c>
      <c r="E4739" s="7">
        <v>46271</v>
      </c>
      <c r="G4739" s="1" t="s">
        <v>16</v>
      </c>
      <c r="H4739" s="8">
        <v>823076.34</v>
      </c>
      <c r="I4739" s="8">
        <v>542276.16</v>
      </c>
      <c r="J4739" s="1">
        <f>IF(COUNTIF($C$4:C4739,C4739)=1,1,0)</f>
        <v>1</v>
      </c>
      <c r="K4739" s="1">
        <f t="shared" si="73"/>
        <v>2026</v>
      </c>
    </row>
    <row r="4740" spans="2:11" x14ac:dyDescent="0.45">
      <c r="B4740" s="1" t="s">
        <v>4000</v>
      </c>
      <c r="C4740" s="1" t="s">
        <v>4701</v>
      </c>
      <c r="D4740" s="7">
        <v>46104</v>
      </c>
      <c r="E4740" s="7">
        <v>46105</v>
      </c>
      <c r="G4740" s="1" t="s">
        <v>16</v>
      </c>
      <c r="H4740" s="8">
        <v>3526323.17</v>
      </c>
      <c r="I4740" s="8">
        <v>1972429.51</v>
      </c>
      <c r="J4740" s="1">
        <f>IF(COUNTIF($C$4:C4740,C4740)=1,1,0)</f>
        <v>1</v>
      </c>
      <c r="K4740" s="1">
        <f t="shared" si="73"/>
        <v>2026</v>
      </c>
    </row>
    <row r="4741" spans="2:11" x14ac:dyDescent="0.45">
      <c r="B4741" s="1" t="s">
        <v>4000</v>
      </c>
      <c r="C4741" s="1" t="s">
        <v>4702</v>
      </c>
      <c r="D4741" s="7">
        <v>45742</v>
      </c>
      <c r="E4741" s="7">
        <v>45757</v>
      </c>
      <c r="G4741" s="1" t="s">
        <v>41</v>
      </c>
      <c r="H4741" s="8">
        <v>113912.8</v>
      </c>
      <c r="I4741" s="8">
        <v>100385.29</v>
      </c>
      <c r="J4741" s="1">
        <f>IF(COUNTIF($C$4:C4741,C4741)=1,1,0)</f>
        <v>1</v>
      </c>
      <c r="K4741" s="1">
        <f t="shared" ref="K4741:K4804" si="74">YEAR(D4741)</f>
        <v>2025</v>
      </c>
    </row>
    <row r="4742" spans="2:11" x14ac:dyDescent="0.45">
      <c r="B4742" s="1" t="s">
        <v>4000</v>
      </c>
      <c r="C4742" s="1" t="s">
        <v>4703</v>
      </c>
      <c r="D4742" s="7">
        <v>45135</v>
      </c>
      <c r="E4742" s="7">
        <v>45141</v>
      </c>
      <c r="G4742" s="1" t="s">
        <v>212</v>
      </c>
      <c r="H4742" s="8">
        <v>13477942.25</v>
      </c>
      <c r="I4742" s="8">
        <v>5784965.2999999998</v>
      </c>
      <c r="J4742" s="1">
        <f>IF(COUNTIF($C$4:C4742,C4742)=1,1,0)</f>
        <v>1</v>
      </c>
      <c r="K4742" s="1">
        <f t="shared" si="74"/>
        <v>2023</v>
      </c>
    </row>
    <row r="4743" spans="2:11" x14ac:dyDescent="0.45">
      <c r="B4743" s="1" t="s">
        <v>4000</v>
      </c>
      <c r="C4743" s="1" t="s">
        <v>4704</v>
      </c>
      <c r="D4743" s="7">
        <v>44262</v>
      </c>
      <c r="E4743" s="7">
        <v>44264</v>
      </c>
      <c r="G4743" s="1" t="s">
        <v>22</v>
      </c>
      <c r="H4743" s="8">
        <v>1024921.79</v>
      </c>
      <c r="I4743" s="8">
        <v>514035.55</v>
      </c>
      <c r="J4743" s="1">
        <f>IF(COUNTIF($C$4:C4743,C4743)=1,1,0)</f>
        <v>1</v>
      </c>
      <c r="K4743" s="1">
        <f t="shared" si="74"/>
        <v>2021</v>
      </c>
    </row>
    <row r="4744" spans="2:11" x14ac:dyDescent="0.45">
      <c r="B4744" s="1" t="s">
        <v>4000</v>
      </c>
      <c r="C4744" s="1" t="s">
        <v>4705</v>
      </c>
      <c r="D4744" s="7">
        <v>45881</v>
      </c>
      <c r="E4744" s="7">
        <v>45896</v>
      </c>
      <c r="G4744" s="1" t="s">
        <v>22</v>
      </c>
      <c r="H4744" s="8">
        <v>27348214.149999999</v>
      </c>
      <c r="I4744" s="8">
        <v>19789869.629999999</v>
      </c>
      <c r="J4744" s="1">
        <f>IF(COUNTIF($C$4:C4744,C4744)=1,1,0)</f>
        <v>1</v>
      </c>
      <c r="K4744" s="1">
        <f t="shared" si="74"/>
        <v>2025</v>
      </c>
    </row>
    <row r="4745" spans="2:11" x14ac:dyDescent="0.45">
      <c r="B4745" s="1" t="s">
        <v>4000</v>
      </c>
      <c r="C4745" s="1" t="s">
        <v>4706</v>
      </c>
      <c r="D4745" s="7">
        <v>46161</v>
      </c>
      <c r="E4745" s="7">
        <v>46174</v>
      </c>
      <c r="G4745" s="1" t="s">
        <v>41</v>
      </c>
      <c r="H4745" s="8">
        <v>83683.28</v>
      </c>
      <c r="I4745" s="8">
        <v>61985.84</v>
      </c>
      <c r="J4745" s="1">
        <f>IF(COUNTIF($C$4:C4745,C4745)=1,1,0)</f>
        <v>1</v>
      </c>
      <c r="K4745" s="1">
        <f t="shared" si="74"/>
        <v>2026</v>
      </c>
    </row>
    <row r="4746" spans="2:11" x14ac:dyDescent="0.45">
      <c r="B4746" s="1" t="s">
        <v>4000</v>
      </c>
      <c r="C4746" s="1" t="s">
        <v>4707</v>
      </c>
      <c r="D4746" s="7">
        <v>43808</v>
      </c>
      <c r="E4746" s="7">
        <v>43822</v>
      </c>
      <c r="G4746" s="1" t="s">
        <v>13</v>
      </c>
      <c r="H4746" s="8">
        <v>401055.55</v>
      </c>
      <c r="I4746" s="8">
        <v>330849.61</v>
      </c>
      <c r="J4746" s="1">
        <f>IF(COUNTIF($C$4:C4746,C4746)=1,1,0)</f>
        <v>1</v>
      </c>
      <c r="K4746" s="1">
        <f t="shared" si="74"/>
        <v>2019</v>
      </c>
    </row>
    <row r="4747" spans="2:11" x14ac:dyDescent="0.45">
      <c r="B4747" s="1" t="s">
        <v>4000</v>
      </c>
      <c r="C4747" s="1" t="s">
        <v>4708</v>
      </c>
      <c r="D4747" s="7">
        <v>45327</v>
      </c>
      <c r="E4747" s="7">
        <v>45334</v>
      </c>
      <c r="G4747" s="1" t="s">
        <v>38</v>
      </c>
      <c r="H4747" s="8">
        <v>611220.93000000005</v>
      </c>
      <c r="I4747" s="8">
        <v>516814.73</v>
      </c>
      <c r="J4747" s="1">
        <f>IF(COUNTIF($C$4:C4747,C4747)=1,1,0)</f>
        <v>1</v>
      </c>
      <c r="K4747" s="1">
        <f t="shared" si="74"/>
        <v>2024</v>
      </c>
    </row>
    <row r="4748" spans="2:11" x14ac:dyDescent="0.45">
      <c r="B4748" s="1" t="s">
        <v>4000</v>
      </c>
      <c r="C4748" s="1" t="s">
        <v>4709</v>
      </c>
      <c r="D4748" s="7">
        <v>43772</v>
      </c>
      <c r="E4748" s="7">
        <v>43782</v>
      </c>
      <c r="G4748" s="1" t="s">
        <v>1348</v>
      </c>
      <c r="H4748" s="8">
        <v>85000182.489999995</v>
      </c>
      <c r="I4748" s="8">
        <v>41321370.100000001</v>
      </c>
      <c r="J4748" s="1">
        <f>IF(COUNTIF($C$4:C4748,C4748)=1,1,0)</f>
        <v>1</v>
      </c>
      <c r="K4748" s="1">
        <f t="shared" si="74"/>
        <v>2019</v>
      </c>
    </row>
    <row r="4749" spans="2:11" x14ac:dyDescent="0.45">
      <c r="B4749" s="1" t="s">
        <v>4000</v>
      </c>
      <c r="C4749" s="1" t="s">
        <v>4710</v>
      </c>
      <c r="D4749" s="7">
        <v>44582</v>
      </c>
      <c r="E4749" s="7">
        <v>44585</v>
      </c>
      <c r="G4749" s="1" t="s">
        <v>20</v>
      </c>
      <c r="H4749" s="8">
        <v>299837.34999999998</v>
      </c>
      <c r="I4749" s="8">
        <v>201253.97</v>
      </c>
      <c r="J4749" s="1">
        <f>IF(COUNTIF($C$4:C4749,C4749)=1,1,0)</f>
        <v>1</v>
      </c>
      <c r="K4749" s="1">
        <f t="shared" si="74"/>
        <v>2022</v>
      </c>
    </row>
    <row r="4750" spans="2:11" x14ac:dyDescent="0.45">
      <c r="B4750" s="1" t="s">
        <v>4000</v>
      </c>
      <c r="C4750" s="1" t="s">
        <v>4711</v>
      </c>
      <c r="D4750" s="7">
        <v>43854</v>
      </c>
      <c r="E4750" s="7">
        <v>43869</v>
      </c>
      <c r="G4750" s="1" t="s">
        <v>38</v>
      </c>
      <c r="H4750" s="8">
        <v>68978.990000000005</v>
      </c>
      <c r="I4750" s="8">
        <v>54169.08</v>
      </c>
      <c r="J4750" s="1">
        <f>IF(COUNTIF($C$4:C4750,C4750)=1,1,0)</f>
        <v>1</v>
      </c>
      <c r="K4750" s="1">
        <f t="shared" si="74"/>
        <v>2020</v>
      </c>
    </row>
    <row r="4751" spans="2:11" x14ac:dyDescent="0.45">
      <c r="B4751" s="1" t="s">
        <v>4000</v>
      </c>
      <c r="C4751" s="1" t="s">
        <v>4712</v>
      </c>
      <c r="D4751" s="7">
        <v>45369</v>
      </c>
      <c r="E4751" s="7">
        <v>45378</v>
      </c>
      <c r="G4751" s="1" t="s">
        <v>22</v>
      </c>
      <c r="H4751" s="8">
        <v>3990938.28</v>
      </c>
      <c r="I4751" s="8">
        <v>2852296.8</v>
      </c>
      <c r="J4751" s="1">
        <f>IF(COUNTIF($C$4:C4751,C4751)=1,1,0)</f>
        <v>1</v>
      </c>
      <c r="K4751" s="1">
        <f t="shared" si="74"/>
        <v>2024</v>
      </c>
    </row>
    <row r="4752" spans="2:11" x14ac:dyDescent="0.45">
      <c r="B4752" s="1" t="s">
        <v>4000</v>
      </c>
      <c r="C4752" s="1" t="s">
        <v>4713</v>
      </c>
      <c r="D4752" s="7">
        <v>44263</v>
      </c>
      <c r="E4752" s="7">
        <v>44280</v>
      </c>
      <c r="G4752" s="1" t="s">
        <v>20</v>
      </c>
      <c r="H4752" s="8">
        <v>461823</v>
      </c>
      <c r="I4752" s="8">
        <v>324064.71999999997</v>
      </c>
      <c r="J4752" s="1">
        <f>IF(COUNTIF($C$4:C4752,C4752)=1,1,0)</f>
        <v>1</v>
      </c>
      <c r="K4752" s="1">
        <f t="shared" si="74"/>
        <v>2021</v>
      </c>
    </row>
    <row r="4753" spans="2:11" x14ac:dyDescent="0.45">
      <c r="B4753" s="1" t="s">
        <v>4000</v>
      </c>
      <c r="C4753" s="1" t="s">
        <v>4714</v>
      </c>
      <c r="D4753" s="7">
        <v>43562</v>
      </c>
      <c r="E4753" s="7">
        <v>43568</v>
      </c>
      <c r="G4753" s="1" t="s">
        <v>16</v>
      </c>
      <c r="H4753" s="8">
        <v>168338.2</v>
      </c>
      <c r="I4753" s="8">
        <v>108542.91</v>
      </c>
      <c r="J4753" s="1">
        <f>IF(COUNTIF($C$4:C4753,C4753)=1,1,0)</f>
        <v>1</v>
      </c>
      <c r="K4753" s="1">
        <f t="shared" si="74"/>
        <v>2019</v>
      </c>
    </row>
    <row r="4754" spans="2:11" x14ac:dyDescent="0.45">
      <c r="B4754" s="1" t="s">
        <v>4000</v>
      </c>
      <c r="C4754" s="1" t="s">
        <v>4715</v>
      </c>
      <c r="D4754" s="7">
        <v>44487</v>
      </c>
      <c r="E4754" s="7">
        <v>44494</v>
      </c>
      <c r="G4754" s="1" t="s">
        <v>38</v>
      </c>
      <c r="H4754" s="8">
        <v>922089.2</v>
      </c>
      <c r="I4754" s="8">
        <v>712160.4</v>
      </c>
      <c r="J4754" s="1">
        <f>IF(COUNTIF($C$4:C4754,C4754)=1,1,0)</f>
        <v>1</v>
      </c>
      <c r="K4754" s="1">
        <f t="shared" si="74"/>
        <v>2021</v>
      </c>
    </row>
    <row r="4755" spans="2:11" x14ac:dyDescent="0.45">
      <c r="B4755" s="1" t="s">
        <v>4000</v>
      </c>
      <c r="C4755" s="1" t="s">
        <v>4716</v>
      </c>
      <c r="D4755" s="7">
        <v>45433</v>
      </c>
      <c r="E4755" s="7">
        <v>45448</v>
      </c>
      <c r="G4755" s="1" t="s">
        <v>44</v>
      </c>
      <c r="H4755" s="8">
        <v>45976090.859999999</v>
      </c>
      <c r="I4755" s="8">
        <v>23533884.440000001</v>
      </c>
      <c r="J4755" s="1">
        <f>IF(COUNTIF($C$4:C4755,C4755)=1,1,0)</f>
        <v>1</v>
      </c>
      <c r="K4755" s="1">
        <f t="shared" si="74"/>
        <v>2024</v>
      </c>
    </row>
    <row r="4756" spans="2:11" x14ac:dyDescent="0.45">
      <c r="B4756" s="1" t="s">
        <v>4000</v>
      </c>
      <c r="C4756" s="1" t="s">
        <v>4717</v>
      </c>
      <c r="D4756" s="7">
        <v>44493</v>
      </c>
      <c r="E4756" s="7">
        <v>44515</v>
      </c>
      <c r="G4756" s="1" t="s">
        <v>41</v>
      </c>
      <c r="H4756" s="8">
        <v>1173031.48</v>
      </c>
      <c r="I4756" s="8">
        <v>1050967.56</v>
      </c>
      <c r="J4756" s="1">
        <f>IF(COUNTIF($C$4:C4756,C4756)=1,1,0)</f>
        <v>1</v>
      </c>
      <c r="K4756" s="1">
        <f t="shared" si="74"/>
        <v>2021</v>
      </c>
    </row>
    <row r="4757" spans="2:11" x14ac:dyDescent="0.45">
      <c r="B4757" s="1" t="s">
        <v>4000</v>
      </c>
      <c r="C4757" s="1" t="s">
        <v>4718</v>
      </c>
      <c r="D4757" s="7">
        <v>44599</v>
      </c>
      <c r="E4757" s="7">
        <v>44615</v>
      </c>
      <c r="G4757" s="1" t="s">
        <v>20</v>
      </c>
      <c r="H4757" s="8">
        <v>381229.62</v>
      </c>
      <c r="I4757" s="8">
        <v>263188.14</v>
      </c>
      <c r="J4757" s="1">
        <f>IF(COUNTIF($C$4:C4757,C4757)=1,1,0)</f>
        <v>1</v>
      </c>
      <c r="K4757" s="1">
        <f t="shared" si="74"/>
        <v>2022</v>
      </c>
    </row>
    <row r="4758" spans="2:11" x14ac:dyDescent="0.45">
      <c r="B4758" s="1" t="s">
        <v>4000</v>
      </c>
      <c r="C4758" s="1" t="s">
        <v>4719</v>
      </c>
      <c r="D4758" s="7">
        <v>44246</v>
      </c>
      <c r="E4758" s="7">
        <v>44258</v>
      </c>
      <c r="G4758" s="1" t="s">
        <v>20</v>
      </c>
      <c r="H4758" s="8">
        <v>207601.32</v>
      </c>
      <c r="I4758" s="8">
        <v>135986.32999999999</v>
      </c>
      <c r="J4758" s="1">
        <f>IF(COUNTIF($C$4:C4758,C4758)=1,1,0)</f>
        <v>1</v>
      </c>
      <c r="K4758" s="1">
        <f t="shared" si="74"/>
        <v>2021</v>
      </c>
    </row>
    <row r="4759" spans="2:11" x14ac:dyDescent="0.45">
      <c r="B4759" s="1" t="s">
        <v>4000</v>
      </c>
      <c r="C4759" s="1" t="s">
        <v>4720</v>
      </c>
      <c r="D4759" s="7">
        <v>44508</v>
      </c>
      <c r="E4759" s="7">
        <v>44515</v>
      </c>
      <c r="G4759" s="1" t="s">
        <v>1348</v>
      </c>
      <c r="H4759" s="8">
        <v>17077171.23</v>
      </c>
      <c r="I4759" s="8">
        <v>10347597.789999999</v>
      </c>
      <c r="J4759" s="1">
        <f>IF(COUNTIF($C$4:C4759,C4759)=1,1,0)</f>
        <v>1</v>
      </c>
      <c r="K4759" s="1">
        <f t="shared" si="74"/>
        <v>2021</v>
      </c>
    </row>
    <row r="4760" spans="2:11" x14ac:dyDescent="0.45">
      <c r="B4760" s="1" t="s">
        <v>4000</v>
      </c>
      <c r="C4760" s="1" t="s">
        <v>4721</v>
      </c>
      <c r="D4760" s="7">
        <v>44246</v>
      </c>
      <c r="E4760" s="7">
        <v>44259</v>
      </c>
      <c r="G4760" s="1" t="s">
        <v>38</v>
      </c>
      <c r="H4760" s="8">
        <v>210393.09</v>
      </c>
      <c r="I4760" s="8">
        <v>162004.79999999999</v>
      </c>
      <c r="J4760" s="1">
        <f>IF(COUNTIF($C$4:C4760,C4760)=1,1,0)</f>
        <v>1</v>
      </c>
      <c r="K4760" s="1">
        <f t="shared" si="74"/>
        <v>2021</v>
      </c>
    </row>
    <row r="4761" spans="2:11" x14ac:dyDescent="0.45">
      <c r="B4761" s="1" t="s">
        <v>4000</v>
      </c>
      <c r="C4761" s="1" t="s">
        <v>4722</v>
      </c>
      <c r="D4761" s="7">
        <v>43507</v>
      </c>
      <c r="E4761" s="7">
        <v>43524</v>
      </c>
      <c r="G4761" s="1" t="s">
        <v>38</v>
      </c>
      <c r="H4761" s="8">
        <v>703882.63</v>
      </c>
      <c r="I4761" s="8">
        <v>552260.16</v>
      </c>
      <c r="J4761" s="1">
        <f>IF(COUNTIF($C$4:C4761,C4761)=1,1,0)</f>
        <v>1</v>
      </c>
      <c r="K4761" s="1">
        <f t="shared" si="74"/>
        <v>2019</v>
      </c>
    </row>
    <row r="4762" spans="2:11" x14ac:dyDescent="0.45">
      <c r="B4762" s="1" t="s">
        <v>4000</v>
      </c>
      <c r="C4762" s="1" t="s">
        <v>4723</v>
      </c>
      <c r="D4762" s="7">
        <v>43438</v>
      </c>
      <c r="E4762" s="7">
        <v>43448</v>
      </c>
      <c r="G4762" s="1" t="s">
        <v>38</v>
      </c>
      <c r="H4762" s="8">
        <v>420596.91</v>
      </c>
      <c r="I4762" s="8">
        <v>314386.39</v>
      </c>
      <c r="J4762" s="1">
        <f>IF(COUNTIF($C$4:C4762,C4762)=1,1,0)</f>
        <v>1</v>
      </c>
      <c r="K4762" s="1">
        <f t="shared" si="74"/>
        <v>2018</v>
      </c>
    </row>
    <row r="4763" spans="2:11" x14ac:dyDescent="0.45">
      <c r="B4763" s="1" t="s">
        <v>4000</v>
      </c>
      <c r="C4763" s="1" t="s">
        <v>4724</v>
      </c>
      <c r="D4763" s="7">
        <v>44572</v>
      </c>
      <c r="E4763" s="7">
        <v>44582</v>
      </c>
      <c r="G4763" s="1" t="s">
        <v>22</v>
      </c>
      <c r="H4763" s="8">
        <v>35104190.100000001</v>
      </c>
      <c r="I4763" s="8">
        <v>20843513.309999999</v>
      </c>
      <c r="J4763" s="1">
        <f>IF(COUNTIF($C$4:C4763,C4763)=1,1,0)</f>
        <v>1</v>
      </c>
      <c r="K4763" s="1">
        <f t="shared" si="74"/>
        <v>2022</v>
      </c>
    </row>
    <row r="4764" spans="2:11" x14ac:dyDescent="0.45">
      <c r="B4764" s="1" t="s">
        <v>4000</v>
      </c>
      <c r="C4764" s="1" t="s">
        <v>4725</v>
      </c>
      <c r="D4764" s="7">
        <v>45885</v>
      </c>
      <c r="E4764" s="7">
        <v>45908</v>
      </c>
      <c r="G4764" s="1" t="s">
        <v>13</v>
      </c>
      <c r="H4764" s="8">
        <v>111828.95</v>
      </c>
      <c r="I4764" s="8">
        <v>93528.82</v>
      </c>
      <c r="J4764" s="1">
        <f>IF(COUNTIF($C$4:C4764,C4764)=1,1,0)</f>
        <v>1</v>
      </c>
      <c r="K4764" s="1">
        <f t="shared" si="74"/>
        <v>2025</v>
      </c>
    </row>
    <row r="4765" spans="2:11" x14ac:dyDescent="0.45">
      <c r="B4765" s="1" t="s">
        <v>4000</v>
      </c>
      <c r="C4765" s="1" t="s">
        <v>4726</v>
      </c>
      <c r="D4765" s="7">
        <v>43446</v>
      </c>
      <c r="E4765" s="7">
        <v>43455</v>
      </c>
      <c r="G4765" s="1" t="s">
        <v>41</v>
      </c>
      <c r="H4765" s="8">
        <v>177648.91</v>
      </c>
      <c r="I4765" s="8">
        <v>151072.9</v>
      </c>
      <c r="J4765" s="1">
        <f>IF(COUNTIF($C$4:C4765,C4765)=1,1,0)</f>
        <v>1</v>
      </c>
      <c r="K4765" s="1">
        <f t="shared" si="74"/>
        <v>2018</v>
      </c>
    </row>
    <row r="4766" spans="2:11" x14ac:dyDescent="0.45">
      <c r="B4766" s="1" t="s">
        <v>4000</v>
      </c>
      <c r="C4766" s="1" t="s">
        <v>4727</v>
      </c>
      <c r="D4766" s="7">
        <v>44929</v>
      </c>
      <c r="E4766" s="7">
        <v>44944</v>
      </c>
      <c r="G4766" s="1" t="s">
        <v>41</v>
      </c>
      <c r="H4766" s="8">
        <v>114177.78</v>
      </c>
      <c r="I4766" s="8">
        <v>83391.520000000004</v>
      </c>
      <c r="J4766" s="1">
        <f>IF(COUNTIF($C$4:C4766,C4766)=1,1,0)</f>
        <v>1</v>
      </c>
      <c r="K4766" s="1">
        <f t="shared" si="74"/>
        <v>2023</v>
      </c>
    </row>
    <row r="4767" spans="2:11" x14ac:dyDescent="0.45">
      <c r="B4767" s="1" t="s">
        <v>4000</v>
      </c>
      <c r="C4767" s="1" t="s">
        <v>4728</v>
      </c>
      <c r="D4767" s="7">
        <v>44142</v>
      </c>
      <c r="E4767" s="7">
        <v>44169</v>
      </c>
      <c r="G4767" s="1" t="s">
        <v>16</v>
      </c>
      <c r="H4767" s="8">
        <v>1018192.59</v>
      </c>
      <c r="I4767" s="8">
        <v>793363.84</v>
      </c>
      <c r="J4767" s="1">
        <f>IF(COUNTIF($C$4:C4767,C4767)=1,1,0)</f>
        <v>1</v>
      </c>
      <c r="K4767" s="1">
        <f t="shared" si="74"/>
        <v>2020</v>
      </c>
    </row>
    <row r="4768" spans="2:11" x14ac:dyDescent="0.45">
      <c r="B4768" s="1" t="s">
        <v>4000</v>
      </c>
      <c r="C4768" s="1" t="s">
        <v>4729</v>
      </c>
      <c r="D4768" s="7">
        <v>43750</v>
      </c>
      <c r="E4768" s="7">
        <v>43779</v>
      </c>
      <c r="G4768" s="1" t="s">
        <v>44</v>
      </c>
      <c r="H4768" s="8">
        <v>36647848.210000001</v>
      </c>
      <c r="I4768" s="8">
        <v>23834474.57</v>
      </c>
      <c r="J4768" s="1">
        <f>IF(COUNTIF($C$4:C4768,C4768)=1,1,0)</f>
        <v>1</v>
      </c>
      <c r="K4768" s="1">
        <f t="shared" si="74"/>
        <v>2019</v>
      </c>
    </row>
    <row r="4769" spans="2:11" x14ac:dyDescent="0.45">
      <c r="B4769" s="1" t="s">
        <v>4000</v>
      </c>
      <c r="C4769" s="1" t="s">
        <v>4730</v>
      </c>
      <c r="D4769" s="7">
        <v>43904</v>
      </c>
      <c r="E4769" s="7">
        <v>43920</v>
      </c>
      <c r="G4769" s="1" t="s">
        <v>44</v>
      </c>
      <c r="H4769" s="8">
        <v>199632918.90000001</v>
      </c>
      <c r="I4769" s="8">
        <v>153267142.06999999</v>
      </c>
      <c r="J4769" s="1">
        <f>IF(COUNTIF($C$4:C4769,C4769)=1,1,0)</f>
        <v>1</v>
      </c>
      <c r="K4769" s="1">
        <f t="shared" si="74"/>
        <v>2020</v>
      </c>
    </row>
    <row r="4770" spans="2:11" x14ac:dyDescent="0.45">
      <c r="B4770" s="1" t="s">
        <v>4000</v>
      </c>
      <c r="C4770" s="1" t="s">
        <v>4731</v>
      </c>
      <c r="D4770" s="7">
        <v>45942</v>
      </c>
      <c r="E4770" s="7">
        <v>45965</v>
      </c>
      <c r="G4770" s="1" t="s">
        <v>41</v>
      </c>
      <c r="H4770" s="8">
        <v>228341.19</v>
      </c>
      <c r="I4770" s="8">
        <v>191432.84</v>
      </c>
      <c r="J4770" s="1">
        <f>IF(COUNTIF($C$4:C4770,C4770)=1,1,0)</f>
        <v>1</v>
      </c>
      <c r="K4770" s="1">
        <f t="shared" si="74"/>
        <v>2025</v>
      </c>
    </row>
    <row r="4771" spans="2:11" x14ac:dyDescent="0.45">
      <c r="B4771" s="1" t="s">
        <v>4000</v>
      </c>
      <c r="C4771" s="1" t="s">
        <v>4732</v>
      </c>
      <c r="D4771" s="7">
        <v>44487</v>
      </c>
      <c r="E4771" s="7">
        <v>44499</v>
      </c>
      <c r="G4771" s="1" t="s">
        <v>38</v>
      </c>
      <c r="H4771" s="8">
        <v>295577.15999999997</v>
      </c>
      <c r="I4771" s="8">
        <v>225648.66</v>
      </c>
      <c r="J4771" s="1">
        <f>IF(COUNTIF($C$4:C4771,C4771)=1,1,0)</f>
        <v>1</v>
      </c>
      <c r="K4771" s="1">
        <f t="shared" si="74"/>
        <v>2021</v>
      </c>
    </row>
    <row r="4772" spans="2:11" x14ac:dyDescent="0.45">
      <c r="B4772" s="1" t="s">
        <v>4000</v>
      </c>
      <c r="C4772" s="1" t="s">
        <v>4733</v>
      </c>
      <c r="D4772" s="7">
        <v>44829</v>
      </c>
      <c r="E4772" s="7">
        <v>44834</v>
      </c>
      <c r="G4772" s="1" t="s">
        <v>38</v>
      </c>
      <c r="H4772" s="8">
        <v>142803.95000000001</v>
      </c>
      <c r="I4772" s="8">
        <v>128051.59</v>
      </c>
      <c r="J4772" s="1">
        <f>IF(COUNTIF($C$4:C4772,C4772)=1,1,0)</f>
        <v>1</v>
      </c>
      <c r="K4772" s="1">
        <f t="shared" si="74"/>
        <v>2022</v>
      </c>
    </row>
    <row r="4773" spans="2:11" x14ac:dyDescent="0.45">
      <c r="B4773" s="1" t="s">
        <v>4000</v>
      </c>
      <c r="C4773" s="1" t="s">
        <v>4734</v>
      </c>
      <c r="D4773" s="7">
        <v>44981</v>
      </c>
      <c r="E4773" s="7">
        <v>45006</v>
      </c>
      <c r="G4773" s="1" t="s">
        <v>16</v>
      </c>
      <c r="H4773" s="8">
        <v>8338711.7800000003</v>
      </c>
      <c r="I4773" s="8">
        <v>6829620.9100000001</v>
      </c>
      <c r="J4773" s="1">
        <f>IF(COUNTIF($C$4:C4773,C4773)=1,1,0)</f>
        <v>1</v>
      </c>
      <c r="K4773" s="1">
        <f t="shared" si="74"/>
        <v>2023</v>
      </c>
    </row>
    <row r="4774" spans="2:11" x14ac:dyDescent="0.45">
      <c r="B4774" s="1" t="s">
        <v>4000</v>
      </c>
      <c r="C4774" s="1" t="s">
        <v>4735</v>
      </c>
      <c r="D4774" s="7">
        <v>45352</v>
      </c>
      <c r="E4774" s="7">
        <v>45355</v>
      </c>
      <c r="G4774" s="1" t="s">
        <v>212</v>
      </c>
      <c r="H4774" s="8">
        <v>12080243.26</v>
      </c>
      <c r="I4774" s="8">
        <v>9354753.5999999996</v>
      </c>
      <c r="J4774" s="1">
        <f>IF(COUNTIF($C$4:C4774,C4774)=1,1,0)</f>
        <v>1</v>
      </c>
      <c r="K4774" s="1">
        <f t="shared" si="74"/>
        <v>2024</v>
      </c>
    </row>
    <row r="4775" spans="2:11" x14ac:dyDescent="0.45">
      <c r="B4775" s="1" t="s">
        <v>4000</v>
      </c>
      <c r="C4775" s="1" t="s">
        <v>4736</v>
      </c>
      <c r="D4775" s="7">
        <v>45200</v>
      </c>
      <c r="E4775" s="7">
        <v>45229</v>
      </c>
      <c r="G4775" s="1" t="s">
        <v>22</v>
      </c>
      <c r="H4775" s="8">
        <v>1946278.37</v>
      </c>
      <c r="I4775" s="8">
        <v>1179739.44</v>
      </c>
      <c r="J4775" s="1">
        <f>IF(COUNTIF($C$4:C4775,C4775)=1,1,0)</f>
        <v>1</v>
      </c>
      <c r="K4775" s="1">
        <f t="shared" si="74"/>
        <v>2023</v>
      </c>
    </row>
    <row r="4776" spans="2:11" x14ac:dyDescent="0.45">
      <c r="B4776" s="1" t="s">
        <v>4000</v>
      </c>
      <c r="C4776" s="1" t="s">
        <v>4737</v>
      </c>
      <c r="D4776" s="7">
        <v>43438</v>
      </c>
      <c r="E4776" s="7">
        <v>43466</v>
      </c>
      <c r="G4776" s="1" t="s">
        <v>16</v>
      </c>
      <c r="H4776" s="8">
        <v>4307867.28</v>
      </c>
      <c r="I4776" s="8">
        <v>2938723.95</v>
      </c>
      <c r="J4776" s="1">
        <f>IF(COUNTIF($C$4:C4776,C4776)=1,1,0)</f>
        <v>1</v>
      </c>
      <c r="K4776" s="1">
        <f t="shared" si="74"/>
        <v>2018</v>
      </c>
    </row>
    <row r="4777" spans="2:11" x14ac:dyDescent="0.45">
      <c r="B4777" s="1" t="s">
        <v>4000</v>
      </c>
      <c r="C4777" s="1" t="s">
        <v>4738</v>
      </c>
      <c r="D4777" s="7">
        <v>44162</v>
      </c>
      <c r="E4777" s="7">
        <v>44173</v>
      </c>
      <c r="G4777" s="1" t="s">
        <v>38</v>
      </c>
      <c r="H4777" s="8">
        <v>36780.53</v>
      </c>
      <c r="I4777" s="8">
        <v>32515.14</v>
      </c>
      <c r="J4777" s="1">
        <f>IF(COUNTIF($C$4:C4777,C4777)=1,1,0)</f>
        <v>1</v>
      </c>
      <c r="K4777" s="1">
        <f t="shared" si="74"/>
        <v>2020</v>
      </c>
    </row>
    <row r="4778" spans="2:11" x14ac:dyDescent="0.45">
      <c r="B4778" s="1" t="s">
        <v>4000</v>
      </c>
      <c r="C4778" s="1" t="s">
        <v>4739</v>
      </c>
      <c r="D4778" s="7">
        <v>45508</v>
      </c>
      <c r="E4778" s="7">
        <v>45509</v>
      </c>
      <c r="G4778" s="1" t="s">
        <v>212</v>
      </c>
      <c r="H4778" s="8">
        <v>36218387.43</v>
      </c>
      <c r="I4778" s="8">
        <v>17491061.93</v>
      </c>
      <c r="J4778" s="1">
        <f>IF(COUNTIF($C$4:C4778,C4778)=1,1,0)</f>
        <v>1</v>
      </c>
      <c r="K4778" s="1">
        <f t="shared" si="74"/>
        <v>2024</v>
      </c>
    </row>
    <row r="4779" spans="2:11" x14ac:dyDescent="0.45">
      <c r="B4779" s="1" t="s">
        <v>4000</v>
      </c>
      <c r="C4779" s="1" t="s">
        <v>4740</v>
      </c>
      <c r="D4779" s="7">
        <v>45116</v>
      </c>
      <c r="E4779" s="7">
        <v>45125</v>
      </c>
      <c r="G4779" s="1" t="s">
        <v>22</v>
      </c>
      <c r="H4779" s="8">
        <v>1380270.37</v>
      </c>
      <c r="I4779" s="8">
        <v>795720.72</v>
      </c>
      <c r="J4779" s="1">
        <f>IF(COUNTIF($C$4:C4779,C4779)=1,1,0)</f>
        <v>1</v>
      </c>
      <c r="K4779" s="1">
        <f t="shared" si="74"/>
        <v>2023</v>
      </c>
    </row>
    <row r="4780" spans="2:11" x14ac:dyDescent="0.45">
      <c r="B4780" s="1" t="s">
        <v>4000</v>
      </c>
      <c r="C4780" s="1" t="s">
        <v>4741</v>
      </c>
      <c r="D4780" s="7">
        <v>45660</v>
      </c>
      <c r="E4780" s="7">
        <v>45685</v>
      </c>
      <c r="G4780" s="1" t="s">
        <v>38</v>
      </c>
      <c r="H4780" s="8">
        <v>392071.35</v>
      </c>
      <c r="I4780" s="8">
        <v>326557.15999999997</v>
      </c>
      <c r="J4780" s="1">
        <f>IF(COUNTIF($C$4:C4780,C4780)=1,1,0)</f>
        <v>1</v>
      </c>
      <c r="K4780" s="1">
        <f t="shared" si="74"/>
        <v>2025</v>
      </c>
    </row>
    <row r="4781" spans="2:11" x14ac:dyDescent="0.45">
      <c r="B4781" s="1" t="s">
        <v>4000</v>
      </c>
      <c r="C4781" s="1" t="s">
        <v>4742</v>
      </c>
      <c r="D4781" s="7">
        <v>43935</v>
      </c>
      <c r="E4781" s="7">
        <v>43944</v>
      </c>
      <c r="G4781" s="1" t="s">
        <v>41</v>
      </c>
      <c r="H4781" s="8">
        <v>14941.63</v>
      </c>
      <c r="I4781" s="8">
        <v>13294.98</v>
      </c>
      <c r="J4781" s="1">
        <f>IF(COUNTIF($C$4:C4781,C4781)=1,1,0)</f>
        <v>1</v>
      </c>
      <c r="K4781" s="1">
        <f t="shared" si="74"/>
        <v>2020</v>
      </c>
    </row>
    <row r="4782" spans="2:11" x14ac:dyDescent="0.45">
      <c r="B4782" s="1" t="s">
        <v>4000</v>
      </c>
      <c r="C4782" s="1" t="s">
        <v>4743</v>
      </c>
      <c r="D4782" s="7">
        <v>43220</v>
      </c>
      <c r="E4782" s="7">
        <v>43222</v>
      </c>
      <c r="G4782" s="1" t="s">
        <v>13</v>
      </c>
      <c r="H4782" s="8">
        <v>407784.77</v>
      </c>
      <c r="I4782" s="8">
        <v>352999.85</v>
      </c>
      <c r="J4782" s="1">
        <f>IF(COUNTIF($C$4:C4782,C4782)=1,1,0)</f>
        <v>1</v>
      </c>
      <c r="K4782" s="1">
        <f t="shared" si="74"/>
        <v>2018</v>
      </c>
    </row>
    <row r="4783" spans="2:11" x14ac:dyDescent="0.45">
      <c r="B4783" s="1" t="s">
        <v>4000</v>
      </c>
      <c r="C4783" s="1" t="s">
        <v>4744</v>
      </c>
      <c r="D4783" s="7">
        <v>44407</v>
      </c>
      <c r="E4783" s="7">
        <v>44412</v>
      </c>
      <c r="G4783" s="1" t="s">
        <v>16</v>
      </c>
      <c r="H4783" s="8">
        <v>6113054.6299999999</v>
      </c>
      <c r="I4783" s="8">
        <v>4637260.1900000004</v>
      </c>
      <c r="J4783" s="1">
        <f>IF(COUNTIF($C$4:C4783,C4783)=1,1,0)</f>
        <v>1</v>
      </c>
      <c r="K4783" s="1">
        <f t="shared" si="74"/>
        <v>2021</v>
      </c>
    </row>
    <row r="4784" spans="2:11" x14ac:dyDescent="0.45">
      <c r="B4784" s="1" t="s">
        <v>4000</v>
      </c>
      <c r="C4784" s="1" t="s">
        <v>4745</v>
      </c>
      <c r="D4784" s="7">
        <v>45830</v>
      </c>
      <c r="E4784" s="7">
        <v>45840</v>
      </c>
      <c r="G4784" s="1" t="s">
        <v>41</v>
      </c>
      <c r="H4784" s="8">
        <v>472652.89</v>
      </c>
      <c r="I4784" s="8">
        <v>423006.82</v>
      </c>
      <c r="J4784" s="1">
        <f>IF(COUNTIF($C$4:C4784,C4784)=1,1,0)</f>
        <v>1</v>
      </c>
      <c r="K4784" s="1">
        <f t="shared" si="74"/>
        <v>2025</v>
      </c>
    </row>
    <row r="4785" spans="2:11" x14ac:dyDescent="0.45">
      <c r="B4785" s="1" t="s">
        <v>4000</v>
      </c>
      <c r="C4785" s="1" t="s">
        <v>4746</v>
      </c>
      <c r="D4785" s="7">
        <v>44196</v>
      </c>
      <c r="E4785" s="7">
        <v>44205</v>
      </c>
      <c r="G4785" s="1" t="s">
        <v>20</v>
      </c>
      <c r="H4785" s="8">
        <v>846370.83</v>
      </c>
      <c r="I4785" s="8">
        <v>672664.49</v>
      </c>
      <c r="J4785" s="1">
        <f>IF(COUNTIF($C$4:C4785,C4785)=1,1,0)</f>
        <v>1</v>
      </c>
      <c r="K4785" s="1">
        <f t="shared" si="74"/>
        <v>2020</v>
      </c>
    </row>
    <row r="4786" spans="2:11" x14ac:dyDescent="0.45">
      <c r="B4786" s="1" t="s">
        <v>4000</v>
      </c>
      <c r="C4786" s="1" t="s">
        <v>4747</v>
      </c>
      <c r="D4786" s="7">
        <v>43686</v>
      </c>
      <c r="E4786" s="7">
        <v>43712</v>
      </c>
      <c r="G4786" s="1" t="s">
        <v>20</v>
      </c>
      <c r="H4786" s="8">
        <v>158365.73000000001</v>
      </c>
      <c r="I4786" s="8">
        <v>130108.92</v>
      </c>
      <c r="J4786" s="1">
        <f>IF(COUNTIF($C$4:C4786,C4786)=1,1,0)</f>
        <v>1</v>
      </c>
      <c r="K4786" s="1">
        <f t="shared" si="74"/>
        <v>2019</v>
      </c>
    </row>
    <row r="4787" spans="2:11" x14ac:dyDescent="0.45">
      <c r="B4787" s="1" t="s">
        <v>4000</v>
      </c>
      <c r="C4787" s="1" t="s">
        <v>4748</v>
      </c>
      <c r="D4787" s="7">
        <v>45678</v>
      </c>
      <c r="E4787" s="7">
        <v>45698</v>
      </c>
      <c r="G4787" s="1" t="s">
        <v>1348</v>
      </c>
      <c r="H4787" s="8">
        <v>34660330.18</v>
      </c>
      <c r="I4787" s="8">
        <v>19632826.059999999</v>
      </c>
      <c r="J4787" s="1">
        <f>IF(COUNTIF($C$4:C4787,C4787)=1,1,0)</f>
        <v>1</v>
      </c>
      <c r="K4787" s="1">
        <f t="shared" si="74"/>
        <v>2025</v>
      </c>
    </row>
    <row r="4788" spans="2:11" x14ac:dyDescent="0.45">
      <c r="B4788" s="1" t="s">
        <v>4000</v>
      </c>
      <c r="C4788" s="1" t="s">
        <v>4749</v>
      </c>
      <c r="D4788" s="7">
        <v>45190</v>
      </c>
      <c r="E4788" s="7">
        <v>45212</v>
      </c>
      <c r="G4788" s="1" t="s">
        <v>22</v>
      </c>
      <c r="H4788" s="8">
        <v>9179948.7599999998</v>
      </c>
      <c r="I4788" s="8">
        <v>7417743.9199999999</v>
      </c>
      <c r="J4788" s="1">
        <f>IF(COUNTIF($C$4:C4788,C4788)=1,1,0)</f>
        <v>1</v>
      </c>
      <c r="K4788" s="1">
        <f t="shared" si="74"/>
        <v>2023</v>
      </c>
    </row>
    <row r="4789" spans="2:11" x14ac:dyDescent="0.45">
      <c r="B4789" s="1" t="s">
        <v>4000</v>
      </c>
      <c r="C4789" s="1" t="s">
        <v>4750</v>
      </c>
      <c r="D4789" s="7">
        <v>45835</v>
      </c>
      <c r="E4789" s="7">
        <v>45847</v>
      </c>
      <c r="G4789" s="1" t="s">
        <v>16</v>
      </c>
      <c r="H4789" s="8">
        <v>1537472.15</v>
      </c>
      <c r="I4789" s="8">
        <v>1294099.77</v>
      </c>
      <c r="J4789" s="1">
        <f>IF(COUNTIF($C$4:C4789,C4789)=1,1,0)</f>
        <v>1</v>
      </c>
      <c r="K4789" s="1">
        <f t="shared" si="74"/>
        <v>2025</v>
      </c>
    </row>
    <row r="4790" spans="2:11" x14ac:dyDescent="0.45">
      <c r="B4790" s="1" t="s">
        <v>4000</v>
      </c>
      <c r="C4790" s="1" t="s">
        <v>4751</v>
      </c>
      <c r="D4790" s="7">
        <v>44141</v>
      </c>
      <c r="E4790" s="7">
        <v>44155</v>
      </c>
      <c r="G4790" s="1" t="s">
        <v>16</v>
      </c>
      <c r="H4790" s="8">
        <v>1121163.21</v>
      </c>
      <c r="I4790" s="8">
        <v>881203.06</v>
      </c>
      <c r="J4790" s="1">
        <f>IF(COUNTIF($C$4:C4790,C4790)=1,1,0)</f>
        <v>1</v>
      </c>
      <c r="K4790" s="1">
        <f t="shared" si="74"/>
        <v>2020</v>
      </c>
    </row>
    <row r="4791" spans="2:11" x14ac:dyDescent="0.45">
      <c r="B4791" s="1" t="s">
        <v>4000</v>
      </c>
      <c r="C4791" s="1" t="s">
        <v>4752</v>
      </c>
      <c r="D4791" s="7">
        <v>45871</v>
      </c>
      <c r="E4791" s="7">
        <v>45895</v>
      </c>
      <c r="G4791" s="1" t="s">
        <v>212</v>
      </c>
      <c r="H4791" s="8">
        <v>4837354.53</v>
      </c>
      <c r="I4791" s="8">
        <v>3149606.26</v>
      </c>
      <c r="J4791" s="1">
        <f>IF(COUNTIF($C$4:C4791,C4791)=1,1,0)</f>
        <v>1</v>
      </c>
      <c r="K4791" s="1">
        <f t="shared" si="74"/>
        <v>2025</v>
      </c>
    </row>
    <row r="4792" spans="2:11" x14ac:dyDescent="0.45">
      <c r="B4792" s="1" t="s">
        <v>4000</v>
      </c>
      <c r="C4792" s="1" t="s">
        <v>4753</v>
      </c>
      <c r="D4792" s="7">
        <v>45440</v>
      </c>
      <c r="E4792" s="7">
        <v>45446</v>
      </c>
      <c r="G4792" s="1" t="s">
        <v>13</v>
      </c>
      <c r="H4792" s="8">
        <v>478211.88</v>
      </c>
      <c r="I4792" s="8">
        <v>348357.58</v>
      </c>
      <c r="J4792" s="1">
        <f>IF(COUNTIF($C$4:C4792,C4792)=1,1,0)</f>
        <v>1</v>
      </c>
      <c r="K4792" s="1">
        <f t="shared" si="74"/>
        <v>2024</v>
      </c>
    </row>
    <row r="4793" spans="2:11" x14ac:dyDescent="0.45">
      <c r="B4793" s="1" t="s">
        <v>4000</v>
      </c>
      <c r="C4793" s="1" t="s">
        <v>4754</v>
      </c>
      <c r="D4793" s="7">
        <v>43871</v>
      </c>
      <c r="E4793" s="7">
        <v>43874</v>
      </c>
      <c r="G4793" s="1" t="s">
        <v>38</v>
      </c>
      <c r="H4793" s="8">
        <v>621617.76</v>
      </c>
      <c r="I4793" s="8">
        <v>502643.8</v>
      </c>
      <c r="J4793" s="1">
        <f>IF(COUNTIF($C$4:C4793,C4793)=1,1,0)</f>
        <v>1</v>
      </c>
      <c r="K4793" s="1">
        <f t="shared" si="74"/>
        <v>2020</v>
      </c>
    </row>
    <row r="4794" spans="2:11" x14ac:dyDescent="0.45">
      <c r="B4794" s="1" t="s">
        <v>4000</v>
      </c>
      <c r="C4794" s="1" t="s">
        <v>4755</v>
      </c>
      <c r="D4794" s="7">
        <v>44125</v>
      </c>
      <c r="E4794" s="7">
        <v>44125</v>
      </c>
      <c r="G4794" s="1" t="s">
        <v>44</v>
      </c>
      <c r="H4794" s="8">
        <v>30215122.23</v>
      </c>
      <c r="I4794" s="8">
        <v>19582840.960000001</v>
      </c>
      <c r="J4794" s="1">
        <f>IF(COUNTIF($C$4:C4794,C4794)=1,1,0)</f>
        <v>1</v>
      </c>
      <c r="K4794" s="1">
        <f t="shared" si="74"/>
        <v>2020</v>
      </c>
    </row>
    <row r="4795" spans="2:11" x14ac:dyDescent="0.45">
      <c r="B4795" s="1" t="s">
        <v>4000</v>
      </c>
      <c r="C4795" s="1" t="s">
        <v>4756</v>
      </c>
      <c r="D4795" s="7">
        <v>44870</v>
      </c>
      <c r="E4795" s="7">
        <v>44880</v>
      </c>
      <c r="G4795" s="1" t="s">
        <v>22</v>
      </c>
      <c r="H4795" s="8">
        <v>254606.69</v>
      </c>
      <c r="I4795" s="8">
        <v>92954.79</v>
      </c>
      <c r="J4795" s="1">
        <f>IF(COUNTIF($C$4:C4795,C4795)=1,1,0)</f>
        <v>1</v>
      </c>
      <c r="K4795" s="1">
        <f t="shared" si="74"/>
        <v>2022</v>
      </c>
    </row>
    <row r="4796" spans="2:11" x14ac:dyDescent="0.45">
      <c r="B4796" s="1" t="s">
        <v>4000</v>
      </c>
      <c r="C4796" s="1" t="s">
        <v>4757</v>
      </c>
      <c r="D4796" s="7">
        <v>43364</v>
      </c>
      <c r="E4796" s="7">
        <v>43376</v>
      </c>
      <c r="G4796" s="1" t="s">
        <v>1348</v>
      </c>
      <c r="H4796" s="8">
        <v>37722332.399999999</v>
      </c>
      <c r="I4796" s="8">
        <v>28465878.68</v>
      </c>
      <c r="J4796" s="1">
        <f>IF(COUNTIF($C$4:C4796,C4796)=1,1,0)</f>
        <v>1</v>
      </c>
      <c r="K4796" s="1">
        <f t="shared" si="74"/>
        <v>2018</v>
      </c>
    </row>
    <row r="4797" spans="2:11" x14ac:dyDescent="0.45">
      <c r="B4797" s="1" t="s">
        <v>4000</v>
      </c>
      <c r="C4797" s="1" t="s">
        <v>4758</v>
      </c>
      <c r="D4797" s="7">
        <v>44350</v>
      </c>
      <c r="E4797" s="7">
        <v>44378</v>
      </c>
      <c r="G4797" s="1" t="s">
        <v>22</v>
      </c>
      <c r="H4797" s="8">
        <v>4777787.8</v>
      </c>
      <c r="I4797" s="8">
        <v>3145634.27</v>
      </c>
      <c r="J4797" s="1">
        <f>IF(COUNTIF($C$4:C4797,C4797)=1,1,0)</f>
        <v>1</v>
      </c>
      <c r="K4797" s="1">
        <f t="shared" si="74"/>
        <v>2021</v>
      </c>
    </row>
    <row r="4798" spans="2:11" x14ac:dyDescent="0.45">
      <c r="B4798" s="1" t="s">
        <v>4000</v>
      </c>
      <c r="C4798" s="1" t="s">
        <v>4759</v>
      </c>
      <c r="D4798" s="7">
        <v>44633</v>
      </c>
      <c r="E4798" s="7">
        <v>44658</v>
      </c>
      <c r="G4798" s="1" t="s">
        <v>41</v>
      </c>
      <c r="H4798" s="8">
        <v>280659.09999999998</v>
      </c>
      <c r="I4798" s="8">
        <v>233821.68</v>
      </c>
      <c r="J4798" s="1">
        <f>IF(COUNTIF($C$4:C4798,C4798)=1,1,0)</f>
        <v>1</v>
      </c>
      <c r="K4798" s="1">
        <f t="shared" si="74"/>
        <v>2022</v>
      </c>
    </row>
    <row r="4799" spans="2:11" x14ac:dyDescent="0.45">
      <c r="B4799" s="1" t="s">
        <v>4000</v>
      </c>
      <c r="C4799" s="1" t="s">
        <v>4760</v>
      </c>
      <c r="D4799" s="7">
        <v>44799</v>
      </c>
      <c r="E4799" s="7">
        <v>44826</v>
      </c>
      <c r="G4799" s="1" t="s">
        <v>20</v>
      </c>
      <c r="H4799" s="8">
        <v>493140.96</v>
      </c>
      <c r="I4799" s="8">
        <v>386281.3</v>
      </c>
      <c r="J4799" s="1">
        <f>IF(COUNTIF($C$4:C4799,C4799)=1,1,0)</f>
        <v>1</v>
      </c>
      <c r="K4799" s="1">
        <f t="shared" si="74"/>
        <v>2022</v>
      </c>
    </row>
    <row r="4800" spans="2:11" x14ac:dyDescent="0.45">
      <c r="B4800" s="1" t="s">
        <v>4000</v>
      </c>
      <c r="C4800" s="1" t="s">
        <v>4761</v>
      </c>
      <c r="D4800" s="7">
        <v>44242</v>
      </c>
      <c r="E4800" s="7">
        <v>44246</v>
      </c>
      <c r="G4800" s="1" t="s">
        <v>41</v>
      </c>
      <c r="H4800" s="8">
        <v>91493.74</v>
      </c>
      <c r="I4800" s="8">
        <v>71291.78</v>
      </c>
      <c r="J4800" s="1">
        <f>IF(COUNTIF($C$4:C4800,C4800)=1,1,0)</f>
        <v>1</v>
      </c>
      <c r="K4800" s="1">
        <f t="shared" si="74"/>
        <v>2021</v>
      </c>
    </row>
    <row r="4801" spans="2:11" x14ac:dyDescent="0.45">
      <c r="B4801" s="1" t="s">
        <v>4000</v>
      </c>
      <c r="C4801" s="1" t="s">
        <v>4762</v>
      </c>
      <c r="D4801" s="7">
        <v>44882</v>
      </c>
      <c r="E4801" s="7">
        <v>44892</v>
      </c>
      <c r="G4801" s="1" t="s">
        <v>20</v>
      </c>
      <c r="H4801" s="8">
        <v>368393.09</v>
      </c>
      <c r="I4801" s="8">
        <v>222806.12</v>
      </c>
      <c r="J4801" s="1">
        <f>IF(COUNTIF($C$4:C4801,C4801)=1,1,0)</f>
        <v>1</v>
      </c>
      <c r="K4801" s="1">
        <f t="shared" si="74"/>
        <v>2022</v>
      </c>
    </row>
    <row r="4802" spans="2:11" x14ac:dyDescent="0.45">
      <c r="B4802" s="1" t="s">
        <v>4000</v>
      </c>
      <c r="C4802" s="1" t="s">
        <v>4763</v>
      </c>
      <c r="D4802" s="7">
        <v>44006</v>
      </c>
      <c r="E4802" s="7">
        <v>44017</v>
      </c>
      <c r="G4802" s="1" t="s">
        <v>1348</v>
      </c>
      <c r="H4802" s="8">
        <v>19025083.100000001</v>
      </c>
      <c r="I4802" s="8">
        <v>12622766.01</v>
      </c>
      <c r="J4802" s="1">
        <f>IF(COUNTIF($C$4:C4802,C4802)=1,1,0)</f>
        <v>1</v>
      </c>
      <c r="K4802" s="1">
        <f t="shared" si="74"/>
        <v>2020</v>
      </c>
    </row>
    <row r="4803" spans="2:11" x14ac:dyDescent="0.45">
      <c r="B4803" s="1" t="s">
        <v>4000</v>
      </c>
      <c r="C4803" s="1" t="s">
        <v>4764</v>
      </c>
      <c r="D4803" s="7">
        <v>45482</v>
      </c>
      <c r="E4803" s="7">
        <v>45490</v>
      </c>
      <c r="G4803" s="1" t="s">
        <v>13</v>
      </c>
      <c r="H4803" s="8">
        <v>505545.51</v>
      </c>
      <c r="I4803" s="8">
        <v>339034.98</v>
      </c>
      <c r="J4803" s="1">
        <f>IF(COUNTIF($C$4:C4803,C4803)=1,1,0)</f>
        <v>1</v>
      </c>
      <c r="K4803" s="1">
        <f t="shared" si="74"/>
        <v>2024</v>
      </c>
    </row>
    <row r="4804" spans="2:11" x14ac:dyDescent="0.45">
      <c r="B4804" s="1" t="s">
        <v>4000</v>
      </c>
      <c r="C4804" s="1" t="s">
        <v>4765</v>
      </c>
      <c r="D4804" s="7">
        <v>43666</v>
      </c>
      <c r="E4804" s="7">
        <v>43681</v>
      </c>
      <c r="G4804" s="1" t="s">
        <v>41</v>
      </c>
      <c r="H4804" s="8">
        <v>285726.03000000003</v>
      </c>
      <c r="I4804" s="8">
        <v>261611.26</v>
      </c>
      <c r="J4804" s="1">
        <f>IF(COUNTIF($C$4:C4804,C4804)=1,1,0)</f>
        <v>1</v>
      </c>
      <c r="K4804" s="1">
        <f t="shared" si="74"/>
        <v>2019</v>
      </c>
    </row>
    <row r="4805" spans="2:11" x14ac:dyDescent="0.45">
      <c r="B4805" s="1" t="s">
        <v>4000</v>
      </c>
      <c r="C4805" s="1" t="s">
        <v>4766</v>
      </c>
      <c r="D4805" s="7">
        <v>45219</v>
      </c>
      <c r="E4805" s="7">
        <v>45240</v>
      </c>
      <c r="G4805" s="1" t="s">
        <v>20</v>
      </c>
      <c r="H4805" s="8">
        <v>1256878.8</v>
      </c>
      <c r="I4805" s="8">
        <v>730139.67</v>
      </c>
      <c r="J4805" s="1">
        <f>IF(COUNTIF($C$4:C4805,C4805)=1,1,0)</f>
        <v>1</v>
      </c>
      <c r="K4805" s="1">
        <f t="shared" ref="K4805:K4868" si="75">YEAR(D4805)</f>
        <v>2023</v>
      </c>
    </row>
    <row r="4806" spans="2:11" x14ac:dyDescent="0.45">
      <c r="B4806" s="1" t="s">
        <v>4000</v>
      </c>
      <c r="C4806" s="1" t="s">
        <v>4767</v>
      </c>
      <c r="D4806" s="7">
        <v>44969</v>
      </c>
      <c r="E4806" s="7">
        <v>44982</v>
      </c>
      <c r="G4806" s="1" t="s">
        <v>20</v>
      </c>
      <c r="H4806" s="8">
        <v>361557.1</v>
      </c>
      <c r="I4806" s="8">
        <v>295624.77</v>
      </c>
      <c r="J4806" s="1">
        <f>IF(COUNTIF($C$4:C4806,C4806)=1,1,0)</f>
        <v>1</v>
      </c>
      <c r="K4806" s="1">
        <f t="shared" si="75"/>
        <v>2023</v>
      </c>
    </row>
    <row r="4807" spans="2:11" x14ac:dyDescent="0.45">
      <c r="B4807" s="1" t="s">
        <v>4000</v>
      </c>
      <c r="C4807" s="1" t="s">
        <v>4768</v>
      </c>
      <c r="D4807" s="7">
        <v>43724</v>
      </c>
      <c r="E4807" s="7">
        <v>43730</v>
      </c>
      <c r="G4807" s="1" t="s">
        <v>1348</v>
      </c>
      <c r="H4807" s="8">
        <v>36407526.780000001</v>
      </c>
      <c r="I4807" s="8">
        <v>23997602.780000001</v>
      </c>
      <c r="J4807" s="1">
        <f>IF(COUNTIF($C$4:C4807,C4807)=1,1,0)</f>
        <v>1</v>
      </c>
      <c r="K4807" s="1">
        <f t="shared" si="75"/>
        <v>2019</v>
      </c>
    </row>
    <row r="4808" spans="2:11" x14ac:dyDescent="0.45">
      <c r="B4808" s="1" t="s">
        <v>4000</v>
      </c>
      <c r="C4808" s="1" t="s">
        <v>4140</v>
      </c>
      <c r="D4808" s="7">
        <v>43339</v>
      </c>
      <c r="E4808" s="7">
        <v>43366</v>
      </c>
      <c r="G4808" s="1" t="s">
        <v>16</v>
      </c>
      <c r="H4808" s="8">
        <v>7882535.8700000001</v>
      </c>
      <c r="I4808" s="8">
        <v>5475980.5899999999</v>
      </c>
      <c r="J4808" s="1">
        <f>IF(COUNTIF($C$4:C4808,C4808)=1,1,0)</f>
        <v>0</v>
      </c>
      <c r="K4808" s="1">
        <f t="shared" si="75"/>
        <v>2018</v>
      </c>
    </row>
    <row r="4809" spans="2:11" x14ac:dyDescent="0.45">
      <c r="B4809" s="1" t="s">
        <v>4000</v>
      </c>
      <c r="C4809" s="1" t="s">
        <v>4769</v>
      </c>
      <c r="D4809" s="7">
        <v>45409</v>
      </c>
      <c r="E4809" s="7">
        <v>45425</v>
      </c>
      <c r="G4809" s="1" t="s">
        <v>22</v>
      </c>
      <c r="H4809" s="8">
        <v>55616260.810000002</v>
      </c>
      <c r="I4809" s="8">
        <v>38445383.009999998</v>
      </c>
      <c r="J4809" s="1">
        <f>IF(COUNTIF($C$4:C4809,C4809)=1,1,0)</f>
        <v>1</v>
      </c>
      <c r="K4809" s="1">
        <f t="shared" si="75"/>
        <v>2024</v>
      </c>
    </row>
    <row r="4810" spans="2:11" x14ac:dyDescent="0.45">
      <c r="B4810" s="1" t="s">
        <v>4000</v>
      </c>
      <c r="C4810" s="1" t="s">
        <v>4770</v>
      </c>
      <c r="D4810" s="7">
        <v>45776</v>
      </c>
      <c r="E4810" s="7">
        <v>45804</v>
      </c>
      <c r="G4810" s="1" t="s">
        <v>41</v>
      </c>
      <c r="H4810" s="8">
        <v>14878.29</v>
      </c>
      <c r="I4810" s="8">
        <v>11079.77</v>
      </c>
      <c r="J4810" s="1">
        <f>IF(COUNTIF($C$4:C4810,C4810)=1,1,0)</f>
        <v>1</v>
      </c>
      <c r="K4810" s="1">
        <f t="shared" si="75"/>
        <v>2025</v>
      </c>
    </row>
    <row r="4811" spans="2:11" x14ac:dyDescent="0.45">
      <c r="B4811" s="1" t="s">
        <v>4000</v>
      </c>
      <c r="C4811" s="1" t="s">
        <v>4771</v>
      </c>
      <c r="D4811" s="7">
        <v>43827</v>
      </c>
      <c r="E4811" s="7">
        <v>43852</v>
      </c>
      <c r="G4811" s="1" t="s">
        <v>44</v>
      </c>
      <c r="H4811" s="8">
        <v>23153174.440000001</v>
      </c>
      <c r="I4811" s="8">
        <v>9004601.8300000001</v>
      </c>
      <c r="J4811" s="1">
        <f>IF(COUNTIF($C$4:C4811,C4811)=1,1,0)</f>
        <v>1</v>
      </c>
      <c r="K4811" s="1">
        <f t="shared" si="75"/>
        <v>2019</v>
      </c>
    </row>
    <row r="4812" spans="2:11" x14ac:dyDescent="0.45">
      <c r="B4812" s="1" t="s">
        <v>4000</v>
      </c>
      <c r="C4812" s="1" t="s">
        <v>4772</v>
      </c>
      <c r="D4812" s="7">
        <v>44897</v>
      </c>
      <c r="E4812" s="7">
        <v>44904</v>
      </c>
      <c r="G4812" s="1" t="s">
        <v>41</v>
      </c>
      <c r="H4812" s="8">
        <v>62656.68</v>
      </c>
      <c r="I4812" s="8">
        <v>45118.16</v>
      </c>
      <c r="J4812" s="1">
        <f>IF(COUNTIF($C$4:C4812,C4812)=1,1,0)</f>
        <v>1</v>
      </c>
      <c r="K4812" s="1">
        <f t="shared" si="75"/>
        <v>2022</v>
      </c>
    </row>
    <row r="4813" spans="2:11" x14ac:dyDescent="0.45">
      <c r="B4813" s="1" t="s">
        <v>4000</v>
      </c>
      <c r="C4813" s="1" t="s">
        <v>4773</v>
      </c>
      <c r="D4813" s="7">
        <v>45152</v>
      </c>
      <c r="E4813" s="7">
        <v>45166</v>
      </c>
      <c r="G4813" s="1" t="s">
        <v>16</v>
      </c>
      <c r="H4813" s="8">
        <v>2308253.66</v>
      </c>
      <c r="I4813" s="8">
        <v>1789062.11</v>
      </c>
      <c r="J4813" s="1">
        <f>IF(COUNTIF($C$4:C4813,C4813)=1,1,0)</f>
        <v>1</v>
      </c>
      <c r="K4813" s="1">
        <f t="shared" si="75"/>
        <v>2023</v>
      </c>
    </row>
    <row r="4814" spans="2:11" x14ac:dyDescent="0.45">
      <c r="B4814" s="1" t="s">
        <v>4000</v>
      </c>
      <c r="C4814" s="1" t="s">
        <v>4774</v>
      </c>
      <c r="D4814" s="7">
        <v>43686</v>
      </c>
      <c r="E4814" s="7">
        <v>43704</v>
      </c>
      <c r="G4814" s="1" t="s">
        <v>212</v>
      </c>
      <c r="H4814" s="8">
        <v>3560266.3</v>
      </c>
      <c r="I4814" s="8">
        <v>2312369.2000000002</v>
      </c>
      <c r="J4814" s="1">
        <f>IF(COUNTIF($C$4:C4814,C4814)=1,1,0)</f>
        <v>1</v>
      </c>
      <c r="K4814" s="1">
        <f t="shared" si="75"/>
        <v>2019</v>
      </c>
    </row>
    <row r="4815" spans="2:11" x14ac:dyDescent="0.45">
      <c r="B4815" s="1" t="s">
        <v>4000</v>
      </c>
      <c r="C4815" s="1" t="s">
        <v>4775</v>
      </c>
      <c r="D4815" s="7">
        <v>45212</v>
      </c>
      <c r="E4815" s="7">
        <v>45230</v>
      </c>
      <c r="G4815" s="1" t="s">
        <v>16</v>
      </c>
      <c r="H4815" s="8">
        <v>3695743.4</v>
      </c>
      <c r="I4815" s="8">
        <v>2354201.9700000002</v>
      </c>
      <c r="J4815" s="1">
        <f>IF(COUNTIF($C$4:C4815,C4815)=1,1,0)</f>
        <v>1</v>
      </c>
      <c r="K4815" s="1">
        <f t="shared" si="75"/>
        <v>2023</v>
      </c>
    </row>
    <row r="4816" spans="2:11" x14ac:dyDescent="0.45">
      <c r="B4816" s="1" t="s">
        <v>4000</v>
      </c>
      <c r="C4816" s="1" t="s">
        <v>4776</v>
      </c>
      <c r="D4816" s="7">
        <v>45800</v>
      </c>
      <c r="E4816" s="7">
        <v>45801</v>
      </c>
      <c r="G4816" s="1" t="s">
        <v>41</v>
      </c>
      <c r="H4816" s="8">
        <v>606018.07999999996</v>
      </c>
      <c r="I4816" s="8">
        <v>488938.58</v>
      </c>
      <c r="J4816" s="1">
        <f>IF(COUNTIF($C$4:C4816,C4816)=1,1,0)</f>
        <v>1</v>
      </c>
      <c r="K4816" s="1">
        <f t="shared" si="75"/>
        <v>2025</v>
      </c>
    </row>
    <row r="4817" spans="2:11" x14ac:dyDescent="0.45">
      <c r="B4817" s="1" t="s">
        <v>4000</v>
      </c>
      <c r="C4817" s="1" t="s">
        <v>4777</v>
      </c>
      <c r="D4817" s="7">
        <v>45803</v>
      </c>
      <c r="E4817" s="7">
        <v>45832</v>
      </c>
      <c r="G4817" s="1" t="s">
        <v>212</v>
      </c>
      <c r="H4817" s="8">
        <v>44356362.100000001</v>
      </c>
      <c r="I4817" s="8">
        <v>28392732.579999998</v>
      </c>
      <c r="J4817" s="1">
        <f>IF(COUNTIF($C$4:C4817,C4817)=1,1,0)</f>
        <v>1</v>
      </c>
      <c r="K4817" s="1">
        <f t="shared" si="75"/>
        <v>2025</v>
      </c>
    </row>
    <row r="4818" spans="2:11" x14ac:dyDescent="0.45">
      <c r="B4818" s="1" t="s">
        <v>4000</v>
      </c>
      <c r="C4818" s="1" t="s">
        <v>4778</v>
      </c>
      <c r="D4818" s="7">
        <v>45443</v>
      </c>
      <c r="E4818" s="7">
        <v>45457</v>
      </c>
      <c r="G4818" s="1" t="s">
        <v>38</v>
      </c>
      <c r="H4818" s="8">
        <v>462863.7</v>
      </c>
      <c r="I4818" s="8">
        <v>389658.44</v>
      </c>
      <c r="J4818" s="1">
        <f>IF(COUNTIF($C$4:C4818,C4818)=1,1,0)</f>
        <v>1</v>
      </c>
      <c r="K4818" s="1">
        <f t="shared" si="75"/>
        <v>2024</v>
      </c>
    </row>
    <row r="4819" spans="2:11" x14ac:dyDescent="0.45">
      <c r="B4819" s="1" t="s">
        <v>4000</v>
      </c>
      <c r="C4819" s="1" t="s">
        <v>4779</v>
      </c>
      <c r="D4819" s="7">
        <v>45383</v>
      </c>
      <c r="E4819" s="7">
        <v>45394</v>
      </c>
      <c r="G4819" s="1" t="s">
        <v>22</v>
      </c>
      <c r="H4819" s="8">
        <v>26185780.120000001</v>
      </c>
      <c r="I4819" s="8">
        <v>16433081.210000001</v>
      </c>
      <c r="J4819" s="1">
        <f>IF(COUNTIF($C$4:C4819,C4819)=1,1,0)</f>
        <v>1</v>
      </c>
      <c r="K4819" s="1">
        <f t="shared" si="75"/>
        <v>2024</v>
      </c>
    </row>
    <row r="4820" spans="2:11" x14ac:dyDescent="0.45">
      <c r="B4820" s="1" t="s">
        <v>4000</v>
      </c>
      <c r="C4820" s="1" t="s">
        <v>4780</v>
      </c>
      <c r="D4820" s="7">
        <v>45855</v>
      </c>
      <c r="E4820" s="7">
        <v>45868</v>
      </c>
      <c r="G4820" s="1" t="s">
        <v>44</v>
      </c>
      <c r="H4820" s="8">
        <v>19128555.559999999</v>
      </c>
      <c r="I4820" s="8">
        <v>14988359.98</v>
      </c>
      <c r="J4820" s="1">
        <f>IF(COUNTIF($C$4:C4820,C4820)=1,1,0)</f>
        <v>1</v>
      </c>
      <c r="K4820" s="1">
        <f t="shared" si="75"/>
        <v>2025</v>
      </c>
    </row>
    <row r="4821" spans="2:11" x14ac:dyDescent="0.45">
      <c r="B4821" s="1" t="s">
        <v>4000</v>
      </c>
      <c r="C4821" s="1" t="s">
        <v>4781</v>
      </c>
      <c r="D4821" s="7">
        <v>44116</v>
      </c>
      <c r="E4821" s="7">
        <v>44143</v>
      </c>
      <c r="G4821" s="1" t="s">
        <v>16</v>
      </c>
      <c r="H4821" s="8">
        <v>3789222.57</v>
      </c>
      <c r="I4821" s="8">
        <v>2906884.2</v>
      </c>
      <c r="J4821" s="1">
        <f>IF(COUNTIF($C$4:C4821,C4821)=1,1,0)</f>
        <v>1</v>
      </c>
      <c r="K4821" s="1">
        <f t="shared" si="75"/>
        <v>2020</v>
      </c>
    </row>
    <row r="4822" spans="2:11" x14ac:dyDescent="0.45">
      <c r="B4822" s="1" t="s">
        <v>4000</v>
      </c>
      <c r="C4822" s="1" t="s">
        <v>4730</v>
      </c>
      <c r="D4822" s="7">
        <v>44448</v>
      </c>
      <c r="E4822" s="7">
        <v>44470</v>
      </c>
      <c r="G4822" s="1" t="s">
        <v>44</v>
      </c>
      <c r="H4822" s="8">
        <v>32746111.809999999</v>
      </c>
      <c r="I4822" s="8">
        <v>14402281.619999999</v>
      </c>
      <c r="J4822" s="1">
        <f>IF(COUNTIF($C$4:C4822,C4822)=1,1,0)</f>
        <v>0</v>
      </c>
      <c r="K4822" s="1">
        <f t="shared" si="75"/>
        <v>2021</v>
      </c>
    </row>
    <row r="4823" spans="2:11" x14ac:dyDescent="0.45">
      <c r="B4823" s="1" t="s">
        <v>4000</v>
      </c>
      <c r="C4823" s="1" t="s">
        <v>4782</v>
      </c>
      <c r="D4823" s="7">
        <v>45790</v>
      </c>
      <c r="E4823" s="7">
        <v>45814</v>
      </c>
      <c r="G4823" s="1" t="s">
        <v>212</v>
      </c>
      <c r="H4823" s="8">
        <v>3163461.1</v>
      </c>
      <c r="I4823" s="8">
        <v>1750430.08</v>
      </c>
      <c r="J4823" s="1">
        <f>IF(COUNTIF($C$4:C4823,C4823)=1,1,0)</f>
        <v>1</v>
      </c>
      <c r="K4823" s="1">
        <f t="shared" si="75"/>
        <v>2025</v>
      </c>
    </row>
    <row r="4824" spans="2:11" x14ac:dyDescent="0.45">
      <c r="B4824" s="1" t="s">
        <v>4000</v>
      </c>
      <c r="C4824" s="1" t="s">
        <v>4783</v>
      </c>
      <c r="D4824" s="7">
        <v>44705</v>
      </c>
      <c r="E4824" s="7">
        <v>44710</v>
      </c>
      <c r="G4824" s="1" t="s">
        <v>44</v>
      </c>
      <c r="H4824" s="8">
        <v>61308633</v>
      </c>
      <c r="I4824" s="8">
        <v>44530704.259999998</v>
      </c>
      <c r="J4824" s="1">
        <f>IF(COUNTIF($C$4:C4824,C4824)=1,1,0)</f>
        <v>1</v>
      </c>
      <c r="K4824" s="1">
        <f t="shared" si="75"/>
        <v>2022</v>
      </c>
    </row>
    <row r="4825" spans="2:11" x14ac:dyDescent="0.45">
      <c r="B4825" s="1" t="s">
        <v>4000</v>
      </c>
      <c r="C4825" s="1" t="s">
        <v>4784</v>
      </c>
      <c r="D4825" s="7">
        <v>46256</v>
      </c>
      <c r="E4825" s="7">
        <v>46275</v>
      </c>
      <c r="G4825" s="1" t="s">
        <v>44</v>
      </c>
      <c r="H4825" s="8">
        <v>60891487.75</v>
      </c>
      <c r="I4825" s="8">
        <v>47590695.960000001</v>
      </c>
      <c r="J4825" s="1">
        <f>IF(COUNTIF($C$4:C4825,C4825)=1,1,0)</f>
        <v>1</v>
      </c>
      <c r="K4825" s="1">
        <f t="shared" si="75"/>
        <v>2026</v>
      </c>
    </row>
    <row r="4826" spans="2:11" x14ac:dyDescent="0.45">
      <c r="B4826" s="1" t="s">
        <v>4000</v>
      </c>
      <c r="C4826" s="1" t="s">
        <v>4785</v>
      </c>
      <c r="D4826" s="7">
        <v>45921</v>
      </c>
      <c r="E4826" s="7">
        <v>45933</v>
      </c>
      <c r="G4826" s="1" t="s">
        <v>212</v>
      </c>
      <c r="H4826" s="8">
        <v>59365135.280000001</v>
      </c>
      <c r="I4826" s="8">
        <v>42361970.579999998</v>
      </c>
      <c r="J4826" s="1">
        <f>IF(COUNTIF($C$4:C4826,C4826)=1,1,0)</f>
        <v>1</v>
      </c>
      <c r="K4826" s="1">
        <f t="shared" si="75"/>
        <v>2025</v>
      </c>
    </row>
    <row r="4827" spans="2:11" x14ac:dyDescent="0.45">
      <c r="B4827" s="1" t="s">
        <v>4000</v>
      </c>
      <c r="C4827" s="1" t="s">
        <v>4786</v>
      </c>
      <c r="D4827" s="7">
        <v>43806</v>
      </c>
      <c r="E4827" s="7">
        <v>43829</v>
      </c>
      <c r="G4827" s="1" t="s">
        <v>212</v>
      </c>
      <c r="H4827" s="8">
        <v>2376203.17</v>
      </c>
      <c r="I4827" s="8">
        <v>1766594.03</v>
      </c>
      <c r="J4827" s="1">
        <f>IF(COUNTIF($C$4:C4827,C4827)=1,1,0)</f>
        <v>1</v>
      </c>
      <c r="K4827" s="1">
        <f t="shared" si="75"/>
        <v>2019</v>
      </c>
    </row>
    <row r="4828" spans="2:11" x14ac:dyDescent="0.45">
      <c r="B4828" s="1" t="s">
        <v>4000</v>
      </c>
      <c r="C4828" s="1" t="s">
        <v>4787</v>
      </c>
      <c r="D4828" s="7">
        <v>45465</v>
      </c>
      <c r="E4828" s="7">
        <v>45471</v>
      </c>
      <c r="G4828" s="1" t="s">
        <v>1348</v>
      </c>
      <c r="H4828" s="8">
        <v>11884012.4</v>
      </c>
      <c r="I4828" s="8">
        <v>9176950.6799999997</v>
      </c>
      <c r="J4828" s="1">
        <f>IF(COUNTIF($C$4:C4828,C4828)=1,1,0)</f>
        <v>1</v>
      </c>
      <c r="K4828" s="1">
        <f t="shared" si="75"/>
        <v>2024</v>
      </c>
    </row>
    <row r="4829" spans="2:11" x14ac:dyDescent="0.45">
      <c r="B4829" s="1" t="s">
        <v>4000</v>
      </c>
      <c r="C4829" s="1" t="s">
        <v>4788</v>
      </c>
      <c r="D4829" s="7">
        <v>45546</v>
      </c>
      <c r="E4829" s="7">
        <v>45550</v>
      </c>
      <c r="G4829" s="1" t="s">
        <v>41</v>
      </c>
      <c r="H4829" s="8">
        <v>48650.98</v>
      </c>
      <c r="I4829" s="8">
        <v>35780.199999999997</v>
      </c>
      <c r="J4829" s="1">
        <f>IF(COUNTIF($C$4:C4829,C4829)=1,1,0)</f>
        <v>1</v>
      </c>
      <c r="K4829" s="1">
        <f t="shared" si="75"/>
        <v>2024</v>
      </c>
    </row>
    <row r="4830" spans="2:11" x14ac:dyDescent="0.45">
      <c r="B4830" s="1" t="s">
        <v>4000</v>
      </c>
      <c r="C4830" s="1" t="s">
        <v>4789</v>
      </c>
      <c r="D4830" s="7">
        <v>43179</v>
      </c>
      <c r="E4830" s="7">
        <v>43206</v>
      </c>
      <c r="G4830" s="1" t="s">
        <v>1348</v>
      </c>
      <c r="H4830" s="8">
        <v>7651631.5199999996</v>
      </c>
      <c r="I4830" s="8">
        <v>4503235.51</v>
      </c>
      <c r="J4830" s="1">
        <f>IF(COUNTIF($C$4:C4830,C4830)=1,1,0)</f>
        <v>1</v>
      </c>
      <c r="K4830" s="1">
        <f t="shared" si="75"/>
        <v>2018</v>
      </c>
    </row>
    <row r="4831" spans="2:11" x14ac:dyDescent="0.45">
      <c r="B4831" s="1" t="s">
        <v>4000</v>
      </c>
      <c r="C4831" s="1" t="s">
        <v>4790</v>
      </c>
      <c r="D4831" s="7">
        <v>46137</v>
      </c>
      <c r="E4831" s="7">
        <v>46153</v>
      </c>
      <c r="G4831" s="1" t="s">
        <v>20</v>
      </c>
      <c r="H4831" s="8">
        <v>1202056.6499999999</v>
      </c>
      <c r="I4831" s="8">
        <v>710296.34</v>
      </c>
      <c r="J4831" s="1">
        <f>IF(COUNTIF($C$4:C4831,C4831)=1,1,0)</f>
        <v>1</v>
      </c>
      <c r="K4831" s="1">
        <f t="shared" si="75"/>
        <v>2026</v>
      </c>
    </row>
    <row r="4832" spans="2:11" x14ac:dyDescent="0.45">
      <c r="B4832" s="1" t="s">
        <v>4000</v>
      </c>
      <c r="C4832" s="1" t="s">
        <v>4791</v>
      </c>
      <c r="D4832" s="7">
        <v>45293</v>
      </c>
      <c r="E4832" s="7">
        <v>45296</v>
      </c>
      <c r="G4832" s="1" t="s">
        <v>16</v>
      </c>
      <c r="H4832" s="8">
        <v>3722420.78</v>
      </c>
      <c r="I4832" s="8">
        <v>3012841.49</v>
      </c>
      <c r="J4832" s="1">
        <f>IF(COUNTIF($C$4:C4832,C4832)=1,1,0)</f>
        <v>1</v>
      </c>
      <c r="K4832" s="1">
        <f t="shared" si="75"/>
        <v>2024</v>
      </c>
    </row>
    <row r="4833" spans="2:11" x14ac:dyDescent="0.45">
      <c r="B4833" s="1" t="s">
        <v>4000</v>
      </c>
      <c r="C4833" s="1" t="s">
        <v>4792</v>
      </c>
      <c r="D4833" s="7">
        <v>44290</v>
      </c>
      <c r="E4833" s="7">
        <v>44320</v>
      </c>
      <c r="G4833" s="1" t="s">
        <v>41</v>
      </c>
      <c r="H4833" s="8">
        <v>446986.71</v>
      </c>
      <c r="I4833" s="8">
        <v>356492.08</v>
      </c>
      <c r="J4833" s="1">
        <f>IF(COUNTIF($C$4:C4833,C4833)=1,1,0)</f>
        <v>1</v>
      </c>
      <c r="K4833" s="1">
        <f t="shared" si="75"/>
        <v>2021</v>
      </c>
    </row>
    <row r="4834" spans="2:11" x14ac:dyDescent="0.45">
      <c r="B4834" s="1" t="s">
        <v>4000</v>
      </c>
      <c r="C4834" s="1" t="s">
        <v>4793</v>
      </c>
      <c r="D4834" s="7">
        <v>44104</v>
      </c>
      <c r="E4834" s="7">
        <v>44121</v>
      </c>
      <c r="G4834" s="1" t="s">
        <v>16</v>
      </c>
      <c r="H4834" s="8">
        <v>1662492.98</v>
      </c>
      <c r="I4834" s="8">
        <v>1267032.8700000001</v>
      </c>
      <c r="J4834" s="1">
        <f>IF(COUNTIF($C$4:C4834,C4834)=1,1,0)</f>
        <v>1</v>
      </c>
      <c r="K4834" s="1">
        <f t="shared" si="75"/>
        <v>2020</v>
      </c>
    </row>
    <row r="4835" spans="2:11" x14ac:dyDescent="0.45">
      <c r="B4835" s="1" t="s">
        <v>4000</v>
      </c>
      <c r="C4835" s="1" t="s">
        <v>4794</v>
      </c>
      <c r="D4835" s="7">
        <v>43728</v>
      </c>
      <c r="E4835" s="7">
        <v>43747</v>
      </c>
      <c r="G4835" s="1" t="s">
        <v>44</v>
      </c>
      <c r="H4835" s="8">
        <v>63242393.270000003</v>
      </c>
      <c r="I4835" s="8">
        <v>31871385.050000001</v>
      </c>
      <c r="J4835" s="1">
        <f>IF(COUNTIF($C$4:C4835,C4835)=1,1,0)</f>
        <v>1</v>
      </c>
      <c r="K4835" s="1">
        <f t="shared" si="75"/>
        <v>2019</v>
      </c>
    </row>
    <row r="4836" spans="2:11" x14ac:dyDescent="0.45">
      <c r="B4836" s="1" t="s">
        <v>4000</v>
      </c>
      <c r="C4836" s="1" t="s">
        <v>4795</v>
      </c>
      <c r="D4836" s="7">
        <v>44125</v>
      </c>
      <c r="E4836" s="7">
        <v>44126</v>
      </c>
      <c r="G4836" s="1" t="s">
        <v>38</v>
      </c>
      <c r="H4836" s="8">
        <v>120569.08</v>
      </c>
      <c r="I4836" s="8">
        <v>101901.93</v>
      </c>
      <c r="J4836" s="1">
        <f>IF(COUNTIF($C$4:C4836,C4836)=1,1,0)</f>
        <v>1</v>
      </c>
      <c r="K4836" s="1">
        <f t="shared" si="75"/>
        <v>2020</v>
      </c>
    </row>
    <row r="4837" spans="2:11" x14ac:dyDescent="0.45">
      <c r="B4837" s="1" t="s">
        <v>4000</v>
      </c>
      <c r="C4837" s="1" t="s">
        <v>4796</v>
      </c>
      <c r="D4837" s="7">
        <v>44262</v>
      </c>
      <c r="E4837" s="7">
        <v>44290</v>
      </c>
      <c r="G4837" s="1" t="s">
        <v>212</v>
      </c>
      <c r="H4837" s="8">
        <v>6363089.9400000004</v>
      </c>
      <c r="I4837" s="8">
        <v>2883231.2</v>
      </c>
      <c r="J4837" s="1">
        <f>IF(COUNTIF($C$4:C4837,C4837)=1,1,0)</f>
        <v>1</v>
      </c>
      <c r="K4837" s="1">
        <f t="shared" si="75"/>
        <v>2021</v>
      </c>
    </row>
    <row r="4838" spans="2:11" x14ac:dyDescent="0.45">
      <c r="B4838" s="1" t="s">
        <v>4000</v>
      </c>
      <c r="C4838" s="1" t="s">
        <v>4797</v>
      </c>
      <c r="D4838" s="7">
        <v>44404</v>
      </c>
      <c r="E4838" s="7">
        <v>44432</v>
      </c>
      <c r="G4838" s="1" t="s">
        <v>212</v>
      </c>
      <c r="H4838" s="8">
        <v>10793454.960000001</v>
      </c>
      <c r="I4838" s="8">
        <v>8678806.8599999994</v>
      </c>
      <c r="J4838" s="1">
        <f>IF(COUNTIF($C$4:C4838,C4838)=1,1,0)</f>
        <v>1</v>
      </c>
      <c r="K4838" s="1">
        <f t="shared" si="75"/>
        <v>2021</v>
      </c>
    </row>
    <row r="4839" spans="2:11" x14ac:dyDescent="0.45">
      <c r="B4839" s="1" t="s">
        <v>4000</v>
      </c>
      <c r="C4839" s="1" t="s">
        <v>4798</v>
      </c>
      <c r="D4839" s="7">
        <v>43440</v>
      </c>
      <c r="E4839" s="7">
        <v>43447</v>
      </c>
      <c r="G4839" s="1" t="s">
        <v>13</v>
      </c>
      <c r="H4839" s="8">
        <v>1390872.71</v>
      </c>
      <c r="I4839" s="8">
        <v>1180872.29</v>
      </c>
      <c r="J4839" s="1">
        <f>IF(COUNTIF($C$4:C4839,C4839)=1,1,0)</f>
        <v>1</v>
      </c>
      <c r="K4839" s="1">
        <f t="shared" si="75"/>
        <v>2018</v>
      </c>
    </row>
    <row r="4840" spans="2:11" x14ac:dyDescent="0.45">
      <c r="B4840" s="1" t="s">
        <v>4000</v>
      </c>
      <c r="C4840" s="1" t="s">
        <v>4799</v>
      </c>
      <c r="D4840" s="7">
        <v>45021</v>
      </c>
      <c r="E4840" s="7">
        <v>45043</v>
      </c>
      <c r="G4840" s="1" t="s">
        <v>13</v>
      </c>
      <c r="H4840" s="8">
        <v>154963.74</v>
      </c>
      <c r="I4840" s="8">
        <v>121246.03</v>
      </c>
      <c r="J4840" s="1">
        <f>IF(COUNTIF($C$4:C4840,C4840)=1,1,0)</f>
        <v>1</v>
      </c>
      <c r="K4840" s="1">
        <f t="shared" si="75"/>
        <v>2023</v>
      </c>
    </row>
    <row r="4841" spans="2:11" x14ac:dyDescent="0.45">
      <c r="B4841" s="1" t="s">
        <v>4000</v>
      </c>
      <c r="C4841" s="1" t="s">
        <v>4800</v>
      </c>
      <c r="D4841" s="7">
        <v>43721</v>
      </c>
      <c r="E4841" s="7">
        <v>43731</v>
      </c>
      <c r="G4841" s="1" t="s">
        <v>16</v>
      </c>
      <c r="H4841" s="8">
        <v>1924724.42</v>
      </c>
      <c r="I4841" s="8">
        <v>1379114.66</v>
      </c>
      <c r="J4841" s="1">
        <f>IF(COUNTIF($C$4:C4841,C4841)=1,1,0)</f>
        <v>1</v>
      </c>
      <c r="K4841" s="1">
        <f t="shared" si="75"/>
        <v>2019</v>
      </c>
    </row>
    <row r="4842" spans="2:11" x14ac:dyDescent="0.45">
      <c r="B4842" s="1" t="s">
        <v>4000</v>
      </c>
      <c r="C4842" s="1" t="s">
        <v>4801</v>
      </c>
      <c r="D4842" s="7">
        <v>43361</v>
      </c>
      <c r="E4842" s="7">
        <v>43390</v>
      </c>
      <c r="G4842" s="1" t="s">
        <v>41</v>
      </c>
      <c r="H4842" s="8">
        <v>358411.89</v>
      </c>
      <c r="I4842" s="8">
        <v>310446.84999999998</v>
      </c>
      <c r="J4842" s="1">
        <f>IF(COUNTIF($C$4:C4842,C4842)=1,1,0)</f>
        <v>1</v>
      </c>
      <c r="K4842" s="1">
        <f t="shared" si="75"/>
        <v>2018</v>
      </c>
    </row>
    <row r="4843" spans="2:11" x14ac:dyDescent="0.45">
      <c r="B4843" s="1" t="s">
        <v>4000</v>
      </c>
      <c r="C4843" s="1" t="s">
        <v>4802</v>
      </c>
      <c r="D4843" s="7">
        <v>44526</v>
      </c>
      <c r="E4843" s="7">
        <v>44533</v>
      </c>
      <c r="G4843" s="1" t="s">
        <v>13</v>
      </c>
      <c r="H4843" s="8">
        <v>210913.84</v>
      </c>
      <c r="I4843" s="8">
        <v>192410.63</v>
      </c>
      <c r="J4843" s="1">
        <f>IF(COUNTIF($C$4:C4843,C4843)=1,1,0)</f>
        <v>1</v>
      </c>
      <c r="K4843" s="1">
        <f t="shared" si="75"/>
        <v>2021</v>
      </c>
    </row>
    <row r="4844" spans="2:11" x14ac:dyDescent="0.45">
      <c r="B4844" s="1" t="s">
        <v>4000</v>
      </c>
      <c r="C4844" s="1" t="s">
        <v>4803</v>
      </c>
      <c r="D4844" s="7">
        <v>44444</v>
      </c>
      <c r="E4844" s="7">
        <v>44466</v>
      </c>
      <c r="G4844" s="1" t="s">
        <v>20</v>
      </c>
      <c r="H4844" s="8">
        <v>894628.27</v>
      </c>
      <c r="I4844" s="8">
        <v>691649.77</v>
      </c>
      <c r="J4844" s="1">
        <f>IF(COUNTIF($C$4:C4844,C4844)=1,1,0)</f>
        <v>1</v>
      </c>
      <c r="K4844" s="1">
        <f t="shared" si="75"/>
        <v>2021</v>
      </c>
    </row>
    <row r="4845" spans="2:11" x14ac:dyDescent="0.45">
      <c r="B4845" s="1" t="s">
        <v>4000</v>
      </c>
      <c r="C4845" s="1" t="s">
        <v>4804</v>
      </c>
      <c r="D4845" s="7">
        <v>46302</v>
      </c>
      <c r="E4845" s="7">
        <v>46326</v>
      </c>
      <c r="G4845" s="1" t="s">
        <v>38</v>
      </c>
      <c r="H4845" s="8">
        <v>916117.93</v>
      </c>
      <c r="I4845" s="8">
        <v>700707.11</v>
      </c>
      <c r="J4845" s="1">
        <f>IF(COUNTIF($C$4:C4845,C4845)=1,1,0)</f>
        <v>1</v>
      </c>
      <c r="K4845" s="1">
        <f t="shared" si="75"/>
        <v>2026</v>
      </c>
    </row>
    <row r="4846" spans="2:11" x14ac:dyDescent="0.45">
      <c r="B4846" s="1" t="s">
        <v>4000</v>
      </c>
      <c r="C4846" s="1" t="s">
        <v>4805</v>
      </c>
      <c r="D4846" s="7">
        <v>44643</v>
      </c>
      <c r="E4846" s="7">
        <v>44646</v>
      </c>
      <c r="G4846" s="1" t="s">
        <v>44</v>
      </c>
      <c r="H4846" s="8">
        <v>41647809.259999998</v>
      </c>
      <c r="I4846" s="8">
        <v>31517087.890000001</v>
      </c>
      <c r="J4846" s="1">
        <f>IF(COUNTIF($C$4:C4846,C4846)=1,1,0)</f>
        <v>1</v>
      </c>
      <c r="K4846" s="1">
        <f t="shared" si="75"/>
        <v>2022</v>
      </c>
    </row>
    <row r="4847" spans="2:11" x14ac:dyDescent="0.45">
      <c r="B4847" s="1" t="s">
        <v>4000</v>
      </c>
      <c r="C4847" s="1" t="s">
        <v>4806</v>
      </c>
      <c r="D4847" s="7">
        <v>46082</v>
      </c>
      <c r="E4847" s="7">
        <v>46096</v>
      </c>
      <c r="G4847" s="1" t="s">
        <v>22</v>
      </c>
      <c r="H4847" s="8">
        <v>27956334.030000001</v>
      </c>
      <c r="I4847" s="8">
        <v>21604882.030000001</v>
      </c>
      <c r="J4847" s="1">
        <f>IF(COUNTIF($C$4:C4847,C4847)=1,1,0)</f>
        <v>1</v>
      </c>
      <c r="K4847" s="1">
        <f t="shared" si="75"/>
        <v>2026</v>
      </c>
    </row>
    <row r="4848" spans="2:11" x14ac:dyDescent="0.45">
      <c r="B4848" s="1" t="s">
        <v>4000</v>
      </c>
      <c r="C4848" s="1" t="s">
        <v>4807</v>
      </c>
      <c r="D4848" s="7">
        <v>44529</v>
      </c>
      <c r="E4848" s="7">
        <v>44537</v>
      </c>
      <c r="G4848" s="1" t="s">
        <v>44</v>
      </c>
      <c r="H4848" s="8">
        <v>21158313.559999999</v>
      </c>
      <c r="I4848" s="8">
        <v>12367484.720000001</v>
      </c>
      <c r="J4848" s="1">
        <f>IF(COUNTIF($C$4:C4848,C4848)=1,1,0)</f>
        <v>1</v>
      </c>
      <c r="K4848" s="1">
        <f t="shared" si="75"/>
        <v>2021</v>
      </c>
    </row>
    <row r="4849" spans="2:11" x14ac:dyDescent="0.45">
      <c r="B4849" s="1" t="s">
        <v>4000</v>
      </c>
      <c r="C4849" s="1" t="s">
        <v>4808</v>
      </c>
      <c r="D4849" s="7">
        <v>45678</v>
      </c>
      <c r="E4849" s="7">
        <v>45696</v>
      </c>
      <c r="G4849" s="1" t="s">
        <v>22</v>
      </c>
      <c r="H4849" s="8">
        <v>17816919.109999999</v>
      </c>
      <c r="I4849" s="8">
        <v>14177491.779999999</v>
      </c>
      <c r="J4849" s="1">
        <f>IF(COUNTIF($C$4:C4849,C4849)=1,1,0)</f>
        <v>1</v>
      </c>
      <c r="K4849" s="1">
        <f t="shared" si="75"/>
        <v>2025</v>
      </c>
    </row>
    <row r="4850" spans="2:11" x14ac:dyDescent="0.45">
      <c r="B4850" s="1" t="s">
        <v>4000</v>
      </c>
      <c r="C4850" s="1" t="s">
        <v>4809</v>
      </c>
      <c r="D4850" s="7">
        <v>43548</v>
      </c>
      <c r="E4850" s="7">
        <v>43563</v>
      </c>
      <c r="G4850" s="1" t="s">
        <v>44</v>
      </c>
      <c r="H4850" s="8">
        <v>167823458.00999999</v>
      </c>
      <c r="I4850" s="8">
        <v>137545806.97999999</v>
      </c>
      <c r="J4850" s="1">
        <f>IF(COUNTIF($C$4:C4850,C4850)=1,1,0)</f>
        <v>1</v>
      </c>
      <c r="K4850" s="1">
        <f t="shared" si="75"/>
        <v>2019</v>
      </c>
    </row>
    <row r="4851" spans="2:11" x14ac:dyDescent="0.45">
      <c r="B4851" s="1" t="s">
        <v>4000</v>
      </c>
      <c r="C4851" s="1" t="s">
        <v>4810</v>
      </c>
      <c r="D4851" s="7">
        <v>45559</v>
      </c>
      <c r="E4851" s="7">
        <v>45575</v>
      </c>
      <c r="G4851" s="1" t="s">
        <v>1348</v>
      </c>
      <c r="H4851" s="8">
        <v>27230058.399999999</v>
      </c>
      <c r="I4851" s="8">
        <v>19646074.920000002</v>
      </c>
      <c r="J4851" s="1">
        <f>IF(COUNTIF($C$4:C4851,C4851)=1,1,0)</f>
        <v>1</v>
      </c>
      <c r="K4851" s="1">
        <f t="shared" si="75"/>
        <v>2024</v>
      </c>
    </row>
    <row r="4852" spans="2:11" x14ac:dyDescent="0.45">
      <c r="B4852" s="1" t="s">
        <v>4000</v>
      </c>
      <c r="C4852" s="1" t="s">
        <v>4811</v>
      </c>
      <c r="D4852" s="7">
        <v>44383</v>
      </c>
      <c r="E4852" s="7">
        <v>44402</v>
      </c>
      <c r="G4852" s="1" t="s">
        <v>16</v>
      </c>
      <c r="H4852" s="8">
        <v>995300.84</v>
      </c>
      <c r="I4852" s="8">
        <v>646452.86</v>
      </c>
      <c r="J4852" s="1">
        <f>IF(COUNTIF($C$4:C4852,C4852)=1,1,0)</f>
        <v>1</v>
      </c>
      <c r="K4852" s="1">
        <f t="shared" si="75"/>
        <v>2021</v>
      </c>
    </row>
    <row r="4853" spans="2:11" x14ac:dyDescent="0.45">
      <c r="B4853" s="1" t="s">
        <v>4000</v>
      </c>
      <c r="C4853" s="1" t="s">
        <v>4812</v>
      </c>
      <c r="D4853" s="7">
        <v>44571</v>
      </c>
      <c r="E4853" s="7">
        <v>44593</v>
      </c>
      <c r="G4853" s="1" t="s">
        <v>22</v>
      </c>
      <c r="H4853" s="8">
        <v>18899350.02</v>
      </c>
      <c r="I4853" s="8">
        <v>9650941.3499999996</v>
      </c>
      <c r="J4853" s="1">
        <f>IF(COUNTIF($C$4:C4853,C4853)=1,1,0)</f>
        <v>1</v>
      </c>
      <c r="K4853" s="1">
        <f t="shared" si="75"/>
        <v>2022</v>
      </c>
    </row>
    <row r="4854" spans="2:11" x14ac:dyDescent="0.45">
      <c r="B4854" s="1" t="s">
        <v>4000</v>
      </c>
      <c r="C4854" s="1" t="s">
        <v>4813</v>
      </c>
      <c r="D4854" s="7">
        <v>44284</v>
      </c>
      <c r="E4854" s="7">
        <v>44293</v>
      </c>
      <c r="G4854" s="1" t="s">
        <v>38</v>
      </c>
      <c r="H4854" s="8">
        <v>1084115.8899999999</v>
      </c>
      <c r="I4854" s="8">
        <v>805337.09</v>
      </c>
      <c r="J4854" s="1">
        <f>IF(COUNTIF($C$4:C4854,C4854)=1,1,0)</f>
        <v>1</v>
      </c>
      <c r="K4854" s="1">
        <f t="shared" si="75"/>
        <v>2021</v>
      </c>
    </row>
    <row r="4855" spans="2:11" x14ac:dyDescent="0.45">
      <c r="B4855" s="1" t="s">
        <v>4000</v>
      </c>
      <c r="C4855" s="1" t="s">
        <v>4814</v>
      </c>
      <c r="D4855" s="7">
        <v>45656</v>
      </c>
      <c r="E4855" s="7">
        <v>45664</v>
      </c>
      <c r="G4855" s="1" t="s">
        <v>212</v>
      </c>
      <c r="H4855" s="8">
        <v>20924247.489999998</v>
      </c>
      <c r="I4855" s="8">
        <v>11924903.07</v>
      </c>
      <c r="J4855" s="1">
        <f>IF(COUNTIF($C$4:C4855,C4855)=1,1,0)</f>
        <v>1</v>
      </c>
      <c r="K4855" s="1">
        <f t="shared" si="75"/>
        <v>2024</v>
      </c>
    </row>
    <row r="4856" spans="2:11" x14ac:dyDescent="0.45">
      <c r="B4856" s="1" t="s">
        <v>4000</v>
      </c>
      <c r="C4856" s="1" t="s">
        <v>4815</v>
      </c>
      <c r="D4856" s="7">
        <v>46087</v>
      </c>
      <c r="E4856" s="7">
        <v>46102</v>
      </c>
      <c r="G4856" s="1" t="s">
        <v>20</v>
      </c>
      <c r="H4856" s="8">
        <v>289198.32</v>
      </c>
      <c r="I4856" s="8">
        <v>178269.82</v>
      </c>
      <c r="J4856" s="1">
        <f>IF(COUNTIF($C$4:C4856,C4856)=1,1,0)</f>
        <v>1</v>
      </c>
      <c r="K4856" s="1">
        <f t="shared" si="75"/>
        <v>2026</v>
      </c>
    </row>
    <row r="4857" spans="2:11" x14ac:dyDescent="0.45">
      <c r="B4857" s="1" t="s">
        <v>4000</v>
      </c>
      <c r="C4857" s="1" t="s">
        <v>4816</v>
      </c>
      <c r="D4857" s="7">
        <v>44253</v>
      </c>
      <c r="E4857" s="7">
        <v>44265</v>
      </c>
      <c r="G4857" s="1" t="s">
        <v>22</v>
      </c>
      <c r="H4857" s="8">
        <v>2323114.48</v>
      </c>
      <c r="I4857" s="8">
        <v>1209614.18</v>
      </c>
      <c r="J4857" s="1">
        <f>IF(COUNTIF($C$4:C4857,C4857)=1,1,0)</f>
        <v>1</v>
      </c>
      <c r="K4857" s="1">
        <f t="shared" si="75"/>
        <v>2021</v>
      </c>
    </row>
    <row r="4858" spans="2:11" x14ac:dyDescent="0.45">
      <c r="B4858" s="1" t="s">
        <v>4000</v>
      </c>
      <c r="C4858" s="1" t="s">
        <v>4290</v>
      </c>
      <c r="D4858" s="7">
        <v>44962</v>
      </c>
      <c r="E4858" s="7">
        <v>44977</v>
      </c>
      <c r="G4858" s="1" t="s">
        <v>18</v>
      </c>
      <c r="H4858" s="8">
        <v>8900532.1799999997</v>
      </c>
      <c r="I4858" s="8">
        <v>6822489.1200000001</v>
      </c>
      <c r="J4858" s="1">
        <f>IF(COUNTIF($C$4:C4858,C4858)=1,1,0)</f>
        <v>0</v>
      </c>
      <c r="K4858" s="1">
        <f t="shared" si="75"/>
        <v>2023</v>
      </c>
    </row>
    <row r="4859" spans="2:11" x14ac:dyDescent="0.45">
      <c r="B4859" s="1" t="s">
        <v>4000</v>
      </c>
      <c r="C4859" s="1" t="s">
        <v>4817</v>
      </c>
      <c r="D4859" s="7">
        <v>45931</v>
      </c>
      <c r="E4859" s="7">
        <v>45945</v>
      </c>
      <c r="G4859" s="1" t="s">
        <v>22</v>
      </c>
      <c r="H4859" s="8">
        <v>19222077.239999998</v>
      </c>
      <c r="I4859" s="8">
        <v>9111698.5899999999</v>
      </c>
      <c r="J4859" s="1">
        <f>IF(COUNTIF($C$4:C4859,C4859)=1,1,0)</f>
        <v>1</v>
      </c>
      <c r="K4859" s="1">
        <f t="shared" si="75"/>
        <v>2025</v>
      </c>
    </row>
    <row r="4860" spans="2:11" x14ac:dyDescent="0.45">
      <c r="B4860" s="1" t="s">
        <v>4000</v>
      </c>
      <c r="C4860" s="1" t="s">
        <v>4818</v>
      </c>
      <c r="D4860" s="7">
        <v>43331</v>
      </c>
      <c r="E4860" s="7">
        <v>43350</v>
      </c>
      <c r="G4860" s="1" t="s">
        <v>1348</v>
      </c>
      <c r="H4860" s="8">
        <v>90532686.420000002</v>
      </c>
      <c r="I4860" s="8">
        <v>61724769.280000001</v>
      </c>
      <c r="J4860" s="1">
        <f>IF(COUNTIF($C$4:C4860,C4860)=1,1,0)</f>
        <v>1</v>
      </c>
      <c r="K4860" s="1">
        <f t="shared" si="75"/>
        <v>2018</v>
      </c>
    </row>
    <row r="4861" spans="2:11" x14ac:dyDescent="0.45">
      <c r="B4861" s="1" t="s">
        <v>4000</v>
      </c>
      <c r="C4861" s="1" t="s">
        <v>4819</v>
      </c>
      <c r="D4861" s="7">
        <v>45194</v>
      </c>
      <c r="E4861" s="7">
        <v>45197</v>
      </c>
      <c r="G4861" s="1" t="s">
        <v>212</v>
      </c>
      <c r="H4861" s="8">
        <v>16587824.49</v>
      </c>
      <c r="I4861" s="8">
        <v>7303887.0700000003</v>
      </c>
      <c r="J4861" s="1">
        <f>IF(COUNTIF($C$4:C4861,C4861)=1,1,0)</f>
        <v>1</v>
      </c>
      <c r="K4861" s="1">
        <f t="shared" si="75"/>
        <v>2023</v>
      </c>
    </row>
    <row r="4862" spans="2:11" x14ac:dyDescent="0.45">
      <c r="B4862" s="1" t="s">
        <v>4000</v>
      </c>
      <c r="C4862" s="1" t="s">
        <v>4820</v>
      </c>
      <c r="D4862" s="7">
        <v>45769</v>
      </c>
      <c r="E4862" s="7">
        <v>45774</v>
      </c>
      <c r="G4862" s="1" t="s">
        <v>18</v>
      </c>
      <c r="H4862" s="8">
        <v>1396430.97</v>
      </c>
      <c r="I4862" s="8">
        <v>1041735.57</v>
      </c>
      <c r="J4862" s="1">
        <f>IF(COUNTIF($C$4:C4862,C4862)=1,1,0)</f>
        <v>1</v>
      </c>
      <c r="K4862" s="1">
        <f t="shared" si="75"/>
        <v>2025</v>
      </c>
    </row>
    <row r="4863" spans="2:11" x14ac:dyDescent="0.45">
      <c r="B4863" s="1" t="s">
        <v>4000</v>
      </c>
      <c r="C4863" s="1" t="s">
        <v>4821</v>
      </c>
      <c r="D4863" s="7">
        <v>43499</v>
      </c>
      <c r="E4863" s="7">
        <v>43517</v>
      </c>
      <c r="G4863" s="1" t="s">
        <v>212</v>
      </c>
      <c r="H4863" s="8">
        <v>3927634.23</v>
      </c>
      <c r="I4863" s="8">
        <v>2240939.98</v>
      </c>
      <c r="J4863" s="1">
        <f>IF(COUNTIF($C$4:C4863,C4863)=1,1,0)</f>
        <v>1</v>
      </c>
      <c r="K4863" s="1">
        <f t="shared" si="75"/>
        <v>2019</v>
      </c>
    </row>
    <row r="4864" spans="2:11" x14ac:dyDescent="0.45">
      <c r="B4864" s="1" t="s">
        <v>4000</v>
      </c>
      <c r="C4864" s="1" t="s">
        <v>4822</v>
      </c>
      <c r="D4864" s="7">
        <v>45189</v>
      </c>
      <c r="E4864" s="7">
        <v>45211</v>
      </c>
      <c r="G4864" s="1" t="s">
        <v>44</v>
      </c>
      <c r="H4864" s="8">
        <v>79547299.879999995</v>
      </c>
      <c r="I4864" s="8">
        <v>38171981.07</v>
      </c>
      <c r="J4864" s="1">
        <f>IF(COUNTIF($C$4:C4864,C4864)=1,1,0)</f>
        <v>1</v>
      </c>
      <c r="K4864" s="1">
        <f t="shared" si="75"/>
        <v>2023</v>
      </c>
    </row>
    <row r="4865" spans="2:11" x14ac:dyDescent="0.45">
      <c r="B4865" s="1" t="s">
        <v>4000</v>
      </c>
      <c r="C4865" s="1" t="s">
        <v>4823</v>
      </c>
      <c r="D4865" s="7">
        <v>45198</v>
      </c>
      <c r="E4865" s="7">
        <v>45226</v>
      </c>
      <c r="G4865" s="1" t="s">
        <v>1348</v>
      </c>
      <c r="H4865" s="8">
        <v>23700510.129999999</v>
      </c>
      <c r="I4865" s="8">
        <v>9420284.4900000002</v>
      </c>
      <c r="J4865" s="1">
        <f>IF(COUNTIF($C$4:C4865,C4865)=1,1,0)</f>
        <v>1</v>
      </c>
      <c r="K4865" s="1">
        <f t="shared" si="75"/>
        <v>2023</v>
      </c>
    </row>
    <row r="4866" spans="2:11" x14ac:dyDescent="0.45">
      <c r="B4866" s="1" t="s">
        <v>4000</v>
      </c>
      <c r="C4866" s="1" t="s">
        <v>4824</v>
      </c>
      <c r="D4866" s="7">
        <v>45594</v>
      </c>
      <c r="E4866" s="7">
        <v>45620</v>
      </c>
      <c r="G4866" s="1" t="s">
        <v>13</v>
      </c>
      <c r="H4866" s="8">
        <v>933315.98</v>
      </c>
      <c r="I4866" s="8">
        <v>721928.58</v>
      </c>
      <c r="J4866" s="1">
        <f>IF(COUNTIF($C$4:C4866,C4866)=1,1,0)</f>
        <v>1</v>
      </c>
      <c r="K4866" s="1">
        <f t="shared" si="75"/>
        <v>2024</v>
      </c>
    </row>
    <row r="4867" spans="2:11" x14ac:dyDescent="0.45">
      <c r="B4867" s="1" t="s">
        <v>4000</v>
      </c>
      <c r="C4867" s="1" t="s">
        <v>4825</v>
      </c>
      <c r="D4867" s="7">
        <v>43296</v>
      </c>
      <c r="E4867" s="7">
        <v>43308</v>
      </c>
      <c r="G4867" s="1" t="s">
        <v>20</v>
      </c>
      <c r="H4867" s="8">
        <v>531858.84</v>
      </c>
      <c r="I4867" s="8">
        <v>316764.68</v>
      </c>
      <c r="J4867" s="1">
        <f>IF(COUNTIF($C$4:C4867,C4867)=1,1,0)</f>
        <v>1</v>
      </c>
      <c r="K4867" s="1">
        <f t="shared" si="75"/>
        <v>2018</v>
      </c>
    </row>
    <row r="4868" spans="2:11" x14ac:dyDescent="0.45">
      <c r="B4868" s="1" t="s">
        <v>4000</v>
      </c>
      <c r="C4868" s="1" t="s">
        <v>4826</v>
      </c>
      <c r="D4868" s="7">
        <v>45616</v>
      </c>
      <c r="E4868" s="7">
        <v>45642</v>
      </c>
      <c r="G4868" s="1" t="s">
        <v>16</v>
      </c>
      <c r="H4868" s="8">
        <v>1139563.92</v>
      </c>
      <c r="I4868" s="8">
        <v>744336.48</v>
      </c>
      <c r="J4868" s="1">
        <f>IF(COUNTIF($C$4:C4868,C4868)=1,1,0)</f>
        <v>1</v>
      </c>
      <c r="K4868" s="1">
        <f t="shared" si="75"/>
        <v>2024</v>
      </c>
    </row>
    <row r="4869" spans="2:11" x14ac:dyDescent="0.45">
      <c r="B4869" s="1" t="s">
        <v>4000</v>
      </c>
      <c r="C4869" s="1" t="s">
        <v>4827</v>
      </c>
      <c r="D4869" s="7">
        <v>45398</v>
      </c>
      <c r="E4869" s="7">
        <v>45412</v>
      </c>
      <c r="G4869" s="1" t="s">
        <v>13</v>
      </c>
      <c r="H4869" s="8">
        <v>290110.78000000003</v>
      </c>
      <c r="I4869" s="8">
        <v>260519.15</v>
      </c>
      <c r="J4869" s="1">
        <f>IF(COUNTIF($C$4:C4869,C4869)=1,1,0)</f>
        <v>1</v>
      </c>
      <c r="K4869" s="1">
        <f t="shared" ref="K4869:K4932" si="76">YEAR(D4869)</f>
        <v>2024</v>
      </c>
    </row>
    <row r="4870" spans="2:11" x14ac:dyDescent="0.45">
      <c r="B4870" s="1" t="s">
        <v>4000</v>
      </c>
      <c r="C4870" s="1" t="s">
        <v>4828</v>
      </c>
      <c r="D4870" s="7">
        <v>44965</v>
      </c>
      <c r="E4870" s="7">
        <v>44975</v>
      </c>
      <c r="G4870" s="1" t="s">
        <v>41</v>
      </c>
      <c r="H4870" s="8">
        <v>940508.4</v>
      </c>
      <c r="I4870" s="8">
        <v>656645.64</v>
      </c>
      <c r="J4870" s="1">
        <f>IF(COUNTIF($C$4:C4870,C4870)=1,1,0)</f>
        <v>1</v>
      </c>
      <c r="K4870" s="1">
        <f t="shared" si="76"/>
        <v>2023</v>
      </c>
    </row>
    <row r="4871" spans="2:11" x14ac:dyDescent="0.45">
      <c r="B4871" s="1" t="s">
        <v>4000</v>
      </c>
      <c r="C4871" s="1" t="s">
        <v>4829</v>
      </c>
      <c r="D4871" s="7">
        <v>44336</v>
      </c>
      <c r="E4871" s="7">
        <v>44345</v>
      </c>
      <c r="G4871" s="1" t="s">
        <v>212</v>
      </c>
      <c r="H4871" s="8">
        <v>17596288.899999999</v>
      </c>
      <c r="I4871" s="8">
        <v>10103528.65</v>
      </c>
      <c r="J4871" s="1">
        <f>IF(COUNTIF($C$4:C4871,C4871)=1,1,0)</f>
        <v>1</v>
      </c>
      <c r="K4871" s="1">
        <f t="shared" si="76"/>
        <v>2021</v>
      </c>
    </row>
    <row r="4872" spans="2:11" x14ac:dyDescent="0.45">
      <c r="B4872" s="1" t="s">
        <v>4000</v>
      </c>
      <c r="C4872" s="1" t="s">
        <v>4830</v>
      </c>
      <c r="D4872" s="7">
        <v>43811</v>
      </c>
      <c r="E4872" s="7">
        <v>43824</v>
      </c>
      <c r="G4872" s="1" t="s">
        <v>38</v>
      </c>
      <c r="H4872" s="8">
        <v>480678.15</v>
      </c>
      <c r="I4872" s="8">
        <v>383703.01</v>
      </c>
      <c r="J4872" s="1">
        <f>IF(COUNTIF($C$4:C4872,C4872)=1,1,0)</f>
        <v>1</v>
      </c>
      <c r="K4872" s="1">
        <f t="shared" si="76"/>
        <v>2019</v>
      </c>
    </row>
    <row r="4873" spans="2:11" x14ac:dyDescent="0.45">
      <c r="B4873" s="1" t="s">
        <v>4000</v>
      </c>
      <c r="C4873" s="1" t="s">
        <v>4831</v>
      </c>
      <c r="D4873" s="7">
        <v>44744</v>
      </c>
      <c r="E4873" s="7">
        <v>44756</v>
      </c>
      <c r="G4873" s="1" t="s">
        <v>13</v>
      </c>
      <c r="H4873" s="8">
        <v>74782.61</v>
      </c>
      <c r="I4873" s="8">
        <v>60974.98</v>
      </c>
      <c r="J4873" s="1">
        <f>IF(COUNTIF($C$4:C4873,C4873)=1,1,0)</f>
        <v>1</v>
      </c>
      <c r="K4873" s="1">
        <f t="shared" si="76"/>
        <v>2022</v>
      </c>
    </row>
    <row r="4874" spans="2:11" x14ac:dyDescent="0.45">
      <c r="B4874" s="1" t="s">
        <v>4000</v>
      </c>
      <c r="C4874" s="1" t="s">
        <v>4832</v>
      </c>
      <c r="D4874" s="7">
        <v>45668</v>
      </c>
      <c r="E4874" s="7">
        <v>45689</v>
      </c>
      <c r="G4874" s="1" t="s">
        <v>38</v>
      </c>
      <c r="H4874" s="8">
        <v>117412.12</v>
      </c>
      <c r="I4874" s="8">
        <v>102024.13</v>
      </c>
      <c r="J4874" s="1">
        <f>IF(COUNTIF($C$4:C4874,C4874)=1,1,0)</f>
        <v>1</v>
      </c>
      <c r="K4874" s="1">
        <f t="shared" si="76"/>
        <v>2025</v>
      </c>
    </row>
    <row r="4875" spans="2:11" x14ac:dyDescent="0.45">
      <c r="B4875" s="1" t="s">
        <v>4000</v>
      </c>
      <c r="C4875" s="1" t="s">
        <v>4833</v>
      </c>
      <c r="D4875" s="7">
        <v>45703</v>
      </c>
      <c r="E4875" s="7">
        <v>45713</v>
      </c>
      <c r="G4875" s="1" t="s">
        <v>41</v>
      </c>
      <c r="H4875" s="8">
        <v>153307.26999999999</v>
      </c>
      <c r="I4875" s="8">
        <v>133103.82999999999</v>
      </c>
      <c r="J4875" s="1">
        <f>IF(COUNTIF($C$4:C4875,C4875)=1,1,0)</f>
        <v>1</v>
      </c>
      <c r="K4875" s="1">
        <f t="shared" si="76"/>
        <v>2025</v>
      </c>
    </row>
    <row r="4876" spans="2:11" x14ac:dyDescent="0.45">
      <c r="B4876" s="1" t="s">
        <v>4000</v>
      </c>
      <c r="C4876" s="1" t="s">
        <v>4834</v>
      </c>
      <c r="D4876" s="7">
        <v>45059</v>
      </c>
      <c r="E4876" s="7">
        <v>45085</v>
      </c>
      <c r="G4876" s="1" t="s">
        <v>16</v>
      </c>
      <c r="H4876" s="8">
        <v>1999055.71</v>
      </c>
      <c r="I4876" s="8">
        <v>1414900.13</v>
      </c>
      <c r="J4876" s="1">
        <f>IF(COUNTIF($C$4:C4876,C4876)=1,1,0)</f>
        <v>1</v>
      </c>
      <c r="K4876" s="1">
        <f t="shared" si="76"/>
        <v>2023</v>
      </c>
    </row>
    <row r="4877" spans="2:11" x14ac:dyDescent="0.45">
      <c r="B4877" s="1" t="s">
        <v>4000</v>
      </c>
      <c r="C4877" s="1" t="s">
        <v>4835</v>
      </c>
      <c r="D4877" s="7">
        <v>44037</v>
      </c>
      <c r="E4877" s="7">
        <v>44064</v>
      </c>
      <c r="G4877" s="1" t="s">
        <v>44</v>
      </c>
      <c r="H4877" s="8">
        <v>19584025.600000001</v>
      </c>
      <c r="I4877" s="8">
        <v>13120594.939999999</v>
      </c>
      <c r="J4877" s="1">
        <f>IF(COUNTIF($C$4:C4877,C4877)=1,1,0)</f>
        <v>1</v>
      </c>
      <c r="K4877" s="1">
        <f t="shared" si="76"/>
        <v>2020</v>
      </c>
    </row>
    <row r="4878" spans="2:11" x14ac:dyDescent="0.45">
      <c r="B4878" s="1" t="s">
        <v>4000</v>
      </c>
      <c r="C4878" s="1" t="s">
        <v>4836</v>
      </c>
      <c r="D4878" s="7">
        <v>45393</v>
      </c>
      <c r="E4878" s="7">
        <v>45415</v>
      </c>
      <c r="G4878" s="1" t="s">
        <v>20</v>
      </c>
      <c r="H4878" s="8">
        <v>1168905.23</v>
      </c>
      <c r="I4878" s="8">
        <v>966275.67</v>
      </c>
      <c r="J4878" s="1">
        <f>IF(COUNTIF($C$4:C4878,C4878)=1,1,0)</f>
        <v>1</v>
      </c>
      <c r="K4878" s="1">
        <f t="shared" si="76"/>
        <v>2024</v>
      </c>
    </row>
    <row r="4879" spans="2:11" x14ac:dyDescent="0.45">
      <c r="B4879" s="1" t="s">
        <v>4000</v>
      </c>
      <c r="C4879" s="1" t="s">
        <v>4613</v>
      </c>
      <c r="D4879" s="7">
        <v>45650</v>
      </c>
      <c r="E4879" s="7">
        <v>45679</v>
      </c>
      <c r="G4879" s="1" t="s">
        <v>18</v>
      </c>
      <c r="H4879" s="8">
        <v>5350454.04</v>
      </c>
      <c r="I4879" s="8">
        <v>4837238.92</v>
      </c>
      <c r="J4879" s="1">
        <f>IF(COUNTIF($C$4:C4879,C4879)=1,1,0)</f>
        <v>0</v>
      </c>
      <c r="K4879" s="1">
        <f t="shared" si="76"/>
        <v>2024</v>
      </c>
    </row>
    <row r="4880" spans="2:11" x14ac:dyDescent="0.45">
      <c r="B4880" s="1" t="s">
        <v>4000</v>
      </c>
      <c r="C4880" s="1" t="s">
        <v>4837</v>
      </c>
      <c r="D4880" s="7">
        <v>44862</v>
      </c>
      <c r="E4880" s="7">
        <v>44878</v>
      </c>
      <c r="G4880" s="1" t="s">
        <v>44</v>
      </c>
      <c r="H4880" s="8">
        <v>31895236.02</v>
      </c>
      <c r="I4880" s="8">
        <v>25486157.920000002</v>
      </c>
      <c r="J4880" s="1">
        <f>IF(COUNTIF($C$4:C4880,C4880)=1,1,0)</f>
        <v>1</v>
      </c>
      <c r="K4880" s="1">
        <f t="shared" si="76"/>
        <v>2022</v>
      </c>
    </row>
    <row r="4881" spans="2:11" x14ac:dyDescent="0.45">
      <c r="B4881" s="1" t="s">
        <v>4000</v>
      </c>
      <c r="C4881" s="1" t="s">
        <v>4838</v>
      </c>
      <c r="D4881" s="7">
        <v>45194</v>
      </c>
      <c r="E4881" s="7">
        <v>45207</v>
      </c>
      <c r="G4881" s="1" t="s">
        <v>41</v>
      </c>
      <c r="H4881" s="8">
        <v>183965.34</v>
      </c>
      <c r="I4881" s="8">
        <v>140236.81</v>
      </c>
      <c r="J4881" s="1">
        <f>IF(COUNTIF($C$4:C4881,C4881)=1,1,0)</f>
        <v>1</v>
      </c>
      <c r="K4881" s="1">
        <f t="shared" si="76"/>
        <v>2023</v>
      </c>
    </row>
    <row r="4882" spans="2:11" x14ac:dyDescent="0.45">
      <c r="B4882" s="1" t="s">
        <v>4000</v>
      </c>
      <c r="C4882" s="1" t="s">
        <v>4839</v>
      </c>
      <c r="D4882" s="7">
        <v>44989</v>
      </c>
      <c r="E4882" s="7">
        <v>45000</v>
      </c>
      <c r="G4882" s="1" t="s">
        <v>1348</v>
      </c>
      <c r="H4882" s="8">
        <v>24961852.5</v>
      </c>
      <c r="I4882" s="8">
        <v>17181045.550000001</v>
      </c>
      <c r="J4882" s="1">
        <f>IF(COUNTIF($C$4:C4882,C4882)=1,1,0)</f>
        <v>1</v>
      </c>
      <c r="K4882" s="1">
        <f t="shared" si="76"/>
        <v>2023</v>
      </c>
    </row>
    <row r="4883" spans="2:11" x14ac:dyDescent="0.45">
      <c r="B4883" s="1" t="s">
        <v>4000</v>
      </c>
      <c r="C4883" s="1" t="s">
        <v>4840</v>
      </c>
      <c r="D4883" s="7">
        <v>45158</v>
      </c>
      <c r="E4883" s="7">
        <v>45180</v>
      </c>
      <c r="G4883" s="1" t="s">
        <v>44</v>
      </c>
      <c r="H4883" s="8">
        <v>97589316.5</v>
      </c>
      <c r="I4883" s="8">
        <v>69000935.079999998</v>
      </c>
      <c r="J4883" s="1">
        <f>IF(COUNTIF($C$4:C4883,C4883)=1,1,0)</f>
        <v>1</v>
      </c>
      <c r="K4883" s="1">
        <f t="shared" si="76"/>
        <v>2023</v>
      </c>
    </row>
    <row r="4884" spans="2:11" x14ac:dyDescent="0.45">
      <c r="B4884" s="1" t="s">
        <v>4000</v>
      </c>
      <c r="C4884" s="1" t="s">
        <v>4841</v>
      </c>
      <c r="D4884" s="7">
        <v>43367</v>
      </c>
      <c r="E4884" s="7">
        <v>43395</v>
      </c>
      <c r="G4884" s="1" t="s">
        <v>212</v>
      </c>
      <c r="H4884" s="8">
        <v>19910942.640000001</v>
      </c>
      <c r="I4884" s="8">
        <v>14331932.050000001</v>
      </c>
      <c r="J4884" s="1">
        <f>IF(COUNTIF($C$4:C4884,C4884)=1,1,0)</f>
        <v>1</v>
      </c>
      <c r="K4884" s="1">
        <f t="shared" si="76"/>
        <v>2018</v>
      </c>
    </row>
    <row r="4885" spans="2:11" x14ac:dyDescent="0.45">
      <c r="B4885" s="1" t="s">
        <v>4000</v>
      </c>
      <c r="C4885" s="1" t="s">
        <v>4613</v>
      </c>
      <c r="D4885" s="7">
        <v>43681</v>
      </c>
      <c r="E4885" s="7">
        <v>43683</v>
      </c>
      <c r="G4885" s="1" t="s">
        <v>18</v>
      </c>
      <c r="H4885" s="8">
        <v>13398453.92</v>
      </c>
      <c r="I4885" s="8">
        <v>11789995.99</v>
      </c>
      <c r="J4885" s="1">
        <f>IF(COUNTIF($C$4:C4885,C4885)=1,1,0)</f>
        <v>0</v>
      </c>
      <c r="K4885" s="1">
        <f t="shared" si="76"/>
        <v>2019</v>
      </c>
    </row>
    <row r="4886" spans="2:11" x14ac:dyDescent="0.45">
      <c r="B4886" s="1" t="s">
        <v>4000</v>
      </c>
      <c r="C4886" s="1" t="s">
        <v>4842</v>
      </c>
      <c r="D4886" s="7">
        <v>45972</v>
      </c>
      <c r="E4886" s="7">
        <v>45975</v>
      </c>
      <c r="G4886" s="1" t="s">
        <v>1348</v>
      </c>
      <c r="H4886" s="8">
        <v>9721177.7300000004</v>
      </c>
      <c r="I4886" s="8">
        <v>7542418.5099999998</v>
      </c>
      <c r="J4886" s="1">
        <f>IF(COUNTIF($C$4:C4886,C4886)=1,1,0)</f>
        <v>1</v>
      </c>
      <c r="K4886" s="1">
        <f t="shared" si="76"/>
        <v>2025</v>
      </c>
    </row>
    <row r="4887" spans="2:11" x14ac:dyDescent="0.45">
      <c r="B4887" s="1" t="s">
        <v>4000</v>
      </c>
      <c r="C4887" s="1" t="s">
        <v>4843</v>
      </c>
      <c r="D4887" s="7">
        <v>44968</v>
      </c>
      <c r="E4887" s="7">
        <v>44979</v>
      </c>
      <c r="G4887" s="1" t="s">
        <v>13</v>
      </c>
      <c r="H4887" s="8">
        <v>115793.68</v>
      </c>
      <c r="I4887" s="8">
        <v>91287.28</v>
      </c>
      <c r="J4887" s="1">
        <f>IF(COUNTIF($C$4:C4887,C4887)=1,1,0)</f>
        <v>1</v>
      </c>
      <c r="K4887" s="1">
        <f t="shared" si="76"/>
        <v>2023</v>
      </c>
    </row>
    <row r="4888" spans="2:11" x14ac:dyDescent="0.45">
      <c r="B4888" s="1" t="s">
        <v>4000</v>
      </c>
      <c r="C4888" s="1" t="s">
        <v>4844</v>
      </c>
      <c r="D4888" s="7">
        <v>43758</v>
      </c>
      <c r="E4888" s="7">
        <v>43782</v>
      </c>
      <c r="G4888" s="1" t="s">
        <v>13</v>
      </c>
      <c r="H4888" s="8">
        <v>369085.12</v>
      </c>
      <c r="I4888" s="8">
        <v>313188.68</v>
      </c>
      <c r="J4888" s="1">
        <f>IF(COUNTIF($C$4:C4888,C4888)=1,1,0)</f>
        <v>1</v>
      </c>
      <c r="K4888" s="1">
        <f t="shared" si="76"/>
        <v>2019</v>
      </c>
    </row>
    <row r="4889" spans="2:11" x14ac:dyDescent="0.45">
      <c r="B4889" s="1" t="s">
        <v>4000</v>
      </c>
      <c r="C4889" s="1" t="s">
        <v>4845</v>
      </c>
      <c r="D4889" s="7">
        <v>43578</v>
      </c>
      <c r="E4889" s="7">
        <v>43606</v>
      </c>
      <c r="G4889" s="1" t="s">
        <v>16</v>
      </c>
      <c r="H4889" s="8">
        <v>6056720.1500000004</v>
      </c>
      <c r="I4889" s="8">
        <v>3747544.7</v>
      </c>
      <c r="J4889" s="1">
        <f>IF(COUNTIF($C$4:C4889,C4889)=1,1,0)</f>
        <v>1</v>
      </c>
      <c r="K4889" s="1">
        <f t="shared" si="76"/>
        <v>2019</v>
      </c>
    </row>
    <row r="4890" spans="2:11" x14ac:dyDescent="0.45">
      <c r="B4890" s="1" t="s">
        <v>4000</v>
      </c>
      <c r="C4890" s="1" t="s">
        <v>4846</v>
      </c>
      <c r="D4890" s="7">
        <v>44751</v>
      </c>
      <c r="E4890" s="7">
        <v>44774</v>
      </c>
      <c r="G4890" s="1" t="s">
        <v>41</v>
      </c>
      <c r="H4890" s="8">
        <v>48169.21</v>
      </c>
      <c r="I4890" s="8">
        <v>38862.04</v>
      </c>
      <c r="J4890" s="1">
        <f>IF(COUNTIF($C$4:C4890,C4890)=1,1,0)</f>
        <v>1</v>
      </c>
      <c r="K4890" s="1">
        <f t="shared" si="76"/>
        <v>2022</v>
      </c>
    </row>
    <row r="4891" spans="2:11" x14ac:dyDescent="0.45">
      <c r="B4891" s="1" t="s">
        <v>4000</v>
      </c>
      <c r="C4891" s="1" t="s">
        <v>4847</v>
      </c>
      <c r="D4891" s="7">
        <v>45120</v>
      </c>
      <c r="E4891" s="7">
        <v>45128</v>
      </c>
      <c r="G4891" s="1" t="s">
        <v>16</v>
      </c>
      <c r="H4891" s="8">
        <v>1707735.97</v>
      </c>
      <c r="I4891" s="8">
        <v>1090328.69</v>
      </c>
      <c r="J4891" s="1">
        <f>IF(COUNTIF($C$4:C4891,C4891)=1,1,0)</f>
        <v>1</v>
      </c>
      <c r="K4891" s="1">
        <f t="shared" si="76"/>
        <v>2023</v>
      </c>
    </row>
    <row r="4892" spans="2:11" x14ac:dyDescent="0.45">
      <c r="B4892" s="1" t="s">
        <v>4000</v>
      </c>
      <c r="C4892" s="1" t="s">
        <v>4848</v>
      </c>
      <c r="D4892" s="7">
        <v>45646</v>
      </c>
      <c r="E4892" s="7">
        <v>45668</v>
      </c>
      <c r="G4892" s="1" t="s">
        <v>44</v>
      </c>
      <c r="H4892" s="8">
        <v>268245484.63999999</v>
      </c>
      <c r="I4892" s="8">
        <v>109198451.66</v>
      </c>
      <c r="J4892" s="1">
        <f>IF(COUNTIF($C$4:C4892,C4892)=1,1,0)</f>
        <v>1</v>
      </c>
      <c r="K4892" s="1">
        <f t="shared" si="76"/>
        <v>2024</v>
      </c>
    </row>
    <row r="4893" spans="2:11" x14ac:dyDescent="0.45">
      <c r="B4893" s="1" t="s">
        <v>4000</v>
      </c>
      <c r="C4893" s="1" t="s">
        <v>4849</v>
      </c>
      <c r="D4893" s="7">
        <v>45421</v>
      </c>
      <c r="E4893" s="7">
        <v>45449</v>
      </c>
      <c r="G4893" s="1" t="s">
        <v>13</v>
      </c>
      <c r="H4893" s="8">
        <v>188603.01</v>
      </c>
      <c r="I4893" s="8">
        <v>141965.16</v>
      </c>
      <c r="J4893" s="1">
        <f>IF(COUNTIF($C$4:C4893,C4893)=1,1,0)</f>
        <v>1</v>
      </c>
      <c r="K4893" s="1">
        <f t="shared" si="76"/>
        <v>2024</v>
      </c>
    </row>
    <row r="4894" spans="2:11" x14ac:dyDescent="0.45">
      <c r="B4894" s="1" t="s">
        <v>4000</v>
      </c>
      <c r="C4894" s="1" t="s">
        <v>4850</v>
      </c>
      <c r="D4894" s="7">
        <v>44379</v>
      </c>
      <c r="E4894" s="7">
        <v>44380</v>
      </c>
      <c r="G4894" s="1" t="s">
        <v>41</v>
      </c>
      <c r="H4894" s="8">
        <v>186593.55</v>
      </c>
      <c r="I4894" s="8">
        <v>140240.13</v>
      </c>
      <c r="J4894" s="1">
        <f>IF(COUNTIF($C$4:C4894,C4894)=1,1,0)</f>
        <v>1</v>
      </c>
      <c r="K4894" s="1">
        <f t="shared" si="76"/>
        <v>2021</v>
      </c>
    </row>
    <row r="4895" spans="2:11" x14ac:dyDescent="0.45">
      <c r="B4895" s="1" t="s">
        <v>4000</v>
      </c>
      <c r="C4895" s="1" t="s">
        <v>4851</v>
      </c>
      <c r="D4895" s="7">
        <v>45271</v>
      </c>
      <c r="E4895" s="7">
        <v>45279</v>
      </c>
      <c r="G4895" s="1" t="s">
        <v>212</v>
      </c>
      <c r="H4895" s="8">
        <v>8800143.7599999998</v>
      </c>
      <c r="I4895" s="8">
        <v>3888681.7</v>
      </c>
      <c r="J4895" s="1">
        <f>IF(COUNTIF($C$4:C4895,C4895)=1,1,0)</f>
        <v>1</v>
      </c>
      <c r="K4895" s="1">
        <f t="shared" si="76"/>
        <v>2023</v>
      </c>
    </row>
    <row r="4896" spans="2:11" x14ac:dyDescent="0.45">
      <c r="B4896" s="1" t="s">
        <v>4000</v>
      </c>
      <c r="C4896" s="1" t="s">
        <v>4852</v>
      </c>
      <c r="D4896" s="7">
        <v>46042</v>
      </c>
      <c r="E4896" s="7">
        <v>46050</v>
      </c>
      <c r="G4896" s="1" t="s">
        <v>44</v>
      </c>
      <c r="H4896" s="8">
        <v>47377271.520000003</v>
      </c>
      <c r="I4896" s="8">
        <v>26081555.66</v>
      </c>
      <c r="J4896" s="1">
        <f>IF(COUNTIF($C$4:C4896,C4896)=1,1,0)</f>
        <v>1</v>
      </c>
      <c r="K4896" s="1">
        <f t="shared" si="76"/>
        <v>2026</v>
      </c>
    </row>
    <row r="4897" spans="2:11" x14ac:dyDescent="0.45">
      <c r="B4897" s="1" t="s">
        <v>4000</v>
      </c>
      <c r="C4897" s="1" t="s">
        <v>4853</v>
      </c>
      <c r="D4897" s="7">
        <v>44035</v>
      </c>
      <c r="E4897" s="7">
        <v>44056</v>
      </c>
      <c r="G4897" s="1" t="s">
        <v>20</v>
      </c>
      <c r="H4897" s="8">
        <v>729247.83</v>
      </c>
      <c r="I4897" s="8">
        <v>599642.43000000005</v>
      </c>
      <c r="J4897" s="1">
        <f>IF(COUNTIF($C$4:C4897,C4897)=1,1,0)</f>
        <v>1</v>
      </c>
      <c r="K4897" s="1">
        <f t="shared" si="76"/>
        <v>2020</v>
      </c>
    </row>
    <row r="4898" spans="2:11" x14ac:dyDescent="0.45">
      <c r="B4898" s="1" t="s">
        <v>4000</v>
      </c>
      <c r="C4898" s="1" t="s">
        <v>4854</v>
      </c>
      <c r="D4898" s="7">
        <v>44309</v>
      </c>
      <c r="E4898" s="7">
        <v>44324</v>
      </c>
      <c r="G4898" s="1" t="s">
        <v>212</v>
      </c>
      <c r="H4898" s="8">
        <v>11276725.289999999</v>
      </c>
      <c r="I4898" s="8">
        <v>5920367.4299999997</v>
      </c>
      <c r="J4898" s="1">
        <f>IF(COUNTIF($C$4:C4898,C4898)=1,1,0)</f>
        <v>1</v>
      </c>
      <c r="K4898" s="1">
        <f t="shared" si="76"/>
        <v>2021</v>
      </c>
    </row>
    <row r="4899" spans="2:11" x14ac:dyDescent="0.45">
      <c r="B4899" s="1" t="s">
        <v>4000</v>
      </c>
      <c r="C4899" s="1" t="s">
        <v>4613</v>
      </c>
      <c r="D4899" s="7">
        <v>45365</v>
      </c>
      <c r="E4899" s="7">
        <v>45370</v>
      </c>
      <c r="G4899" s="1" t="s">
        <v>18</v>
      </c>
      <c r="H4899" s="8">
        <v>1609927.88</v>
      </c>
      <c r="I4899" s="8">
        <v>1355316.89</v>
      </c>
      <c r="J4899" s="1">
        <f>IF(COUNTIF($C$4:C4899,C4899)=1,1,0)</f>
        <v>0</v>
      </c>
      <c r="K4899" s="1">
        <f t="shared" si="76"/>
        <v>2024</v>
      </c>
    </row>
    <row r="4900" spans="2:11" x14ac:dyDescent="0.45">
      <c r="B4900" s="1" t="s">
        <v>4000</v>
      </c>
      <c r="C4900" s="1" t="s">
        <v>4855</v>
      </c>
      <c r="D4900" s="7">
        <v>45448</v>
      </c>
      <c r="E4900" s="7">
        <v>45460</v>
      </c>
      <c r="G4900" s="1" t="s">
        <v>38</v>
      </c>
      <c r="H4900" s="8">
        <v>1018008.32</v>
      </c>
      <c r="I4900" s="8">
        <v>734505.35</v>
      </c>
      <c r="J4900" s="1">
        <f>IF(COUNTIF($C$4:C4900,C4900)=1,1,0)</f>
        <v>1</v>
      </c>
      <c r="K4900" s="1">
        <f t="shared" si="76"/>
        <v>2024</v>
      </c>
    </row>
    <row r="4901" spans="2:11" x14ac:dyDescent="0.45">
      <c r="B4901" s="1" t="s">
        <v>4000</v>
      </c>
      <c r="C4901" s="1" t="s">
        <v>4856</v>
      </c>
      <c r="D4901" s="7">
        <v>44177</v>
      </c>
      <c r="E4901" s="7">
        <v>44188</v>
      </c>
      <c r="G4901" s="1" t="s">
        <v>22</v>
      </c>
      <c r="H4901" s="8">
        <v>6024046.3200000003</v>
      </c>
      <c r="I4901" s="8">
        <v>4604351.3499999996</v>
      </c>
      <c r="J4901" s="1">
        <f>IF(COUNTIF($C$4:C4901,C4901)=1,1,0)</f>
        <v>1</v>
      </c>
      <c r="K4901" s="1">
        <f t="shared" si="76"/>
        <v>2020</v>
      </c>
    </row>
    <row r="4902" spans="2:11" x14ac:dyDescent="0.45">
      <c r="B4902" s="1" t="s">
        <v>4000</v>
      </c>
      <c r="C4902" s="1" t="s">
        <v>4857</v>
      </c>
      <c r="D4902" s="7">
        <v>43693</v>
      </c>
      <c r="E4902" s="7">
        <v>43696</v>
      </c>
      <c r="G4902" s="1" t="s">
        <v>20</v>
      </c>
      <c r="H4902" s="8">
        <v>206729.60000000001</v>
      </c>
      <c r="I4902" s="8">
        <v>159205.32</v>
      </c>
      <c r="J4902" s="1">
        <f>IF(COUNTIF($C$4:C4902,C4902)=1,1,0)</f>
        <v>1</v>
      </c>
      <c r="K4902" s="1">
        <f t="shared" si="76"/>
        <v>2019</v>
      </c>
    </row>
    <row r="4903" spans="2:11" x14ac:dyDescent="0.45">
      <c r="B4903" s="1" t="s">
        <v>4000</v>
      </c>
      <c r="C4903" s="1" t="s">
        <v>4858</v>
      </c>
      <c r="D4903" s="7">
        <v>44545</v>
      </c>
      <c r="E4903" s="7">
        <v>44551</v>
      </c>
      <c r="G4903" s="1" t="s">
        <v>22</v>
      </c>
      <c r="H4903" s="8">
        <v>8296745.2400000002</v>
      </c>
      <c r="I4903" s="8">
        <v>4912245.5999999996</v>
      </c>
      <c r="J4903" s="1">
        <f>IF(COUNTIF($C$4:C4903,C4903)=1,1,0)</f>
        <v>1</v>
      </c>
      <c r="K4903" s="1">
        <f t="shared" si="76"/>
        <v>2021</v>
      </c>
    </row>
    <row r="4904" spans="2:11" x14ac:dyDescent="0.45">
      <c r="B4904" s="1" t="s">
        <v>4000</v>
      </c>
      <c r="C4904" s="1" t="s">
        <v>4859</v>
      </c>
      <c r="D4904" s="7">
        <v>44523</v>
      </c>
      <c r="E4904" s="7">
        <v>44526</v>
      </c>
      <c r="G4904" s="1" t="s">
        <v>41</v>
      </c>
      <c r="H4904" s="8">
        <v>363365.6</v>
      </c>
      <c r="I4904" s="8">
        <v>308260.83</v>
      </c>
      <c r="J4904" s="1">
        <f>IF(COUNTIF($C$4:C4904,C4904)=1,1,0)</f>
        <v>1</v>
      </c>
      <c r="K4904" s="1">
        <f t="shared" si="76"/>
        <v>2021</v>
      </c>
    </row>
    <row r="4905" spans="2:11" x14ac:dyDescent="0.45">
      <c r="B4905" s="1" t="s">
        <v>4000</v>
      </c>
      <c r="C4905" s="1" t="s">
        <v>4860</v>
      </c>
      <c r="D4905" s="7">
        <v>45907</v>
      </c>
      <c r="E4905" s="7">
        <v>45924</v>
      </c>
      <c r="G4905" s="1" t="s">
        <v>13</v>
      </c>
      <c r="H4905" s="8">
        <v>241661.37</v>
      </c>
      <c r="I4905" s="8">
        <v>177484.99</v>
      </c>
      <c r="J4905" s="1">
        <f>IF(COUNTIF($C$4:C4905,C4905)=1,1,0)</f>
        <v>1</v>
      </c>
      <c r="K4905" s="1">
        <f t="shared" si="76"/>
        <v>2025</v>
      </c>
    </row>
    <row r="4906" spans="2:11" x14ac:dyDescent="0.45">
      <c r="B4906" s="1" t="s">
        <v>4000</v>
      </c>
      <c r="C4906" s="1" t="s">
        <v>4861</v>
      </c>
      <c r="D4906" s="7">
        <v>44485</v>
      </c>
      <c r="E4906" s="7">
        <v>44488</v>
      </c>
      <c r="G4906" s="1" t="s">
        <v>38</v>
      </c>
      <c r="H4906" s="8">
        <v>209150.05</v>
      </c>
      <c r="I4906" s="8">
        <v>160413.54</v>
      </c>
      <c r="J4906" s="1">
        <f>IF(COUNTIF($C$4:C4906,C4906)=1,1,0)</f>
        <v>1</v>
      </c>
      <c r="K4906" s="1">
        <f t="shared" si="76"/>
        <v>2021</v>
      </c>
    </row>
    <row r="4907" spans="2:11" x14ac:dyDescent="0.45">
      <c r="B4907" s="1" t="s">
        <v>4000</v>
      </c>
      <c r="C4907" s="1" t="s">
        <v>4862</v>
      </c>
      <c r="D4907" s="7">
        <v>45445</v>
      </c>
      <c r="E4907" s="7">
        <v>45473</v>
      </c>
      <c r="G4907" s="1" t="s">
        <v>44</v>
      </c>
      <c r="H4907" s="8">
        <v>117284994.83</v>
      </c>
      <c r="I4907" s="8">
        <v>67423780.379999995</v>
      </c>
      <c r="J4907" s="1">
        <f>IF(COUNTIF($C$4:C4907,C4907)=1,1,0)</f>
        <v>1</v>
      </c>
      <c r="K4907" s="1">
        <f t="shared" si="76"/>
        <v>2024</v>
      </c>
    </row>
    <row r="4908" spans="2:11" x14ac:dyDescent="0.45">
      <c r="B4908" s="1" t="s">
        <v>4000</v>
      </c>
      <c r="C4908" s="1" t="s">
        <v>4863</v>
      </c>
      <c r="D4908" s="7">
        <v>45667</v>
      </c>
      <c r="E4908" s="7">
        <v>45672</v>
      </c>
      <c r="G4908" s="1" t="s">
        <v>41</v>
      </c>
      <c r="H4908" s="8">
        <v>130225.39</v>
      </c>
      <c r="I4908" s="8">
        <v>114977.84</v>
      </c>
      <c r="J4908" s="1">
        <f>IF(COUNTIF($C$4:C4908,C4908)=1,1,0)</f>
        <v>1</v>
      </c>
      <c r="K4908" s="1">
        <f t="shared" si="76"/>
        <v>2025</v>
      </c>
    </row>
    <row r="4909" spans="2:11" x14ac:dyDescent="0.45">
      <c r="B4909" s="1" t="s">
        <v>4000</v>
      </c>
      <c r="C4909" s="1" t="s">
        <v>4864</v>
      </c>
      <c r="D4909" s="7">
        <v>43534</v>
      </c>
      <c r="E4909" s="7">
        <v>43540</v>
      </c>
      <c r="G4909" s="1" t="s">
        <v>41</v>
      </c>
      <c r="H4909" s="8">
        <v>748326</v>
      </c>
      <c r="I4909" s="8">
        <v>645762.27</v>
      </c>
      <c r="J4909" s="1">
        <f>IF(COUNTIF($C$4:C4909,C4909)=1,1,0)</f>
        <v>1</v>
      </c>
      <c r="K4909" s="1">
        <f t="shared" si="76"/>
        <v>2019</v>
      </c>
    </row>
    <row r="4910" spans="2:11" x14ac:dyDescent="0.45">
      <c r="B4910" s="1" t="s">
        <v>4000</v>
      </c>
      <c r="C4910" s="1" t="s">
        <v>4865</v>
      </c>
      <c r="D4910" s="7">
        <v>43523</v>
      </c>
      <c r="E4910" s="7">
        <v>43544</v>
      </c>
      <c r="G4910" s="1" t="s">
        <v>22</v>
      </c>
      <c r="H4910" s="8">
        <v>13396105.84</v>
      </c>
      <c r="I4910" s="8">
        <v>5962233.7699999996</v>
      </c>
      <c r="J4910" s="1">
        <f>IF(COUNTIF($C$4:C4910,C4910)=1,1,0)</f>
        <v>1</v>
      </c>
      <c r="K4910" s="1">
        <f t="shared" si="76"/>
        <v>2019</v>
      </c>
    </row>
    <row r="4911" spans="2:11" x14ac:dyDescent="0.45">
      <c r="B4911" s="1" t="s">
        <v>4000</v>
      </c>
      <c r="C4911" s="1" t="s">
        <v>4866</v>
      </c>
      <c r="D4911" s="7">
        <v>43697</v>
      </c>
      <c r="E4911" s="7">
        <v>43727</v>
      </c>
      <c r="G4911" s="1" t="s">
        <v>22</v>
      </c>
      <c r="H4911" s="8">
        <v>1774887.16</v>
      </c>
      <c r="I4911" s="8">
        <v>585397.17000000004</v>
      </c>
      <c r="J4911" s="1">
        <f>IF(COUNTIF($C$4:C4911,C4911)=1,1,0)</f>
        <v>1</v>
      </c>
      <c r="K4911" s="1">
        <f t="shared" si="76"/>
        <v>2019</v>
      </c>
    </row>
    <row r="4912" spans="2:11" x14ac:dyDescent="0.45">
      <c r="B4912" s="1" t="s">
        <v>4000</v>
      </c>
      <c r="C4912" s="1" t="s">
        <v>4867</v>
      </c>
      <c r="D4912" s="7">
        <v>44124</v>
      </c>
      <c r="E4912" s="7">
        <v>44139</v>
      </c>
      <c r="G4912" s="1" t="s">
        <v>22</v>
      </c>
      <c r="H4912" s="8">
        <v>48370979.399999999</v>
      </c>
      <c r="I4912" s="8">
        <v>29660873.489999998</v>
      </c>
      <c r="J4912" s="1">
        <f>IF(COUNTIF($C$4:C4912,C4912)=1,1,0)</f>
        <v>1</v>
      </c>
      <c r="K4912" s="1">
        <f t="shared" si="76"/>
        <v>2020</v>
      </c>
    </row>
    <row r="4913" spans="2:11" x14ac:dyDescent="0.45">
      <c r="B4913" s="1" t="s">
        <v>4000</v>
      </c>
      <c r="C4913" s="1" t="s">
        <v>4346</v>
      </c>
      <c r="D4913" s="7">
        <v>43862</v>
      </c>
      <c r="E4913" s="7">
        <v>43887</v>
      </c>
      <c r="G4913" s="1" t="s">
        <v>18</v>
      </c>
      <c r="H4913" s="8">
        <v>5262040.54</v>
      </c>
      <c r="I4913" s="8">
        <v>4574575.75</v>
      </c>
      <c r="J4913" s="1">
        <f>IF(COUNTIF($C$4:C4913,C4913)=1,1,0)</f>
        <v>0</v>
      </c>
      <c r="K4913" s="1">
        <f t="shared" si="76"/>
        <v>2020</v>
      </c>
    </row>
    <row r="4914" spans="2:11" x14ac:dyDescent="0.45">
      <c r="B4914" s="1" t="s">
        <v>4000</v>
      </c>
      <c r="C4914" s="1" t="s">
        <v>4868</v>
      </c>
      <c r="D4914" s="7">
        <v>44353</v>
      </c>
      <c r="E4914" s="7">
        <v>44363</v>
      </c>
      <c r="G4914" s="1" t="s">
        <v>212</v>
      </c>
      <c r="H4914" s="8">
        <v>10996722.68</v>
      </c>
      <c r="I4914" s="8">
        <v>6359010.4000000004</v>
      </c>
      <c r="J4914" s="1">
        <f>IF(COUNTIF($C$4:C4914,C4914)=1,1,0)</f>
        <v>1</v>
      </c>
      <c r="K4914" s="1">
        <f t="shared" si="76"/>
        <v>2021</v>
      </c>
    </row>
    <row r="4915" spans="2:11" x14ac:dyDescent="0.45">
      <c r="B4915" s="1" t="s">
        <v>4000</v>
      </c>
      <c r="C4915" s="1" t="s">
        <v>4869</v>
      </c>
      <c r="D4915" s="7">
        <v>44249</v>
      </c>
      <c r="E4915" s="7">
        <v>44272</v>
      </c>
      <c r="G4915" s="1" t="s">
        <v>44</v>
      </c>
      <c r="H4915" s="8">
        <v>80093119.700000003</v>
      </c>
      <c r="I4915" s="8">
        <v>54854294.57</v>
      </c>
      <c r="J4915" s="1">
        <f>IF(COUNTIF($C$4:C4915,C4915)=1,1,0)</f>
        <v>1</v>
      </c>
      <c r="K4915" s="1">
        <f t="shared" si="76"/>
        <v>2021</v>
      </c>
    </row>
    <row r="4916" spans="2:11" x14ac:dyDescent="0.45">
      <c r="B4916" s="1" t="s">
        <v>4000</v>
      </c>
      <c r="C4916" s="1" t="s">
        <v>4870</v>
      </c>
      <c r="D4916" s="7">
        <v>44699</v>
      </c>
      <c r="E4916" s="7">
        <v>44709</v>
      </c>
      <c r="G4916" s="1" t="s">
        <v>41</v>
      </c>
      <c r="H4916" s="8">
        <v>429404.58</v>
      </c>
      <c r="I4916" s="8">
        <v>312996.3</v>
      </c>
      <c r="J4916" s="1">
        <f>IF(COUNTIF($C$4:C4916,C4916)=1,1,0)</f>
        <v>1</v>
      </c>
      <c r="K4916" s="1">
        <f t="shared" si="76"/>
        <v>2022</v>
      </c>
    </row>
    <row r="4917" spans="2:11" x14ac:dyDescent="0.45">
      <c r="B4917" s="1" t="s">
        <v>4000</v>
      </c>
      <c r="C4917" s="1" t="s">
        <v>4871</v>
      </c>
      <c r="D4917" s="7">
        <v>44477</v>
      </c>
      <c r="E4917" s="7">
        <v>44488</v>
      </c>
      <c r="G4917" s="1" t="s">
        <v>44</v>
      </c>
      <c r="H4917" s="8">
        <v>27344177.420000002</v>
      </c>
      <c r="I4917" s="8">
        <v>21259453.199999999</v>
      </c>
      <c r="J4917" s="1">
        <f>IF(COUNTIF($C$4:C4917,C4917)=1,1,0)</f>
        <v>1</v>
      </c>
      <c r="K4917" s="1">
        <f t="shared" si="76"/>
        <v>2021</v>
      </c>
    </row>
    <row r="4918" spans="2:11" x14ac:dyDescent="0.45">
      <c r="B4918" s="1" t="s">
        <v>4000</v>
      </c>
      <c r="C4918" s="1" t="s">
        <v>4872</v>
      </c>
      <c r="D4918" s="7">
        <v>43451</v>
      </c>
      <c r="E4918" s="7">
        <v>43477</v>
      </c>
      <c r="G4918" s="1" t="s">
        <v>16</v>
      </c>
      <c r="H4918" s="8">
        <v>477623.54</v>
      </c>
      <c r="I4918" s="8">
        <v>329837.71000000002</v>
      </c>
      <c r="J4918" s="1">
        <f>IF(COUNTIF($C$4:C4918,C4918)=1,1,0)</f>
        <v>1</v>
      </c>
      <c r="K4918" s="1">
        <f t="shared" si="76"/>
        <v>2018</v>
      </c>
    </row>
    <row r="4919" spans="2:11" x14ac:dyDescent="0.45">
      <c r="B4919" s="1" t="s">
        <v>4000</v>
      </c>
      <c r="C4919" s="1" t="s">
        <v>4873</v>
      </c>
      <c r="D4919" s="7">
        <v>44287</v>
      </c>
      <c r="E4919" s="7">
        <v>44296</v>
      </c>
      <c r="G4919" s="1" t="s">
        <v>18</v>
      </c>
      <c r="H4919" s="8">
        <v>1012245.87</v>
      </c>
      <c r="I4919" s="8">
        <v>797974.04</v>
      </c>
      <c r="J4919" s="1">
        <f>IF(COUNTIF($C$4:C4919,C4919)=1,1,0)</f>
        <v>1</v>
      </c>
      <c r="K4919" s="1">
        <f t="shared" si="76"/>
        <v>2021</v>
      </c>
    </row>
    <row r="4920" spans="2:11" x14ac:dyDescent="0.45">
      <c r="B4920" s="1" t="s">
        <v>4000</v>
      </c>
      <c r="C4920" s="1" t="s">
        <v>4874</v>
      </c>
      <c r="D4920" s="7">
        <v>43826</v>
      </c>
      <c r="E4920" s="7">
        <v>43855</v>
      </c>
      <c r="G4920" s="1" t="s">
        <v>13</v>
      </c>
      <c r="H4920" s="8">
        <v>195541.21</v>
      </c>
      <c r="I4920" s="8">
        <v>175093</v>
      </c>
      <c r="J4920" s="1">
        <f>IF(COUNTIF($C$4:C4920,C4920)=1,1,0)</f>
        <v>1</v>
      </c>
      <c r="K4920" s="1">
        <f t="shared" si="76"/>
        <v>2019</v>
      </c>
    </row>
    <row r="4921" spans="2:11" x14ac:dyDescent="0.45">
      <c r="B4921" s="1" t="s">
        <v>4000</v>
      </c>
      <c r="C4921" s="1" t="s">
        <v>4875</v>
      </c>
      <c r="D4921" s="7">
        <v>45058</v>
      </c>
      <c r="E4921" s="7">
        <v>45072</v>
      </c>
      <c r="G4921" s="1" t="s">
        <v>212</v>
      </c>
      <c r="H4921" s="8">
        <v>1534640.37</v>
      </c>
      <c r="I4921" s="8">
        <v>592052.31000000006</v>
      </c>
      <c r="J4921" s="1">
        <f>IF(COUNTIF($C$4:C4921,C4921)=1,1,0)</f>
        <v>1</v>
      </c>
      <c r="K4921" s="1">
        <f t="shared" si="76"/>
        <v>2023</v>
      </c>
    </row>
    <row r="4922" spans="2:11" x14ac:dyDescent="0.45">
      <c r="B4922" s="1" t="s">
        <v>4000</v>
      </c>
      <c r="C4922" s="1" t="s">
        <v>4876</v>
      </c>
      <c r="D4922" s="7">
        <v>43124</v>
      </c>
      <c r="E4922" s="7">
        <v>43143</v>
      </c>
      <c r="G4922" s="1" t="s">
        <v>38</v>
      </c>
      <c r="H4922" s="8">
        <v>26747.33</v>
      </c>
      <c r="I4922" s="8">
        <v>22984.36</v>
      </c>
      <c r="J4922" s="1">
        <f>IF(COUNTIF($C$4:C4922,C4922)=1,1,0)</f>
        <v>1</v>
      </c>
      <c r="K4922" s="1">
        <f t="shared" si="76"/>
        <v>2018</v>
      </c>
    </row>
    <row r="4923" spans="2:11" x14ac:dyDescent="0.45">
      <c r="B4923" s="1" t="s">
        <v>4000</v>
      </c>
      <c r="C4923" s="1" t="s">
        <v>4877</v>
      </c>
      <c r="D4923" s="7">
        <v>43293</v>
      </c>
      <c r="E4923" s="7">
        <v>43308</v>
      </c>
      <c r="G4923" s="1" t="s">
        <v>20</v>
      </c>
      <c r="H4923" s="8">
        <v>495430.31</v>
      </c>
      <c r="I4923" s="8">
        <v>310652.90000000002</v>
      </c>
      <c r="J4923" s="1">
        <f>IF(COUNTIF($C$4:C4923,C4923)=1,1,0)</f>
        <v>1</v>
      </c>
      <c r="K4923" s="1">
        <f t="shared" si="76"/>
        <v>2018</v>
      </c>
    </row>
    <row r="4924" spans="2:11" x14ac:dyDescent="0.45">
      <c r="B4924" s="1" t="s">
        <v>4000</v>
      </c>
      <c r="C4924" s="1" t="s">
        <v>4878</v>
      </c>
      <c r="D4924" s="7">
        <v>44929</v>
      </c>
      <c r="E4924" s="7">
        <v>44959</v>
      </c>
      <c r="G4924" s="1" t="s">
        <v>38</v>
      </c>
      <c r="H4924" s="8">
        <v>364779.54</v>
      </c>
      <c r="I4924" s="8">
        <v>318850.61</v>
      </c>
      <c r="J4924" s="1">
        <f>IF(COUNTIF($C$4:C4924,C4924)=1,1,0)</f>
        <v>1</v>
      </c>
      <c r="K4924" s="1">
        <f t="shared" si="76"/>
        <v>2023</v>
      </c>
    </row>
    <row r="4925" spans="2:11" x14ac:dyDescent="0.45">
      <c r="B4925" s="1" t="s">
        <v>4000</v>
      </c>
      <c r="C4925" s="1" t="s">
        <v>4879</v>
      </c>
      <c r="D4925" s="7">
        <v>45734</v>
      </c>
      <c r="E4925" s="7">
        <v>45736</v>
      </c>
      <c r="G4925" s="1" t="s">
        <v>16</v>
      </c>
      <c r="H4925" s="8">
        <v>1193958.44</v>
      </c>
      <c r="I4925" s="8">
        <v>894208.17</v>
      </c>
      <c r="J4925" s="1">
        <f>IF(COUNTIF($C$4:C4925,C4925)=1,1,0)</f>
        <v>1</v>
      </c>
      <c r="K4925" s="1">
        <f t="shared" si="76"/>
        <v>2025</v>
      </c>
    </row>
    <row r="4926" spans="2:11" x14ac:dyDescent="0.45">
      <c r="B4926" s="1" t="s">
        <v>4000</v>
      </c>
      <c r="C4926" s="1" t="s">
        <v>4880</v>
      </c>
      <c r="D4926" s="7">
        <v>45140</v>
      </c>
      <c r="E4926" s="7">
        <v>45159</v>
      </c>
      <c r="G4926" s="1" t="s">
        <v>22</v>
      </c>
      <c r="H4926" s="8">
        <v>11449129.460000001</v>
      </c>
      <c r="I4926" s="8">
        <v>7256489.0999999996</v>
      </c>
      <c r="J4926" s="1">
        <f>IF(COUNTIF($C$4:C4926,C4926)=1,1,0)</f>
        <v>1</v>
      </c>
      <c r="K4926" s="1">
        <f t="shared" si="76"/>
        <v>2023</v>
      </c>
    </row>
    <row r="4927" spans="2:11" x14ac:dyDescent="0.45">
      <c r="B4927" s="1" t="s">
        <v>4000</v>
      </c>
      <c r="C4927" s="1" t="s">
        <v>4881</v>
      </c>
      <c r="D4927" s="7">
        <v>44896</v>
      </c>
      <c r="E4927" s="7">
        <v>44901</v>
      </c>
      <c r="G4927" s="1" t="s">
        <v>44</v>
      </c>
      <c r="H4927" s="8">
        <v>4858228.57</v>
      </c>
      <c r="I4927" s="8">
        <v>3705752.07</v>
      </c>
      <c r="J4927" s="1">
        <f>IF(COUNTIF($C$4:C4927,C4927)=1,1,0)</f>
        <v>1</v>
      </c>
      <c r="K4927" s="1">
        <f t="shared" si="76"/>
        <v>2022</v>
      </c>
    </row>
    <row r="4928" spans="2:11" x14ac:dyDescent="0.45">
      <c r="B4928" s="1" t="s">
        <v>4000</v>
      </c>
      <c r="C4928" s="1" t="s">
        <v>4882</v>
      </c>
      <c r="D4928" s="7">
        <v>43270</v>
      </c>
      <c r="E4928" s="7">
        <v>43276</v>
      </c>
      <c r="G4928" s="1" t="s">
        <v>18</v>
      </c>
      <c r="H4928" s="8">
        <v>685640.3</v>
      </c>
      <c r="I4928" s="8">
        <v>563550.69999999995</v>
      </c>
      <c r="J4928" s="1">
        <f>IF(COUNTIF($C$4:C4928,C4928)=1,1,0)</f>
        <v>1</v>
      </c>
      <c r="K4928" s="1">
        <f t="shared" si="76"/>
        <v>2018</v>
      </c>
    </row>
    <row r="4929" spans="2:11" x14ac:dyDescent="0.45">
      <c r="B4929" s="1" t="s">
        <v>4000</v>
      </c>
      <c r="C4929" s="1" t="s">
        <v>4883</v>
      </c>
      <c r="D4929" s="7">
        <v>45422</v>
      </c>
      <c r="E4929" s="7">
        <v>45450</v>
      </c>
      <c r="G4929" s="1" t="s">
        <v>16</v>
      </c>
      <c r="H4929" s="8">
        <v>5107228.6900000004</v>
      </c>
      <c r="I4929" s="8">
        <v>4055021.48</v>
      </c>
      <c r="J4929" s="1">
        <f>IF(COUNTIF($C$4:C4929,C4929)=1,1,0)</f>
        <v>1</v>
      </c>
      <c r="K4929" s="1">
        <f t="shared" si="76"/>
        <v>2024</v>
      </c>
    </row>
    <row r="4930" spans="2:11" x14ac:dyDescent="0.45">
      <c r="B4930" s="1" t="s">
        <v>4000</v>
      </c>
      <c r="C4930" s="1" t="s">
        <v>4884</v>
      </c>
      <c r="D4930" s="7">
        <v>45213</v>
      </c>
      <c r="E4930" s="7">
        <v>45225</v>
      </c>
      <c r="G4930" s="1" t="s">
        <v>16</v>
      </c>
      <c r="H4930" s="8">
        <v>5419316.0599999996</v>
      </c>
      <c r="I4930" s="8">
        <v>3406189.73</v>
      </c>
      <c r="J4930" s="1">
        <f>IF(COUNTIF($C$4:C4930,C4930)=1,1,0)</f>
        <v>1</v>
      </c>
      <c r="K4930" s="1">
        <f t="shared" si="76"/>
        <v>2023</v>
      </c>
    </row>
    <row r="4931" spans="2:11" x14ac:dyDescent="0.45">
      <c r="B4931" s="1" t="s">
        <v>4000</v>
      </c>
      <c r="C4931" s="1" t="s">
        <v>4885</v>
      </c>
      <c r="D4931" s="7">
        <v>43513</v>
      </c>
      <c r="E4931" s="7">
        <v>43540</v>
      </c>
      <c r="G4931" s="1" t="s">
        <v>41</v>
      </c>
      <c r="H4931" s="8">
        <v>346538.93</v>
      </c>
      <c r="I4931" s="8">
        <v>250166.88</v>
      </c>
      <c r="J4931" s="1">
        <f>IF(COUNTIF($C$4:C4931,C4931)=1,1,0)</f>
        <v>1</v>
      </c>
      <c r="K4931" s="1">
        <f t="shared" si="76"/>
        <v>2019</v>
      </c>
    </row>
    <row r="4932" spans="2:11" x14ac:dyDescent="0.45">
      <c r="B4932" s="1" t="s">
        <v>4000</v>
      </c>
      <c r="C4932" s="1" t="s">
        <v>4886</v>
      </c>
      <c r="D4932" s="7">
        <v>44745</v>
      </c>
      <c r="E4932" s="7">
        <v>44767</v>
      </c>
      <c r="G4932" s="1" t="s">
        <v>41</v>
      </c>
      <c r="H4932" s="8">
        <v>121680.41</v>
      </c>
      <c r="I4932" s="8">
        <v>105043.83</v>
      </c>
      <c r="J4932" s="1">
        <f>IF(COUNTIF($C$4:C4932,C4932)=1,1,0)</f>
        <v>1</v>
      </c>
      <c r="K4932" s="1">
        <f t="shared" si="76"/>
        <v>2022</v>
      </c>
    </row>
    <row r="4933" spans="2:11" x14ac:dyDescent="0.45">
      <c r="B4933" s="1" t="s">
        <v>4000</v>
      </c>
      <c r="C4933" s="1" t="s">
        <v>4887</v>
      </c>
      <c r="D4933" s="7">
        <v>46040</v>
      </c>
      <c r="E4933" s="7">
        <v>46056</v>
      </c>
      <c r="G4933" s="1" t="s">
        <v>1348</v>
      </c>
      <c r="H4933" s="8">
        <v>94658778.329999998</v>
      </c>
      <c r="I4933" s="8">
        <v>48708535.490000002</v>
      </c>
      <c r="J4933" s="1">
        <f>IF(COUNTIF($C$4:C4933,C4933)=1,1,0)</f>
        <v>1</v>
      </c>
      <c r="K4933" s="1">
        <f t="shared" ref="K4933:K4996" si="77">YEAR(D4933)</f>
        <v>2026</v>
      </c>
    </row>
    <row r="4934" spans="2:11" x14ac:dyDescent="0.45">
      <c r="B4934" s="1" t="s">
        <v>4000</v>
      </c>
      <c r="C4934" s="1" t="s">
        <v>4888</v>
      </c>
      <c r="D4934" s="7">
        <v>45429</v>
      </c>
      <c r="E4934" s="7">
        <v>45459</v>
      </c>
      <c r="G4934" s="1" t="s">
        <v>41</v>
      </c>
      <c r="H4934" s="8">
        <v>448682.2</v>
      </c>
      <c r="I4934" s="8">
        <v>346322.51</v>
      </c>
      <c r="J4934" s="1">
        <f>IF(COUNTIF($C$4:C4934,C4934)=1,1,0)</f>
        <v>1</v>
      </c>
      <c r="K4934" s="1">
        <f t="shared" si="77"/>
        <v>2024</v>
      </c>
    </row>
    <row r="4935" spans="2:11" x14ac:dyDescent="0.45">
      <c r="B4935" s="1" t="s">
        <v>4000</v>
      </c>
      <c r="C4935" s="1" t="s">
        <v>4889</v>
      </c>
      <c r="D4935" s="7">
        <v>44788</v>
      </c>
      <c r="E4935" s="7">
        <v>44812</v>
      </c>
      <c r="G4935" s="1" t="s">
        <v>41</v>
      </c>
      <c r="H4935" s="8">
        <v>39960.49</v>
      </c>
      <c r="I4935" s="8">
        <v>33877.120000000003</v>
      </c>
      <c r="J4935" s="1">
        <f>IF(COUNTIF($C$4:C4935,C4935)=1,1,0)</f>
        <v>1</v>
      </c>
      <c r="K4935" s="1">
        <f t="shared" si="77"/>
        <v>2022</v>
      </c>
    </row>
    <row r="4936" spans="2:11" x14ac:dyDescent="0.45">
      <c r="B4936" s="1" t="s">
        <v>4000</v>
      </c>
      <c r="C4936" s="1" t="s">
        <v>4890</v>
      </c>
      <c r="D4936" s="7">
        <v>45242</v>
      </c>
      <c r="E4936" s="7">
        <v>45249</v>
      </c>
      <c r="G4936" s="1" t="s">
        <v>41</v>
      </c>
      <c r="H4936" s="8">
        <v>461187.09</v>
      </c>
      <c r="I4936" s="8">
        <v>326905.28999999998</v>
      </c>
      <c r="J4936" s="1">
        <f>IF(COUNTIF($C$4:C4936,C4936)=1,1,0)</f>
        <v>1</v>
      </c>
      <c r="K4936" s="1">
        <f t="shared" si="77"/>
        <v>2023</v>
      </c>
    </row>
    <row r="4937" spans="2:11" x14ac:dyDescent="0.45">
      <c r="B4937" s="1" t="s">
        <v>4000</v>
      </c>
      <c r="C4937" s="1" t="s">
        <v>4891</v>
      </c>
      <c r="D4937" s="7">
        <v>46088</v>
      </c>
      <c r="E4937" s="7">
        <v>46098</v>
      </c>
      <c r="G4937" s="1" t="s">
        <v>38</v>
      </c>
      <c r="H4937" s="8">
        <v>755558.12</v>
      </c>
      <c r="I4937" s="8">
        <v>625790.77</v>
      </c>
      <c r="J4937" s="1">
        <f>IF(COUNTIF($C$4:C4937,C4937)=1,1,0)</f>
        <v>1</v>
      </c>
      <c r="K4937" s="1">
        <f t="shared" si="77"/>
        <v>2026</v>
      </c>
    </row>
    <row r="4938" spans="2:11" x14ac:dyDescent="0.45">
      <c r="B4938" s="1" t="s">
        <v>4000</v>
      </c>
      <c r="C4938" s="1" t="s">
        <v>4892</v>
      </c>
      <c r="D4938" s="7">
        <v>44565</v>
      </c>
      <c r="E4938" s="7">
        <v>44594</v>
      </c>
      <c r="G4938" s="1" t="s">
        <v>38</v>
      </c>
      <c r="H4938" s="8">
        <v>128457.75</v>
      </c>
      <c r="I4938" s="8">
        <v>118098.85</v>
      </c>
      <c r="J4938" s="1">
        <f>IF(COUNTIF($C$4:C4938,C4938)=1,1,0)</f>
        <v>1</v>
      </c>
      <c r="K4938" s="1">
        <f t="shared" si="77"/>
        <v>2022</v>
      </c>
    </row>
    <row r="4939" spans="2:11" x14ac:dyDescent="0.45">
      <c r="B4939" s="1" t="s">
        <v>4000</v>
      </c>
      <c r="C4939" s="1" t="s">
        <v>4893</v>
      </c>
      <c r="D4939" s="7">
        <v>45363</v>
      </c>
      <c r="E4939" s="7">
        <v>45367</v>
      </c>
      <c r="G4939" s="1" t="s">
        <v>13</v>
      </c>
      <c r="H4939" s="8">
        <v>184052.13</v>
      </c>
      <c r="I4939" s="8">
        <v>123903.34</v>
      </c>
      <c r="J4939" s="1">
        <f>IF(COUNTIF($C$4:C4939,C4939)=1,1,0)</f>
        <v>1</v>
      </c>
      <c r="K4939" s="1">
        <f t="shared" si="77"/>
        <v>2024</v>
      </c>
    </row>
    <row r="4940" spans="2:11" x14ac:dyDescent="0.45">
      <c r="B4940" s="1" t="s">
        <v>4000</v>
      </c>
      <c r="C4940" s="1" t="s">
        <v>4894</v>
      </c>
      <c r="D4940" s="7">
        <v>43417</v>
      </c>
      <c r="E4940" s="7">
        <v>43427</v>
      </c>
      <c r="G4940" s="1" t="s">
        <v>16</v>
      </c>
      <c r="H4940" s="8">
        <v>1003212.35</v>
      </c>
      <c r="I4940" s="8">
        <v>728856.48</v>
      </c>
      <c r="J4940" s="1">
        <f>IF(COUNTIF($C$4:C4940,C4940)=1,1,0)</f>
        <v>1</v>
      </c>
      <c r="K4940" s="1">
        <f t="shared" si="77"/>
        <v>2018</v>
      </c>
    </row>
    <row r="4941" spans="2:11" x14ac:dyDescent="0.45">
      <c r="B4941" s="1" t="s">
        <v>4000</v>
      </c>
      <c r="C4941" s="1" t="s">
        <v>4895</v>
      </c>
      <c r="D4941" s="7">
        <v>43773</v>
      </c>
      <c r="E4941" s="7">
        <v>43797</v>
      </c>
      <c r="G4941" s="1" t="s">
        <v>41</v>
      </c>
      <c r="H4941" s="8">
        <v>394469.27</v>
      </c>
      <c r="I4941" s="8">
        <v>313259.07</v>
      </c>
      <c r="J4941" s="1">
        <f>IF(COUNTIF($C$4:C4941,C4941)=1,1,0)</f>
        <v>1</v>
      </c>
      <c r="K4941" s="1">
        <f t="shared" si="77"/>
        <v>2019</v>
      </c>
    </row>
    <row r="4942" spans="2:11" x14ac:dyDescent="0.45">
      <c r="B4942" s="1" t="s">
        <v>4000</v>
      </c>
      <c r="C4942" s="1" t="s">
        <v>4896</v>
      </c>
      <c r="D4942" s="7">
        <v>45331</v>
      </c>
      <c r="E4942" s="7">
        <v>45355</v>
      </c>
      <c r="G4942" s="1" t="s">
        <v>20</v>
      </c>
      <c r="H4942" s="8">
        <v>553730.99</v>
      </c>
      <c r="I4942" s="8">
        <v>421814.87</v>
      </c>
      <c r="J4942" s="1">
        <f>IF(COUNTIF($C$4:C4942,C4942)=1,1,0)</f>
        <v>1</v>
      </c>
      <c r="K4942" s="1">
        <f t="shared" si="77"/>
        <v>2024</v>
      </c>
    </row>
    <row r="4943" spans="2:11" x14ac:dyDescent="0.45">
      <c r="B4943" s="1" t="s">
        <v>4000</v>
      </c>
      <c r="C4943" s="1" t="s">
        <v>4897</v>
      </c>
      <c r="D4943" s="7">
        <v>43522</v>
      </c>
      <c r="E4943" s="7">
        <v>43527</v>
      </c>
      <c r="G4943" s="1" t="s">
        <v>13</v>
      </c>
      <c r="H4943" s="8">
        <v>404425.53</v>
      </c>
      <c r="I4943" s="8">
        <v>324931.98</v>
      </c>
      <c r="J4943" s="1">
        <f>IF(COUNTIF($C$4:C4943,C4943)=1,1,0)</f>
        <v>1</v>
      </c>
      <c r="K4943" s="1">
        <f t="shared" si="77"/>
        <v>2019</v>
      </c>
    </row>
    <row r="4944" spans="2:11" x14ac:dyDescent="0.45">
      <c r="B4944" s="1" t="s">
        <v>4000</v>
      </c>
      <c r="C4944" s="1" t="s">
        <v>4898</v>
      </c>
      <c r="D4944" s="7">
        <v>44429</v>
      </c>
      <c r="E4944" s="7">
        <v>44434</v>
      </c>
      <c r="G4944" s="1" t="s">
        <v>13</v>
      </c>
      <c r="H4944" s="8">
        <v>356563.76</v>
      </c>
      <c r="I4944" s="8">
        <v>287630.09000000003</v>
      </c>
      <c r="J4944" s="1">
        <f>IF(COUNTIF($C$4:C4944,C4944)=1,1,0)</f>
        <v>1</v>
      </c>
      <c r="K4944" s="1">
        <f t="shared" si="77"/>
        <v>2021</v>
      </c>
    </row>
    <row r="4945" spans="2:11" x14ac:dyDescent="0.45">
      <c r="B4945" s="1" t="s">
        <v>4000</v>
      </c>
      <c r="C4945" s="1" t="s">
        <v>4899</v>
      </c>
      <c r="D4945" s="7">
        <v>43418</v>
      </c>
      <c r="E4945" s="7">
        <v>43442</v>
      </c>
      <c r="G4945" s="1" t="s">
        <v>38</v>
      </c>
      <c r="H4945" s="8">
        <v>523957.79</v>
      </c>
      <c r="I4945" s="8">
        <v>433606.54</v>
      </c>
      <c r="J4945" s="1">
        <f>IF(COUNTIF($C$4:C4945,C4945)=1,1,0)</f>
        <v>1</v>
      </c>
      <c r="K4945" s="1">
        <f t="shared" si="77"/>
        <v>2018</v>
      </c>
    </row>
    <row r="4946" spans="2:11" x14ac:dyDescent="0.45">
      <c r="B4946" s="1" t="s">
        <v>4000</v>
      </c>
      <c r="C4946" s="1" t="s">
        <v>4900</v>
      </c>
      <c r="D4946" s="7">
        <v>46199</v>
      </c>
      <c r="E4946" s="7">
        <v>46226</v>
      </c>
      <c r="G4946" s="1" t="s">
        <v>22</v>
      </c>
      <c r="H4946" s="8">
        <v>2722638.53</v>
      </c>
      <c r="I4946" s="8">
        <v>1960742.93</v>
      </c>
      <c r="J4946" s="1">
        <f>IF(COUNTIF($C$4:C4946,C4946)=1,1,0)</f>
        <v>1</v>
      </c>
      <c r="K4946" s="1">
        <f t="shared" si="77"/>
        <v>2026</v>
      </c>
    </row>
    <row r="4947" spans="2:11" x14ac:dyDescent="0.45">
      <c r="B4947" s="1" t="s">
        <v>4000</v>
      </c>
      <c r="C4947" s="1" t="s">
        <v>4901</v>
      </c>
      <c r="D4947" s="7">
        <v>43581</v>
      </c>
      <c r="E4947" s="7">
        <v>43586</v>
      </c>
      <c r="G4947" s="1" t="s">
        <v>1348</v>
      </c>
      <c r="H4947" s="8">
        <v>32736599.539999999</v>
      </c>
      <c r="I4947" s="8">
        <v>15350925.82</v>
      </c>
      <c r="J4947" s="1">
        <f>IF(COUNTIF($C$4:C4947,C4947)=1,1,0)</f>
        <v>1</v>
      </c>
      <c r="K4947" s="1">
        <f t="shared" si="77"/>
        <v>2019</v>
      </c>
    </row>
    <row r="4948" spans="2:11" x14ac:dyDescent="0.45">
      <c r="B4948" s="1" t="s">
        <v>4000</v>
      </c>
      <c r="C4948" s="1" t="s">
        <v>4902</v>
      </c>
      <c r="D4948" s="7">
        <v>43648</v>
      </c>
      <c r="E4948" s="7">
        <v>43655</v>
      </c>
      <c r="G4948" s="1" t="s">
        <v>13</v>
      </c>
      <c r="H4948" s="8">
        <v>338544.27</v>
      </c>
      <c r="I4948" s="8">
        <v>278825.83</v>
      </c>
      <c r="J4948" s="1">
        <f>IF(COUNTIF($C$4:C4948,C4948)=1,1,0)</f>
        <v>1</v>
      </c>
      <c r="K4948" s="1">
        <f t="shared" si="77"/>
        <v>2019</v>
      </c>
    </row>
    <row r="4949" spans="2:11" x14ac:dyDescent="0.45">
      <c r="B4949" s="1" t="s">
        <v>4000</v>
      </c>
      <c r="C4949" s="1" t="s">
        <v>4903</v>
      </c>
      <c r="D4949" s="7">
        <v>43728</v>
      </c>
      <c r="E4949" s="7">
        <v>43741</v>
      </c>
      <c r="G4949" s="1" t="s">
        <v>1348</v>
      </c>
      <c r="H4949" s="8">
        <v>27061543.219999999</v>
      </c>
      <c r="I4949" s="8">
        <v>16455044.4</v>
      </c>
      <c r="J4949" s="1">
        <f>IF(COUNTIF($C$4:C4949,C4949)=1,1,0)</f>
        <v>1</v>
      </c>
      <c r="K4949" s="1">
        <f t="shared" si="77"/>
        <v>2019</v>
      </c>
    </row>
    <row r="4950" spans="2:11" x14ac:dyDescent="0.45">
      <c r="B4950" s="1" t="s">
        <v>4000</v>
      </c>
      <c r="C4950" s="1" t="s">
        <v>4904</v>
      </c>
      <c r="D4950" s="7">
        <v>44793</v>
      </c>
      <c r="E4950" s="7">
        <v>44796</v>
      </c>
      <c r="G4950" s="1" t="s">
        <v>22</v>
      </c>
      <c r="H4950" s="8">
        <v>19771471.079999998</v>
      </c>
      <c r="I4950" s="8">
        <v>10401170.09</v>
      </c>
      <c r="J4950" s="1">
        <f>IF(COUNTIF($C$4:C4950,C4950)=1,1,0)</f>
        <v>1</v>
      </c>
      <c r="K4950" s="1">
        <f t="shared" si="77"/>
        <v>2022</v>
      </c>
    </row>
    <row r="4951" spans="2:11" x14ac:dyDescent="0.45">
      <c r="B4951" s="1" t="s">
        <v>4000</v>
      </c>
      <c r="C4951" s="1" t="s">
        <v>4905</v>
      </c>
      <c r="D4951" s="7">
        <v>45530</v>
      </c>
      <c r="E4951" s="7">
        <v>45544</v>
      </c>
      <c r="G4951" s="1" t="s">
        <v>13</v>
      </c>
      <c r="H4951" s="8">
        <v>802872.52</v>
      </c>
      <c r="I4951" s="8">
        <v>575114.98</v>
      </c>
      <c r="J4951" s="1">
        <f>IF(COUNTIF($C$4:C4951,C4951)=1,1,0)</f>
        <v>1</v>
      </c>
      <c r="K4951" s="1">
        <f t="shared" si="77"/>
        <v>2024</v>
      </c>
    </row>
    <row r="4952" spans="2:11" x14ac:dyDescent="0.45">
      <c r="B4952" s="1" t="s">
        <v>4000</v>
      </c>
      <c r="C4952" s="1" t="s">
        <v>4906</v>
      </c>
      <c r="D4952" s="7">
        <v>43581</v>
      </c>
      <c r="E4952" s="7">
        <v>43583</v>
      </c>
      <c r="G4952" s="1" t="s">
        <v>16</v>
      </c>
      <c r="H4952" s="8">
        <v>1619289.06</v>
      </c>
      <c r="I4952" s="8">
        <v>964424.87</v>
      </c>
      <c r="J4952" s="1">
        <f>IF(COUNTIF($C$4:C4952,C4952)=1,1,0)</f>
        <v>1</v>
      </c>
      <c r="K4952" s="1">
        <f t="shared" si="77"/>
        <v>2019</v>
      </c>
    </row>
    <row r="4953" spans="2:11" x14ac:dyDescent="0.45">
      <c r="B4953" s="1" t="s">
        <v>4000</v>
      </c>
      <c r="C4953" s="1" t="s">
        <v>4907</v>
      </c>
      <c r="D4953" s="7">
        <v>46001</v>
      </c>
      <c r="E4953" s="7">
        <v>46017</v>
      </c>
      <c r="G4953" s="1" t="s">
        <v>212</v>
      </c>
      <c r="H4953" s="8">
        <v>9799238.3200000003</v>
      </c>
      <c r="I4953" s="8">
        <v>5430804.7599999998</v>
      </c>
      <c r="J4953" s="1">
        <f>IF(COUNTIF($C$4:C4953,C4953)=1,1,0)</f>
        <v>1</v>
      </c>
      <c r="K4953" s="1">
        <f t="shared" si="77"/>
        <v>2025</v>
      </c>
    </row>
    <row r="4954" spans="2:11" x14ac:dyDescent="0.45">
      <c r="B4954" s="1" t="s">
        <v>4000</v>
      </c>
      <c r="C4954" s="1" t="s">
        <v>4908</v>
      </c>
      <c r="D4954" s="7">
        <v>45302</v>
      </c>
      <c r="E4954" s="7">
        <v>45306</v>
      </c>
      <c r="G4954" s="1" t="s">
        <v>13</v>
      </c>
      <c r="H4954" s="8">
        <v>739685.28</v>
      </c>
      <c r="I4954" s="8">
        <v>635360.9</v>
      </c>
      <c r="J4954" s="1">
        <f>IF(COUNTIF($C$4:C4954,C4954)=1,1,0)</f>
        <v>1</v>
      </c>
      <c r="K4954" s="1">
        <f t="shared" si="77"/>
        <v>2024</v>
      </c>
    </row>
    <row r="4955" spans="2:11" x14ac:dyDescent="0.45">
      <c r="B4955" s="1" t="s">
        <v>4000</v>
      </c>
      <c r="C4955" s="1" t="s">
        <v>4909</v>
      </c>
      <c r="D4955" s="7">
        <v>43388</v>
      </c>
      <c r="E4955" s="7">
        <v>43402</v>
      </c>
      <c r="G4955" s="1" t="s">
        <v>16</v>
      </c>
      <c r="H4955" s="8">
        <v>6471536.1299999999</v>
      </c>
      <c r="I4955" s="8">
        <v>4664641.51</v>
      </c>
      <c r="J4955" s="1">
        <f>IF(COUNTIF($C$4:C4955,C4955)=1,1,0)</f>
        <v>1</v>
      </c>
      <c r="K4955" s="1">
        <f t="shared" si="77"/>
        <v>2018</v>
      </c>
    </row>
    <row r="4956" spans="2:11" x14ac:dyDescent="0.45">
      <c r="B4956" s="1" t="s">
        <v>4000</v>
      </c>
      <c r="C4956" s="1" t="s">
        <v>4910</v>
      </c>
      <c r="D4956" s="7">
        <v>44329</v>
      </c>
      <c r="E4956" s="7">
        <v>44341</v>
      </c>
      <c r="G4956" s="1" t="s">
        <v>212</v>
      </c>
      <c r="H4956" s="8">
        <v>19008820.329999998</v>
      </c>
      <c r="I4956" s="8">
        <v>8193830.9400000004</v>
      </c>
      <c r="J4956" s="1">
        <f>IF(COUNTIF($C$4:C4956,C4956)=1,1,0)</f>
        <v>1</v>
      </c>
      <c r="K4956" s="1">
        <f t="shared" si="77"/>
        <v>2021</v>
      </c>
    </row>
    <row r="4957" spans="2:11" x14ac:dyDescent="0.45">
      <c r="B4957" s="1" t="s">
        <v>4000</v>
      </c>
      <c r="C4957" s="1" t="s">
        <v>4911</v>
      </c>
      <c r="D4957" s="7">
        <v>45388</v>
      </c>
      <c r="E4957" s="7">
        <v>45396</v>
      </c>
      <c r="G4957" s="1" t="s">
        <v>13</v>
      </c>
      <c r="H4957" s="8">
        <v>173047.17</v>
      </c>
      <c r="I4957" s="8">
        <v>145144.51999999999</v>
      </c>
      <c r="J4957" s="1">
        <f>IF(COUNTIF($C$4:C4957,C4957)=1,1,0)</f>
        <v>1</v>
      </c>
      <c r="K4957" s="1">
        <f t="shared" si="77"/>
        <v>2024</v>
      </c>
    </row>
    <row r="4958" spans="2:11" x14ac:dyDescent="0.45">
      <c r="B4958" s="1" t="s">
        <v>4000</v>
      </c>
      <c r="C4958" s="1" t="s">
        <v>4912</v>
      </c>
      <c r="D4958" s="7">
        <v>44658</v>
      </c>
      <c r="E4958" s="7">
        <v>44659</v>
      </c>
      <c r="G4958" s="1" t="s">
        <v>38</v>
      </c>
      <c r="H4958" s="8">
        <v>547052.39</v>
      </c>
      <c r="I4958" s="8">
        <v>427498.42</v>
      </c>
      <c r="J4958" s="1">
        <f>IF(COUNTIF($C$4:C4958,C4958)=1,1,0)</f>
        <v>1</v>
      </c>
      <c r="K4958" s="1">
        <f t="shared" si="77"/>
        <v>2022</v>
      </c>
    </row>
    <row r="4959" spans="2:11" x14ac:dyDescent="0.45">
      <c r="B4959" s="1" t="s">
        <v>4000</v>
      </c>
      <c r="C4959" s="1" t="s">
        <v>4913</v>
      </c>
      <c r="D4959" s="7">
        <v>44463</v>
      </c>
      <c r="E4959" s="7">
        <v>44476</v>
      </c>
      <c r="G4959" s="1" t="s">
        <v>1348</v>
      </c>
      <c r="H4959" s="8">
        <v>10046715.07</v>
      </c>
      <c r="I4959" s="8">
        <v>7595656.8600000003</v>
      </c>
      <c r="J4959" s="1">
        <f>IF(COUNTIF($C$4:C4959,C4959)=1,1,0)</f>
        <v>1</v>
      </c>
      <c r="K4959" s="1">
        <f t="shared" si="77"/>
        <v>2021</v>
      </c>
    </row>
    <row r="4960" spans="2:11" x14ac:dyDescent="0.45">
      <c r="B4960" s="1" t="s">
        <v>4000</v>
      </c>
      <c r="C4960" s="1" t="s">
        <v>4914</v>
      </c>
      <c r="D4960" s="7">
        <v>45993</v>
      </c>
      <c r="E4960" s="7">
        <v>46001</v>
      </c>
      <c r="G4960" s="1" t="s">
        <v>212</v>
      </c>
      <c r="H4960" s="8">
        <v>8887023.6600000001</v>
      </c>
      <c r="I4960" s="8">
        <v>5274228.7699999996</v>
      </c>
      <c r="J4960" s="1">
        <f>IF(COUNTIF($C$4:C4960,C4960)=1,1,0)</f>
        <v>1</v>
      </c>
      <c r="K4960" s="1">
        <f t="shared" si="77"/>
        <v>2025</v>
      </c>
    </row>
    <row r="4961" spans="2:11" x14ac:dyDescent="0.45">
      <c r="B4961" s="1" t="s">
        <v>4000</v>
      </c>
      <c r="C4961" s="1" t="s">
        <v>4915</v>
      </c>
      <c r="D4961" s="7">
        <v>44664</v>
      </c>
      <c r="E4961" s="7">
        <v>44684</v>
      </c>
      <c r="G4961" s="1" t="s">
        <v>22</v>
      </c>
      <c r="H4961" s="8">
        <v>3459818.08</v>
      </c>
      <c r="I4961" s="8">
        <v>2139787.3199999998</v>
      </c>
      <c r="J4961" s="1">
        <f>IF(COUNTIF($C$4:C4961,C4961)=1,1,0)</f>
        <v>1</v>
      </c>
      <c r="K4961" s="1">
        <f t="shared" si="77"/>
        <v>2022</v>
      </c>
    </row>
    <row r="4962" spans="2:11" x14ac:dyDescent="0.45">
      <c r="B4962" s="1" t="s">
        <v>4000</v>
      </c>
      <c r="C4962" s="1" t="s">
        <v>4916</v>
      </c>
      <c r="D4962" s="7">
        <v>45650</v>
      </c>
      <c r="E4962" s="7">
        <v>45663</v>
      </c>
      <c r="G4962" s="1" t="s">
        <v>38</v>
      </c>
      <c r="H4962" s="8">
        <v>725239.96</v>
      </c>
      <c r="I4962" s="8">
        <v>538654.62</v>
      </c>
      <c r="J4962" s="1">
        <f>IF(COUNTIF($C$4:C4962,C4962)=1,1,0)</f>
        <v>1</v>
      </c>
      <c r="K4962" s="1">
        <f t="shared" si="77"/>
        <v>2024</v>
      </c>
    </row>
    <row r="4963" spans="2:11" x14ac:dyDescent="0.45">
      <c r="B4963" s="1" t="s">
        <v>4000</v>
      </c>
      <c r="C4963" s="1" t="s">
        <v>4917</v>
      </c>
      <c r="D4963" s="7">
        <v>44251</v>
      </c>
      <c r="E4963" s="7">
        <v>44255</v>
      </c>
      <c r="G4963" s="1" t="s">
        <v>38</v>
      </c>
      <c r="H4963" s="8">
        <v>1359026.29</v>
      </c>
      <c r="I4963" s="8">
        <v>1185676.07</v>
      </c>
      <c r="J4963" s="1">
        <f>IF(COUNTIF($C$4:C4963,C4963)=1,1,0)</f>
        <v>1</v>
      </c>
      <c r="K4963" s="1">
        <f t="shared" si="77"/>
        <v>2021</v>
      </c>
    </row>
    <row r="4964" spans="2:11" x14ac:dyDescent="0.45">
      <c r="B4964" s="1" t="s">
        <v>4000</v>
      </c>
      <c r="C4964" s="1" t="s">
        <v>4918</v>
      </c>
      <c r="D4964" s="7">
        <v>44048</v>
      </c>
      <c r="E4964" s="7">
        <v>44058</v>
      </c>
      <c r="G4964" s="1" t="s">
        <v>41</v>
      </c>
      <c r="H4964" s="8">
        <v>100859.66</v>
      </c>
      <c r="I4964" s="8">
        <v>81576.11</v>
      </c>
      <c r="J4964" s="1">
        <f>IF(COUNTIF($C$4:C4964,C4964)=1,1,0)</f>
        <v>1</v>
      </c>
      <c r="K4964" s="1">
        <f t="shared" si="77"/>
        <v>2020</v>
      </c>
    </row>
    <row r="4965" spans="2:11" x14ac:dyDescent="0.45">
      <c r="B4965" s="1" t="s">
        <v>4000</v>
      </c>
      <c r="C4965" s="1" t="s">
        <v>4919</v>
      </c>
      <c r="D4965" s="7">
        <v>44335</v>
      </c>
      <c r="E4965" s="7">
        <v>44346</v>
      </c>
      <c r="G4965" s="1" t="s">
        <v>1348</v>
      </c>
      <c r="H4965" s="8">
        <v>3201697.88</v>
      </c>
      <c r="I4965" s="8">
        <v>1154427.17</v>
      </c>
      <c r="J4965" s="1">
        <f>IF(COUNTIF($C$4:C4965,C4965)=1,1,0)</f>
        <v>1</v>
      </c>
      <c r="K4965" s="1">
        <f t="shared" si="77"/>
        <v>2021</v>
      </c>
    </row>
    <row r="4966" spans="2:11" x14ac:dyDescent="0.45">
      <c r="B4966" s="1" t="s">
        <v>4000</v>
      </c>
      <c r="C4966" s="1" t="s">
        <v>4920</v>
      </c>
      <c r="D4966" s="7">
        <v>43878</v>
      </c>
      <c r="E4966" s="7">
        <v>43899</v>
      </c>
      <c r="G4966" s="1" t="s">
        <v>1348</v>
      </c>
      <c r="H4966" s="8">
        <v>7708318.7599999998</v>
      </c>
      <c r="I4966" s="8">
        <v>5320334.09</v>
      </c>
      <c r="J4966" s="1">
        <f>IF(COUNTIF($C$4:C4966,C4966)=1,1,0)</f>
        <v>1</v>
      </c>
      <c r="K4966" s="1">
        <f t="shared" si="77"/>
        <v>2020</v>
      </c>
    </row>
    <row r="4967" spans="2:11" x14ac:dyDescent="0.45">
      <c r="B4967" s="1" t="s">
        <v>4000</v>
      </c>
      <c r="C4967" s="1" t="s">
        <v>4921</v>
      </c>
      <c r="D4967" s="7">
        <v>45283</v>
      </c>
      <c r="E4967" s="7">
        <v>45293</v>
      </c>
      <c r="G4967" s="1" t="s">
        <v>1348</v>
      </c>
      <c r="H4967" s="8">
        <v>24089053.920000002</v>
      </c>
      <c r="I4967" s="8">
        <v>12294961.359999999</v>
      </c>
      <c r="J4967" s="1">
        <f>IF(COUNTIF($C$4:C4967,C4967)=1,1,0)</f>
        <v>1</v>
      </c>
      <c r="K4967" s="1">
        <f t="shared" si="77"/>
        <v>2023</v>
      </c>
    </row>
    <row r="4968" spans="2:11" x14ac:dyDescent="0.45">
      <c r="B4968" s="1" t="s">
        <v>4000</v>
      </c>
      <c r="C4968" s="1" t="s">
        <v>4922</v>
      </c>
      <c r="D4968" s="7">
        <v>45706</v>
      </c>
      <c r="E4968" s="7">
        <v>45732</v>
      </c>
      <c r="G4968" s="1" t="s">
        <v>13</v>
      </c>
      <c r="H4968" s="8">
        <v>744865.87</v>
      </c>
      <c r="I4968" s="8">
        <v>601021.87</v>
      </c>
      <c r="J4968" s="1">
        <f>IF(COUNTIF($C$4:C4968,C4968)=1,1,0)</f>
        <v>1</v>
      </c>
      <c r="K4968" s="1">
        <f t="shared" si="77"/>
        <v>2025</v>
      </c>
    </row>
    <row r="4969" spans="2:11" x14ac:dyDescent="0.45">
      <c r="B4969" s="1" t="s">
        <v>4000</v>
      </c>
      <c r="C4969" s="1" t="s">
        <v>4923</v>
      </c>
      <c r="D4969" s="7">
        <v>45921</v>
      </c>
      <c r="E4969" s="7">
        <v>45945</v>
      </c>
      <c r="G4969" s="1" t="s">
        <v>41</v>
      </c>
      <c r="H4969" s="8">
        <v>662676.26</v>
      </c>
      <c r="I4969" s="8">
        <v>470611.48</v>
      </c>
      <c r="J4969" s="1">
        <f>IF(COUNTIF($C$4:C4969,C4969)=1,1,0)</f>
        <v>1</v>
      </c>
      <c r="K4969" s="1">
        <f t="shared" si="77"/>
        <v>2025</v>
      </c>
    </row>
    <row r="4970" spans="2:11" x14ac:dyDescent="0.45">
      <c r="B4970" s="1" t="s">
        <v>4000</v>
      </c>
      <c r="C4970" s="1" t="s">
        <v>4924</v>
      </c>
      <c r="D4970" s="7">
        <v>45915</v>
      </c>
      <c r="E4970" s="7">
        <v>45918</v>
      </c>
      <c r="G4970" s="1" t="s">
        <v>44</v>
      </c>
      <c r="H4970" s="8">
        <v>9683760.3900000006</v>
      </c>
      <c r="I4970" s="8">
        <v>6445516.9800000004</v>
      </c>
      <c r="J4970" s="1">
        <f>IF(COUNTIF($C$4:C4970,C4970)=1,1,0)</f>
        <v>1</v>
      </c>
      <c r="K4970" s="1">
        <f t="shared" si="77"/>
        <v>2025</v>
      </c>
    </row>
    <row r="4971" spans="2:11" x14ac:dyDescent="0.45">
      <c r="B4971" s="1" t="s">
        <v>4000</v>
      </c>
      <c r="C4971" s="1" t="s">
        <v>4925</v>
      </c>
      <c r="D4971" s="7">
        <v>45825</v>
      </c>
      <c r="E4971" s="7">
        <v>45826</v>
      </c>
      <c r="G4971" s="1" t="s">
        <v>44</v>
      </c>
      <c r="H4971" s="8">
        <v>20100899.109999999</v>
      </c>
      <c r="I4971" s="8">
        <v>10574059.789999999</v>
      </c>
      <c r="J4971" s="1">
        <f>IF(COUNTIF($C$4:C4971,C4971)=1,1,0)</f>
        <v>1</v>
      </c>
      <c r="K4971" s="1">
        <f t="shared" si="77"/>
        <v>2025</v>
      </c>
    </row>
    <row r="4972" spans="2:11" x14ac:dyDescent="0.45">
      <c r="B4972" s="1" t="s">
        <v>4000</v>
      </c>
      <c r="C4972" s="1" t="s">
        <v>4926</v>
      </c>
      <c r="D4972" s="7">
        <v>43774</v>
      </c>
      <c r="E4972" s="7">
        <v>43795</v>
      </c>
      <c r="G4972" s="1" t="s">
        <v>1348</v>
      </c>
      <c r="H4972" s="8">
        <v>16010129.210000001</v>
      </c>
      <c r="I4972" s="8">
        <v>9935421.8599999994</v>
      </c>
      <c r="J4972" s="1">
        <f>IF(COUNTIF($C$4:C4972,C4972)=1,1,0)</f>
        <v>1</v>
      </c>
      <c r="K4972" s="1">
        <f t="shared" si="77"/>
        <v>2019</v>
      </c>
    </row>
    <row r="4973" spans="2:11" x14ac:dyDescent="0.45">
      <c r="B4973" s="1" t="s">
        <v>4000</v>
      </c>
      <c r="C4973" s="1" t="s">
        <v>4927</v>
      </c>
      <c r="D4973" s="7">
        <v>43631</v>
      </c>
      <c r="E4973" s="7">
        <v>43639</v>
      </c>
      <c r="G4973" s="1" t="s">
        <v>1348</v>
      </c>
      <c r="H4973" s="8">
        <v>61925565.210000001</v>
      </c>
      <c r="I4973" s="8">
        <v>30168037.600000001</v>
      </c>
      <c r="J4973" s="1">
        <f>IF(COUNTIF($C$4:C4973,C4973)=1,1,0)</f>
        <v>1</v>
      </c>
      <c r="K4973" s="1">
        <f t="shared" si="77"/>
        <v>2019</v>
      </c>
    </row>
    <row r="4974" spans="2:11" x14ac:dyDescent="0.45">
      <c r="B4974" s="1" t="s">
        <v>4000</v>
      </c>
      <c r="C4974" s="1" t="s">
        <v>4928</v>
      </c>
      <c r="D4974" s="7">
        <v>44036</v>
      </c>
      <c r="E4974" s="7">
        <v>44040</v>
      </c>
      <c r="G4974" s="1" t="s">
        <v>38</v>
      </c>
      <c r="H4974" s="8">
        <v>627653.4</v>
      </c>
      <c r="I4974" s="8">
        <v>483956.56</v>
      </c>
      <c r="J4974" s="1">
        <f>IF(COUNTIF($C$4:C4974,C4974)=1,1,0)</f>
        <v>1</v>
      </c>
      <c r="K4974" s="1">
        <f t="shared" si="77"/>
        <v>2020</v>
      </c>
    </row>
    <row r="4975" spans="2:11" x14ac:dyDescent="0.45">
      <c r="B4975" s="1" t="s">
        <v>4000</v>
      </c>
      <c r="C4975" s="1" t="s">
        <v>4929</v>
      </c>
      <c r="D4975" s="7">
        <v>43658</v>
      </c>
      <c r="E4975" s="7">
        <v>43658</v>
      </c>
      <c r="G4975" s="1" t="s">
        <v>13</v>
      </c>
      <c r="H4975" s="8">
        <v>237303.99</v>
      </c>
      <c r="I4975" s="8">
        <v>193698.25</v>
      </c>
      <c r="J4975" s="1">
        <f>IF(COUNTIF($C$4:C4975,C4975)=1,1,0)</f>
        <v>1</v>
      </c>
      <c r="K4975" s="1">
        <f t="shared" si="77"/>
        <v>2019</v>
      </c>
    </row>
    <row r="4976" spans="2:11" x14ac:dyDescent="0.45">
      <c r="B4976" s="1" t="s">
        <v>4000</v>
      </c>
      <c r="C4976" s="1" t="s">
        <v>4930</v>
      </c>
      <c r="D4976" s="7">
        <v>44348</v>
      </c>
      <c r="E4976" s="7">
        <v>44376</v>
      </c>
      <c r="G4976" s="1" t="s">
        <v>212</v>
      </c>
      <c r="H4976" s="8">
        <v>7774667</v>
      </c>
      <c r="I4976" s="8">
        <v>5813768.4400000004</v>
      </c>
      <c r="J4976" s="1">
        <f>IF(COUNTIF($C$4:C4976,C4976)=1,1,0)</f>
        <v>1</v>
      </c>
      <c r="K4976" s="1">
        <f t="shared" si="77"/>
        <v>2021</v>
      </c>
    </row>
    <row r="4977" spans="2:11" x14ac:dyDescent="0.45">
      <c r="B4977" s="1" t="s">
        <v>4000</v>
      </c>
      <c r="C4977" s="1" t="s">
        <v>4931</v>
      </c>
      <c r="D4977" s="7">
        <v>45559</v>
      </c>
      <c r="E4977" s="7">
        <v>45562</v>
      </c>
      <c r="G4977" s="1" t="s">
        <v>22</v>
      </c>
      <c r="H4977" s="8">
        <v>21773575.510000002</v>
      </c>
      <c r="I4977" s="8">
        <v>10119530.49</v>
      </c>
      <c r="J4977" s="1">
        <f>IF(COUNTIF($C$4:C4977,C4977)=1,1,0)</f>
        <v>1</v>
      </c>
      <c r="K4977" s="1">
        <f t="shared" si="77"/>
        <v>2024</v>
      </c>
    </row>
    <row r="4978" spans="2:11" x14ac:dyDescent="0.45">
      <c r="B4978" s="1" t="s">
        <v>4000</v>
      </c>
      <c r="C4978" s="1" t="s">
        <v>4932</v>
      </c>
      <c r="D4978" s="7">
        <v>45845</v>
      </c>
      <c r="E4978" s="7">
        <v>45846</v>
      </c>
      <c r="G4978" s="1" t="s">
        <v>1348</v>
      </c>
      <c r="H4978" s="8">
        <v>17701291.57</v>
      </c>
      <c r="I4978" s="8">
        <v>12103016.560000001</v>
      </c>
      <c r="J4978" s="1">
        <f>IF(COUNTIF($C$4:C4978,C4978)=1,1,0)</f>
        <v>1</v>
      </c>
      <c r="K4978" s="1">
        <f t="shared" si="77"/>
        <v>2025</v>
      </c>
    </row>
    <row r="4979" spans="2:11" x14ac:dyDescent="0.45">
      <c r="B4979" s="1" t="s">
        <v>4000</v>
      </c>
      <c r="C4979" s="1" t="s">
        <v>4933</v>
      </c>
      <c r="D4979" s="7">
        <v>44305</v>
      </c>
      <c r="E4979" s="7">
        <v>44317</v>
      </c>
      <c r="G4979" s="1" t="s">
        <v>1348</v>
      </c>
      <c r="H4979" s="8">
        <v>40486120.07</v>
      </c>
      <c r="I4979" s="8">
        <v>20177887.379999999</v>
      </c>
      <c r="J4979" s="1">
        <f>IF(COUNTIF($C$4:C4979,C4979)=1,1,0)</f>
        <v>1</v>
      </c>
      <c r="K4979" s="1">
        <f t="shared" si="77"/>
        <v>2021</v>
      </c>
    </row>
    <row r="4980" spans="2:11" x14ac:dyDescent="0.45">
      <c r="B4980" s="1" t="s">
        <v>4000</v>
      </c>
      <c r="C4980" s="1" t="s">
        <v>4934</v>
      </c>
      <c r="D4980" s="7">
        <v>44522</v>
      </c>
      <c r="E4980" s="7">
        <v>44527</v>
      </c>
      <c r="G4980" s="1" t="s">
        <v>44</v>
      </c>
      <c r="H4980" s="8">
        <v>76857416.969999999</v>
      </c>
      <c r="I4980" s="8">
        <v>30012845.23</v>
      </c>
      <c r="J4980" s="1">
        <f>IF(COUNTIF($C$4:C4980,C4980)=1,1,0)</f>
        <v>1</v>
      </c>
      <c r="K4980" s="1">
        <f t="shared" si="77"/>
        <v>2021</v>
      </c>
    </row>
    <row r="4981" spans="2:11" x14ac:dyDescent="0.45">
      <c r="B4981" s="1" t="s">
        <v>4000</v>
      </c>
      <c r="C4981" s="1" t="s">
        <v>4935</v>
      </c>
      <c r="D4981" s="7">
        <v>44250</v>
      </c>
      <c r="E4981" s="7">
        <v>44251</v>
      </c>
      <c r="G4981" s="1" t="s">
        <v>16</v>
      </c>
      <c r="H4981" s="8">
        <v>3336373.21</v>
      </c>
      <c r="I4981" s="8">
        <v>2377795.9500000002</v>
      </c>
      <c r="J4981" s="1">
        <f>IF(COUNTIF($C$4:C4981,C4981)=1,1,0)</f>
        <v>1</v>
      </c>
      <c r="K4981" s="1">
        <f t="shared" si="77"/>
        <v>2021</v>
      </c>
    </row>
    <row r="4982" spans="2:11" x14ac:dyDescent="0.45">
      <c r="B4982" s="1" t="s">
        <v>4000</v>
      </c>
      <c r="C4982" s="1" t="s">
        <v>4936</v>
      </c>
      <c r="D4982" s="7">
        <v>46079</v>
      </c>
      <c r="E4982" s="7">
        <v>46094</v>
      </c>
      <c r="G4982" s="1" t="s">
        <v>41</v>
      </c>
      <c r="H4982" s="8">
        <v>323116.13</v>
      </c>
      <c r="I4982" s="8">
        <v>244562.91</v>
      </c>
      <c r="J4982" s="1">
        <f>IF(COUNTIF($C$4:C4982,C4982)=1,1,0)</f>
        <v>1</v>
      </c>
      <c r="K4982" s="1">
        <f t="shared" si="77"/>
        <v>2026</v>
      </c>
    </row>
    <row r="4983" spans="2:11" x14ac:dyDescent="0.45">
      <c r="B4983" s="1" t="s">
        <v>4000</v>
      </c>
      <c r="C4983" s="1" t="s">
        <v>4937</v>
      </c>
      <c r="D4983" s="7">
        <v>45275</v>
      </c>
      <c r="E4983" s="7">
        <v>45280</v>
      </c>
      <c r="G4983" s="1" t="s">
        <v>16</v>
      </c>
      <c r="H4983" s="8">
        <v>2008881.08</v>
      </c>
      <c r="I4983" s="8">
        <v>1394612.07</v>
      </c>
      <c r="J4983" s="1">
        <f>IF(COUNTIF($C$4:C4983,C4983)=1,1,0)</f>
        <v>1</v>
      </c>
      <c r="K4983" s="1">
        <f t="shared" si="77"/>
        <v>2023</v>
      </c>
    </row>
    <row r="4984" spans="2:11" x14ac:dyDescent="0.45">
      <c r="B4984" s="1" t="s">
        <v>4000</v>
      </c>
      <c r="C4984" s="1" t="s">
        <v>4938</v>
      </c>
      <c r="D4984" s="7">
        <v>44810</v>
      </c>
      <c r="E4984" s="7">
        <v>44830</v>
      </c>
      <c r="G4984" s="1" t="s">
        <v>13</v>
      </c>
      <c r="H4984" s="8">
        <v>280482.25</v>
      </c>
      <c r="I4984" s="8">
        <v>228477.52</v>
      </c>
      <c r="J4984" s="1">
        <f>IF(COUNTIF($C$4:C4984,C4984)=1,1,0)</f>
        <v>1</v>
      </c>
      <c r="K4984" s="1">
        <f t="shared" si="77"/>
        <v>2022</v>
      </c>
    </row>
    <row r="4985" spans="2:11" x14ac:dyDescent="0.45">
      <c r="B4985" s="1" t="s">
        <v>4000</v>
      </c>
      <c r="C4985" s="1" t="s">
        <v>4939</v>
      </c>
      <c r="D4985" s="7">
        <v>45413</v>
      </c>
      <c r="E4985" s="7">
        <v>45432</v>
      </c>
      <c r="G4985" s="1" t="s">
        <v>1348</v>
      </c>
      <c r="H4985" s="8">
        <v>44669369.990000002</v>
      </c>
      <c r="I4985" s="8">
        <v>34017771.049999997</v>
      </c>
      <c r="J4985" s="1">
        <f>IF(COUNTIF($C$4:C4985,C4985)=1,1,0)</f>
        <v>1</v>
      </c>
      <c r="K4985" s="1">
        <f t="shared" si="77"/>
        <v>2024</v>
      </c>
    </row>
    <row r="4986" spans="2:11" x14ac:dyDescent="0.45">
      <c r="B4986" s="1" t="s">
        <v>4000</v>
      </c>
      <c r="C4986" s="1" t="s">
        <v>4940</v>
      </c>
      <c r="D4986" s="7">
        <v>44648</v>
      </c>
      <c r="E4986" s="7">
        <v>44659</v>
      </c>
      <c r="G4986" s="1" t="s">
        <v>18</v>
      </c>
      <c r="H4986" s="8">
        <v>16420880.119999999</v>
      </c>
      <c r="I4986" s="8">
        <v>11836092.92</v>
      </c>
      <c r="J4986" s="1">
        <f>IF(COUNTIF($C$4:C4986,C4986)=1,1,0)</f>
        <v>1</v>
      </c>
      <c r="K4986" s="1">
        <f t="shared" si="77"/>
        <v>2022</v>
      </c>
    </row>
    <row r="4987" spans="2:11" x14ac:dyDescent="0.45">
      <c r="B4987" s="1" t="s">
        <v>4000</v>
      </c>
      <c r="C4987" s="1" t="s">
        <v>4941</v>
      </c>
      <c r="D4987" s="7">
        <v>44173</v>
      </c>
      <c r="E4987" s="7">
        <v>44200</v>
      </c>
      <c r="G4987" s="1" t="s">
        <v>16</v>
      </c>
      <c r="H4987" s="8">
        <v>1217542.77</v>
      </c>
      <c r="I4987" s="8">
        <v>1021348.49</v>
      </c>
      <c r="J4987" s="1">
        <f>IF(COUNTIF($C$4:C4987,C4987)=1,1,0)</f>
        <v>1</v>
      </c>
      <c r="K4987" s="1">
        <f t="shared" si="77"/>
        <v>2020</v>
      </c>
    </row>
    <row r="4988" spans="2:11" x14ac:dyDescent="0.45">
      <c r="B4988" s="1" t="s">
        <v>4000</v>
      </c>
      <c r="C4988" s="1" t="s">
        <v>4942</v>
      </c>
      <c r="D4988" s="7">
        <v>45235</v>
      </c>
      <c r="E4988" s="7">
        <v>45255</v>
      </c>
      <c r="G4988" s="1" t="s">
        <v>13</v>
      </c>
      <c r="H4988" s="8">
        <v>110147.09</v>
      </c>
      <c r="I4988" s="8">
        <v>96443.15</v>
      </c>
      <c r="J4988" s="1">
        <f>IF(COUNTIF($C$4:C4988,C4988)=1,1,0)</f>
        <v>1</v>
      </c>
      <c r="K4988" s="1">
        <f t="shared" si="77"/>
        <v>2023</v>
      </c>
    </row>
    <row r="4989" spans="2:11" x14ac:dyDescent="0.45">
      <c r="B4989" s="1" t="s">
        <v>4000</v>
      </c>
      <c r="C4989" s="1" t="s">
        <v>4943</v>
      </c>
      <c r="D4989" s="7">
        <v>43790</v>
      </c>
      <c r="E4989" s="7">
        <v>43805</v>
      </c>
      <c r="G4989" s="1" t="s">
        <v>1348</v>
      </c>
      <c r="H4989" s="8">
        <v>99297284.459999993</v>
      </c>
      <c r="I4989" s="8">
        <v>57250164.780000001</v>
      </c>
      <c r="J4989" s="1">
        <f>IF(COUNTIF($C$4:C4989,C4989)=1,1,0)</f>
        <v>1</v>
      </c>
      <c r="K4989" s="1">
        <f t="shared" si="77"/>
        <v>2019</v>
      </c>
    </row>
    <row r="4990" spans="2:11" x14ac:dyDescent="0.45">
      <c r="B4990" s="1" t="s">
        <v>4000</v>
      </c>
      <c r="C4990" s="1" t="s">
        <v>4944</v>
      </c>
      <c r="D4990" s="7">
        <v>44344</v>
      </c>
      <c r="E4990" s="7">
        <v>44367</v>
      </c>
      <c r="G4990" s="1" t="s">
        <v>212</v>
      </c>
      <c r="H4990" s="8">
        <v>13214750.01</v>
      </c>
      <c r="I4990" s="8">
        <v>10348065.380000001</v>
      </c>
      <c r="J4990" s="1">
        <f>IF(COUNTIF($C$4:C4990,C4990)=1,1,0)</f>
        <v>1</v>
      </c>
      <c r="K4990" s="1">
        <f t="shared" si="77"/>
        <v>2021</v>
      </c>
    </row>
    <row r="4991" spans="2:11" x14ac:dyDescent="0.45">
      <c r="B4991" s="1" t="s">
        <v>4000</v>
      </c>
      <c r="C4991" s="1" t="s">
        <v>4945</v>
      </c>
      <c r="D4991" s="7">
        <v>44298</v>
      </c>
      <c r="E4991" s="7">
        <v>44305</v>
      </c>
      <c r="G4991" s="1" t="s">
        <v>13</v>
      </c>
      <c r="H4991" s="8">
        <v>132450.85999999999</v>
      </c>
      <c r="I4991" s="8">
        <v>118591.25</v>
      </c>
      <c r="J4991" s="1">
        <f>IF(COUNTIF($C$4:C4991,C4991)=1,1,0)</f>
        <v>1</v>
      </c>
      <c r="K4991" s="1">
        <f t="shared" si="77"/>
        <v>2021</v>
      </c>
    </row>
    <row r="4992" spans="2:11" x14ac:dyDescent="0.45">
      <c r="B4992" s="1" t="s">
        <v>4000</v>
      </c>
      <c r="C4992" s="1" t="s">
        <v>4946</v>
      </c>
      <c r="D4992" s="7">
        <v>44676</v>
      </c>
      <c r="E4992" s="7">
        <v>44704</v>
      </c>
      <c r="G4992" s="1" t="s">
        <v>18</v>
      </c>
      <c r="H4992" s="8">
        <v>11719055.859999999</v>
      </c>
      <c r="I4992" s="8">
        <v>10807113.74</v>
      </c>
      <c r="J4992" s="1">
        <f>IF(COUNTIF($C$4:C4992,C4992)=1,1,0)</f>
        <v>1</v>
      </c>
      <c r="K4992" s="1">
        <f t="shared" si="77"/>
        <v>2022</v>
      </c>
    </row>
    <row r="4993" spans="2:11" x14ac:dyDescent="0.45">
      <c r="B4993" s="1" t="s">
        <v>4000</v>
      </c>
      <c r="C4993" s="1" t="s">
        <v>4947</v>
      </c>
      <c r="D4993" s="7">
        <v>43474</v>
      </c>
      <c r="E4993" s="7">
        <v>43482</v>
      </c>
      <c r="G4993" s="1" t="s">
        <v>41</v>
      </c>
      <c r="H4993" s="8">
        <v>313408.11</v>
      </c>
      <c r="I4993" s="8">
        <v>250831.95</v>
      </c>
      <c r="J4993" s="1">
        <f>IF(COUNTIF($C$4:C4993,C4993)=1,1,0)</f>
        <v>1</v>
      </c>
      <c r="K4993" s="1">
        <f t="shared" si="77"/>
        <v>2019</v>
      </c>
    </row>
    <row r="4994" spans="2:11" x14ac:dyDescent="0.45">
      <c r="B4994" s="1" t="s">
        <v>4000</v>
      </c>
      <c r="C4994" s="1" t="s">
        <v>4948</v>
      </c>
      <c r="D4994" s="7">
        <v>44382</v>
      </c>
      <c r="E4994" s="7">
        <v>44382</v>
      </c>
      <c r="G4994" s="1" t="s">
        <v>16</v>
      </c>
      <c r="H4994" s="8">
        <v>1144650.48</v>
      </c>
      <c r="I4994" s="8">
        <v>974457.36</v>
      </c>
      <c r="J4994" s="1">
        <f>IF(COUNTIF($C$4:C4994,C4994)=1,1,0)</f>
        <v>1</v>
      </c>
      <c r="K4994" s="1">
        <f t="shared" si="77"/>
        <v>2021</v>
      </c>
    </row>
    <row r="4995" spans="2:11" x14ac:dyDescent="0.45">
      <c r="B4995" s="1" t="s">
        <v>4000</v>
      </c>
      <c r="C4995" s="1" t="s">
        <v>4949</v>
      </c>
      <c r="D4995" s="7">
        <v>44505</v>
      </c>
      <c r="E4995" s="7">
        <v>44513</v>
      </c>
      <c r="G4995" s="1" t="s">
        <v>212</v>
      </c>
      <c r="H4995" s="8">
        <v>23579870.030000001</v>
      </c>
      <c r="I4995" s="8">
        <v>12603971.83</v>
      </c>
      <c r="J4995" s="1">
        <f>IF(COUNTIF($C$4:C4995,C4995)=1,1,0)</f>
        <v>1</v>
      </c>
      <c r="K4995" s="1">
        <f t="shared" si="77"/>
        <v>2021</v>
      </c>
    </row>
    <row r="4996" spans="2:11" x14ac:dyDescent="0.45">
      <c r="B4996" s="1" t="s">
        <v>4000</v>
      </c>
      <c r="C4996" s="1" t="s">
        <v>4950</v>
      </c>
      <c r="D4996" s="7">
        <v>43976</v>
      </c>
      <c r="E4996" s="7">
        <v>43994</v>
      </c>
      <c r="G4996" s="1" t="s">
        <v>41</v>
      </c>
      <c r="H4996" s="8">
        <v>7836.25</v>
      </c>
      <c r="I4996" s="8">
        <v>6634.25</v>
      </c>
      <c r="J4996" s="1">
        <f>IF(COUNTIF($C$4:C4996,C4996)=1,1,0)</f>
        <v>1</v>
      </c>
      <c r="K4996" s="1">
        <f t="shared" si="77"/>
        <v>2020</v>
      </c>
    </row>
    <row r="4997" spans="2:11" x14ac:dyDescent="0.45">
      <c r="B4997" s="1" t="s">
        <v>4000</v>
      </c>
      <c r="C4997" s="1" t="s">
        <v>4951</v>
      </c>
      <c r="D4997" s="7">
        <v>43673</v>
      </c>
      <c r="E4997" s="7">
        <v>43694</v>
      </c>
      <c r="G4997" s="1" t="s">
        <v>16</v>
      </c>
      <c r="H4997" s="8">
        <v>7846605.5999999996</v>
      </c>
      <c r="I4997" s="8">
        <v>5732776.96</v>
      </c>
      <c r="J4997" s="1">
        <f>IF(COUNTIF($C$4:C4997,C4997)=1,1,0)</f>
        <v>1</v>
      </c>
      <c r="K4997" s="1">
        <f t="shared" ref="K4997:K5060" si="78">YEAR(D4997)</f>
        <v>2019</v>
      </c>
    </row>
    <row r="4998" spans="2:11" x14ac:dyDescent="0.45">
      <c r="B4998" s="1" t="s">
        <v>4000</v>
      </c>
      <c r="C4998" s="1" t="s">
        <v>4952</v>
      </c>
      <c r="D4998" s="7">
        <v>45366</v>
      </c>
      <c r="E4998" s="7">
        <v>45386</v>
      </c>
      <c r="G4998" s="1" t="s">
        <v>1348</v>
      </c>
      <c r="H4998" s="8">
        <v>211920856.80000001</v>
      </c>
      <c r="I4998" s="8">
        <v>106464089.2</v>
      </c>
      <c r="J4998" s="1">
        <f>IF(COUNTIF($C$4:C4998,C4998)=1,1,0)</f>
        <v>1</v>
      </c>
      <c r="K4998" s="1">
        <f t="shared" si="78"/>
        <v>2024</v>
      </c>
    </row>
    <row r="4999" spans="2:11" x14ac:dyDescent="0.45">
      <c r="B4999" s="1" t="s">
        <v>4000</v>
      </c>
      <c r="C4999" s="1" t="s">
        <v>4953</v>
      </c>
      <c r="D4999" s="7">
        <v>43484</v>
      </c>
      <c r="E4999" s="7">
        <v>43508</v>
      </c>
      <c r="G4999" s="1" t="s">
        <v>18</v>
      </c>
      <c r="H4999" s="8">
        <v>17993101.399999999</v>
      </c>
      <c r="I4999" s="8">
        <v>14016070.539999999</v>
      </c>
      <c r="J4999" s="1">
        <f>IF(COUNTIF($C$4:C4999,C4999)=1,1,0)</f>
        <v>1</v>
      </c>
      <c r="K4999" s="1">
        <f t="shared" si="78"/>
        <v>2019</v>
      </c>
    </row>
    <row r="5000" spans="2:11" x14ac:dyDescent="0.45">
      <c r="B5000" s="1" t="s">
        <v>4000</v>
      </c>
      <c r="C5000" s="1" t="s">
        <v>4954</v>
      </c>
      <c r="D5000" s="7">
        <v>44503</v>
      </c>
      <c r="E5000" s="7">
        <v>44517</v>
      </c>
      <c r="G5000" s="1" t="s">
        <v>1348</v>
      </c>
      <c r="H5000" s="8">
        <v>220985724.91</v>
      </c>
      <c r="I5000" s="8">
        <v>97103514.629999995</v>
      </c>
      <c r="J5000" s="1">
        <f>IF(COUNTIF($C$4:C5000,C5000)=1,1,0)</f>
        <v>1</v>
      </c>
      <c r="K5000" s="1">
        <f t="shared" si="78"/>
        <v>2021</v>
      </c>
    </row>
    <row r="5001" spans="2:11" x14ac:dyDescent="0.45">
      <c r="B5001" s="1" t="s">
        <v>4000</v>
      </c>
      <c r="C5001" s="1" t="s">
        <v>4955</v>
      </c>
      <c r="D5001" s="7">
        <v>44788</v>
      </c>
      <c r="E5001" s="7">
        <v>44818</v>
      </c>
      <c r="G5001" s="1" t="s">
        <v>16</v>
      </c>
      <c r="H5001" s="8">
        <v>349788.73</v>
      </c>
      <c r="I5001" s="8">
        <v>294982.34999999998</v>
      </c>
      <c r="J5001" s="1">
        <f>IF(COUNTIF($C$4:C5001,C5001)=1,1,0)</f>
        <v>1</v>
      </c>
      <c r="K5001" s="1">
        <f t="shared" si="78"/>
        <v>2022</v>
      </c>
    </row>
    <row r="5002" spans="2:11" x14ac:dyDescent="0.45">
      <c r="B5002" s="1" t="s">
        <v>4000</v>
      </c>
      <c r="C5002" s="1" t="s">
        <v>4956</v>
      </c>
      <c r="D5002" s="7">
        <v>44659</v>
      </c>
      <c r="E5002" s="7">
        <v>44661</v>
      </c>
      <c r="G5002" s="1" t="s">
        <v>13</v>
      </c>
      <c r="H5002" s="8">
        <v>236798.71</v>
      </c>
      <c r="I5002" s="8">
        <v>167525.98000000001</v>
      </c>
      <c r="J5002" s="1">
        <f>IF(COUNTIF($C$4:C5002,C5002)=1,1,0)</f>
        <v>1</v>
      </c>
      <c r="K5002" s="1">
        <f t="shared" si="78"/>
        <v>2022</v>
      </c>
    </row>
    <row r="5003" spans="2:11" x14ac:dyDescent="0.45">
      <c r="B5003" s="1" t="s">
        <v>4000</v>
      </c>
      <c r="C5003" s="1" t="s">
        <v>4957</v>
      </c>
      <c r="D5003" s="7">
        <v>43792</v>
      </c>
      <c r="E5003" s="7">
        <v>43803</v>
      </c>
      <c r="G5003" s="1" t="s">
        <v>41</v>
      </c>
      <c r="H5003" s="8">
        <v>102620.3</v>
      </c>
      <c r="I5003" s="8">
        <v>81203.240000000005</v>
      </c>
      <c r="J5003" s="1">
        <f>IF(COUNTIF($C$4:C5003,C5003)=1,1,0)</f>
        <v>1</v>
      </c>
      <c r="K5003" s="1">
        <f t="shared" si="78"/>
        <v>2019</v>
      </c>
    </row>
    <row r="5004" spans="2:11" x14ac:dyDescent="0.45">
      <c r="B5004" s="1" t="s">
        <v>4000</v>
      </c>
      <c r="C5004" s="1" t="s">
        <v>4958</v>
      </c>
      <c r="D5004" s="7">
        <v>45738</v>
      </c>
      <c r="E5004" s="7">
        <v>45761</v>
      </c>
      <c r="G5004" s="1" t="s">
        <v>20</v>
      </c>
      <c r="H5004" s="8">
        <v>930462.73</v>
      </c>
      <c r="I5004" s="8">
        <v>600559.75</v>
      </c>
      <c r="J5004" s="1">
        <f>IF(COUNTIF($C$4:C5004,C5004)=1,1,0)</f>
        <v>1</v>
      </c>
      <c r="K5004" s="1">
        <f t="shared" si="78"/>
        <v>2025</v>
      </c>
    </row>
    <row r="5005" spans="2:11" x14ac:dyDescent="0.45">
      <c r="B5005" s="1" t="s">
        <v>4000</v>
      </c>
      <c r="C5005" s="1" t="s">
        <v>4959</v>
      </c>
      <c r="D5005" s="7">
        <v>44266</v>
      </c>
      <c r="E5005" s="7">
        <v>44272</v>
      </c>
      <c r="G5005" s="1" t="s">
        <v>1348</v>
      </c>
      <c r="H5005" s="8">
        <v>64689843.689999998</v>
      </c>
      <c r="I5005" s="8">
        <v>33194964.57</v>
      </c>
      <c r="J5005" s="1">
        <f>IF(COUNTIF($C$4:C5005,C5005)=1,1,0)</f>
        <v>1</v>
      </c>
      <c r="K5005" s="1">
        <f t="shared" si="78"/>
        <v>2021</v>
      </c>
    </row>
    <row r="5006" spans="2:11" x14ac:dyDescent="0.45">
      <c r="B5006" s="1" t="s">
        <v>4000</v>
      </c>
      <c r="C5006" s="1" t="s">
        <v>4960</v>
      </c>
      <c r="D5006" s="7">
        <v>43554</v>
      </c>
      <c r="E5006" s="7">
        <v>43561</v>
      </c>
      <c r="G5006" s="1" t="s">
        <v>13</v>
      </c>
      <c r="H5006" s="8">
        <v>243214.27</v>
      </c>
      <c r="I5006" s="8">
        <v>187890.24</v>
      </c>
      <c r="J5006" s="1">
        <f>IF(COUNTIF($C$4:C5006,C5006)=1,1,0)</f>
        <v>1</v>
      </c>
      <c r="K5006" s="1">
        <f t="shared" si="78"/>
        <v>2019</v>
      </c>
    </row>
    <row r="5007" spans="2:11" x14ac:dyDescent="0.45">
      <c r="B5007" s="1" t="s">
        <v>4000</v>
      </c>
      <c r="C5007" s="1" t="s">
        <v>4961</v>
      </c>
      <c r="D5007" s="7">
        <v>45762</v>
      </c>
      <c r="E5007" s="7">
        <v>45781</v>
      </c>
      <c r="G5007" s="1" t="s">
        <v>44</v>
      </c>
      <c r="H5007" s="8">
        <v>97143986.819999993</v>
      </c>
      <c r="I5007" s="8">
        <v>57649484.840000004</v>
      </c>
      <c r="J5007" s="1">
        <f>IF(COUNTIF($C$4:C5007,C5007)=1,1,0)</f>
        <v>1</v>
      </c>
      <c r="K5007" s="1">
        <f t="shared" si="78"/>
        <v>2025</v>
      </c>
    </row>
    <row r="5008" spans="2:11" x14ac:dyDescent="0.45">
      <c r="B5008" s="1" t="s">
        <v>4000</v>
      </c>
      <c r="C5008" s="1" t="s">
        <v>4962</v>
      </c>
      <c r="D5008" s="7">
        <v>45819</v>
      </c>
      <c r="E5008" s="7">
        <v>45820</v>
      </c>
      <c r="G5008" s="1" t="s">
        <v>44</v>
      </c>
      <c r="H5008" s="8">
        <v>6622555.8399999999</v>
      </c>
      <c r="I5008" s="8">
        <v>2840670.23</v>
      </c>
      <c r="J5008" s="1">
        <f>IF(COUNTIF($C$4:C5008,C5008)=1,1,0)</f>
        <v>1</v>
      </c>
      <c r="K5008" s="1">
        <f t="shared" si="78"/>
        <v>2025</v>
      </c>
    </row>
    <row r="5009" spans="2:11" x14ac:dyDescent="0.45">
      <c r="B5009" s="1" t="s">
        <v>4000</v>
      </c>
      <c r="C5009" s="1" t="s">
        <v>4963</v>
      </c>
      <c r="D5009" s="7">
        <v>43899</v>
      </c>
      <c r="E5009" s="7">
        <v>43901</v>
      </c>
      <c r="G5009" s="1" t="s">
        <v>41</v>
      </c>
      <c r="H5009" s="8">
        <v>1001044.21</v>
      </c>
      <c r="I5009" s="8">
        <v>732225.18</v>
      </c>
      <c r="J5009" s="1">
        <f>IF(COUNTIF($C$4:C5009,C5009)=1,1,0)</f>
        <v>1</v>
      </c>
      <c r="K5009" s="1">
        <f t="shared" si="78"/>
        <v>2020</v>
      </c>
    </row>
    <row r="5010" spans="2:11" x14ac:dyDescent="0.45">
      <c r="B5010" s="1" t="s">
        <v>4000</v>
      </c>
      <c r="C5010" s="1" t="s">
        <v>4964</v>
      </c>
      <c r="D5010" s="7">
        <v>44715</v>
      </c>
      <c r="E5010" s="7">
        <v>44743</v>
      </c>
      <c r="G5010" s="1" t="s">
        <v>44</v>
      </c>
      <c r="H5010" s="8">
        <v>102203906.94</v>
      </c>
      <c r="I5010" s="8">
        <v>65210121.82</v>
      </c>
      <c r="J5010" s="1">
        <f>IF(COUNTIF($C$4:C5010,C5010)=1,1,0)</f>
        <v>1</v>
      </c>
      <c r="K5010" s="1">
        <f t="shared" si="78"/>
        <v>2022</v>
      </c>
    </row>
    <row r="5011" spans="2:11" x14ac:dyDescent="0.45">
      <c r="B5011" s="1" t="s">
        <v>4000</v>
      </c>
      <c r="C5011" s="1" t="s">
        <v>4965</v>
      </c>
      <c r="D5011" s="7">
        <v>44098</v>
      </c>
      <c r="E5011" s="7">
        <v>44121</v>
      </c>
      <c r="G5011" s="1" t="s">
        <v>20</v>
      </c>
      <c r="H5011" s="8">
        <v>763236.08</v>
      </c>
      <c r="I5011" s="8">
        <v>601792.38</v>
      </c>
      <c r="J5011" s="1">
        <f>IF(COUNTIF($C$4:C5011,C5011)=1,1,0)</f>
        <v>1</v>
      </c>
      <c r="K5011" s="1">
        <f t="shared" si="78"/>
        <v>2020</v>
      </c>
    </row>
    <row r="5012" spans="2:11" x14ac:dyDescent="0.45">
      <c r="B5012" s="1" t="s">
        <v>4000</v>
      </c>
      <c r="C5012" s="1" t="s">
        <v>4966</v>
      </c>
      <c r="D5012" s="7">
        <v>45949</v>
      </c>
      <c r="E5012" s="7">
        <v>45977</v>
      </c>
      <c r="G5012" s="1" t="s">
        <v>22</v>
      </c>
      <c r="H5012" s="8">
        <v>10792246.75</v>
      </c>
      <c r="I5012" s="8">
        <v>6552895.3899999997</v>
      </c>
      <c r="J5012" s="1">
        <f>IF(COUNTIF($C$4:C5012,C5012)=1,1,0)</f>
        <v>1</v>
      </c>
      <c r="K5012" s="1">
        <f t="shared" si="78"/>
        <v>2025</v>
      </c>
    </row>
    <row r="5013" spans="2:11" x14ac:dyDescent="0.45">
      <c r="B5013" s="1" t="s">
        <v>4000</v>
      </c>
      <c r="C5013" s="1" t="s">
        <v>4967</v>
      </c>
      <c r="D5013" s="7">
        <v>43660</v>
      </c>
      <c r="E5013" s="7">
        <v>43684</v>
      </c>
      <c r="G5013" s="1" t="s">
        <v>22</v>
      </c>
      <c r="H5013" s="8">
        <v>3677499.8</v>
      </c>
      <c r="I5013" s="8">
        <v>2415112.25</v>
      </c>
      <c r="J5013" s="1">
        <f>IF(COUNTIF($C$4:C5013,C5013)=1,1,0)</f>
        <v>1</v>
      </c>
      <c r="K5013" s="1">
        <f t="shared" si="78"/>
        <v>2019</v>
      </c>
    </row>
    <row r="5014" spans="2:11" x14ac:dyDescent="0.45">
      <c r="B5014" s="1" t="s">
        <v>4000</v>
      </c>
      <c r="C5014" s="1" t="s">
        <v>4968</v>
      </c>
      <c r="D5014" s="7">
        <v>43802</v>
      </c>
      <c r="E5014" s="7">
        <v>43824</v>
      </c>
      <c r="G5014" s="1" t="s">
        <v>1348</v>
      </c>
      <c r="H5014" s="8">
        <v>42923167.200000003</v>
      </c>
      <c r="I5014" s="8">
        <v>20686377.41</v>
      </c>
      <c r="J5014" s="1">
        <f>IF(COUNTIF($C$4:C5014,C5014)=1,1,0)</f>
        <v>1</v>
      </c>
      <c r="K5014" s="1">
        <f t="shared" si="78"/>
        <v>2019</v>
      </c>
    </row>
    <row r="5015" spans="2:11" x14ac:dyDescent="0.45">
      <c r="B5015" s="1" t="s">
        <v>4000</v>
      </c>
      <c r="C5015" s="1" t="s">
        <v>4969</v>
      </c>
      <c r="D5015" s="7">
        <v>45634</v>
      </c>
      <c r="E5015" s="7">
        <v>45647</v>
      </c>
      <c r="G5015" s="1" t="s">
        <v>41</v>
      </c>
      <c r="H5015" s="8">
        <v>167746.43</v>
      </c>
      <c r="I5015" s="8">
        <v>136683.66</v>
      </c>
      <c r="J5015" s="1">
        <f>IF(COUNTIF($C$4:C5015,C5015)=1,1,0)</f>
        <v>1</v>
      </c>
      <c r="K5015" s="1">
        <f t="shared" si="78"/>
        <v>2024</v>
      </c>
    </row>
    <row r="5016" spans="2:11" x14ac:dyDescent="0.45">
      <c r="B5016" s="1" t="s">
        <v>4000</v>
      </c>
      <c r="C5016" s="1" t="s">
        <v>4970</v>
      </c>
      <c r="D5016" s="7">
        <v>44635</v>
      </c>
      <c r="E5016" s="7">
        <v>44647</v>
      </c>
      <c r="G5016" s="1" t="s">
        <v>1348</v>
      </c>
      <c r="H5016" s="8">
        <v>64805313.049999997</v>
      </c>
      <c r="I5016" s="8">
        <v>43113230.810000002</v>
      </c>
      <c r="J5016" s="1">
        <f>IF(COUNTIF($C$4:C5016,C5016)=1,1,0)</f>
        <v>1</v>
      </c>
      <c r="K5016" s="1">
        <f t="shared" si="78"/>
        <v>2022</v>
      </c>
    </row>
    <row r="5017" spans="2:11" x14ac:dyDescent="0.45">
      <c r="B5017" s="1" t="s">
        <v>4000</v>
      </c>
      <c r="C5017" s="1" t="s">
        <v>4971</v>
      </c>
      <c r="D5017" s="7">
        <v>45431</v>
      </c>
      <c r="E5017" s="7">
        <v>45441</v>
      </c>
      <c r="G5017" s="1" t="s">
        <v>38</v>
      </c>
      <c r="H5017" s="8">
        <v>363448.77</v>
      </c>
      <c r="I5017" s="8">
        <v>317252.32</v>
      </c>
      <c r="J5017" s="1">
        <f>IF(COUNTIF($C$4:C5017,C5017)=1,1,0)</f>
        <v>1</v>
      </c>
      <c r="K5017" s="1">
        <f t="shared" si="78"/>
        <v>2024</v>
      </c>
    </row>
    <row r="5018" spans="2:11" x14ac:dyDescent="0.45">
      <c r="B5018" s="1" t="s">
        <v>4000</v>
      </c>
      <c r="C5018" s="1" t="s">
        <v>4972</v>
      </c>
      <c r="D5018" s="7">
        <v>44209</v>
      </c>
      <c r="E5018" s="7">
        <v>44227</v>
      </c>
      <c r="G5018" s="1" t="s">
        <v>13</v>
      </c>
      <c r="H5018" s="8">
        <v>521678.82</v>
      </c>
      <c r="I5018" s="8">
        <v>394348.29</v>
      </c>
      <c r="J5018" s="1">
        <f>IF(COUNTIF($C$4:C5018,C5018)=1,1,0)</f>
        <v>1</v>
      </c>
      <c r="K5018" s="1">
        <f t="shared" si="78"/>
        <v>2021</v>
      </c>
    </row>
    <row r="5019" spans="2:11" x14ac:dyDescent="0.45">
      <c r="B5019" s="1" t="s">
        <v>4000</v>
      </c>
      <c r="C5019" s="1" t="s">
        <v>4973</v>
      </c>
      <c r="D5019" s="7">
        <v>45063</v>
      </c>
      <c r="E5019" s="7">
        <v>45087</v>
      </c>
      <c r="G5019" s="1" t="s">
        <v>44</v>
      </c>
      <c r="H5019" s="8">
        <v>102899996.84999999</v>
      </c>
      <c r="I5019" s="8">
        <v>47883855.719999999</v>
      </c>
      <c r="J5019" s="1">
        <f>IF(COUNTIF($C$4:C5019,C5019)=1,1,0)</f>
        <v>1</v>
      </c>
      <c r="K5019" s="1">
        <f t="shared" si="78"/>
        <v>2023</v>
      </c>
    </row>
    <row r="5020" spans="2:11" x14ac:dyDescent="0.45">
      <c r="B5020" s="1" t="s">
        <v>4000</v>
      </c>
      <c r="C5020" s="1" t="s">
        <v>4974</v>
      </c>
      <c r="D5020" s="7">
        <v>43973</v>
      </c>
      <c r="E5020" s="7">
        <v>43973</v>
      </c>
      <c r="G5020" s="1" t="s">
        <v>20</v>
      </c>
      <c r="H5020" s="8">
        <v>273122.13</v>
      </c>
      <c r="I5020" s="8">
        <v>222668</v>
      </c>
      <c r="J5020" s="1">
        <f>IF(COUNTIF($C$4:C5020,C5020)=1,1,0)</f>
        <v>1</v>
      </c>
      <c r="K5020" s="1">
        <f t="shared" si="78"/>
        <v>2020</v>
      </c>
    </row>
    <row r="5021" spans="2:11" x14ac:dyDescent="0.45">
      <c r="B5021" s="1" t="s">
        <v>4000</v>
      </c>
      <c r="C5021" s="1" t="s">
        <v>4975</v>
      </c>
      <c r="D5021" s="7">
        <v>44080</v>
      </c>
      <c r="E5021" s="7">
        <v>44089</v>
      </c>
      <c r="G5021" s="1" t="s">
        <v>38</v>
      </c>
      <c r="H5021" s="8">
        <v>548002.61</v>
      </c>
      <c r="I5021" s="8">
        <v>389643.69</v>
      </c>
      <c r="J5021" s="1">
        <f>IF(COUNTIF($C$4:C5021,C5021)=1,1,0)</f>
        <v>1</v>
      </c>
      <c r="K5021" s="1">
        <f t="shared" si="78"/>
        <v>2020</v>
      </c>
    </row>
    <row r="5022" spans="2:11" x14ac:dyDescent="0.45">
      <c r="B5022" s="1" t="s">
        <v>4000</v>
      </c>
      <c r="C5022" s="1" t="s">
        <v>4976</v>
      </c>
      <c r="D5022" s="7">
        <v>45670</v>
      </c>
      <c r="E5022" s="7">
        <v>45692</v>
      </c>
      <c r="G5022" s="1" t="s">
        <v>38</v>
      </c>
      <c r="H5022" s="8">
        <v>196427.54</v>
      </c>
      <c r="I5022" s="8">
        <v>173253.03</v>
      </c>
      <c r="J5022" s="1">
        <f>IF(COUNTIF($C$4:C5022,C5022)=1,1,0)</f>
        <v>1</v>
      </c>
      <c r="K5022" s="1">
        <f t="shared" si="78"/>
        <v>2025</v>
      </c>
    </row>
    <row r="5023" spans="2:11" x14ac:dyDescent="0.45">
      <c r="B5023" s="1" t="s">
        <v>4000</v>
      </c>
      <c r="C5023" s="1" t="s">
        <v>4977</v>
      </c>
      <c r="D5023" s="7">
        <v>43215</v>
      </c>
      <c r="E5023" s="7">
        <v>43216</v>
      </c>
      <c r="G5023" s="1" t="s">
        <v>22</v>
      </c>
      <c r="H5023" s="8">
        <v>9827063.9100000001</v>
      </c>
      <c r="I5023" s="8">
        <v>4309178.8899999997</v>
      </c>
      <c r="J5023" s="1">
        <f>IF(COUNTIF($C$4:C5023,C5023)=1,1,0)</f>
        <v>1</v>
      </c>
      <c r="K5023" s="1">
        <f t="shared" si="78"/>
        <v>2018</v>
      </c>
    </row>
    <row r="5024" spans="2:11" x14ac:dyDescent="0.45">
      <c r="B5024" s="1" t="s">
        <v>4000</v>
      </c>
      <c r="C5024" s="1" t="s">
        <v>4978</v>
      </c>
      <c r="D5024" s="7">
        <v>45004</v>
      </c>
      <c r="E5024" s="7">
        <v>45014</v>
      </c>
      <c r="G5024" s="1" t="s">
        <v>44</v>
      </c>
      <c r="H5024" s="8">
        <v>76643088.609999999</v>
      </c>
      <c r="I5024" s="8">
        <v>59539987.460000001</v>
      </c>
      <c r="J5024" s="1">
        <f>IF(COUNTIF($C$4:C5024,C5024)=1,1,0)</f>
        <v>1</v>
      </c>
      <c r="K5024" s="1">
        <f t="shared" si="78"/>
        <v>2023</v>
      </c>
    </row>
    <row r="5025" spans="2:11" x14ac:dyDescent="0.45">
      <c r="B5025" s="1" t="s">
        <v>4000</v>
      </c>
      <c r="C5025" s="1" t="s">
        <v>4979</v>
      </c>
      <c r="D5025" s="7">
        <v>43732</v>
      </c>
      <c r="E5025" s="7">
        <v>43739</v>
      </c>
      <c r="G5025" s="1" t="s">
        <v>20</v>
      </c>
      <c r="H5025" s="8">
        <v>117525.18</v>
      </c>
      <c r="I5025" s="8">
        <v>88076.96</v>
      </c>
      <c r="J5025" s="1">
        <f>IF(COUNTIF($C$4:C5025,C5025)=1,1,0)</f>
        <v>1</v>
      </c>
      <c r="K5025" s="1">
        <f t="shared" si="78"/>
        <v>2019</v>
      </c>
    </row>
    <row r="5026" spans="2:11" x14ac:dyDescent="0.45">
      <c r="B5026" s="1" t="s">
        <v>4000</v>
      </c>
      <c r="C5026" s="1" t="s">
        <v>4980</v>
      </c>
      <c r="D5026" s="7">
        <v>44991</v>
      </c>
      <c r="E5026" s="7">
        <v>44991</v>
      </c>
      <c r="G5026" s="1" t="s">
        <v>44</v>
      </c>
      <c r="H5026" s="8">
        <v>152227081.15000001</v>
      </c>
      <c r="I5026" s="8">
        <v>98932074.180000007</v>
      </c>
      <c r="J5026" s="1">
        <f>IF(COUNTIF($C$4:C5026,C5026)=1,1,0)</f>
        <v>1</v>
      </c>
      <c r="K5026" s="1">
        <f t="shared" si="78"/>
        <v>2023</v>
      </c>
    </row>
    <row r="5027" spans="2:11" x14ac:dyDescent="0.45">
      <c r="B5027" s="1" t="s">
        <v>4000</v>
      </c>
      <c r="C5027" s="1" t="s">
        <v>4981</v>
      </c>
      <c r="D5027" s="7">
        <v>45871</v>
      </c>
      <c r="E5027" s="7">
        <v>45901</v>
      </c>
      <c r="G5027" s="1" t="s">
        <v>44</v>
      </c>
      <c r="H5027" s="8">
        <v>44080561.450000003</v>
      </c>
      <c r="I5027" s="8">
        <v>25066313.539999999</v>
      </c>
      <c r="J5027" s="1">
        <f>IF(COUNTIF($C$4:C5027,C5027)=1,1,0)</f>
        <v>1</v>
      </c>
      <c r="K5027" s="1">
        <f t="shared" si="78"/>
        <v>2025</v>
      </c>
    </row>
    <row r="5028" spans="2:11" x14ac:dyDescent="0.45">
      <c r="B5028" s="1" t="s">
        <v>4000</v>
      </c>
      <c r="C5028" s="1" t="s">
        <v>4982</v>
      </c>
      <c r="D5028" s="7">
        <v>44629</v>
      </c>
      <c r="E5028" s="7">
        <v>44637</v>
      </c>
      <c r="G5028" s="1" t="s">
        <v>212</v>
      </c>
      <c r="H5028" s="8">
        <v>13481622.279999999</v>
      </c>
      <c r="I5028" s="8">
        <v>8650479.0899999999</v>
      </c>
      <c r="J5028" s="1">
        <f>IF(COUNTIF($C$4:C5028,C5028)=1,1,0)</f>
        <v>1</v>
      </c>
      <c r="K5028" s="1">
        <f t="shared" si="78"/>
        <v>2022</v>
      </c>
    </row>
    <row r="5029" spans="2:11" x14ac:dyDescent="0.45">
      <c r="B5029" s="1" t="s">
        <v>4000</v>
      </c>
      <c r="C5029" s="1" t="s">
        <v>4983</v>
      </c>
      <c r="D5029" s="7">
        <v>43389</v>
      </c>
      <c r="E5029" s="7">
        <v>43395</v>
      </c>
      <c r="G5029" s="1" t="s">
        <v>212</v>
      </c>
      <c r="H5029" s="8">
        <v>15777708.66</v>
      </c>
      <c r="I5029" s="8">
        <v>8202848.9800000004</v>
      </c>
      <c r="J5029" s="1">
        <f>IF(COUNTIF($C$4:C5029,C5029)=1,1,0)</f>
        <v>1</v>
      </c>
      <c r="K5029" s="1">
        <f t="shared" si="78"/>
        <v>2018</v>
      </c>
    </row>
    <row r="5030" spans="2:11" x14ac:dyDescent="0.45">
      <c r="B5030" s="1" t="s">
        <v>4000</v>
      </c>
      <c r="C5030" s="1" t="s">
        <v>4984</v>
      </c>
      <c r="D5030" s="7">
        <v>44041</v>
      </c>
      <c r="E5030" s="7">
        <v>44053</v>
      </c>
      <c r="G5030" s="1" t="s">
        <v>41</v>
      </c>
      <c r="H5030" s="8">
        <v>48389.03</v>
      </c>
      <c r="I5030" s="8">
        <v>39154.699999999997</v>
      </c>
      <c r="J5030" s="1">
        <f>IF(COUNTIF($C$4:C5030,C5030)=1,1,0)</f>
        <v>1</v>
      </c>
      <c r="K5030" s="1">
        <f t="shared" si="78"/>
        <v>2020</v>
      </c>
    </row>
    <row r="5031" spans="2:11" x14ac:dyDescent="0.45">
      <c r="B5031" s="1" t="s">
        <v>4000</v>
      </c>
      <c r="C5031" s="1" t="s">
        <v>4985</v>
      </c>
      <c r="D5031" s="7">
        <v>45273</v>
      </c>
      <c r="E5031" s="7">
        <v>45283</v>
      </c>
      <c r="G5031" s="1" t="s">
        <v>20</v>
      </c>
      <c r="H5031" s="8">
        <v>848684.99</v>
      </c>
      <c r="I5031" s="8">
        <v>572608.62</v>
      </c>
      <c r="J5031" s="1">
        <f>IF(COUNTIF($C$4:C5031,C5031)=1,1,0)</f>
        <v>1</v>
      </c>
      <c r="K5031" s="1">
        <f t="shared" si="78"/>
        <v>2023</v>
      </c>
    </row>
    <row r="5032" spans="2:11" x14ac:dyDescent="0.45">
      <c r="B5032" s="1" t="s">
        <v>4000</v>
      </c>
      <c r="C5032" s="1" t="s">
        <v>4986</v>
      </c>
      <c r="D5032" s="7">
        <v>45201</v>
      </c>
      <c r="E5032" s="7">
        <v>45201</v>
      </c>
      <c r="G5032" s="1" t="s">
        <v>212</v>
      </c>
      <c r="H5032" s="8">
        <v>16773744.699999999</v>
      </c>
      <c r="I5032" s="8">
        <v>10298614.800000001</v>
      </c>
      <c r="J5032" s="1">
        <f>IF(COUNTIF($C$4:C5032,C5032)=1,1,0)</f>
        <v>1</v>
      </c>
      <c r="K5032" s="1">
        <f t="shared" si="78"/>
        <v>2023</v>
      </c>
    </row>
    <row r="5033" spans="2:11" x14ac:dyDescent="0.45">
      <c r="B5033" s="1" t="s">
        <v>4000</v>
      </c>
      <c r="C5033" s="1" t="s">
        <v>4987</v>
      </c>
      <c r="D5033" s="7">
        <v>44186</v>
      </c>
      <c r="E5033" s="7">
        <v>44209</v>
      </c>
      <c r="G5033" s="1" t="s">
        <v>13</v>
      </c>
      <c r="H5033" s="8">
        <v>140433.76</v>
      </c>
      <c r="I5033" s="8">
        <v>116680.34</v>
      </c>
      <c r="J5033" s="1">
        <f>IF(COUNTIF($C$4:C5033,C5033)=1,1,0)</f>
        <v>1</v>
      </c>
      <c r="K5033" s="1">
        <f t="shared" si="78"/>
        <v>2020</v>
      </c>
    </row>
    <row r="5034" spans="2:11" x14ac:dyDescent="0.45">
      <c r="B5034" s="1" t="s">
        <v>4000</v>
      </c>
      <c r="C5034" s="1" t="s">
        <v>4988</v>
      </c>
      <c r="D5034" s="7">
        <v>44134</v>
      </c>
      <c r="E5034" s="7">
        <v>44155</v>
      </c>
      <c r="G5034" s="1" t="s">
        <v>16</v>
      </c>
      <c r="H5034" s="8">
        <v>1967611.11</v>
      </c>
      <c r="I5034" s="8">
        <v>1458231.81</v>
      </c>
      <c r="J5034" s="1">
        <f>IF(COUNTIF($C$4:C5034,C5034)=1,1,0)</f>
        <v>1</v>
      </c>
      <c r="K5034" s="1">
        <f t="shared" si="78"/>
        <v>2020</v>
      </c>
    </row>
    <row r="5035" spans="2:11" x14ac:dyDescent="0.45">
      <c r="B5035" s="1" t="s">
        <v>4000</v>
      </c>
      <c r="C5035" s="1" t="s">
        <v>4989</v>
      </c>
      <c r="D5035" s="7">
        <v>43385</v>
      </c>
      <c r="E5035" s="7">
        <v>43388</v>
      </c>
      <c r="G5035" s="1" t="s">
        <v>41</v>
      </c>
      <c r="H5035" s="8">
        <v>165090.44</v>
      </c>
      <c r="I5035" s="8">
        <v>128259.15</v>
      </c>
      <c r="J5035" s="1">
        <f>IF(COUNTIF($C$4:C5035,C5035)=1,1,0)</f>
        <v>1</v>
      </c>
      <c r="K5035" s="1">
        <f t="shared" si="78"/>
        <v>2018</v>
      </c>
    </row>
    <row r="5036" spans="2:11" x14ac:dyDescent="0.45">
      <c r="B5036" s="1" t="s">
        <v>4000</v>
      </c>
      <c r="C5036" s="1" t="s">
        <v>4990</v>
      </c>
      <c r="D5036" s="7">
        <v>44225</v>
      </c>
      <c r="E5036" s="7">
        <v>44253</v>
      </c>
      <c r="G5036" s="1" t="s">
        <v>41</v>
      </c>
      <c r="H5036" s="8">
        <v>431935.72</v>
      </c>
      <c r="I5036" s="8">
        <v>381910.04</v>
      </c>
      <c r="J5036" s="1">
        <f>IF(COUNTIF($C$4:C5036,C5036)=1,1,0)</f>
        <v>1</v>
      </c>
      <c r="K5036" s="1">
        <f t="shared" si="78"/>
        <v>2021</v>
      </c>
    </row>
    <row r="5037" spans="2:11" x14ac:dyDescent="0.45">
      <c r="B5037" s="1" t="s">
        <v>4000</v>
      </c>
      <c r="C5037" s="1" t="s">
        <v>4991</v>
      </c>
      <c r="D5037" s="7">
        <v>44035</v>
      </c>
      <c r="E5037" s="7">
        <v>44052</v>
      </c>
      <c r="G5037" s="1" t="s">
        <v>16</v>
      </c>
      <c r="H5037" s="8">
        <v>1105218.55</v>
      </c>
      <c r="I5037" s="8">
        <v>662404.21</v>
      </c>
      <c r="J5037" s="1">
        <f>IF(COUNTIF($C$4:C5037,C5037)=1,1,0)</f>
        <v>1</v>
      </c>
      <c r="K5037" s="1">
        <f t="shared" si="78"/>
        <v>2020</v>
      </c>
    </row>
    <row r="5038" spans="2:11" x14ac:dyDescent="0.45">
      <c r="B5038" s="1" t="s">
        <v>4000</v>
      </c>
      <c r="C5038" s="1" t="s">
        <v>4992</v>
      </c>
      <c r="D5038" s="7">
        <v>45271</v>
      </c>
      <c r="E5038" s="7">
        <v>45297</v>
      </c>
      <c r="G5038" s="1" t="s">
        <v>44</v>
      </c>
      <c r="H5038" s="8">
        <v>43108034.68</v>
      </c>
      <c r="I5038" s="8">
        <v>16461095.25</v>
      </c>
      <c r="J5038" s="1">
        <f>IF(COUNTIF($C$4:C5038,C5038)=1,1,0)</f>
        <v>1</v>
      </c>
      <c r="K5038" s="1">
        <f t="shared" si="78"/>
        <v>2023</v>
      </c>
    </row>
    <row r="5039" spans="2:11" x14ac:dyDescent="0.45">
      <c r="B5039" s="1" t="s">
        <v>4000</v>
      </c>
      <c r="C5039" s="1" t="s">
        <v>4993</v>
      </c>
      <c r="D5039" s="7">
        <v>45036</v>
      </c>
      <c r="E5039" s="7">
        <v>45066</v>
      </c>
      <c r="G5039" s="1" t="s">
        <v>13</v>
      </c>
      <c r="H5039" s="8">
        <v>396562.75</v>
      </c>
      <c r="I5039" s="8">
        <v>311544.48</v>
      </c>
      <c r="J5039" s="1">
        <f>IF(COUNTIF($C$4:C5039,C5039)=1,1,0)</f>
        <v>1</v>
      </c>
      <c r="K5039" s="1">
        <f t="shared" si="78"/>
        <v>2023</v>
      </c>
    </row>
    <row r="5040" spans="2:11" x14ac:dyDescent="0.45">
      <c r="B5040" s="1" t="s">
        <v>4000</v>
      </c>
      <c r="C5040" s="1" t="s">
        <v>4994</v>
      </c>
      <c r="D5040" s="7">
        <v>46148</v>
      </c>
      <c r="E5040" s="7">
        <v>46171</v>
      </c>
      <c r="G5040" s="1" t="s">
        <v>44</v>
      </c>
      <c r="H5040" s="8">
        <v>70663272.219999999</v>
      </c>
      <c r="I5040" s="8">
        <v>48700850.009999998</v>
      </c>
      <c r="J5040" s="1">
        <f>IF(COUNTIF($C$4:C5040,C5040)=1,1,0)</f>
        <v>1</v>
      </c>
      <c r="K5040" s="1">
        <f t="shared" si="78"/>
        <v>2026</v>
      </c>
    </row>
    <row r="5041" spans="2:11" x14ac:dyDescent="0.45">
      <c r="B5041" s="1" t="s">
        <v>4000</v>
      </c>
      <c r="C5041" s="1" t="s">
        <v>4995</v>
      </c>
      <c r="D5041" s="7">
        <v>44043</v>
      </c>
      <c r="E5041" s="7">
        <v>44057</v>
      </c>
      <c r="G5041" s="1" t="s">
        <v>18</v>
      </c>
      <c r="H5041" s="8">
        <v>3716540.87</v>
      </c>
      <c r="I5041" s="8">
        <v>3336962.13</v>
      </c>
      <c r="J5041" s="1">
        <f>IF(COUNTIF($C$4:C5041,C5041)=1,1,0)</f>
        <v>1</v>
      </c>
      <c r="K5041" s="1">
        <f t="shared" si="78"/>
        <v>2020</v>
      </c>
    </row>
    <row r="5042" spans="2:11" x14ac:dyDescent="0.45">
      <c r="B5042" s="1" t="s">
        <v>4000</v>
      </c>
      <c r="C5042" s="1" t="s">
        <v>4996</v>
      </c>
      <c r="D5042" s="7">
        <v>43312</v>
      </c>
      <c r="E5042" s="7">
        <v>43338</v>
      </c>
      <c r="G5042" s="1" t="s">
        <v>16</v>
      </c>
      <c r="H5042" s="8">
        <v>2505336.35</v>
      </c>
      <c r="I5042" s="8">
        <v>1521929.21</v>
      </c>
      <c r="J5042" s="1">
        <f>IF(COUNTIF($C$4:C5042,C5042)=1,1,0)</f>
        <v>1</v>
      </c>
      <c r="K5042" s="1">
        <f t="shared" si="78"/>
        <v>2018</v>
      </c>
    </row>
    <row r="5043" spans="2:11" x14ac:dyDescent="0.45">
      <c r="B5043" s="1" t="s">
        <v>4000</v>
      </c>
      <c r="C5043" s="1" t="s">
        <v>4997</v>
      </c>
      <c r="D5043" s="7">
        <v>44125</v>
      </c>
      <c r="E5043" s="7">
        <v>44134</v>
      </c>
      <c r="G5043" s="1" t="s">
        <v>20</v>
      </c>
      <c r="H5043" s="8">
        <v>141018.69</v>
      </c>
      <c r="I5043" s="8">
        <v>80147.42</v>
      </c>
      <c r="J5043" s="1">
        <f>IF(COUNTIF($C$4:C5043,C5043)=1,1,0)</f>
        <v>1</v>
      </c>
      <c r="K5043" s="1">
        <f t="shared" si="78"/>
        <v>2020</v>
      </c>
    </row>
    <row r="5044" spans="2:11" x14ac:dyDescent="0.45">
      <c r="B5044" s="1" t="s">
        <v>4000</v>
      </c>
      <c r="C5044" s="1" t="s">
        <v>4998</v>
      </c>
      <c r="D5044" s="7">
        <v>45692</v>
      </c>
      <c r="E5044" s="7">
        <v>45715</v>
      </c>
      <c r="G5044" s="1" t="s">
        <v>1348</v>
      </c>
      <c r="H5044" s="8">
        <v>23364360.09</v>
      </c>
      <c r="I5044" s="8">
        <v>14200572.119999999</v>
      </c>
      <c r="J5044" s="1">
        <f>IF(COUNTIF($C$4:C5044,C5044)=1,1,0)</f>
        <v>1</v>
      </c>
      <c r="K5044" s="1">
        <f t="shared" si="78"/>
        <v>2025</v>
      </c>
    </row>
    <row r="5045" spans="2:11" x14ac:dyDescent="0.45">
      <c r="B5045" s="1" t="s">
        <v>4000</v>
      </c>
      <c r="C5045" s="1" t="s">
        <v>4999</v>
      </c>
      <c r="D5045" s="7">
        <v>45546</v>
      </c>
      <c r="E5045" s="7">
        <v>45569</v>
      </c>
      <c r="G5045" s="1" t="s">
        <v>212</v>
      </c>
      <c r="H5045" s="8">
        <v>35972247.719999999</v>
      </c>
      <c r="I5045" s="8">
        <v>27754507.649999999</v>
      </c>
      <c r="J5045" s="1">
        <f>IF(COUNTIF($C$4:C5045,C5045)=1,1,0)</f>
        <v>1</v>
      </c>
      <c r="K5045" s="1">
        <f t="shared" si="78"/>
        <v>2024</v>
      </c>
    </row>
    <row r="5046" spans="2:11" x14ac:dyDescent="0.45">
      <c r="B5046" s="1" t="s">
        <v>4000</v>
      </c>
      <c r="C5046" s="1" t="s">
        <v>5000</v>
      </c>
      <c r="D5046" s="7">
        <v>45434</v>
      </c>
      <c r="E5046" s="7">
        <v>45462</v>
      </c>
      <c r="G5046" s="1" t="s">
        <v>1348</v>
      </c>
      <c r="H5046" s="8">
        <v>55897365.259999998</v>
      </c>
      <c r="I5046" s="8">
        <v>27893229.09</v>
      </c>
      <c r="J5046" s="1">
        <f>IF(COUNTIF($C$4:C5046,C5046)=1,1,0)</f>
        <v>1</v>
      </c>
      <c r="K5046" s="1">
        <f t="shared" si="78"/>
        <v>2024</v>
      </c>
    </row>
    <row r="5047" spans="2:11" x14ac:dyDescent="0.45">
      <c r="B5047" s="1" t="s">
        <v>4000</v>
      </c>
      <c r="C5047" s="1" t="s">
        <v>5001</v>
      </c>
      <c r="D5047" s="7">
        <v>44265</v>
      </c>
      <c r="E5047" s="7">
        <v>44267</v>
      </c>
      <c r="G5047" s="1" t="s">
        <v>1348</v>
      </c>
      <c r="H5047" s="8">
        <v>35174586.280000001</v>
      </c>
      <c r="I5047" s="8">
        <v>27248092.800000001</v>
      </c>
      <c r="J5047" s="1">
        <f>IF(COUNTIF($C$4:C5047,C5047)=1,1,0)</f>
        <v>1</v>
      </c>
      <c r="K5047" s="1">
        <f t="shared" si="78"/>
        <v>2021</v>
      </c>
    </row>
    <row r="5048" spans="2:11" x14ac:dyDescent="0.45">
      <c r="B5048" s="1" t="s">
        <v>4000</v>
      </c>
      <c r="C5048" s="1" t="s">
        <v>5002</v>
      </c>
      <c r="D5048" s="7">
        <v>45850</v>
      </c>
      <c r="E5048" s="7">
        <v>45852</v>
      </c>
      <c r="G5048" s="1" t="s">
        <v>16</v>
      </c>
      <c r="H5048" s="8">
        <v>2806730.02</v>
      </c>
      <c r="I5048" s="8">
        <v>2346109.2599999998</v>
      </c>
      <c r="J5048" s="1">
        <f>IF(COUNTIF($C$4:C5048,C5048)=1,1,0)</f>
        <v>1</v>
      </c>
      <c r="K5048" s="1">
        <f t="shared" si="78"/>
        <v>2025</v>
      </c>
    </row>
    <row r="5049" spans="2:11" x14ac:dyDescent="0.45">
      <c r="B5049" s="1" t="s">
        <v>4000</v>
      </c>
      <c r="C5049" s="1" t="s">
        <v>5003</v>
      </c>
      <c r="D5049" s="7">
        <v>44368</v>
      </c>
      <c r="E5049" s="7">
        <v>44382</v>
      </c>
      <c r="G5049" s="1" t="s">
        <v>41</v>
      </c>
      <c r="H5049" s="8">
        <v>329877.45</v>
      </c>
      <c r="I5049" s="8">
        <v>222520.58</v>
      </c>
      <c r="J5049" s="1">
        <f>IF(COUNTIF($C$4:C5049,C5049)=1,1,0)</f>
        <v>1</v>
      </c>
      <c r="K5049" s="1">
        <f t="shared" si="78"/>
        <v>2021</v>
      </c>
    </row>
    <row r="5050" spans="2:11" x14ac:dyDescent="0.45">
      <c r="B5050" s="1" t="s">
        <v>4000</v>
      </c>
      <c r="C5050" s="1" t="s">
        <v>5004</v>
      </c>
      <c r="D5050" s="7">
        <v>43240</v>
      </c>
      <c r="E5050" s="7">
        <v>43264</v>
      </c>
      <c r="G5050" s="1" t="s">
        <v>212</v>
      </c>
      <c r="H5050" s="8">
        <v>8316115.2400000002</v>
      </c>
      <c r="I5050" s="8">
        <v>5648746.71</v>
      </c>
      <c r="J5050" s="1">
        <f>IF(COUNTIF($C$4:C5050,C5050)=1,1,0)</f>
        <v>1</v>
      </c>
      <c r="K5050" s="1">
        <f t="shared" si="78"/>
        <v>2018</v>
      </c>
    </row>
    <row r="5051" spans="2:11" x14ac:dyDescent="0.45">
      <c r="B5051" s="1" t="s">
        <v>4000</v>
      </c>
      <c r="C5051" s="1" t="s">
        <v>5005</v>
      </c>
      <c r="D5051" s="7">
        <v>43623</v>
      </c>
      <c r="E5051" s="7">
        <v>43645</v>
      </c>
      <c r="G5051" s="1" t="s">
        <v>212</v>
      </c>
      <c r="H5051" s="8">
        <v>15179403.07</v>
      </c>
      <c r="I5051" s="8">
        <v>10071693.539999999</v>
      </c>
      <c r="J5051" s="1">
        <f>IF(COUNTIF($C$4:C5051,C5051)=1,1,0)</f>
        <v>1</v>
      </c>
      <c r="K5051" s="1">
        <f t="shared" si="78"/>
        <v>2019</v>
      </c>
    </row>
    <row r="5052" spans="2:11" x14ac:dyDescent="0.45">
      <c r="B5052" s="1" t="s">
        <v>4000</v>
      </c>
      <c r="C5052" s="1" t="s">
        <v>5006</v>
      </c>
      <c r="D5052" s="7">
        <v>43937</v>
      </c>
      <c r="E5052" s="7">
        <v>43950</v>
      </c>
      <c r="G5052" s="1" t="s">
        <v>212</v>
      </c>
      <c r="H5052" s="8">
        <v>1391736.62</v>
      </c>
      <c r="I5052" s="8">
        <v>607856.84</v>
      </c>
      <c r="J5052" s="1">
        <f>IF(COUNTIF($C$4:C5052,C5052)=1,1,0)</f>
        <v>1</v>
      </c>
      <c r="K5052" s="1">
        <f t="shared" si="78"/>
        <v>2020</v>
      </c>
    </row>
    <row r="5053" spans="2:11" x14ac:dyDescent="0.45">
      <c r="B5053" s="1" t="s">
        <v>4000</v>
      </c>
      <c r="C5053" s="1" t="s">
        <v>5007</v>
      </c>
      <c r="D5053" s="7">
        <v>45263</v>
      </c>
      <c r="E5053" s="7">
        <v>45279</v>
      </c>
      <c r="G5053" s="1" t="s">
        <v>20</v>
      </c>
      <c r="H5053" s="8">
        <v>1099552.51</v>
      </c>
      <c r="I5053" s="8">
        <v>762097.03</v>
      </c>
      <c r="J5053" s="1">
        <f>IF(COUNTIF($C$4:C5053,C5053)=1,1,0)</f>
        <v>1</v>
      </c>
      <c r="K5053" s="1">
        <f t="shared" si="78"/>
        <v>2023</v>
      </c>
    </row>
    <row r="5054" spans="2:11" x14ac:dyDescent="0.45">
      <c r="B5054" s="1" t="s">
        <v>4000</v>
      </c>
      <c r="C5054" s="1" t="s">
        <v>5008</v>
      </c>
      <c r="D5054" s="7">
        <v>44890</v>
      </c>
      <c r="E5054" s="7">
        <v>44906</v>
      </c>
      <c r="G5054" s="1" t="s">
        <v>1348</v>
      </c>
      <c r="H5054" s="8">
        <v>20767628.649999999</v>
      </c>
      <c r="I5054" s="8">
        <v>8969026.8499999996</v>
      </c>
      <c r="J5054" s="1">
        <f>IF(COUNTIF($C$4:C5054,C5054)=1,1,0)</f>
        <v>1</v>
      </c>
      <c r="K5054" s="1">
        <f t="shared" si="78"/>
        <v>2022</v>
      </c>
    </row>
    <row r="5055" spans="2:11" x14ac:dyDescent="0.45">
      <c r="B5055" s="1" t="s">
        <v>4000</v>
      </c>
      <c r="C5055" s="1" t="s">
        <v>5009</v>
      </c>
      <c r="D5055" s="7">
        <v>44000</v>
      </c>
      <c r="E5055" s="7">
        <v>44017</v>
      </c>
      <c r="G5055" s="1" t="s">
        <v>38</v>
      </c>
      <c r="H5055" s="8">
        <v>255191.41</v>
      </c>
      <c r="I5055" s="8">
        <v>228059.46</v>
      </c>
      <c r="J5055" s="1">
        <f>IF(COUNTIF($C$4:C5055,C5055)=1,1,0)</f>
        <v>1</v>
      </c>
      <c r="K5055" s="1">
        <f t="shared" si="78"/>
        <v>2020</v>
      </c>
    </row>
    <row r="5056" spans="2:11" x14ac:dyDescent="0.45">
      <c r="B5056" s="1" t="s">
        <v>4000</v>
      </c>
      <c r="C5056" s="1" t="s">
        <v>5010</v>
      </c>
      <c r="D5056" s="7">
        <v>43626</v>
      </c>
      <c r="E5056" s="7">
        <v>43633</v>
      </c>
      <c r="G5056" s="1" t="s">
        <v>1348</v>
      </c>
      <c r="H5056" s="8">
        <v>42940270.460000001</v>
      </c>
      <c r="I5056" s="8">
        <v>30255671.829999998</v>
      </c>
      <c r="J5056" s="1">
        <f>IF(COUNTIF($C$4:C5056,C5056)=1,1,0)</f>
        <v>1</v>
      </c>
      <c r="K5056" s="1">
        <f t="shared" si="78"/>
        <v>2019</v>
      </c>
    </row>
    <row r="5057" spans="2:11" x14ac:dyDescent="0.45">
      <c r="B5057" s="1" t="s">
        <v>4000</v>
      </c>
      <c r="C5057" s="1" t="s">
        <v>5011</v>
      </c>
      <c r="D5057" s="7">
        <v>43831</v>
      </c>
      <c r="E5057" s="7">
        <v>43847</v>
      </c>
      <c r="G5057" s="1" t="s">
        <v>41</v>
      </c>
      <c r="H5057" s="8">
        <v>57833.2</v>
      </c>
      <c r="I5057" s="8">
        <v>45258.15</v>
      </c>
      <c r="J5057" s="1">
        <f>IF(COUNTIF($C$4:C5057,C5057)=1,1,0)</f>
        <v>1</v>
      </c>
      <c r="K5057" s="1">
        <f t="shared" si="78"/>
        <v>2020</v>
      </c>
    </row>
    <row r="5058" spans="2:11" x14ac:dyDescent="0.45">
      <c r="B5058" s="1" t="s">
        <v>4000</v>
      </c>
      <c r="C5058" s="1" t="s">
        <v>5012</v>
      </c>
      <c r="D5058" s="7">
        <v>45872</v>
      </c>
      <c r="E5058" s="7">
        <v>45878</v>
      </c>
      <c r="G5058" s="1" t="s">
        <v>20</v>
      </c>
      <c r="H5058" s="8">
        <v>277752.67</v>
      </c>
      <c r="I5058" s="8">
        <v>210015.91</v>
      </c>
      <c r="J5058" s="1">
        <f>IF(COUNTIF($C$4:C5058,C5058)=1,1,0)</f>
        <v>1</v>
      </c>
      <c r="K5058" s="1">
        <f t="shared" si="78"/>
        <v>2025</v>
      </c>
    </row>
    <row r="5059" spans="2:11" x14ac:dyDescent="0.45">
      <c r="B5059" s="1" t="s">
        <v>4000</v>
      </c>
      <c r="C5059" s="1" t="s">
        <v>5013</v>
      </c>
      <c r="D5059" s="7">
        <v>45171</v>
      </c>
      <c r="E5059" s="7">
        <v>45174</v>
      </c>
      <c r="G5059" s="1" t="s">
        <v>20</v>
      </c>
      <c r="H5059" s="8">
        <v>260899.13</v>
      </c>
      <c r="I5059" s="8">
        <v>179620.33</v>
      </c>
      <c r="J5059" s="1">
        <f>IF(COUNTIF($C$4:C5059,C5059)=1,1,0)</f>
        <v>1</v>
      </c>
      <c r="K5059" s="1">
        <f t="shared" si="78"/>
        <v>2023</v>
      </c>
    </row>
    <row r="5060" spans="2:11" x14ac:dyDescent="0.45">
      <c r="B5060" s="1" t="s">
        <v>4000</v>
      </c>
      <c r="C5060" s="1" t="s">
        <v>5014</v>
      </c>
      <c r="D5060" s="7">
        <v>45194</v>
      </c>
      <c r="E5060" s="7">
        <v>45213</v>
      </c>
      <c r="G5060" s="1" t="s">
        <v>1348</v>
      </c>
      <c r="H5060" s="8">
        <v>18877562.899999999</v>
      </c>
      <c r="I5060" s="8">
        <v>13272306.890000001</v>
      </c>
      <c r="J5060" s="1">
        <f>IF(COUNTIF($C$4:C5060,C5060)=1,1,0)</f>
        <v>1</v>
      </c>
      <c r="K5060" s="1">
        <f t="shared" si="78"/>
        <v>2023</v>
      </c>
    </row>
    <row r="5061" spans="2:11" x14ac:dyDescent="0.45">
      <c r="B5061" s="1" t="s">
        <v>4000</v>
      </c>
      <c r="C5061" s="1" t="s">
        <v>5015</v>
      </c>
      <c r="D5061" s="7">
        <v>45728</v>
      </c>
      <c r="E5061" s="7">
        <v>45742</v>
      </c>
      <c r="G5061" s="1" t="s">
        <v>20</v>
      </c>
      <c r="H5061" s="8">
        <v>937836.36</v>
      </c>
      <c r="I5061" s="8">
        <v>717351.92</v>
      </c>
      <c r="J5061" s="1">
        <f>IF(COUNTIF($C$4:C5061,C5061)=1,1,0)</f>
        <v>1</v>
      </c>
      <c r="K5061" s="1">
        <f t="shared" ref="K5061:K5124" si="79">YEAR(D5061)</f>
        <v>2025</v>
      </c>
    </row>
    <row r="5062" spans="2:11" x14ac:dyDescent="0.45">
      <c r="B5062" s="1" t="s">
        <v>4000</v>
      </c>
      <c r="C5062" s="1" t="s">
        <v>5016</v>
      </c>
      <c r="D5062" s="7">
        <v>43539</v>
      </c>
      <c r="E5062" s="7">
        <v>43559</v>
      </c>
      <c r="G5062" s="1" t="s">
        <v>22</v>
      </c>
      <c r="H5062" s="8">
        <v>36657856.530000001</v>
      </c>
      <c r="I5062" s="8">
        <v>24515335.5</v>
      </c>
      <c r="J5062" s="1">
        <f>IF(COUNTIF($C$4:C5062,C5062)=1,1,0)</f>
        <v>1</v>
      </c>
      <c r="K5062" s="1">
        <f t="shared" si="79"/>
        <v>2019</v>
      </c>
    </row>
    <row r="5063" spans="2:11" x14ac:dyDescent="0.45">
      <c r="B5063" s="1" t="s">
        <v>4000</v>
      </c>
      <c r="C5063" s="1" t="s">
        <v>5017</v>
      </c>
      <c r="D5063" s="7">
        <v>44243</v>
      </c>
      <c r="E5063" s="7">
        <v>44270</v>
      </c>
      <c r="G5063" s="1" t="s">
        <v>212</v>
      </c>
      <c r="H5063" s="8">
        <v>3185702.4</v>
      </c>
      <c r="I5063" s="8">
        <v>2562211.5299999998</v>
      </c>
      <c r="J5063" s="1">
        <f>IF(COUNTIF($C$4:C5063,C5063)=1,1,0)</f>
        <v>1</v>
      </c>
      <c r="K5063" s="1">
        <f t="shared" si="79"/>
        <v>2021</v>
      </c>
    </row>
    <row r="5064" spans="2:11" x14ac:dyDescent="0.45">
      <c r="B5064" s="1" t="s">
        <v>4000</v>
      </c>
      <c r="C5064" s="1" t="s">
        <v>5018</v>
      </c>
      <c r="D5064" s="7">
        <v>45268</v>
      </c>
      <c r="E5064" s="7">
        <v>45287</v>
      </c>
      <c r="G5064" s="1" t="s">
        <v>44</v>
      </c>
      <c r="H5064" s="8">
        <v>101269644.3</v>
      </c>
      <c r="I5064" s="8">
        <v>58565892.880000003</v>
      </c>
      <c r="J5064" s="1">
        <f>IF(COUNTIF($C$4:C5064,C5064)=1,1,0)</f>
        <v>1</v>
      </c>
      <c r="K5064" s="1">
        <f t="shared" si="79"/>
        <v>2023</v>
      </c>
    </row>
    <row r="5065" spans="2:11" x14ac:dyDescent="0.45">
      <c r="B5065" s="1" t="s">
        <v>4000</v>
      </c>
      <c r="C5065" s="1" t="s">
        <v>5019</v>
      </c>
      <c r="D5065" s="7">
        <v>45496</v>
      </c>
      <c r="E5065" s="7">
        <v>45515</v>
      </c>
      <c r="G5065" s="1" t="s">
        <v>22</v>
      </c>
      <c r="H5065" s="8">
        <v>42568427.240000002</v>
      </c>
      <c r="I5065" s="8">
        <v>21915024.219999999</v>
      </c>
      <c r="J5065" s="1">
        <f>IF(COUNTIF($C$4:C5065,C5065)=1,1,0)</f>
        <v>1</v>
      </c>
      <c r="K5065" s="1">
        <f t="shared" si="79"/>
        <v>2024</v>
      </c>
    </row>
    <row r="5066" spans="2:11" x14ac:dyDescent="0.45">
      <c r="B5066" s="1" t="s">
        <v>4000</v>
      </c>
      <c r="C5066" s="1" t="s">
        <v>5020</v>
      </c>
      <c r="D5066" s="7">
        <v>43388</v>
      </c>
      <c r="E5066" s="7">
        <v>43405</v>
      </c>
      <c r="G5066" s="1" t="s">
        <v>18</v>
      </c>
      <c r="H5066" s="8">
        <v>1709564.36</v>
      </c>
      <c r="I5066" s="8">
        <v>1540055.08</v>
      </c>
      <c r="J5066" s="1">
        <f>IF(COUNTIF($C$4:C5066,C5066)=1,1,0)</f>
        <v>1</v>
      </c>
      <c r="K5066" s="1">
        <f t="shared" si="79"/>
        <v>2018</v>
      </c>
    </row>
    <row r="5067" spans="2:11" x14ac:dyDescent="0.45">
      <c r="B5067" s="1" t="s">
        <v>4000</v>
      </c>
      <c r="C5067" s="1" t="s">
        <v>5021</v>
      </c>
      <c r="D5067" s="7">
        <v>44740</v>
      </c>
      <c r="E5067" s="7">
        <v>44762</v>
      </c>
      <c r="G5067" s="1" t="s">
        <v>16</v>
      </c>
      <c r="H5067" s="8">
        <v>2895742.52</v>
      </c>
      <c r="I5067" s="8">
        <v>2300828.0099999998</v>
      </c>
      <c r="J5067" s="1">
        <f>IF(COUNTIF($C$4:C5067,C5067)=1,1,0)</f>
        <v>1</v>
      </c>
      <c r="K5067" s="1">
        <f t="shared" si="79"/>
        <v>2022</v>
      </c>
    </row>
    <row r="5068" spans="2:11" x14ac:dyDescent="0.45">
      <c r="B5068" s="1" t="s">
        <v>4000</v>
      </c>
      <c r="C5068" s="1" t="s">
        <v>5022</v>
      </c>
      <c r="D5068" s="7">
        <v>45220</v>
      </c>
      <c r="E5068" s="7">
        <v>45220</v>
      </c>
      <c r="G5068" s="1" t="s">
        <v>18</v>
      </c>
      <c r="H5068" s="8">
        <v>19366561.510000002</v>
      </c>
      <c r="I5068" s="8">
        <v>17748913.09</v>
      </c>
      <c r="J5068" s="1">
        <f>IF(COUNTIF($C$4:C5068,C5068)=1,1,0)</f>
        <v>1</v>
      </c>
      <c r="K5068" s="1">
        <f t="shared" si="79"/>
        <v>2023</v>
      </c>
    </row>
    <row r="5069" spans="2:11" x14ac:dyDescent="0.45">
      <c r="B5069" s="1" t="s">
        <v>4000</v>
      </c>
      <c r="C5069" s="1" t="s">
        <v>5023</v>
      </c>
      <c r="D5069" s="7">
        <v>45515</v>
      </c>
      <c r="E5069" s="7">
        <v>45534</v>
      </c>
      <c r="G5069" s="1" t="s">
        <v>18</v>
      </c>
      <c r="H5069" s="8">
        <v>4695357.6500000004</v>
      </c>
      <c r="I5069" s="8">
        <v>3484355.15</v>
      </c>
      <c r="J5069" s="1">
        <f>IF(COUNTIF($C$4:C5069,C5069)=1,1,0)</f>
        <v>1</v>
      </c>
      <c r="K5069" s="1">
        <f t="shared" si="79"/>
        <v>2024</v>
      </c>
    </row>
    <row r="5070" spans="2:11" x14ac:dyDescent="0.45">
      <c r="B5070" s="1" t="s">
        <v>4000</v>
      </c>
      <c r="C5070" s="1" t="s">
        <v>5024</v>
      </c>
      <c r="D5070" s="7">
        <v>46127</v>
      </c>
      <c r="E5070" s="7">
        <v>46137</v>
      </c>
      <c r="G5070" s="1" t="s">
        <v>18</v>
      </c>
      <c r="H5070" s="8">
        <v>8738514.4000000004</v>
      </c>
      <c r="I5070" s="8">
        <v>6625901.8799999999</v>
      </c>
      <c r="J5070" s="1">
        <f>IF(COUNTIF($C$4:C5070,C5070)=1,1,0)</f>
        <v>1</v>
      </c>
      <c r="K5070" s="1">
        <f t="shared" si="79"/>
        <v>2026</v>
      </c>
    </row>
    <row r="5071" spans="2:11" x14ac:dyDescent="0.45">
      <c r="B5071" s="1" t="s">
        <v>4000</v>
      </c>
      <c r="C5071" s="1" t="s">
        <v>5025</v>
      </c>
      <c r="D5071" s="7">
        <v>45294</v>
      </c>
      <c r="E5071" s="7">
        <v>45302</v>
      </c>
      <c r="G5071" s="1" t="s">
        <v>18</v>
      </c>
      <c r="H5071" s="8">
        <v>3046358.25</v>
      </c>
      <c r="I5071" s="8">
        <v>2588652.54</v>
      </c>
      <c r="J5071" s="1">
        <f>IF(COUNTIF($C$4:C5071,C5071)=1,1,0)</f>
        <v>1</v>
      </c>
      <c r="K5071" s="1">
        <f t="shared" si="79"/>
        <v>2024</v>
      </c>
    </row>
    <row r="5072" spans="2:11" x14ac:dyDescent="0.45">
      <c r="B5072" s="1" t="s">
        <v>4000</v>
      </c>
      <c r="C5072" s="1" t="s">
        <v>5026</v>
      </c>
      <c r="D5072" s="7">
        <v>45146</v>
      </c>
      <c r="E5072" s="7">
        <v>45171</v>
      </c>
      <c r="G5072" s="1" t="s">
        <v>41</v>
      </c>
      <c r="H5072" s="8">
        <v>353905.13</v>
      </c>
      <c r="I5072" s="8">
        <v>269197.98</v>
      </c>
      <c r="J5072" s="1">
        <f>IF(COUNTIF($C$4:C5072,C5072)=1,1,0)</f>
        <v>1</v>
      </c>
      <c r="K5072" s="1">
        <f t="shared" si="79"/>
        <v>2023</v>
      </c>
    </row>
    <row r="5073" spans="2:11" x14ac:dyDescent="0.45">
      <c r="B5073" s="1" t="s">
        <v>4000</v>
      </c>
      <c r="C5073" s="1" t="s">
        <v>5027</v>
      </c>
      <c r="D5073" s="7">
        <v>44709</v>
      </c>
      <c r="E5073" s="7">
        <v>44722</v>
      </c>
      <c r="G5073" s="1" t="s">
        <v>212</v>
      </c>
      <c r="H5073" s="8">
        <v>2134114.52</v>
      </c>
      <c r="I5073" s="8">
        <v>1472358.18</v>
      </c>
      <c r="J5073" s="1">
        <f>IF(COUNTIF($C$4:C5073,C5073)=1,1,0)</f>
        <v>1</v>
      </c>
      <c r="K5073" s="1">
        <f t="shared" si="79"/>
        <v>2022</v>
      </c>
    </row>
    <row r="5074" spans="2:11" x14ac:dyDescent="0.45">
      <c r="B5074" s="1" t="s">
        <v>4000</v>
      </c>
      <c r="C5074" s="1" t="s">
        <v>5028</v>
      </c>
      <c r="D5074" s="7">
        <v>45112</v>
      </c>
      <c r="E5074" s="7">
        <v>45124</v>
      </c>
      <c r="G5074" s="1" t="s">
        <v>212</v>
      </c>
      <c r="H5074" s="8">
        <v>1772323.8400000001</v>
      </c>
      <c r="I5074" s="8">
        <v>1345570.01</v>
      </c>
      <c r="J5074" s="1">
        <f>IF(COUNTIF($C$4:C5074,C5074)=1,1,0)</f>
        <v>1</v>
      </c>
      <c r="K5074" s="1">
        <f t="shared" si="79"/>
        <v>2023</v>
      </c>
    </row>
    <row r="5075" spans="2:11" x14ac:dyDescent="0.45">
      <c r="B5075" s="1" t="s">
        <v>4000</v>
      </c>
      <c r="C5075" s="1" t="s">
        <v>5029</v>
      </c>
      <c r="D5075" s="7">
        <v>45156</v>
      </c>
      <c r="E5075" s="7">
        <v>45171</v>
      </c>
      <c r="G5075" s="1" t="s">
        <v>13</v>
      </c>
      <c r="H5075" s="8">
        <v>169512.57</v>
      </c>
      <c r="I5075" s="8">
        <v>127117.47</v>
      </c>
      <c r="J5075" s="1">
        <f>IF(COUNTIF($C$4:C5075,C5075)=1,1,0)</f>
        <v>1</v>
      </c>
      <c r="K5075" s="1">
        <f t="shared" si="79"/>
        <v>2023</v>
      </c>
    </row>
    <row r="5076" spans="2:11" x14ac:dyDescent="0.45">
      <c r="B5076" s="1" t="s">
        <v>4000</v>
      </c>
      <c r="C5076" s="1" t="s">
        <v>5030</v>
      </c>
      <c r="D5076" s="7">
        <v>44638</v>
      </c>
      <c r="E5076" s="7">
        <v>44651</v>
      </c>
      <c r="G5076" s="1" t="s">
        <v>38</v>
      </c>
      <c r="H5076" s="8">
        <v>535802.93999999994</v>
      </c>
      <c r="I5076" s="8">
        <v>372813.92</v>
      </c>
      <c r="J5076" s="1">
        <f>IF(COUNTIF($C$4:C5076,C5076)=1,1,0)</f>
        <v>1</v>
      </c>
      <c r="K5076" s="1">
        <f t="shared" si="79"/>
        <v>2022</v>
      </c>
    </row>
    <row r="5077" spans="2:11" x14ac:dyDescent="0.45">
      <c r="B5077" s="1" t="s">
        <v>4000</v>
      </c>
      <c r="C5077" s="1" t="s">
        <v>5031</v>
      </c>
      <c r="D5077" s="7">
        <v>46054</v>
      </c>
      <c r="E5077" s="7">
        <v>46060</v>
      </c>
      <c r="G5077" s="1" t="s">
        <v>212</v>
      </c>
      <c r="H5077" s="8">
        <v>45402211.82</v>
      </c>
      <c r="I5077" s="8">
        <v>31270715.27</v>
      </c>
      <c r="J5077" s="1">
        <f>IF(COUNTIF($C$4:C5077,C5077)=1,1,0)</f>
        <v>1</v>
      </c>
      <c r="K5077" s="1">
        <f t="shared" si="79"/>
        <v>2026</v>
      </c>
    </row>
    <row r="5078" spans="2:11" x14ac:dyDescent="0.45">
      <c r="B5078" s="1" t="s">
        <v>4000</v>
      </c>
      <c r="C5078" s="1" t="s">
        <v>5032</v>
      </c>
      <c r="D5078" s="7">
        <v>43297</v>
      </c>
      <c r="E5078" s="7">
        <v>43324</v>
      </c>
      <c r="G5078" s="1" t="s">
        <v>13</v>
      </c>
      <c r="H5078" s="8">
        <v>1335993.1499999999</v>
      </c>
      <c r="I5078" s="8">
        <v>1125765.6100000001</v>
      </c>
      <c r="J5078" s="1">
        <f>IF(COUNTIF($C$4:C5078,C5078)=1,1,0)</f>
        <v>1</v>
      </c>
      <c r="K5078" s="1">
        <f t="shared" si="79"/>
        <v>2018</v>
      </c>
    </row>
    <row r="5079" spans="2:11" x14ac:dyDescent="0.45">
      <c r="B5079" s="1" t="s">
        <v>4000</v>
      </c>
      <c r="C5079" s="1" t="s">
        <v>5033</v>
      </c>
      <c r="D5079" s="7">
        <v>43475</v>
      </c>
      <c r="E5079" s="7">
        <v>43477</v>
      </c>
      <c r="G5079" s="1" t="s">
        <v>1348</v>
      </c>
      <c r="H5079" s="8">
        <v>125959910.59999999</v>
      </c>
      <c r="I5079" s="8">
        <v>99545033.959999993</v>
      </c>
      <c r="J5079" s="1">
        <f>IF(COUNTIF($C$4:C5079,C5079)=1,1,0)</f>
        <v>1</v>
      </c>
      <c r="K5079" s="1">
        <f t="shared" si="79"/>
        <v>2019</v>
      </c>
    </row>
    <row r="5080" spans="2:11" x14ac:dyDescent="0.45">
      <c r="B5080" s="1" t="s">
        <v>4000</v>
      </c>
      <c r="C5080" s="1" t="s">
        <v>5034</v>
      </c>
      <c r="D5080" s="7">
        <v>43326</v>
      </c>
      <c r="E5080" s="7">
        <v>43337</v>
      </c>
      <c r="G5080" s="1" t="s">
        <v>22</v>
      </c>
      <c r="H5080" s="8">
        <v>9791068.9100000001</v>
      </c>
      <c r="I5080" s="8">
        <v>4402275.0999999996</v>
      </c>
      <c r="J5080" s="1">
        <f>IF(COUNTIF($C$4:C5080,C5080)=1,1,0)</f>
        <v>1</v>
      </c>
      <c r="K5080" s="1">
        <f t="shared" si="79"/>
        <v>2018</v>
      </c>
    </row>
    <row r="5081" spans="2:11" x14ac:dyDescent="0.45">
      <c r="B5081" s="1" t="s">
        <v>4000</v>
      </c>
      <c r="C5081" s="1" t="s">
        <v>5035</v>
      </c>
      <c r="D5081" s="7">
        <v>43634</v>
      </c>
      <c r="E5081" s="7">
        <v>43636</v>
      </c>
      <c r="G5081" s="1" t="s">
        <v>13</v>
      </c>
      <c r="H5081" s="8">
        <v>1096497.1599999999</v>
      </c>
      <c r="I5081" s="8">
        <v>1006026.85</v>
      </c>
      <c r="J5081" s="1">
        <f>IF(COUNTIF($C$4:C5081,C5081)=1,1,0)</f>
        <v>1</v>
      </c>
      <c r="K5081" s="1">
        <f t="shared" si="79"/>
        <v>2019</v>
      </c>
    </row>
    <row r="5082" spans="2:11" x14ac:dyDescent="0.45">
      <c r="B5082" s="1" t="s">
        <v>4000</v>
      </c>
      <c r="C5082" s="1" t="s">
        <v>5036</v>
      </c>
      <c r="D5082" s="7">
        <v>43513</v>
      </c>
      <c r="E5082" s="7">
        <v>43536</v>
      </c>
      <c r="G5082" s="1" t="s">
        <v>18</v>
      </c>
      <c r="H5082" s="8">
        <v>7381319.54</v>
      </c>
      <c r="I5082" s="8">
        <v>6702815.1699999999</v>
      </c>
      <c r="J5082" s="1">
        <f>IF(COUNTIF($C$4:C5082,C5082)=1,1,0)</f>
        <v>1</v>
      </c>
      <c r="K5082" s="1">
        <f t="shared" si="79"/>
        <v>2019</v>
      </c>
    </row>
    <row r="5083" spans="2:11" x14ac:dyDescent="0.45">
      <c r="B5083" s="1" t="s">
        <v>4000</v>
      </c>
      <c r="C5083" s="1" t="s">
        <v>5037</v>
      </c>
      <c r="D5083" s="7">
        <v>44235</v>
      </c>
      <c r="E5083" s="7">
        <v>44246</v>
      </c>
      <c r="G5083" s="1" t="s">
        <v>38</v>
      </c>
      <c r="H5083" s="8">
        <v>300624.27</v>
      </c>
      <c r="I5083" s="8">
        <v>236577.64</v>
      </c>
      <c r="J5083" s="1">
        <f>IF(COUNTIF($C$4:C5083,C5083)=1,1,0)</f>
        <v>1</v>
      </c>
      <c r="K5083" s="1">
        <f t="shared" si="79"/>
        <v>2021</v>
      </c>
    </row>
    <row r="5084" spans="2:11" x14ac:dyDescent="0.45">
      <c r="B5084" s="1" t="s">
        <v>4000</v>
      </c>
      <c r="C5084" s="1" t="s">
        <v>5038</v>
      </c>
      <c r="D5084" s="7">
        <v>45761</v>
      </c>
      <c r="E5084" s="7">
        <v>45789</v>
      </c>
      <c r="G5084" s="1" t="s">
        <v>22</v>
      </c>
      <c r="H5084" s="8">
        <v>6819142.6500000004</v>
      </c>
      <c r="I5084" s="8">
        <v>3751763.55</v>
      </c>
      <c r="J5084" s="1">
        <f>IF(COUNTIF($C$4:C5084,C5084)=1,1,0)</f>
        <v>1</v>
      </c>
      <c r="K5084" s="1">
        <f t="shared" si="79"/>
        <v>2025</v>
      </c>
    </row>
    <row r="5085" spans="2:11" x14ac:dyDescent="0.45">
      <c r="B5085" s="1" t="s">
        <v>4000</v>
      </c>
      <c r="C5085" s="1" t="s">
        <v>5039</v>
      </c>
      <c r="D5085" s="7">
        <v>44882</v>
      </c>
      <c r="E5085" s="7">
        <v>44907</v>
      </c>
      <c r="G5085" s="1" t="s">
        <v>16</v>
      </c>
      <c r="H5085" s="8">
        <v>6308475.0499999998</v>
      </c>
      <c r="I5085" s="8">
        <v>3727131.77</v>
      </c>
      <c r="J5085" s="1">
        <f>IF(COUNTIF($C$4:C5085,C5085)=1,1,0)</f>
        <v>1</v>
      </c>
      <c r="K5085" s="1">
        <f t="shared" si="79"/>
        <v>2022</v>
      </c>
    </row>
    <row r="5086" spans="2:11" x14ac:dyDescent="0.45">
      <c r="B5086" s="1" t="s">
        <v>4000</v>
      </c>
      <c r="C5086" s="1" t="s">
        <v>5040</v>
      </c>
      <c r="D5086" s="7">
        <v>45304</v>
      </c>
      <c r="E5086" s="7">
        <v>45304</v>
      </c>
      <c r="G5086" s="1" t="s">
        <v>22</v>
      </c>
      <c r="H5086" s="8">
        <v>19001247.59</v>
      </c>
      <c r="I5086" s="8">
        <v>13883059</v>
      </c>
      <c r="J5086" s="1">
        <f>IF(COUNTIF($C$4:C5086,C5086)=1,1,0)</f>
        <v>1</v>
      </c>
      <c r="K5086" s="1">
        <f t="shared" si="79"/>
        <v>2024</v>
      </c>
    </row>
    <row r="5087" spans="2:11" x14ac:dyDescent="0.45">
      <c r="B5087" s="1" t="s">
        <v>4000</v>
      </c>
      <c r="C5087" s="1" t="s">
        <v>5041</v>
      </c>
      <c r="D5087" s="7">
        <v>43432</v>
      </c>
      <c r="E5087" s="7">
        <v>43440</v>
      </c>
      <c r="G5087" s="1" t="s">
        <v>16</v>
      </c>
      <c r="H5087" s="8">
        <v>1405996.92</v>
      </c>
      <c r="I5087" s="8">
        <v>1160026.8700000001</v>
      </c>
      <c r="J5087" s="1">
        <f>IF(COUNTIF($C$4:C5087,C5087)=1,1,0)</f>
        <v>1</v>
      </c>
      <c r="K5087" s="1">
        <f t="shared" si="79"/>
        <v>2018</v>
      </c>
    </row>
    <row r="5088" spans="2:11" x14ac:dyDescent="0.45">
      <c r="B5088" s="1" t="s">
        <v>4000</v>
      </c>
      <c r="C5088" s="1" t="s">
        <v>5042</v>
      </c>
      <c r="D5088" s="7">
        <v>46076</v>
      </c>
      <c r="E5088" s="7">
        <v>46102</v>
      </c>
      <c r="G5088" s="1" t="s">
        <v>13</v>
      </c>
      <c r="H5088" s="8">
        <v>231947.68</v>
      </c>
      <c r="I5088" s="8">
        <v>193820.16</v>
      </c>
      <c r="J5088" s="1">
        <f>IF(COUNTIF($C$4:C5088,C5088)=1,1,0)</f>
        <v>1</v>
      </c>
      <c r="K5088" s="1">
        <f t="shared" si="79"/>
        <v>2026</v>
      </c>
    </row>
    <row r="5089" spans="2:11" x14ac:dyDescent="0.45">
      <c r="B5089" s="1" t="s">
        <v>4000</v>
      </c>
      <c r="C5089" s="1" t="s">
        <v>5043</v>
      </c>
      <c r="D5089" s="7">
        <v>44849</v>
      </c>
      <c r="E5089" s="7">
        <v>44854</v>
      </c>
      <c r="G5089" s="1" t="s">
        <v>13</v>
      </c>
      <c r="H5089" s="8">
        <v>73832.53</v>
      </c>
      <c r="I5089" s="8">
        <v>61423.79</v>
      </c>
      <c r="J5089" s="1">
        <f>IF(COUNTIF($C$4:C5089,C5089)=1,1,0)</f>
        <v>1</v>
      </c>
      <c r="K5089" s="1">
        <f t="shared" si="79"/>
        <v>2022</v>
      </c>
    </row>
    <row r="5090" spans="2:11" x14ac:dyDescent="0.45">
      <c r="B5090" s="1" t="s">
        <v>4000</v>
      </c>
      <c r="C5090" s="1" t="s">
        <v>5044</v>
      </c>
      <c r="D5090" s="7">
        <v>44769</v>
      </c>
      <c r="E5090" s="7">
        <v>44776</v>
      </c>
      <c r="G5090" s="1" t="s">
        <v>22</v>
      </c>
      <c r="H5090" s="8">
        <v>15077506.699999999</v>
      </c>
      <c r="I5090" s="8">
        <v>10062794.390000001</v>
      </c>
      <c r="J5090" s="1">
        <f>IF(COUNTIF($C$4:C5090,C5090)=1,1,0)</f>
        <v>1</v>
      </c>
      <c r="K5090" s="1">
        <f t="shared" si="79"/>
        <v>2022</v>
      </c>
    </row>
    <row r="5091" spans="2:11" x14ac:dyDescent="0.45">
      <c r="B5091" s="1" t="s">
        <v>4000</v>
      </c>
      <c r="C5091" s="1" t="s">
        <v>5045</v>
      </c>
      <c r="D5091" s="7">
        <v>44630</v>
      </c>
      <c r="E5091" s="7">
        <v>44637</v>
      </c>
      <c r="G5091" s="1" t="s">
        <v>18</v>
      </c>
      <c r="H5091" s="8">
        <v>17312904.609999999</v>
      </c>
      <c r="I5091" s="8">
        <v>15264028.32</v>
      </c>
      <c r="J5091" s="1">
        <f>IF(COUNTIF($C$4:C5091,C5091)=1,1,0)</f>
        <v>1</v>
      </c>
      <c r="K5091" s="1">
        <f t="shared" si="79"/>
        <v>2022</v>
      </c>
    </row>
    <row r="5092" spans="2:11" x14ac:dyDescent="0.45">
      <c r="B5092" s="1" t="s">
        <v>4000</v>
      </c>
      <c r="C5092" s="1" t="s">
        <v>5046</v>
      </c>
      <c r="D5092" s="7">
        <v>45685</v>
      </c>
      <c r="E5092" s="7">
        <v>45710</v>
      </c>
      <c r="G5092" s="1" t="s">
        <v>13</v>
      </c>
      <c r="H5092" s="8">
        <v>1355274.03</v>
      </c>
      <c r="I5092" s="8">
        <v>1161069.3</v>
      </c>
      <c r="J5092" s="1">
        <f>IF(COUNTIF($C$4:C5092,C5092)=1,1,0)</f>
        <v>1</v>
      </c>
      <c r="K5092" s="1">
        <f t="shared" si="79"/>
        <v>2025</v>
      </c>
    </row>
    <row r="5093" spans="2:11" x14ac:dyDescent="0.45">
      <c r="B5093" s="1" t="s">
        <v>4000</v>
      </c>
      <c r="C5093" s="1" t="s">
        <v>5047</v>
      </c>
      <c r="D5093" s="7">
        <v>44900</v>
      </c>
      <c r="E5093" s="7">
        <v>44930</v>
      </c>
      <c r="G5093" s="1" t="s">
        <v>18</v>
      </c>
      <c r="H5093" s="8">
        <v>1958823.8</v>
      </c>
      <c r="I5093" s="8">
        <v>1393703.04</v>
      </c>
      <c r="J5093" s="1">
        <f>IF(COUNTIF($C$4:C5093,C5093)=1,1,0)</f>
        <v>1</v>
      </c>
      <c r="K5093" s="1">
        <f t="shared" si="79"/>
        <v>2022</v>
      </c>
    </row>
    <row r="5094" spans="2:11" x14ac:dyDescent="0.45">
      <c r="B5094" s="1" t="s">
        <v>4000</v>
      </c>
      <c r="C5094" s="1" t="s">
        <v>5048</v>
      </c>
      <c r="D5094" s="7">
        <v>43753</v>
      </c>
      <c r="E5094" s="7">
        <v>43755</v>
      </c>
      <c r="G5094" s="1" t="s">
        <v>13</v>
      </c>
      <c r="H5094" s="8">
        <v>401412.22</v>
      </c>
      <c r="I5094" s="8">
        <v>311961.18</v>
      </c>
      <c r="J5094" s="1">
        <f>IF(COUNTIF($C$4:C5094,C5094)=1,1,0)</f>
        <v>1</v>
      </c>
      <c r="K5094" s="1">
        <f t="shared" si="79"/>
        <v>2019</v>
      </c>
    </row>
    <row r="5095" spans="2:11" x14ac:dyDescent="0.45">
      <c r="B5095" s="1" t="s">
        <v>4000</v>
      </c>
      <c r="C5095" s="1" t="s">
        <v>5049</v>
      </c>
      <c r="D5095" s="7">
        <v>44730</v>
      </c>
      <c r="E5095" s="7">
        <v>44734</v>
      </c>
      <c r="G5095" s="1" t="s">
        <v>20</v>
      </c>
      <c r="H5095" s="8">
        <v>704512.33</v>
      </c>
      <c r="I5095" s="8">
        <v>438261.67</v>
      </c>
      <c r="J5095" s="1">
        <f>IF(COUNTIF($C$4:C5095,C5095)=1,1,0)</f>
        <v>1</v>
      </c>
      <c r="K5095" s="1">
        <f t="shared" si="79"/>
        <v>2022</v>
      </c>
    </row>
    <row r="5096" spans="2:11" x14ac:dyDescent="0.45">
      <c r="B5096" s="1" t="s">
        <v>4000</v>
      </c>
      <c r="C5096" s="1" t="s">
        <v>5050</v>
      </c>
      <c r="D5096" s="7">
        <v>43510</v>
      </c>
      <c r="E5096" s="7">
        <v>43532</v>
      </c>
      <c r="G5096" s="1" t="s">
        <v>20</v>
      </c>
      <c r="H5096" s="8">
        <v>1142403.6000000001</v>
      </c>
      <c r="I5096" s="8">
        <v>957042.72</v>
      </c>
      <c r="J5096" s="1">
        <f>IF(COUNTIF($C$4:C5096,C5096)=1,1,0)</f>
        <v>1</v>
      </c>
      <c r="K5096" s="1">
        <f t="shared" si="79"/>
        <v>2019</v>
      </c>
    </row>
    <row r="5097" spans="2:11" x14ac:dyDescent="0.45">
      <c r="B5097" s="1" t="s">
        <v>4000</v>
      </c>
      <c r="C5097" s="1" t="s">
        <v>5051</v>
      </c>
      <c r="D5097" s="7">
        <v>43823</v>
      </c>
      <c r="E5097" s="7">
        <v>43846</v>
      </c>
      <c r="G5097" s="1" t="s">
        <v>16</v>
      </c>
      <c r="H5097" s="8">
        <v>412168.26</v>
      </c>
      <c r="I5097" s="8">
        <v>287969.57</v>
      </c>
      <c r="J5097" s="1">
        <f>IF(COUNTIF($C$4:C5097,C5097)=1,1,0)</f>
        <v>1</v>
      </c>
      <c r="K5097" s="1">
        <f t="shared" si="79"/>
        <v>2019</v>
      </c>
    </row>
    <row r="5098" spans="2:11" x14ac:dyDescent="0.45">
      <c r="B5098" s="1" t="s">
        <v>4000</v>
      </c>
      <c r="C5098" s="1" t="s">
        <v>5052</v>
      </c>
      <c r="D5098" s="7">
        <v>44964</v>
      </c>
      <c r="E5098" s="7">
        <v>44984</v>
      </c>
      <c r="G5098" s="1" t="s">
        <v>18</v>
      </c>
      <c r="H5098" s="8">
        <v>828586.33</v>
      </c>
      <c r="I5098" s="8">
        <v>654737.68999999994</v>
      </c>
      <c r="J5098" s="1">
        <f>IF(COUNTIF($C$4:C5098,C5098)=1,1,0)</f>
        <v>1</v>
      </c>
      <c r="K5098" s="1">
        <f t="shared" si="79"/>
        <v>2023</v>
      </c>
    </row>
    <row r="5099" spans="2:11" x14ac:dyDescent="0.45">
      <c r="B5099" s="1" t="s">
        <v>4000</v>
      </c>
      <c r="C5099" s="1" t="s">
        <v>5053</v>
      </c>
      <c r="D5099" s="7">
        <v>44356</v>
      </c>
      <c r="E5099" s="7">
        <v>44378</v>
      </c>
      <c r="G5099" s="1" t="s">
        <v>16</v>
      </c>
      <c r="H5099" s="8">
        <v>4346929.93</v>
      </c>
      <c r="I5099" s="8">
        <v>3298002.3</v>
      </c>
      <c r="J5099" s="1">
        <f>IF(COUNTIF($C$4:C5099,C5099)=1,1,0)</f>
        <v>1</v>
      </c>
      <c r="K5099" s="1">
        <f t="shared" si="79"/>
        <v>2021</v>
      </c>
    </row>
    <row r="5100" spans="2:11" x14ac:dyDescent="0.45">
      <c r="B5100" s="1" t="s">
        <v>4000</v>
      </c>
      <c r="C5100" s="1" t="s">
        <v>5054</v>
      </c>
      <c r="D5100" s="7">
        <v>45916</v>
      </c>
      <c r="E5100" s="7">
        <v>45923</v>
      </c>
      <c r="G5100" s="1" t="s">
        <v>38</v>
      </c>
      <c r="H5100" s="8">
        <v>107201.54</v>
      </c>
      <c r="I5100" s="8">
        <v>77890.149999999994</v>
      </c>
      <c r="J5100" s="1">
        <f>IF(COUNTIF($C$4:C5100,C5100)=1,1,0)</f>
        <v>1</v>
      </c>
      <c r="K5100" s="1">
        <f t="shared" si="79"/>
        <v>2025</v>
      </c>
    </row>
    <row r="5101" spans="2:11" x14ac:dyDescent="0.45">
      <c r="B5101" s="1" t="s">
        <v>4000</v>
      </c>
      <c r="C5101" s="1" t="s">
        <v>5055</v>
      </c>
      <c r="D5101" s="7">
        <v>45703</v>
      </c>
      <c r="E5101" s="7">
        <v>45709</v>
      </c>
      <c r="G5101" s="1" t="s">
        <v>16</v>
      </c>
      <c r="H5101" s="8">
        <v>660998.81000000006</v>
      </c>
      <c r="I5101" s="8">
        <v>493095.59</v>
      </c>
      <c r="J5101" s="1">
        <f>IF(COUNTIF($C$4:C5101,C5101)=1,1,0)</f>
        <v>1</v>
      </c>
      <c r="K5101" s="1">
        <f t="shared" si="79"/>
        <v>2025</v>
      </c>
    </row>
    <row r="5102" spans="2:11" x14ac:dyDescent="0.45">
      <c r="B5102" s="1" t="s">
        <v>4000</v>
      </c>
      <c r="C5102" s="1" t="s">
        <v>5056</v>
      </c>
      <c r="D5102" s="7">
        <v>44648</v>
      </c>
      <c r="E5102" s="7">
        <v>44653</v>
      </c>
      <c r="G5102" s="1" t="s">
        <v>38</v>
      </c>
      <c r="H5102" s="8">
        <v>198460.85</v>
      </c>
      <c r="I5102" s="8">
        <v>179761.97</v>
      </c>
      <c r="J5102" s="1">
        <f>IF(COUNTIF($C$4:C5102,C5102)=1,1,0)</f>
        <v>1</v>
      </c>
      <c r="K5102" s="1">
        <f t="shared" si="79"/>
        <v>2022</v>
      </c>
    </row>
    <row r="5103" spans="2:11" x14ac:dyDescent="0.45">
      <c r="B5103" s="1" t="s">
        <v>4000</v>
      </c>
      <c r="C5103" s="1" t="s">
        <v>5057</v>
      </c>
      <c r="D5103" s="7">
        <v>44314</v>
      </c>
      <c r="E5103" s="7">
        <v>44317</v>
      </c>
      <c r="G5103" s="1" t="s">
        <v>38</v>
      </c>
      <c r="H5103" s="8">
        <v>500040.68</v>
      </c>
      <c r="I5103" s="8">
        <v>451020.79999999999</v>
      </c>
      <c r="J5103" s="1">
        <f>IF(COUNTIF($C$4:C5103,C5103)=1,1,0)</f>
        <v>1</v>
      </c>
      <c r="K5103" s="1">
        <f t="shared" si="79"/>
        <v>2021</v>
      </c>
    </row>
    <row r="5104" spans="2:11" x14ac:dyDescent="0.45">
      <c r="B5104" s="1" t="s">
        <v>4000</v>
      </c>
      <c r="C5104" s="1" t="s">
        <v>5058</v>
      </c>
      <c r="D5104" s="7">
        <v>44869</v>
      </c>
      <c r="E5104" s="7">
        <v>44871</v>
      </c>
      <c r="G5104" s="1" t="s">
        <v>212</v>
      </c>
      <c r="H5104" s="8">
        <v>1775331.15</v>
      </c>
      <c r="I5104" s="8">
        <v>1204110.06</v>
      </c>
      <c r="J5104" s="1">
        <f>IF(COUNTIF($C$4:C5104,C5104)=1,1,0)</f>
        <v>1</v>
      </c>
      <c r="K5104" s="1">
        <f t="shared" si="79"/>
        <v>2022</v>
      </c>
    </row>
    <row r="5105" spans="2:11" x14ac:dyDescent="0.45">
      <c r="B5105" s="1" t="s">
        <v>4000</v>
      </c>
      <c r="C5105" s="1" t="s">
        <v>5059</v>
      </c>
      <c r="D5105" s="7">
        <v>43572</v>
      </c>
      <c r="E5105" s="7">
        <v>43586</v>
      </c>
      <c r="G5105" s="1" t="s">
        <v>1348</v>
      </c>
      <c r="H5105" s="8">
        <v>8892216.4399999995</v>
      </c>
      <c r="I5105" s="8">
        <v>5770443.8099999996</v>
      </c>
      <c r="J5105" s="1">
        <f>IF(COUNTIF($C$4:C5105,C5105)=1,1,0)</f>
        <v>1</v>
      </c>
      <c r="K5105" s="1">
        <f t="shared" si="79"/>
        <v>2019</v>
      </c>
    </row>
    <row r="5106" spans="2:11" x14ac:dyDescent="0.45">
      <c r="B5106" s="1" t="s">
        <v>4000</v>
      </c>
      <c r="C5106" s="1" t="s">
        <v>5060</v>
      </c>
      <c r="D5106" s="7">
        <v>44468</v>
      </c>
      <c r="E5106" s="7">
        <v>44480</v>
      </c>
      <c r="G5106" s="1" t="s">
        <v>41</v>
      </c>
      <c r="H5106" s="8">
        <v>145698.54</v>
      </c>
      <c r="I5106" s="8">
        <v>129479.75</v>
      </c>
      <c r="J5106" s="1">
        <f>IF(COUNTIF($C$4:C5106,C5106)=1,1,0)</f>
        <v>1</v>
      </c>
      <c r="K5106" s="1">
        <f t="shared" si="79"/>
        <v>2021</v>
      </c>
    </row>
    <row r="5107" spans="2:11" x14ac:dyDescent="0.45">
      <c r="B5107" s="1" t="s">
        <v>4000</v>
      </c>
      <c r="C5107" s="1" t="s">
        <v>5061</v>
      </c>
      <c r="D5107" s="7">
        <v>44599</v>
      </c>
      <c r="E5107" s="7">
        <v>44603</v>
      </c>
      <c r="G5107" s="1" t="s">
        <v>212</v>
      </c>
      <c r="H5107" s="8">
        <v>30074412.93</v>
      </c>
      <c r="I5107" s="8">
        <v>17666000.989999998</v>
      </c>
      <c r="J5107" s="1">
        <f>IF(COUNTIF($C$4:C5107,C5107)=1,1,0)</f>
        <v>1</v>
      </c>
      <c r="K5107" s="1">
        <f t="shared" si="79"/>
        <v>2022</v>
      </c>
    </row>
    <row r="5108" spans="2:11" x14ac:dyDescent="0.45">
      <c r="B5108" s="1" t="s">
        <v>4000</v>
      </c>
      <c r="C5108" s="1" t="s">
        <v>5062</v>
      </c>
      <c r="D5108" s="7">
        <v>43344</v>
      </c>
      <c r="E5108" s="7">
        <v>43373</v>
      </c>
      <c r="G5108" s="1" t="s">
        <v>38</v>
      </c>
      <c r="H5108" s="8">
        <v>535402.37</v>
      </c>
      <c r="I5108" s="8">
        <v>486359.55</v>
      </c>
      <c r="J5108" s="1">
        <f>IF(COUNTIF($C$4:C5108,C5108)=1,1,0)</f>
        <v>1</v>
      </c>
      <c r="K5108" s="1">
        <f t="shared" si="79"/>
        <v>2018</v>
      </c>
    </row>
    <row r="5109" spans="2:11" x14ac:dyDescent="0.45">
      <c r="B5109" s="1" t="s">
        <v>4000</v>
      </c>
      <c r="C5109" s="1" t="s">
        <v>5063</v>
      </c>
      <c r="D5109" s="7">
        <v>44109</v>
      </c>
      <c r="E5109" s="7">
        <v>44131</v>
      </c>
      <c r="G5109" s="1" t="s">
        <v>212</v>
      </c>
      <c r="H5109" s="8">
        <v>3590146.07</v>
      </c>
      <c r="I5109" s="8">
        <v>2214164.39</v>
      </c>
      <c r="J5109" s="1">
        <f>IF(COUNTIF($C$4:C5109,C5109)=1,1,0)</f>
        <v>1</v>
      </c>
      <c r="K5109" s="1">
        <f t="shared" si="79"/>
        <v>2020</v>
      </c>
    </row>
    <row r="5110" spans="2:11" x14ac:dyDescent="0.45">
      <c r="B5110" s="1" t="s">
        <v>4000</v>
      </c>
      <c r="C5110" s="1" t="s">
        <v>5064</v>
      </c>
      <c r="D5110" s="7">
        <v>45608</v>
      </c>
      <c r="E5110" s="7">
        <v>45633</v>
      </c>
      <c r="G5110" s="1" t="s">
        <v>41</v>
      </c>
      <c r="H5110" s="8">
        <v>4912.68</v>
      </c>
      <c r="I5110" s="8">
        <v>4423.32</v>
      </c>
      <c r="J5110" s="1">
        <f>IF(COUNTIF($C$4:C5110,C5110)=1,1,0)</f>
        <v>1</v>
      </c>
      <c r="K5110" s="1">
        <f t="shared" si="79"/>
        <v>2024</v>
      </c>
    </row>
    <row r="5111" spans="2:11" x14ac:dyDescent="0.45">
      <c r="B5111" s="1" t="s">
        <v>4000</v>
      </c>
      <c r="C5111" s="1" t="s">
        <v>5065</v>
      </c>
      <c r="D5111" s="7">
        <v>44293</v>
      </c>
      <c r="E5111" s="7">
        <v>44302</v>
      </c>
      <c r="G5111" s="1" t="s">
        <v>16</v>
      </c>
      <c r="H5111" s="8">
        <v>9110424.1600000001</v>
      </c>
      <c r="I5111" s="8">
        <v>7087185.9100000001</v>
      </c>
      <c r="J5111" s="1">
        <f>IF(COUNTIF($C$4:C5111,C5111)=1,1,0)</f>
        <v>1</v>
      </c>
      <c r="K5111" s="1">
        <f t="shared" si="79"/>
        <v>2021</v>
      </c>
    </row>
    <row r="5112" spans="2:11" x14ac:dyDescent="0.45">
      <c r="B5112" s="1" t="s">
        <v>4000</v>
      </c>
      <c r="C5112" s="1" t="s">
        <v>5066</v>
      </c>
      <c r="D5112" s="7">
        <v>43410</v>
      </c>
      <c r="E5112" s="7">
        <v>43426</v>
      </c>
      <c r="G5112" s="1" t="s">
        <v>38</v>
      </c>
      <c r="H5112" s="8">
        <v>450472.77</v>
      </c>
      <c r="I5112" s="8">
        <v>334485.71000000002</v>
      </c>
      <c r="J5112" s="1">
        <f>IF(COUNTIF($C$4:C5112,C5112)=1,1,0)</f>
        <v>1</v>
      </c>
      <c r="K5112" s="1">
        <f t="shared" si="79"/>
        <v>2018</v>
      </c>
    </row>
    <row r="5113" spans="2:11" x14ac:dyDescent="0.45">
      <c r="B5113" s="1" t="s">
        <v>4000</v>
      </c>
      <c r="C5113" s="1" t="s">
        <v>5067</v>
      </c>
      <c r="D5113" s="7">
        <v>45108</v>
      </c>
      <c r="E5113" s="7">
        <v>45128</v>
      </c>
      <c r="G5113" s="1" t="s">
        <v>18</v>
      </c>
      <c r="H5113" s="8">
        <v>2713567.69</v>
      </c>
      <c r="I5113" s="8">
        <v>2376871.2999999998</v>
      </c>
      <c r="J5113" s="1">
        <f>IF(COUNTIF($C$4:C5113,C5113)=1,1,0)</f>
        <v>1</v>
      </c>
      <c r="K5113" s="1">
        <f t="shared" si="79"/>
        <v>2023</v>
      </c>
    </row>
    <row r="5114" spans="2:11" x14ac:dyDescent="0.45">
      <c r="B5114" s="1" t="s">
        <v>4000</v>
      </c>
      <c r="C5114" s="1" t="s">
        <v>5068</v>
      </c>
      <c r="D5114" s="7">
        <v>43805</v>
      </c>
      <c r="E5114" s="7">
        <v>43812</v>
      </c>
      <c r="G5114" s="1" t="s">
        <v>16</v>
      </c>
      <c r="H5114" s="8">
        <v>479550.06</v>
      </c>
      <c r="I5114" s="8">
        <v>337950.75</v>
      </c>
      <c r="J5114" s="1">
        <f>IF(COUNTIF($C$4:C5114,C5114)=1,1,0)</f>
        <v>1</v>
      </c>
      <c r="K5114" s="1">
        <f t="shared" si="79"/>
        <v>2019</v>
      </c>
    </row>
    <row r="5115" spans="2:11" x14ac:dyDescent="0.45">
      <c r="B5115" s="1" t="s">
        <v>4000</v>
      </c>
      <c r="C5115" s="1" t="s">
        <v>5069</v>
      </c>
      <c r="D5115" s="7">
        <v>44240</v>
      </c>
      <c r="E5115" s="7">
        <v>44251</v>
      </c>
      <c r="G5115" s="1" t="s">
        <v>13</v>
      </c>
      <c r="H5115" s="8">
        <v>281349.26</v>
      </c>
      <c r="I5115" s="8">
        <v>191424.28</v>
      </c>
      <c r="J5115" s="1">
        <f>IF(COUNTIF($C$4:C5115,C5115)=1,1,0)</f>
        <v>1</v>
      </c>
      <c r="K5115" s="1">
        <f t="shared" si="79"/>
        <v>2021</v>
      </c>
    </row>
    <row r="5116" spans="2:11" x14ac:dyDescent="0.45">
      <c r="B5116" s="1" t="s">
        <v>4000</v>
      </c>
      <c r="C5116" s="1" t="s">
        <v>5070</v>
      </c>
      <c r="D5116" s="7">
        <v>45283</v>
      </c>
      <c r="E5116" s="7">
        <v>45297</v>
      </c>
      <c r="G5116" s="1" t="s">
        <v>13</v>
      </c>
      <c r="H5116" s="8">
        <v>208447.33</v>
      </c>
      <c r="I5116" s="8">
        <v>138684.17000000001</v>
      </c>
      <c r="J5116" s="1">
        <f>IF(COUNTIF($C$4:C5116,C5116)=1,1,0)</f>
        <v>1</v>
      </c>
      <c r="K5116" s="1">
        <f t="shared" si="79"/>
        <v>2023</v>
      </c>
    </row>
    <row r="5117" spans="2:11" x14ac:dyDescent="0.45">
      <c r="B5117" s="1" t="s">
        <v>4000</v>
      </c>
      <c r="C5117" s="1" t="s">
        <v>5071</v>
      </c>
      <c r="D5117" s="7">
        <v>44273</v>
      </c>
      <c r="E5117" s="7">
        <v>44275</v>
      </c>
      <c r="G5117" s="1" t="s">
        <v>13</v>
      </c>
      <c r="H5117" s="8">
        <v>1146989.05</v>
      </c>
      <c r="I5117" s="8">
        <v>912304.65</v>
      </c>
      <c r="J5117" s="1">
        <f>IF(COUNTIF($C$4:C5117,C5117)=1,1,0)</f>
        <v>1</v>
      </c>
      <c r="K5117" s="1">
        <f t="shared" si="79"/>
        <v>2021</v>
      </c>
    </row>
    <row r="5118" spans="2:11" x14ac:dyDescent="0.45">
      <c r="B5118" s="1" t="s">
        <v>4000</v>
      </c>
      <c r="C5118" s="1" t="s">
        <v>5072</v>
      </c>
      <c r="D5118" s="7">
        <v>44986</v>
      </c>
      <c r="E5118" s="7">
        <v>44987</v>
      </c>
      <c r="G5118" s="1" t="s">
        <v>22</v>
      </c>
      <c r="H5118" s="8">
        <v>22460115.41</v>
      </c>
      <c r="I5118" s="8">
        <v>15824823.699999999</v>
      </c>
      <c r="J5118" s="1">
        <f>IF(COUNTIF($C$4:C5118,C5118)=1,1,0)</f>
        <v>1</v>
      </c>
      <c r="K5118" s="1">
        <f t="shared" si="79"/>
        <v>2023</v>
      </c>
    </row>
    <row r="5119" spans="2:11" x14ac:dyDescent="0.45">
      <c r="B5119" s="1" t="s">
        <v>4000</v>
      </c>
      <c r="C5119" s="1" t="s">
        <v>5073</v>
      </c>
      <c r="D5119" s="7">
        <v>43593</v>
      </c>
      <c r="E5119" s="7">
        <v>43600</v>
      </c>
      <c r="G5119" s="1" t="s">
        <v>41</v>
      </c>
      <c r="H5119" s="8">
        <v>102657.43</v>
      </c>
      <c r="I5119" s="8">
        <v>70955.990000000005</v>
      </c>
      <c r="J5119" s="1">
        <f>IF(COUNTIF($C$4:C5119,C5119)=1,1,0)</f>
        <v>1</v>
      </c>
      <c r="K5119" s="1">
        <f t="shared" si="79"/>
        <v>2019</v>
      </c>
    </row>
    <row r="5120" spans="2:11" x14ac:dyDescent="0.45">
      <c r="B5120" s="1" t="s">
        <v>4000</v>
      </c>
      <c r="C5120" s="1" t="s">
        <v>5074</v>
      </c>
      <c r="D5120" s="7">
        <v>45879</v>
      </c>
      <c r="E5120" s="7">
        <v>45885</v>
      </c>
      <c r="G5120" s="1" t="s">
        <v>38</v>
      </c>
      <c r="H5120" s="8">
        <v>43209.15</v>
      </c>
      <c r="I5120" s="8">
        <v>35420.65</v>
      </c>
      <c r="J5120" s="1">
        <f>IF(COUNTIF($C$4:C5120,C5120)=1,1,0)</f>
        <v>1</v>
      </c>
      <c r="K5120" s="1">
        <f t="shared" si="79"/>
        <v>2025</v>
      </c>
    </row>
    <row r="5121" spans="2:11" x14ac:dyDescent="0.45">
      <c r="B5121" s="1" t="s">
        <v>4000</v>
      </c>
      <c r="C5121" s="1" t="s">
        <v>5075</v>
      </c>
      <c r="D5121" s="7">
        <v>45532</v>
      </c>
      <c r="E5121" s="7">
        <v>45561</v>
      </c>
      <c r="G5121" s="1" t="s">
        <v>38</v>
      </c>
      <c r="H5121" s="8">
        <v>1414797.3</v>
      </c>
      <c r="I5121" s="8">
        <v>1265454.95</v>
      </c>
      <c r="J5121" s="1">
        <f>IF(COUNTIF($C$4:C5121,C5121)=1,1,0)</f>
        <v>1</v>
      </c>
      <c r="K5121" s="1">
        <f t="shared" si="79"/>
        <v>2024</v>
      </c>
    </row>
    <row r="5122" spans="2:11" x14ac:dyDescent="0.45">
      <c r="B5122" s="1" t="s">
        <v>4000</v>
      </c>
      <c r="C5122" s="1" t="s">
        <v>5076</v>
      </c>
      <c r="D5122" s="7">
        <v>43260</v>
      </c>
      <c r="E5122" s="7">
        <v>43260</v>
      </c>
      <c r="G5122" s="1" t="s">
        <v>13</v>
      </c>
      <c r="H5122" s="8">
        <v>101301.69</v>
      </c>
      <c r="I5122" s="8">
        <v>82849.179999999993</v>
      </c>
      <c r="J5122" s="1">
        <f>IF(COUNTIF($C$4:C5122,C5122)=1,1,0)</f>
        <v>1</v>
      </c>
      <c r="K5122" s="1">
        <f t="shared" si="79"/>
        <v>2018</v>
      </c>
    </row>
    <row r="5123" spans="2:11" x14ac:dyDescent="0.45">
      <c r="B5123" s="1" t="s">
        <v>4000</v>
      </c>
      <c r="C5123" s="1" t="s">
        <v>5077</v>
      </c>
      <c r="D5123" s="7">
        <v>45937</v>
      </c>
      <c r="E5123" s="7">
        <v>45949</v>
      </c>
      <c r="G5123" s="1" t="s">
        <v>22</v>
      </c>
      <c r="H5123" s="8">
        <v>13479183.869999999</v>
      </c>
      <c r="I5123" s="8">
        <v>7128557.2300000004</v>
      </c>
      <c r="J5123" s="1">
        <f>IF(COUNTIF($C$4:C5123,C5123)=1,1,0)</f>
        <v>1</v>
      </c>
      <c r="K5123" s="1">
        <f t="shared" si="79"/>
        <v>2025</v>
      </c>
    </row>
    <row r="5124" spans="2:11" x14ac:dyDescent="0.45">
      <c r="B5124" s="1" t="s">
        <v>4000</v>
      </c>
      <c r="C5124" s="1" t="s">
        <v>5078</v>
      </c>
      <c r="D5124" s="7">
        <v>45585</v>
      </c>
      <c r="E5124" s="7">
        <v>45588</v>
      </c>
      <c r="G5124" s="1" t="s">
        <v>1348</v>
      </c>
      <c r="H5124" s="8">
        <v>8803087.3000000007</v>
      </c>
      <c r="I5124" s="8">
        <v>3276074.48</v>
      </c>
      <c r="J5124" s="1">
        <f>IF(COUNTIF($C$4:C5124,C5124)=1,1,0)</f>
        <v>1</v>
      </c>
      <c r="K5124" s="1">
        <f t="shared" si="79"/>
        <v>2024</v>
      </c>
    </row>
    <row r="5125" spans="2:11" x14ac:dyDescent="0.45">
      <c r="B5125" s="1" t="s">
        <v>4000</v>
      </c>
      <c r="C5125" s="1" t="s">
        <v>5079</v>
      </c>
      <c r="D5125" s="7">
        <v>44784</v>
      </c>
      <c r="E5125" s="7">
        <v>44797</v>
      </c>
      <c r="G5125" s="1" t="s">
        <v>212</v>
      </c>
      <c r="H5125" s="8">
        <v>12951180.52</v>
      </c>
      <c r="I5125" s="8">
        <v>6306235.3700000001</v>
      </c>
      <c r="J5125" s="1">
        <f>IF(COUNTIF($C$4:C5125,C5125)=1,1,0)</f>
        <v>1</v>
      </c>
      <c r="K5125" s="1">
        <f t="shared" ref="K5125:K5188" si="80">YEAR(D5125)</f>
        <v>2022</v>
      </c>
    </row>
    <row r="5126" spans="2:11" x14ac:dyDescent="0.45">
      <c r="B5126" s="1" t="s">
        <v>4000</v>
      </c>
      <c r="C5126" s="1" t="s">
        <v>5080</v>
      </c>
      <c r="D5126" s="7">
        <v>44150</v>
      </c>
      <c r="E5126" s="7">
        <v>44163</v>
      </c>
      <c r="G5126" s="1" t="s">
        <v>20</v>
      </c>
      <c r="H5126" s="8">
        <v>581755.54</v>
      </c>
      <c r="I5126" s="8">
        <v>309151.27</v>
      </c>
      <c r="J5126" s="1">
        <f>IF(COUNTIF($C$4:C5126,C5126)=1,1,0)</f>
        <v>1</v>
      </c>
      <c r="K5126" s="1">
        <f t="shared" si="80"/>
        <v>2020</v>
      </c>
    </row>
    <row r="5127" spans="2:11" x14ac:dyDescent="0.45">
      <c r="B5127" s="1" t="s">
        <v>4000</v>
      </c>
      <c r="C5127" s="1" t="s">
        <v>5081</v>
      </c>
      <c r="D5127" s="7">
        <v>43992</v>
      </c>
      <c r="E5127" s="7">
        <v>44003</v>
      </c>
      <c r="G5127" s="1" t="s">
        <v>41</v>
      </c>
      <c r="H5127" s="8">
        <v>53110.11</v>
      </c>
      <c r="I5127" s="8">
        <v>41463.379999999997</v>
      </c>
      <c r="J5127" s="1">
        <f>IF(COUNTIF($C$4:C5127,C5127)=1,1,0)</f>
        <v>1</v>
      </c>
      <c r="K5127" s="1">
        <f t="shared" si="80"/>
        <v>2020</v>
      </c>
    </row>
    <row r="5128" spans="2:11" x14ac:dyDescent="0.45">
      <c r="B5128" s="1" t="s">
        <v>4000</v>
      </c>
      <c r="C5128" s="1" t="s">
        <v>5082</v>
      </c>
      <c r="D5128" s="7">
        <v>45869</v>
      </c>
      <c r="E5128" s="7">
        <v>45892</v>
      </c>
      <c r="G5128" s="1" t="s">
        <v>41</v>
      </c>
      <c r="H5128" s="8">
        <v>129244.36</v>
      </c>
      <c r="I5128" s="8">
        <v>104695.41</v>
      </c>
      <c r="J5128" s="1">
        <f>IF(COUNTIF($C$4:C5128,C5128)=1,1,0)</f>
        <v>1</v>
      </c>
      <c r="K5128" s="1">
        <f t="shared" si="80"/>
        <v>2025</v>
      </c>
    </row>
    <row r="5129" spans="2:11" x14ac:dyDescent="0.45">
      <c r="B5129" s="1" t="s">
        <v>4000</v>
      </c>
      <c r="C5129" s="1" t="s">
        <v>5083</v>
      </c>
      <c r="D5129" s="7">
        <v>44967</v>
      </c>
      <c r="E5129" s="7">
        <v>44990</v>
      </c>
      <c r="G5129" s="1" t="s">
        <v>20</v>
      </c>
      <c r="H5129" s="8">
        <v>1400042.64</v>
      </c>
      <c r="I5129" s="8">
        <v>1097362.17</v>
      </c>
      <c r="J5129" s="1">
        <f>IF(COUNTIF($C$4:C5129,C5129)=1,1,0)</f>
        <v>1</v>
      </c>
      <c r="K5129" s="1">
        <f t="shared" si="80"/>
        <v>2023</v>
      </c>
    </row>
    <row r="5130" spans="2:11" x14ac:dyDescent="0.45">
      <c r="B5130" s="1" t="s">
        <v>4000</v>
      </c>
      <c r="C5130" s="1" t="s">
        <v>5084</v>
      </c>
      <c r="D5130" s="7">
        <v>43229</v>
      </c>
      <c r="E5130" s="7">
        <v>43239</v>
      </c>
      <c r="G5130" s="1" t="s">
        <v>22</v>
      </c>
      <c r="H5130" s="8">
        <v>3028318.56</v>
      </c>
      <c r="I5130" s="8">
        <v>1688552.27</v>
      </c>
      <c r="J5130" s="1">
        <f>IF(COUNTIF($C$4:C5130,C5130)=1,1,0)</f>
        <v>1</v>
      </c>
      <c r="K5130" s="1">
        <f t="shared" si="80"/>
        <v>2018</v>
      </c>
    </row>
    <row r="5131" spans="2:11" x14ac:dyDescent="0.45">
      <c r="B5131" s="1" t="s">
        <v>4000</v>
      </c>
      <c r="C5131" s="1" t="s">
        <v>5085</v>
      </c>
      <c r="D5131" s="7">
        <v>43886</v>
      </c>
      <c r="E5131" s="7">
        <v>43905</v>
      </c>
      <c r="G5131" s="1" t="s">
        <v>212</v>
      </c>
      <c r="H5131" s="8">
        <v>28840127.629999999</v>
      </c>
      <c r="I5131" s="8">
        <v>16292956.83</v>
      </c>
      <c r="J5131" s="1">
        <f>IF(COUNTIF($C$4:C5131,C5131)=1,1,0)</f>
        <v>1</v>
      </c>
      <c r="K5131" s="1">
        <f t="shared" si="80"/>
        <v>2020</v>
      </c>
    </row>
    <row r="5132" spans="2:11" x14ac:dyDescent="0.45">
      <c r="B5132" s="1" t="s">
        <v>4000</v>
      </c>
      <c r="C5132" s="1" t="s">
        <v>5086</v>
      </c>
      <c r="D5132" s="7">
        <v>45400</v>
      </c>
      <c r="E5132" s="7">
        <v>45413</v>
      </c>
      <c r="G5132" s="1" t="s">
        <v>41</v>
      </c>
      <c r="H5132" s="8">
        <v>233388.43</v>
      </c>
      <c r="I5132" s="8">
        <v>207923.03</v>
      </c>
      <c r="J5132" s="1">
        <f>IF(COUNTIF($C$4:C5132,C5132)=1,1,0)</f>
        <v>1</v>
      </c>
      <c r="K5132" s="1">
        <f t="shared" si="80"/>
        <v>2024</v>
      </c>
    </row>
    <row r="5133" spans="2:11" x14ac:dyDescent="0.45">
      <c r="B5133" s="1" t="s">
        <v>4000</v>
      </c>
      <c r="C5133" s="1" t="s">
        <v>5087</v>
      </c>
      <c r="D5133" s="7">
        <v>45491</v>
      </c>
      <c r="E5133" s="7">
        <v>45518</v>
      </c>
      <c r="G5133" s="1" t="s">
        <v>18</v>
      </c>
      <c r="H5133" s="8">
        <v>3350454.41</v>
      </c>
      <c r="I5133" s="8">
        <v>2737451.96</v>
      </c>
      <c r="J5133" s="1">
        <f>IF(COUNTIF($C$4:C5133,C5133)=1,1,0)</f>
        <v>1</v>
      </c>
      <c r="K5133" s="1">
        <f t="shared" si="80"/>
        <v>2024</v>
      </c>
    </row>
    <row r="5134" spans="2:11" x14ac:dyDescent="0.45">
      <c r="B5134" s="1" t="s">
        <v>4000</v>
      </c>
      <c r="C5134" s="1" t="s">
        <v>5088</v>
      </c>
      <c r="D5134" s="7">
        <v>46107</v>
      </c>
      <c r="E5134" s="7">
        <v>46126</v>
      </c>
      <c r="G5134" s="1" t="s">
        <v>1348</v>
      </c>
      <c r="H5134" s="8">
        <v>29366075.620000001</v>
      </c>
      <c r="I5134" s="8">
        <v>13204064.02</v>
      </c>
      <c r="J5134" s="1">
        <f>IF(COUNTIF($C$4:C5134,C5134)=1,1,0)</f>
        <v>1</v>
      </c>
      <c r="K5134" s="1">
        <f t="shared" si="80"/>
        <v>2026</v>
      </c>
    </row>
    <row r="5135" spans="2:11" x14ac:dyDescent="0.45">
      <c r="B5135" s="1" t="s">
        <v>4000</v>
      </c>
      <c r="C5135" s="1" t="s">
        <v>5089</v>
      </c>
      <c r="D5135" s="7">
        <v>45186</v>
      </c>
      <c r="E5135" s="7">
        <v>45192</v>
      </c>
      <c r="G5135" s="1" t="s">
        <v>41</v>
      </c>
      <c r="H5135" s="8">
        <v>44698.62</v>
      </c>
      <c r="I5135" s="8">
        <v>38915.14</v>
      </c>
      <c r="J5135" s="1">
        <f>IF(COUNTIF($C$4:C5135,C5135)=1,1,0)</f>
        <v>1</v>
      </c>
      <c r="K5135" s="1">
        <f t="shared" si="80"/>
        <v>2023</v>
      </c>
    </row>
    <row r="5136" spans="2:11" x14ac:dyDescent="0.45">
      <c r="B5136" s="1" t="s">
        <v>4000</v>
      </c>
      <c r="C5136" s="1" t="s">
        <v>5090</v>
      </c>
      <c r="D5136" s="7">
        <v>44780</v>
      </c>
      <c r="E5136" s="7">
        <v>44797</v>
      </c>
      <c r="G5136" s="1" t="s">
        <v>18</v>
      </c>
      <c r="H5136" s="8">
        <v>1147200.8</v>
      </c>
      <c r="I5136" s="8">
        <v>878864.65</v>
      </c>
      <c r="J5136" s="1">
        <f>IF(COUNTIF($C$4:C5136,C5136)=1,1,0)</f>
        <v>1</v>
      </c>
      <c r="K5136" s="1">
        <f t="shared" si="80"/>
        <v>2022</v>
      </c>
    </row>
    <row r="5137" spans="2:11" x14ac:dyDescent="0.45">
      <c r="B5137" s="1" t="s">
        <v>4000</v>
      </c>
      <c r="C5137" s="1" t="s">
        <v>5091</v>
      </c>
      <c r="D5137" s="7">
        <v>44277</v>
      </c>
      <c r="E5137" s="7">
        <v>44283</v>
      </c>
      <c r="G5137" s="1" t="s">
        <v>18</v>
      </c>
      <c r="H5137" s="8">
        <v>1207076.8400000001</v>
      </c>
      <c r="I5137" s="8">
        <v>940814.68</v>
      </c>
      <c r="J5137" s="1">
        <f>IF(COUNTIF($C$4:C5137,C5137)=1,1,0)</f>
        <v>1</v>
      </c>
      <c r="K5137" s="1">
        <f t="shared" si="80"/>
        <v>2021</v>
      </c>
    </row>
    <row r="5138" spans="2:11" x14ac:dyDescent="0.45">
      <c r="B5138" s="1" t="s">
        <v>4000</v>
      </c>
      <c r="C5138" s="1" t="s">
        <v>5092</v>
      </c>
      <c r="D5138" s="7">
        <v>45345</v>
      </c>
      <c r="E5138" s="7">
        <v>45359</v>
      </c>
      <c r="G5138" s="1" t="s">
        <v>1348</v>
      </c>
      <c r="H5138" s="8">
        <v>134933378.40000001</v>
      </c>
      <c r="I5138" s="8">
        <v>59894217.609999999</v>
      </c>
      <c r="J5138" s="1">
        <f>IF(COUNTIF($C$4:C5138,C5138)=1,1,0)</f>
        <v>1</v>
      </c>
      <c r="K5138" s="1">
        <f t="shared" si="80"/>
        <v>2024</v>
      </c>
    </row>
    <row r="5139" spans="2:11" x14ac:dyDescent="0.45">
      <c r="B5139" s="1" t="s">
        <v>4000</v>
      </c>
      <c r="C5139" s="1" t="s">
        <v>5093</v>
      </c>
      <c r="D5139" s="7">
        <v>45261</v>
      </c>
      <c r="E5139" s="7">
        <v>45263</v>
      </c>
      <c r="G5139" s="1" t="s">
        <v>38</v>
      </c>
      <c r="H5139" s="8">
        <v>1361385.3</v>
      </c>
      <c r="I5139" s="8">
        <v>1060244.8600000001</v>
      </c>
      <c r="J5139" s="1">
        <f>IF(COUNTIF($C$4:C5139,C5139)=1,1,0)</f>
        <v>1</v>
      </c>
      <c r="K5139" s="1">
        <f t="shared" si="80"/>
        <v>2023</v>
      </c>
    </row>
    <row r="5140" spans="2:11" x14ac:dyDescent="0.45">
      <c r="B5140" s="1" t="s">
        <v>4000</v>
      </c>
      <c r="C5140" s="1" t="s">
        <v>5094</v>
      </c>
      <c r="D5140" s="7">
        <v>44060</v>
      </c>
      <c r="E5140" s="7">
        <v>44070</v>
      </c>
      <c r="G5140" s="1" t="s">
        <v>212</v>
      </c>
      <c r="H5140" s="8">
        <v>11617291.74</v>
      </c>
      <c r="I5140" s="8">
        <v>6287285.96</v>
      </c>
      <c r="J5140" s="1">
        <f>IF(COUNTIF($C$4:C5140,C5140)=1,1,0)</f>
        <v>1</v>
      </c>
      <c r="K5140" s="1">
        <f t="shared" si="80"/>
        <v>2020</v>
      </c>
    </row>
    <row r="5141" spans="2:11" x14ac:dyDescent="0.45">
      <c r="B5141" s="1" t="s">
        <v>4000</v>
      </c>
      <c r="C5141" s="1" t="s">
        <v>5095</v>
      </c>
      <c r="D5141" s="7">
        <v>45665</v>
      </c>
      <c r="E5141" s="7">
        <v>45672</v>
      </c>
      <c r="G5141" s="1" t="s">
        <v>20</v>
      </c>
      <c r="H5141" s="8">
        <v>604675.57999999996</v>
      </c>
      <c r="I5141" s="8">
        <v>329417.21000000002</v>
      </c>
      <c r="J5141" s="1">
        <f>IF(COUNTIF($C$4:C5141,C5141)=1,1,0)</f>
        <v>1</v>
      </c>
      <c r="K5141" s="1">
        <f t="shared" si="80"/>
        <v>2025</v>
      </c>
    </row>
    <row r="5142" spans="2:11" x14ac:dyDescent="0.45">
      <c r="B5142" s="1" t="s">
        <v>4000</v>
      </c>
      <c r="C5142" s="1" t="s">
        <v>5096</v>
      </c>
      <c r="D5142" s="7">
        <v>43502</v>
      </c>
      <c r="E5142" s="7">
        <v>43521</v>
      </c>
      <c r="G5142" s="1" t="s">
        <v>18</v>
      </c>
      <c r="H5142" s="8">
        <v>4014298.77</v>
      </c>
      <c r="I5142" s="8">
        <v>3043479.09</v>
      </c>
      <c r="J5142" s="1">
        <f>IF(COUNTIF($C$4:C5142,C5142)=1,1,0)</f>
        <v>1</v>
      </c>
      <c r="K5142" s="1">
        <f t="shared" si="80"/>
        <v>2019</v>
      </c>
    </row>
    <row r="5143" spans="2:11" x14ac:dyDescent="0.45">
      <c r="B5143" s="1" t="s">
        <v>4000</v>
      </c>
      <c r="C5143" s="1" t="s">
        <v>5097</v>
      </c>
      <c r="D5143" s="7">
        <v>45114</v>
      </c>
      <c r="E5143" s="7">
        <v>45139</v>
      </c>
      <c r="G5143" s="1" t="s">
        <v>18</v>
      </c>
      <c r="H5143" s="8">
        <v>1288134.1000000001</v>
      </c>
      <c r="I5143" s="8">
        <v>1140044.3899999999</v>
      </c>
      <c r="J5143" s="1">
        <f>IF(COUNTIF($C$4:C5143,C5143)=1,1,0)</f>
        <v>1</v>
      </c>
      <c r="K5143" s="1">
        <f t="shared" si="80"/>
        <v>2023</v>
      </c>
    </row>
    <row r="5144" spans="2:11" x14ac:dyDescent="0.45">
      <c r="B5144" s="1" t="s">
        <v>4000</v>
      </c>
      <c r="C5144" s="1" t="s">
        <v>5098</v>
      </c>
      <c r="D5144" s="7">
        <v>44396</v>
      </c>
      <c r="E5144" s="7">
        <v>44405</v>
      </c>
      <c r="G5144" s="1" t="s">
        <v>18</v>
      </c>
      <c r="H5144" s="8">
        <v>8363951.8499999996</v>
      </c>
      <c r="I5144" s="8">
        <v>6939678.8799999999</v>
      </c>
      <c r="J5144" s="1">
        <f>IF(COUNTIF($C$4:C5144,C5144)=1,1,0)</f>
        <v>1</v>
      </c>
      <c r="K5144" s="1">
        <f t="shared" si="80"/>
        <v>2021</v>
      </c>
    </row>
    <row r="5145" spans="2:11" x14ac:dyDescent="0.45">
      <c r="B5145" s="1" t="s">
        <v>4000</v>
      </c>
      <c r="C5145" s="1" t="s">
        <v>5099</v>
      </c>
      <c r="D5145" s="7">
        <v>46166</v>
      </c>
      <c r="E5145" s="7">
        <v>46179</v>
      </c>
      <c r="G5145" s="1" t="s">
        <v>22</v>
      </c>
      <c r="H5145" s="8">
        <v>3266329.2</v>
      </c>
      <c r="I5145" s="8">
        <v>1552940.52</v>
      </c>
      <c r="J5145" s="1">
        <f>IF(COUNTIF($C$4:C5145,C5145)=1,1,0)</f>
        <v>1</v>
      </c>
      <c r="K5145" s="1">
        <f t="shared" si="80"/>
        <v>2026</v>
      </c>
    </row>
    <row r="5146" spans="2:11" x14ac:dyDescent="0.45">
      <c r="B5146" s="1" t="s">
        <v>4000</v>
      </c>
      <c r="C5146" s="1" t="s">
        <v>5100</v>
      </c>
      <c r="D5146" s="7">
        <v>44579</v>
      </c>
      <c r="E5146" s="7">
        <v>44590</v>
      </c>
      <c r="G5146" s="1" t="s">
        <v>38</v>
      </c>
      <c r="H5146" s="8">
        <v>698254.75</v>
      </c>
      <c r="I5146" s="8">
        <v>626335.76</v>
      </c>
      <c r="J5146" s="1">
        <f>IF(COUNTIF($C$4:C5146,C5146)=1,1,0)</f>
        <v>1</v>
      </c>
      <c r="K5146" s="1">
        <f t="shared" si="80"/>
        <v>2022</v>
      </c>
    </row>
    <row r="5147" spans="2:11" x14ac:dyDescent="0.45">
      <c r="B5147" s="1" t="s">
        <v>4000</v>
      </c>
      <c r="C5147" s="1" t="s">
        <v>5101</v>
      </c>
      <c r="D5147" s="7">
        <v>45500</v>
      </c>
      <c r="E5147" s="7">
        <v>45518</v>
      </c>
      <c r="G5147" s="1" t="s">
        <v>18</v>
      </c>
      <c r="H5147" s="8">
        <v>793879.6</v>
      </c>
      <c r="I5147" s="8">
        <v>710709.22</v>
      </c>
      <c r="J5147" s="1">
        <f>IF(COUNTIF($C$4:C5147,C5147)=1,1,0)</f>
        <v>1</v>
      </c>
      <c r="K5147" s="1">
        <f t="shared" si="80"/>
        <v>2024</v>
      </c>
    </row>
    <row r="5148" spans="2:11" x14ac:dyDescent="0.45">
      <c r="B5148" s="1" t="s">
        <v>4000</v>
      </c>
      <c r="C5148" s="1" t="s">
        <v>5102</v>
      </c>
      <c r="D5148" s="7">
        <v>43591</v>
      </c>
      <c r="E5148" s="7">
        <v>43617</v>
      </c>
      <c r="G5148" s="1" t="s">
        <v>41</v>
      </c>
      <c r="H5148" s="8">
        <v>386287.04</v>
      </c>
      <c r="I5148" s="8">
        <v>339234.22</v>
      </c>
      <c r="J5148" s="1">
        <f>IF(COUNTIF($C$4:C5148,C5148)=1,1,0)</f>
        <v>1</v>
      </c>
      <c r="K5148" s="1">
        <f t="shared" si="80"/>
        <v>2019</v>
      </c>
    </row>
    <row r="5149" spans="2:11" x14ac:dyDescent="0.45">
      <c r="B5149" s="1" t="s">
        <v>4000</v>
      </c>
      <c r="C5149" s="1" t="s">
        <v>5103</v>
      </c>
      <c r="D5149" s="7">
        <v>43851</v>
      </c>
      <c r="E5149" s="7">
        <v>43857</v>
      </c>
      <c r="G5149" s="1" t="s">
        <v>38</v>
      </c>
      <c r="H5149" s="8">
        <v>518736.74</v>
      </c>
      <c r="I5149" s="8">
        <v>436231.39</v>
      </c>
      <c r="J5149" s="1">
        <f>IF(COUNTIF($C$4:C5149,C5149)=1,1,0)</f>
        <v>1</v>
      </c>
      <c r="K5149" s="1">
        <f t="shared" si="80"/>
        <v>2020</v>
      </c>
    </row>
    <row r="5150" spans="2:11" x14ac:dyDescent="0.45">
      <c r="B5150" s="1" t="s">
        <v>4000</v>
      </c>
      <c r="C5150" s="1" t="s">
        <v>5104</v>
      </c>
      <c r="D5150" s="7">
        <v>45724</v>
      </c>
      <c r="E5150" s="7">
        <v>45737</v>
      </c>
      <c r="G5150" s="1" t="s">
        <v>22</v>
      </c>
      <c r="H5150" s="8">
        <v>15647046.720000001</v>
      </c>
      <c r="I5150" s="8">
        <v>10486094.310000001</v>
      </c>
      <c r="J5150" s="1">
        <f>IF(COUNTIF($C$4:C5150,C5150)=1,1,0)</f>
        <v>1</v>
      </c>
      <c r="K5150" s="1">
        <f t="shared" si="80"/>
        <v>2025</v>
      </c>
    </row>
    <row r="5151" spans="2:11" x14ac:dyDescent="0.45">
      <c r="B5151" s="1" t="s">
        <v>4000</v>
      </c>
      <c r="C5151" s="1" t="s">
        <v>5105</v>
      </c>
      <c r="D5151" s="7">
        <v>44052</v>
      </c>
      <c r="E5151" s="7">
        <v>44061</v>
      </c>
      <c r="G5151" s="1" t="s">
        <v>22</v>
      </c>
      <c r="H5151" s="8">
        <v>112316383.8</v>
      </c>
      <c r="I5151" s="8">
        <v>36777412.659999996</v>
      </c>
      <c r="J5151" s="1">
        <f>IF(COUNTIF($C$4:C5151,C5151)=1,1,0)</f>
        <v>1</v>
      </c>
      <c r="K5151" s="1">
        <f t="shared" si="80"/>
        <v>2020</v>
      </c>
    </row>
    <row r="5152" spans="2:11" x14ac:dyDescent="0.45">
      <c r="B5152" s="1" t="s">
        <v>4000</v>
      </c>
      <c r="C5152" s="1" t="s">
        <v>5106</v>
      </c>
      <c r="D5152" s="7">
        <v>43678</v>
      </c>
      <c r="E5152" s="7">
        <v>43693</v>
      </c>
      <c r="G5152" s="1" t="s">
        <v>41</v>
      </c>
      <c r="H5152" s="8">
        <v>515150.1</v>
      </c>
      <c r="I5152" s="8">
        <v>418420.47999999998</v>
      </c>
      <c r="J5152" s="1">
        <f>IF(COUNTIF($C$4:C5152,C5152)=1,1,0)</f>
        <v>1</v>
      </c>
      <c r="K5152" s="1">
        <f t="shared" si="80"/>
        <v>2019</v>
      </c>
    </row>
    <row r="5153" spans="2:11" x14ac:dyDescent="0.45">
      <c r="B5153" s="1" t="s">
        <v>4000</v>
      </c>
      <c r="C5153" s="1" t="s">
        <v>5107</v>
      </c>
      <c r="D5153" s="7">
        <v>44710</v>
      </c>
      <c r="E5153" s="7">
        <v>44740</v>
      </c>
      <c r="G5153" s="1" t="s">
        <v>212</v>
      </c>
      <c r="H5153" s="8">
        <v>24520286.149999999</v>
      </c>
      <c r="I5153" s="8">
        <v>17134141.84</v>
      </c>
      <c r="J5153" s="1">
        <f>IF(COUNTIF($C$4:C5153,C5153)=1,1,0)</f>
        <v>1</v>
      </c>
      <c r="K5153" s="1">
        <f t="shared" si="80"/>
        <v>2022</v>
      </c>
    </row>
    <row r="5154" spans="2:11" x14ac:dyDescent="0.45">
      <c r="B5154" s="1" t="s">
        <v>4000</v>
      </c>
      <c r="C5154" s="1" t="s">
        <v>5108</v>
      </c>
      <c r="D5154" s="7">
        <v>44016</v>
      </c>
      <c r="E5154" s="7">
        <v>44020</v>
      </c>
      <c r="G5154" s="1" t="s">
        <v>1348</v>
      </c>
      <c r="H5154" s="8">
        <v>37751700.840000004</v>
      </c>
      <c r="I5154" s="8">
        <v>27741063.850000001</v>
      </c>
      <c r="J5154" s="1">
        <f>IF(COUNTIF($C$4:C5154,C5154)=1,1,0)</f>
        <v>1</v>
      </c>
      <c r="K5154" s="1">
        <f t="shared" si="80"/>
        <v>2020</v>
      </c>
    </row>
    <row r="5155" spans="2:11" x14ac:dyDescent="0.45">
      <c r="B5155" s="1" t="s">
        <v>4000</v>
      </c>
      <c r="C5155" s="1" t="s">
        <v>5109</v>
      </c>
      <c r="D5155" s="7">
        <v>44233</v>
      </c>
      <c r="E5155" s="7">
        <v>44234</v>
      </c>
      <c r="G5155" s="1" t="s">
        <v>13</v>
      </c>
      <c r="H5155" s="8">
        <v>124966.59</v>
      </c>
      <c r="I5155" s="8">
        <v>99547.67</v>
      </c>
      <c r="J5155" s="1">
        <f>IF(COUNTIF($C$4:C5155,C5155)=1,1,0)</f>
        <v>1</v>
      </c>
      <c r="K5155" s="1">
        <f t="shared" si="80"/>
        <v>2021</v>
      </c>
    </row>
    <row r="5156" spans="2:11" x14ac:dyDescent="0.45">
      <c r="B5156" s="1" t="s">
        <v>4000</v>
      </c>
      <c r="C5156" s="1" t="s">
        <v>5110</v>
      </c>
      <c r="D5156" s="7">
        <v>44159</v>
      </c>
      <c r="E5156" s="7">
        <v>44174</v>
      </c>
      <c r="G5156" s="1" t="s">
        <v>41</v>
      </c>
      <c r="H5156" s="8">
        <v>736955.1</v>
      </c>
      <c r="I5156" s="8">
        <v>630780.01</v>
      </c>
      <c r="J5156" s="1">
        <f>IF(COUNTIF($C$4:C5156,C5156)=1,1,0)</f>
        <v>1</v>
      </c>
      <c r="K5156" s="1">
        <f t="shared" si="80"/>
        <v>2020</v>
      </c>
    </row>
    <row r="5157" spans="2:11" x14ac:dyDescent="0.45">
      <c r="B5157" s="1" t="s">
        <v>4000</v>
      </c>
      <c r="C5157" s="1" t="s">
        <v>5111</v>
      </c>
      <c r="D5157" s="7">
        <v>43492</v>
      </c>
      <c r="E5157" s="7">
        <v>43515</v>
      </c>
      <c r="G5157" s="1" t="s">
        <v>38</v>
      </c>
      <c r="H5157" s="8">
        <v>279475.01</v>
      </c>
      <c r="I5157" s="8">
        <v>221867.88</v>
      </c>
      <c r="J5157" s="1">
        <f>IF(COUNTIF($C$4:C5157,C5157)=1,1,0)</f>
        <v>1</v>
      </c>
      <c r="K5157" s="1">
        <f t="shared" si="80"/>
        <v>2019</v>
      </c>
    </row>
    <row r="5158" spans="2:11" x14ac:dyDescent="0.45">
      <c r="B5158" s="1" t="s">
        <v>4000</v>
      </c>
      <c r="C5158" s="1" t="s">
        <v>5112</v>
      </c>
      <c r="D5158" s="7">
        <v>45266</v>
      </c>
      <c r="E5158" s="7">
        <v>45291</v>
      </c>
      <c r="G5158" s="1" t="s">
        <v>41</v>
      </c>
      <c r="H5158" s="8">
        <v>625721.24</v>
      </c>
      <c r="I5158" s="8">
        <v>560958.99</v>
      </c>
      <c r="J5158" s="1">
        <f>IF(COUNTIF($C$4:C5158,C5158)=1,1,0)</f>
        <v>1</v>
      </c>
      <c r="K5158" s="1">
        <f t="shared" si="80"/>
        <v>2023</v>
      </c>
    </row>
    <row r="5159" spans="2:11" x14ac:dyDescent="0.45">
      <c r="B5159" s="1" t="s">
        <v>4000</v>
      </c>
      <c r="C5159" s="1" t="s">
        <v>4820</v>
      </c>
      <c r="D5159" s="7">
        <v>45678</v>
      </c>
      <c r="E5159" s="7">
        <v>45684</v>
      </c>
      <c r="G5159" s="1" t="s">
        <v>18</v>
      </c>
      <c r="H5159" s="8">
        <v>3527495.2</v>
      </c>
      <c r="I5159" s="8">
        <v>2735499.96</v>
      </c>
      <c r="J5159" s="1">
        <f>IF(COUNTIF($C$4:C5159,C5159)=1,1,0)</f>
        <v>0</v>
      </c>
      <c r="K5159" s="1">
        <f t="shared" si="80"/>
        <v>2025</v>
      </c>
    </row>
    <row r="5160" spans="2:11" x14ac:dyDescent="0.45">
      <c r="B5160" s="1" t="s">
        <v>4000</v>
      </c>
      <c r="C5160" s="1" t="s">
        <v>5113</v>
      </c>
      <c r="D5160" s="7">
        <v>44183</v>
      </c>
      <c r="E5160" s="7">
        <v>44207</v>
      </c>
      <c r="G5160" s="1" t="s">
        <v>13</v>
      </c>
      <c r="H5160" s="8">
        <v>286676.74</v>
      </c>
      <c r="I5160" s="8">
        <v>252771.96</v>
      </c>
      <c r="J5160" s="1">
        <f>IF(COUNTIF($C$4:C5160,C5160)=1,1,0)</f>
        <v>1</v>
      </c>
      <c r="K5160" s="1">
        <f t="shared" si="80"/>
        <v>2020</v>
      </c>
    </row>
    <row r="5161" spans="2:11" x14ac:dyDescent="0.45">
      <c r="B5161" s="1" t="s">
        <v>4000</v>
      </c>
      <c r="C5161" s="1" t="s">
        <v>5114</v>
      </c>
      <c r="D5161" s="7">
        <v>45546</v>
      </c>
      <c r="E5161" s="7">
        <v>45557</v>
      </c>
      <c r="G5161" s="1" t="s">
        <v>41</v>
      </c>
      <c r="H5161" s="8">
        <v>523634.94</v>
      </c>
      <c r="I5161" s="8">
        <v>369655.66</v>
      </c>
      <c r="J5161" s="1">
        <f>IF(COUNTIF($C$4:C5161,C5161)=1,1,0)</f>
        <v>1</v>
      </c>
      <c r="K5161" s="1">
        <f t="shared" si="80"/>
        <v>2024</v>
      </c>
    </row>
    <row r="5162" spans="2:11" x14ac:dyDescent="0.45">
      <c r="B5162" s="1" t="s">
        <v>4000</v>
      </c>
      <c r="C5162" s="1" t="s">
        <v>5115</v>
      </c>
      <c r="D5162" s="7">
        <v>45784</v>
      </c>
      <c r="E5162" s="7">
        <v>45809</v>
      </c>
      <c r="G5162" s="1" t="s">
        <v>38</v>
      </c>
      <c r="H5162" s="8">
        <v>634596.47</v>
      </c>
      <c r="I5162" s="8">
        <v>564216.81000000006</v>
      </c>
      <c r="J5162" s="1">
        <f>IF(COUNTIF($C$4:C5162,C5162)=1,1,0)</f>
        <v>1</v>
      </c>
      <c r="K5162" s="1">
        <f t="shared" si="80"/>
        <v>2025</v>
      </c>
    </row>
    <row r="5163" spans="2:11" x14ac:dyDescent="0.45">
      <c r="B5163" s="1" t="s">
        <v>4000</v>
      </c>
      <c r="C5163" s="1" t="s">
        <v>5116</v>
      </c>
      <c r="D5163" s="7">
        <v>44169</v>
      </c>
      <c r="E5163" s="7">
        <v>44175</v>
      </c>
      <c r="G5163" s="1" t="s">
        <v>22</v>
      </c>
      <c r="H5163" s="8">
        <v>4022999.59</v>
      </c>
      <c r="I5163" s="8">
        <v>2843528.99</v>
      </c>
      <c r="J5163" s="1">
        <f>IF(COUNTIF($C$4:C5163,C5163)=1,1,0)</f>
        <v>1</v>
      </c>
      <c r="K5163" s="1">
        <f t="shared" si="80"/>
        <v>2020</v>
      </c>
    </row>
    <row r="5164" spans="2:11" x14ac:dyDescent="0.45">
      <c r="B5164" s="1" t="s">
        <v>4000</v>
      </c>
      <c r="C5164" s="1" t="s">
        <v>5117</v>
      </c>
      <c r="D5164" s="7">
        <v>44905</v>
      </c>
      <c r="E5164" s="7">
        <v>44924</v>
      </c>
      <c r="G5164" s="1" t="s">
        <v>13</v>
      </c>
      <c r="H5164" s="8">
        <v>618737.84</v>
      </c>
      <c r="I5164" s="8">
        <v>550648.94999999995</v>
      </c>
      <c r="J5164" s="1">
        <f>IF(COUNTIF($C$4:C5164,C5164)=1,1,0)</f>
        <v>1</v>
      </c>
      <c r="K5164" s="1">
        <f t="shared" si="80"/>
        <v>2022</v>
      </c>
    </row>
    <row r="5165" spans="2:11" x14ac:dyDescent="0.45">
      <c r="B5165" s="1" t="s">
        <v>4000</v>
      </c>
      <c r="C5165" s="1" t="s">
        <v>5118</v>
      </c>
      <c r="D5165" s="7">
        <v>45013</v>
      </c>
      <c r="E5165" s="7">
        <v>45039</v>
      </c>
      <c r="G5165" s="1" t="s">
        <v>13</v>
      </c>
      <c r="H5165" s="8">
        <v>853994.76</v>
      </c>
      <c r="I5165" s="8">
        <v>730395.45</v>
      </c>
      <c r="J5165" s="1">
        <f>IF(COUNTIF($C$4:C5165,C5165)=1,1,0)</f>
        <v>1</v>
      </c>
      <c r="K5165" s="1">
        <f t="shared" si="80"/>
        <v>2023</v>
      </c>
    </row>
    <row r="5166" spans="2:11" x14ac:dyDescent="0.45">
      <c r="B5166" s="1" t="s">
        <v>4000</v>
      </c>
      <c r="C5166" s="1" t="s">
        <v>5119</v>
      </c>
      <c r="D5166" s="7">
        <v>44031</v>
      </c>
      <c r="E5166" s="7">
        <v>44047</v>
      </c>
      <c r="G5166" s="1" t="s">
        <v>13</v>
      </c>
      <c r="H5166" s="8">
        <v>624630.03</v>
      </c>
      <c r="I5166" s="8">
        <v>524456.69999999995</v>
      </c>
      <c r="J5166" s="1">
        <f>IF(COUNTIF($C$4:C5166,C5166)=1,1,0)</f>
        <v>1</v>
      </c>
      <c r="K5166" s="1">
        <f t="shared" si="80"/>
        <v>2020</v>
      </c>
    </row>
    <row r="5167" spans="2:11" x14ac:dyDescent="0.45">
      <c r="B5167" s="1" t="s">
        <v>4000</v>
      </c>
      <c r="C5167" s="1" t="s">
        <v>5120</v>
      </c>
      <c r="D5167" s="7">
        <v>44401</v>
      </c>
      <c r="E5167" s="7">
        <v>44413</v>
      </c>
      <c r="G5167" s="1" t="s">
        <v>13</v>
      </c>
      <c r="H5167" s="8">
        <v>280907.61</v>
      </c>
      <c r="I5167" s="8">
        <v>217134.45</v>
      </c>
      <c r="J5167" s="1">
        <f>IF(COUNTIF($C$4:C5167,C5167)=1,1,0)</f>
        <v>1</v>
      </c>
      <c r="K5167" s="1">
        <f t="shared" si="80"/>
        <v>2021</v>
      </c>
    </row>
    <row r="5168" spans="2:11" x14ac:dyDescent="0.45">
      <c r="B5168" s="1" t="s">
        <v>4000</v>
      </c>
      <c r="C5168" s="1" t="s">
        <v>5121</v>
      </c>
      <c r="D5168" s="7">
        <v>43407</v>
      </c>
      <c r="E5168" s="7">
        <v>43415</v>
      </c>
      <c r="G5168" s="1" t="s">
        <v>212</v>
      </c>
      <c r="H5168" s="8">
        <v>17085526.559999999</v>
      </c>
      <c r="I5168" s="8">
        <v>13301215.640000001</v>
      </c>
      <c r="J5168" s="1">
        <f>IF(COUNTIF($C$4:C5168,C5168)=1,1,0)</f>
        <v>1</v>
      </c>
      <c r="K5168" s="1">
        <f t="shared" si="80"/>
        <v>2018</v>
      </c>
    </row>
    <row r="5169" spans="2:11" x14ac:dyDescent="0.45">
      <c r="B5169" s="1" t="s">
        <v>4000</v>
      </c>
      <c r="C5169" s="1" t="s">
        <v>5122</v>
      </c>
      <c r="D5169" s="7">
        <v>45035</v>
      </c>
      <c r="E5169" s="7">
        <v>45042</v>
      </c>
      <c r="G5169" s="1" t="s">
        <v>22</v>
      </c>
      <c r="H5169" s="8">
        <v>1650042.07</v>
      </c>
      <c r="I5169" s="8">
        <v>903990.4</v>
      </c>
      <c r="J5169" s="1">
        <f>IF(COUNTIF($C$4:C5169,C5169)=1,1,0)</f>
        <v>1</v>
      </c>
      <c r="K5169" s="1">
        <f t="shared" si="80"/>
        <v>2023</v>
      </c>
    </row>
    <row r="5170" spans="2:11" x14ac:dyDescent="0.45">
      <c r="B5170" s="1" t="s">
        <v>4000</v>
      </c>
      <c r="C5170" s="1" t="s">
        <v>5123</v>
      </c>
      <c r="D5170" s="7">
        <v>44015</v>
      </c>
      <c r="E5170" s="7">
        <v>44036</v>
      </c>
      <c r="G5170" s="1" t="s">
        <v>1348</v>
      </c>
      <c r="H5170" s="8">
        <v>11564956.08</v>
      </c>
      <c r="I5170" s="8">
        <v>5694967.9100000001</v>
      </c>
      <c r="J5170" s="1">
        <f>IF(COUNTIF($C$4:C5170,C5170)=1,1,0)</f>
        <v>1</v>
      </c>
      <c r="K5170" s="1">
        <f t="shared" si="80"/>
        <v>2020</v>
      </c>
    </row>
    <row r="5171" spans="2:11" x14ac:dyDescent="0.45">
      <c r="B5171" s="1" t="s">
        <v>4000</v>
      </c>
      <c r="C5171" s="1" t="s">
        <v>5124</v>
      </c>
      <c r="D5171" s="7">
        <v>43405</v>
      </c>
      <c r="E5171" s="7">
        <v>43427</v>
      </c>
      <c r="G5171" s="1" t="s">
        <v>38</v>
      </c>
      <c r="H5171" s="8">
        <v>222039.62</v>
      </c>
      <c r="I5171" s="8">
        <v>205981.55</v>
      </c>
      <c r="J5171" s="1">
        <f>IF(COUNTIF($C$4:C5171,C5171)=1,1,0)</f>
        <v>1</v>
      </c>
      <c r="K5171" s="1">
        <f t="shared" si="80"/>
        <v>2018</v>
      </c>
    </row>
    <row r="5172" spans="2:11" x14ac:dyDescent="0.45">
      <c r="B5172" s="1" t="s">
        <v>4000</v>
      </c>
      <c r="C5172" s="1" t="s">
        <v>5125</v>
      </c>
      <c r="D5172" s="7">
        <v>44429</v>
      </c>
      <c r="E5172" s="7">
        <v>44452</v>
      </c>
      <c r="G5172" s="1" t="s">
        <v>16</v>
      </c>
      <c r="H5172" s="8">
        <v>740922.19</v>
      </c>
      <c r="I5172" s="8">
        <v>523986.82</v>
      </c>
      <c r="J5172" s="1">
        <f>IF(COUNTIF($C$4:C5172,C5172)=1,1,0)</f>
        <v>1</v>
      </c>
      <c r="K5172" s="1">
        <f t="shared" si="80"/>
        <v>2021</v>
      </c>
    </row>
    <row r="5173" spans="2:11" x14ac:dyDescent="0.45">
      <c r="B5173" s="1" t="s">
        <v>4000</v>
      </c>
      <c r="C5173" s="1" t="s">
        <v>5126</v>
      </c>
      <c r="D5173" s="7">
        <v>45063</v>
      </c>
      <c r="E5173" s="7">
        <v>45087</v>
      </c>
      <c r="G5173" s="1" t="s">
        <v>22</v>
      </c>
      <c r="H5173" s="8">
        <v>9796542.4399999995</v>
      </c>
      <c r="I5173" s="8">
        <v>7229488.6299999999</v>
      </c>
      <c r="J5173" s="1">
        <f>IF(COUNTIF($C$4:C5173,C5173)=1,1,0)</f>
        <v>1</v>
      </c>
      <c r="K5173" s="1">
        <f t="shared" si="80"/>
        <v>2023</v>
      </c>
    </row>
    <row r="5174" spans="2:11" x14ac:dyDescent="0.45">
      <c r="B5174" s="1" t="s">
        <v>4000</v>
      </c>
      <c r="C5174" s="1" t="s">
        <v>5127</v>
      </c>
      <c r="D5174" s="7">
        <v>43490</v>
      </c>
      <c r="E5174" s="7">
        <v>43518</v>
      </c>
      <c r="G5174" s="1" t="s">
        <v>212</v>
      </c>
      <c r="H5174" s="8">
        <v>14960946.289999999</v>
      </c>
      <c r="I5174" s="8">
        <v>11330983.060000001</v>
      </c>
      <c r="J5174" s="1">
        <f>IF(COUNTIF($C$4:C5174,C5174)=1,1,0)</f>
        <v>1</v>
      </c>
      <c r="K5174" s="1">
        <f t="shared" si="80"/>
        <v>2019</v>
      </c>
    </row>
    <row r="5175" spans="2:11" x14ac:dyDescent="0.45">
      <c r="B5175" s="1" t="s">
        <v>4000</v>
      </c>
      <c r="C5175" s="1" t="s">
        <v>5128</v>
      </c>
      <c r="D5175" s="7">
        <v>44589</v>
      </c>
      <c r="E5175" s="7">
        <v>44598</v>
      </c>
      <c r="G5175" s="1" t="s">
        <v>212</v>
      </c>
      <c r="H5175" s="8">
        <v>7224859.5800000001</v>
      </c>
      <c r="I5175" s="8">
        <v>4304566.58</v>
      </c>
      <c r="J5175" s="1">
        <f>IF(COUNTIF($C$4:C5175,C5175)=1,1,0)</f>
        <v>1</v>
      </c>
      <c r="K5175" s="1">
        <f t="shared" si="80"/>
        <v>2022</v>
      </c>
    </row>
    <row r="5176" spans="2:11" x14ac:dyDescent="0.45">
      <c r="B5176" s="1" t="s">
        <v>4000</v>
      </c>
      <c r="C5176" s="1" t="s">
        <v>5129</v>
      </c>
      <c r="D5176" s="7">
        <v>44371</v>
      </c>
      <c r="E5176" s="7">
        <v>44397</v>
      </c>
      <c r="G5176" s="1" t="s">
        <v>41</v>
      </c>
      <c r="H5176" s="8">
        <v>337289.82</v>
      </c>
      <c r="I5176" s="8">
        <v>236533.46</v>
      </c>
      <c r="J5176" s="1">
        <f>IF(COUNTIF($C$4:C5176,C5176)=1,1,0)</f>
        <v>1</v>
      </c>
      <c r="K5176" s="1">
        <f t="shared" si="80"/>
        <v>2021</v>
      </c>
    </row>
    <row r="5177" spans="2:11" x14ac:dyDescent="0.45">
      <c r="B5177" s="1" t="s">
        <v>4000</v>
      </c>
      <c r="C5177" s="1" t="s">
        <v>5130</v>
      </c>
      <c r="D5177" s="7">
        <v>43759</v>
      </c>
      <c r="E5177" s="7">
        <v>43768</v>
      </c>
      <c r="G5177" s="1" t="s">
        <v>38</v>
      </c>
      <c r="H5177" s="8">
        <v>64657.2</v>
      </c>
      <c r="I5177" s="8">
        <v>55812.77</v>
      </c>
      <c r="J5177" s="1">
        <f>IF(COUNTIF($C$4:C5177,C5177)=1,1,0)</f>
        <v>1</v>
      </c>
      <c r="K5177" s="1">
        <f t="shared" si="80"/>
        <v>2019</v>
      </c>
    </row>
    <row r="5178" spans="2:11" x14ac:dyDescent="0.45">
      <c r="B5178" s="1" t="s">
        <v>4000</v>
      </c>
      <c r="C5178" s="1" t="s">
        <v>5131</v>
      </c>
      <c r="D5178" s="7">
        <v>45021</v>
      </c>
      <c r="E5178" s="7">
        <v>45024</v>
      </c>
      <c r="G5178" s="1" t="s">
        <v>212</v>
      </c>
      <c r="H5178" s="8">
        <v>3301348.94</v>
      </c>
      <c r="I5178" s="8">
        <v>1471406.58</v>
      </c>
      <c r="J5178" s="1">
        <f>IF(COUNTIF($C$4:C5178,C5178)=1,1,0)</f>
        <v>1</v>
      </c>
      <c r="K5178" s="1">
        <f t="shared" si="80"/>
        <v>2023</v>
      </c>
    </row>
    <row r="5179" spans="2:11" x14ac:dyDescent="0.45">
      <c r="B5179" s="1" t="s">
        <v>4000</v>
      </c>
      <c r="C5179" s="1" t="s">
        <v>5132</v>
      </c>
      <c r="D5179" s="7">
        <v>45907</v>
      </c>
      <c r="E5179" s="7">
        <v>45933</v>
      </c>
      <c r="G5179" s="1" t="s">
        <v>22</v>
      </c>
      <c r="H5179" s="8">
        <v>8037899.4699999997</v>
      </c>
      <c r="I5179" s="8">
        <v>5630365.6699999999</v>
      </c>
      <c r="J5179" s="1">
        <f>IF(COUNTIF($C$4:C5179,C5179)=1,1,0)</f>
        <v>1</v>
      </c>
      <c r="K5179" s="1">
        <f t="shared" si="80"/>
        <v>2025</v>
      </c>
    </row>
    <row r="5180" spans="2:11" x14ac:dyDescent="0.45">
      <c r="B5180" s="1" t="s">
        <v>4000</v>
      </c>
      <c r="C5180" s="1" t="s">
        <v>5133</v>
      </c>
      <c r="D5180" s="7">
        <v>44682</v>
      </c>
      <c r="E5180" s="7">
        <v>44711</v>
      </c>
      <c r="G5180" s="1" t="s">
        <v>38</v>
      </c>
      <c r="H5180" s="8">
        <v>37059.14</v>
      </c>
      <c r="I5180" s="8">
        <v>28045.24</v>
      </c>
      <c r="J5180" s="1">
        <f>IF(COUNTIF($C$4:C5180,C5180)=1,1,0)</f>
        <v>1</v>
      </c>
      <c r="K5180" s="1">
        <f t="shared" si="80"/>
        <v>2022</v>
      </c>
    </row>
    <row r="5181" spans="2:11" x14ac:dyDescent="0.45">
      <c r="B5181" s="1" t="s">
        <v>4000</v>
      </c>
      <c r="C5181" s="1" t="s">
        <v>4820</v>
      </c>
      <c r="D5181" s="7">
        <v>43908</v>
      </c>
      <c r="E5181" s="7">
        <v>43926</v>
      </c>
      <c r="G5181" s="1" t="s">
        <v>18</v>
      </c>
      <c r="H5181" s="8">
        <v>806428.86</v>
      </c>
      <c r="I5181" s="8">
        <v>624761.32999999996</v>
      </c>
      <c r="J5181" s="1">
        <f>IF(COUNTIF($C$4:C5181,C5181)=1,1,0)</f>
        <v>0</v>
      </c>
      <c r="K5181" s="1">
        <f t="shared" si="80"/>
        <v>2020</v>
      </c>
    </row>
    <row r="5182" spans="2:11" x14ac:dyDescent="0.45">
      <c r="B5182" s="1" t="s">
        <v>4000</v>
      </c>
      <c r="C5182" s="1" t="s">
        <v>5134</v>
      </c>
      <c r="D5182" s="7">
        <v>43371</v>
      </c>
      <c r="E5182" s="7">
        <v>43391</v>
      </c>
      <c r="G5182" s="1" t="s">
        <v>41</v>
      </c>
      <c r="H5182" s="8">
        <v>35649.230000000003</v>
      </c>
      <c r="I5182" s="8">
        <v>23878.85</v>
      </c>
      <c r="J5182" s="1">
        <f>IF(COUNTIF($C$4:C5182,C5182)=1,1,0)</f>
        <v>1</v>
      </c>
      <c r="K5182" s="1">
        <f t="shared" si="80"/>
        <v>2018</v>
      </c>
    </row>
    <row r="5183" spans="2:11" x14ac:dyDescent="0.45">
      <c r="B5183" s="1" t="s">
        <v>4000</v>
      </c>
      <c r="C5183" s="1" t="s">
        <v>5135</v>
      </c>
      <c r="D5183" s="7">
        <v>43677</v>
      </c>
      <c r="E5183" s="7">
        <v>43704</v>
      </c>
      <c r="G5183" s="1" t="s">
        <v>22</v>
      </c>
      <c r="H5183" s="8">
        <v>6720593.9900000002</v>
      </c>
      <c r="I5183" s="8">
        <v>4951991.03</v>
      </c>
      <c r="J5183" s="1">
        <f>IF(COUNTIF($C$4:C5183,C5183)=1,1,0)</f>
        <v>1</v>
      </c>
      <c r="K5183" s="1">
        <f t="shared" si="80"/>
        <v>2019</v>
      </c>
    </row>
    <row r="5184" spans="2:11" x14ac:dyDescent="0.45">
      <c r="B5184" s="1" t="s">
        <v>4000</v>
      </c>
      <c r="C5184" s="1" t="s">
        <v>5136</v>
      </c>
      <c r="D5184" s="7">
        <v>44541</v>
      </c>
      <c r="E5184" s="7">
        <v>44552</v>
      </c>
      <c r="G5184" s="1" t="s">
        <v>16</v>
      </c>
      <c r="H5184" s="8">
        <v>332160.75</v>
      </c>
      <c r="I5184" s="8">
        <v>221092.87</v>
      </c>
      <c r="J5184" s="1">
        <f>IF(COUNTIF($C$4:C5184,C5184)=1,1,0)</f>
        <v>1</v>
      </c>
      <c r="K5184" s="1">
        <f t="shared" si="80"/>
        <v>2021</v>
      </c>
    </row>
    <row r="5185" spans="2:11" x14ac:dyDescent="0.45">
      <c r="B5185" s="1" t="s">
        <v>4000</v>
      </c>
      <c r="C5185" s="1" t="s">
        <v>5137</v>
      </c>
      <c r="D5185" s="7">
        <v>43822</v>
      </c>
      <c r="E5185" s="7">
        <v>43834</v>
      </c>
      <c r="G5185" s="1" t="s">
        <v>18</v>
      </c>
      <c r="H5185" s="8">
        <v>2021782.45</v>
      </c>
      <c r="I5185" s="8">
        <v>1367216.29</v>
      </c>
      <c r="J5185" s="1">
        <f>IF(COUNTIF($C$4:C5185,C5185)=1,1,0)</f>
        <v>1</v>
      </c>
      <c r="K5185" s="1">
        <f t="shared" si="80"/>
        <v>2019</v>
      </c>
    </row>
    <row r="5186" spans="2:11" x14ac:dyDescent="0.45">
      <c r="B5186" s="1" t="s">
        <v>4000</v>
      </c>
      <c r="C5186" s="1" t="s">
        <v>5138</v>
      </c>
      <c r="D5186" s="7">
        <v>45048</v>
      </c>
      <c r="E5186" s="7">
        <v>45061</v>
      </c>
      <c r="G5186" s="1" t="s">
        <v>41</v>
      </c>
      <c r="H5186" s="8">
        <v>733615.23</v>
      </c>
      <c r="I5186" s="8">
        <v>642960.43999999994</v>
      </c>
      <c r="J5186" s="1">
        <f>IF(COUNTIF($C$4:C5186,C5186)=1,1,0)</f>
        <v>1</v>
      </c>
      <c r="K5186" s="1">
        <f t="shared" si="80"/>
        <v>2023</v>
      </c>
    </row>
    <row r="5187" spans="2:11" x14ac:dyDescent="0.45">
      <c r="B5187" s="1" t="s">
        <v>4000</v>
      </c>
      <c r="C5187" s="1" t="s">
        <v>5139</v>
      </c>
      <c r="D5187" s="7">
        <v>45296</v>
      </c>
      <c r="E5187" s="7">
        <v>45301</v>
      </c>
      <c r="G5187" s="1" t="s">
        <v>13</v>
      </c>
      <c r="H5187" s="8">
        <v>65017.43</v>
      </c>
      <c r="I5187" s="8">
        <v>53531.26</v>
      </c>
      <c r="J5187" s="1">
        <f>IF(COUNTIF($C$4:C5187,C5187)=1,1,0)</f>
        <v>1</v>
      </c>
      <c r="K5187" s="1">
        <f t="shared" si="80"/>
        <v>2024</v>
      </c>
    </row>
    <row r="5188" spans="2:11" x14ac:dyDescent="0.45">
      <c r="B5188" s="1" t="s">
        <v>4000</v>
      </c>
      <c r="C5188" s="1" t="s">
        <v>5140</v>
      </c>
      <c r="D5188" s="7">
        <v>44111</v>
      </c>
      <c r="E5188" s="7">
        <v>44112</v>
      </c>
      <c r="G5188" s="1" t="s">
        <v>1348</v>
      </c>
      <c r="H5188" s="8">
        <v>66327875.950000003</v>
      </c>
      <c r="I5188" s="8">
        <v>43404235.359999999</v>
      </c>
      <c r="J5188" s="1">
        <f>IF(COUNTIF($C$4:C5188,C5188)=1,1,0)</f>
        <v>1</v>
      </c>
      <c r="K5188" s="1">
        <f t="shared" si="80"/>
        <v>2020</v>
      </c>
    </row>
    <row r="5189" spans="2:11" x14ac:dyDescent="0.45">
      <c r="B5189" s="1" t="s">
        <v>4000</v>
      </c>
      <c r="C5189" s="1" t="s">
        <v>5141</v>
      </c>
      <c r="D5189" s="7">
        <v>43530</v>
      </c>
      <c r="E5189" s="7">
        <v>43545</v>
      </c>
      <c r="G5189" s="1" t="s">
        <v>16</v>
      </c>
      <c r="H5189" s="8">
        <v>1411948.08</v>
      </c>
      <c r="I5189" s="8">
        <v>915152.61</v>
      </c>
      <c r="J5189" s="1">
        <f>IF(COUNTIF($C$4:C5189,C5189)=1,1,0)</f>
        <v>1</v>
      </c>
      <c r="K5189" s="1">
        <f t="shared" ref="K5189:K5252" si="81">YEAR(D5189)</f>
        <v>2019</v>
      </c>
    </row>
    <row r="5190" spans="2:11" x14ac:dyDescent="0.45">
      <c r="B5190" s="1" t="s">
        <v>4000</v>
      </c>
      <c r="C5190" s="1" t="s">
        <v>5142</v>
      </c>
      <c r="D5190" s="7">
        <v>44223</v>
      </c>
      <c r="E5190" s="7">
        <v>44240</v>
      </c>
      <c r="G5190" s="1" t="s">
        <v>18</v>
      </c>
      <c r="H5190" s="8">
        <v>4542241.18</v>
      </c>
      <c r="I5190" s="8">
        <v>3733878.56</v>
      </c>
      <c r="J5190" s="1">
        <f>IF(COUNTIF($C$4:C5190,C5190)=1,1,0)</f>
        <v>1</v>
      </c>
      <c r="K5190" s="1">
        <f t="shared" si="81"/>
        <v>2021</v>
      </c>
    </row>
    <row r="5191" spans="2:11" x14ac:dyDescent="0.45">
      <c r="B5191" s="1" t="s">
        <v>4000</v>
      </c>
      <c r="C5191" s="1" t="s">
        <v>5143</v>
      </c>
      <c r="D5191" s="7">
        <v>44609</v>
      </c>
      <c r="E5191" s="7">
        <v>44624</v>
      </c>
      <c r="G5191" s="1" t="s">
        <v>16</v>
      </c>
      <c r="H5191" s="8">
        <v>3755147.09</v>
      </c>
      <c r="I5191" s="8">
        <v>2167612.06</v>
      </c>
      <c r="J5191" s="1">
        <f>IF(COUNTIF($C$4:C5191,C5191)=1,1,0)</f>
        <v>1</v>
      </c>
      <c r="K5191" s="1">
        <f t="shared" si="81"/>
        <v>2022</v>
      </c>
    </row>
    <row r="5192" spans="2:11" x14ac:dyDescent="0.45">
      <c r="B5192" s="1" t="s">
        <v>4000</v>
      </c>
      <c r="C5192" s="1" t="s">
        <v>5144</v>
      </c>
      <c r="D5192" s="7">
        <v>45009</v>
      </c>
      <c r="E5192" s="7">
        <v>45009</v>
      </c>
      <c r="G5192" s="1" t="s">
        <v>20</v>
      </c>
      <c r="H5192" s="8">
        <v>1448218.29</v>
      </c>
      <c r="I5192" s="8">
        <v>814572.3</v>
      </c>
      <c r="J5192" s="1">
        <f>IF(COUNTIF($C$4:C5192,C5192)=1,1,0)</f>
        <v>1</v>
      </c>
      <c r="K5192" s="1">
        <f t="shared" si="81"/>
        <v>2023</v>
      </c>
    </row>
    <row r="5193" spans="2:11" x14ac:dyDescent="0.45">
      <c r="B5193" s="1" t="s">
        <v>4000</v>
      </c>
      <c r="C5193" s="1" t="s">
        <v>5145</v>
      </c>
      <c r="D5193" s="7">
        <v>45014</v>
      </c>
      <c r="E5193" s="7">
        <v>45035</v>
      </c>
      <c r="G5193" s="1" t="s">
        <v>22</v>
      </c>
      <c r="H5193" s="8">
        <v>4975115.07</v>
      </c>
      <c r="I5193" s="8">
        <v>3013001.8</v>
      </c>
      <c r="J5193" s="1">
        <f>IF(COUNTIF($C$4:C5193,C5193)=1,1,0)</f>
        <v>1</v>
      </c>
      <c r="K5193" s="1">
        <f t="shared" si="81"/>
        <v>2023</v>
      </c>
    </row>
    <row r="5194" spans="2:11" x14ac:dyDescent="0.45">
      <c r="B5194" s="1" t="s">
        <v>4000</v>
      </c>
      <c r="C5194" s="1" t="s">
        <v>4846</v>
      </c>
      <c r="D5194" s="7">
        <v>43615</v>
      </c>
      <c r="E5194" s="7">
        <v>43639</v>
      </c>
      <c r="G5194" s="1" t="s">
        <v>41</v>
      </c>
      <c r="H5194" s="8">
        <v>1047116.71</v>
      </c>
      <c r="I5194" s="8">
        <v>822783.93</v>
      </c>
      <c r="J5194" s="1">
        <f>IF(COUNTIF($C$4:C5194,C5194)=1,1,0)</f>
        <v>0</v>
      </c>
      <c r="K5194" s="1">
        <f t="shared" si="81"/>
        <v>2019</v>
      </c>
    </row>
    <row r="5195" spans="2:11" x14ac:dyDescent="0.45">
      <c r="B5195" s="1" t="s">
        <v>4000</v>
      </c>
      <c r="C5195" s="1" t="s">
        <v>5146</v>
      </c>
      <c r="D5195" s="7">
        <v>44680</v>
      </c>
      <c r="E5195" s="7">
        <v>44709</v>
      </c>
      <c r="G5195" s="1" t="s">
        <v>22</v>
      </c>
      <c r="H5195" s="8">
        <v>29796433.350000001</v>
      </c>
      <c r="I5195" s="8">
        <v>19987349.399999999</v>
      </c>
      <c r="J5195" s="1">
        <f>IF(COUNTIF($C$4:C5195,C5195)=1,1,0)</f>
        <v>1</v>
      </c>
      <c r="K5195" s="1">
        <f t="shared" si="81"/>
        <v>2022</v>
      </c>
    </row>
    <row r="5196" spans="2:11" x14ac:dyDescent="0.45">
      <c r="B5196" s="1" t="s">
        <v>4000</v>
      </c>
      <c r="C5196" s="1" t="s">
        <v>5147</v>
      </c>
      <c r="D5196" s="7">
        <v>44683</v>
      </c>
      <c r="E5196" s="7">
        <v>44706</v>
      </c>
      <c r="G5196" s="1" t="s">
        <v>16</v>
      </c>
      <c r="H5196" s="8">
        <v>865621.67</v>
      </c>
      <c r="I5196" s="8">
        <v>540932.36</v>
      </c>
      <c r="J5196" s="1">
        <f>IF(COUNTIF($C$4:C5196,C5196)=1,1,0)</f>
        <v>1</v>
      </c>
      <c r="K5196" s="1">
        <f t="shared" si="81"/>
        <v>2022</v>
      </c>
    </row>
    <row r="5197" spans="2:11" x14ac:dyDescent="0.45">
      <c r="B5197" s="1" t="s">
        <v>4000</v>
      </c>
      <c r="C5197" s="1" t="s">
        <v>5148</v>
      </c>
      <c r="D5197" s="7">
        <v>43633</v>
      </c>
      <c r="E5197" s="7">
        <v>43634</v>
      </c>
      <c r="G5197" s="1" t="s">
        <v>13</v>
      </c>
      <c r="H5197" s="8">
        <v>75957.429999999993</v>
      </c>
      <c r="I5197" s="8">
        <v>56719.43</v>
      </c>
      <c r="J5197" s="1">
        <f>IF(COUNTIF($C$4:C5197,C5197)=1,1,0)</f>
        <v>1</v>
      </c>
      <c r="K5197" s="1">
        <f t="shared" si="81"/>
        <v>2019</v>
      </c>
    </row>
    <row r="5198" spans="2:11" x14ac:dyDescent="0.45">
      <c r="B5198" s="1" t="s">
        <v>4000</v>
      </c>
      <c r="C5198" s="1" t="s">
        <v>5149</v>
      </c>
      <c r="D5198" s="7">
        <v>44712</v>
      </c>
      <c r="E5198" s="7">
        <v>44738</v>
      </c>
      <c r="G5198" s="1" t="s">
        <v>13</v>
      </c>
      <c r="H5198" s="8">
        <v>182125.4</v>
      </c>
      <c r="I5198" s="8">
        <v>161081.01999999999</v>
      </c>
      <c r="J5198" s="1">
        <f>IF(COUNTIF($C$4:C5198,C5198)=1,1,0)</f>
        <v>1</v>
      </c>
      <c r="K5198" s="1">
        <f t="shared" si="81"/>
        <v>2022</v>
      </c>
    </row>
    <row r="5199" spans="2:11" x14ac:dyDescent="0.45">
      <c r="B5199" s="1" t="s">
        <v>4000</v>
      </c>
      <c r="C5199" s="1" t="s">
        <v>5150</v>
      </c>
      <c r="D5199" s="7">
        <v>45420</v>
      </c>
      <c r="E5199" s="7">
        <v>45426</v>
      </c>
      <c r="G5199" s="1" t="s">
        <v>38</v>
      </c>
      <c r="H5199" s="8">
        <v>367662.72</v>
      </c>
      <c r="I5199" s="8">
        <v>291176.69</v>
      </c>
      <c r="J5199" s="1">
        <f>IF(COUNTIF($C$4:C5199,C5199)=1,1,0)</f>
        <v>1</v>
      </c>
      <c r="K5199" s="1">
        <f t="shared" si="81"/>
        <v>2024</v>
      </c>
    </row>
    <row r="5200" spans="2:11" x14ac:dyDescent="0.45">
      <c r="B5200" s="1" t="s">
        <v>4000</v>
      </c>
      <c r="C5200" s="1" t="s">
        <v>5151</v>
      </c>
      <c r="D5200" s="7">
        <v>44326</v>
      </c>
      <c r="E5200" s="7">
        <v>44348</v>
      </c>
      <c r="G5200" s="1" t="s">
        <v>16</v>
      </c>
      <c r="H5200" s="8">
        <v>605849</v>
      </c>
      <c r="I5200" s="8">
        <v>365149.59</v>
      </c>
      <c r="J5200" s="1">
        <f>IF(COUNTIF($C$4:C5200,C5200)=1,1,0)</f>
        <v>1</v>
      </c>
      <c r="K5200" s="1">
        <f t="shared" si="81"/>
        <v>2021</v>
      </c>
    </row>
    <row r="5201" spans="2:11" x14ac:dyDescent="0.45">
      <c r="B5201" s="1" t="s">
        <v>4000</v>
      </c>
      <c r="C5201" s="1" t="s">
        <v>5152</v>
      </c>
      <c r="D5201" s="7">
        <v>44268</v>
      </c>
      <c r="E5201" s="7">
        <v>44285</v>
      </c>
      <c r="G5201" s="1" t="s">
        <v>212</v>
      </c>
      <c r="H5201" s="8">
        <v>29275168.969999999</v>
      </c>
      <c r="I5201" s="8">
        <v>22886860.420000002</v>
      </c>
      <c r="J5201" s="1">
        <f>IF(COUNTIF($C$4:C5201,C5201)=1,1,0)</f>
        <v>1</v>
      </c>
      <c r="K5201" s="1">
        <f t="shared" si="81"/>
        <v>2021</v>
      </c>
    </row>
    <row r="5202" spans="2:11" x14ac:dyDescent="0.45">
      <c r="B5202" s="1" t="s">
        <v>4000</v>
      </c>
      <c r="C5202" s="1" t="s">
        <v>5153</v>
      </c>
      <c r="D5202" s="7">
        <v>44378</v>
      </c>
      <c r="E5202" s="7">
        <v>44401</v>
      </c>
      <c r="G5202" s="1" t="s">
        <v>38</v>
      </c>
      <c r="H5202" s="8">
        <v>1297546.7</v>
      </c>
      <c r="I5202" s="8">
        <v>1149328.81</v>
      </c>
      <c r="J5202" s="1">
        <f>IF(COUNTIF($C$4:C5202,C5202)=1,1,0)</f>
        <v>1</v>
      </c>
      <c r="K5202" s="1">
        <f t="shared" si="81"/>
        <v>2021</v>
      </c>
    </row>
    <row r="5203" spans="2:11" x14ac:dyDescent="0.45">
      <c r="B5203" s="1" t="s">
        <v>4000</v>
      </c>
      <c r="C5203" s="1" t="s">
        <v>5154</v>
      </c>
      <c r="D5203" s="7">
        <v>44674</v>
      </c>
      <c r="E5203" s="7">
        <v>44680</v>
      </c>
      <c r="G5203" s="1" t="s">
        <v>16</v>
      </c>
      <c r="H5203" s="8">
        <v>8954887.6199999992</v>
      </c>
      <c r="I5203" s="8">
        <v>6856807.3600000003</v>
      </c>
      <c r="J5203" s="1">
        <f>IF(COUNTIF($C$4:C5203,C5203)=1,1,0)</f>
        <v>1</v>
      </c>
      <c r="K5203" s="1">
        <f t="shared" si="81"/>
        <v>2022</v>
      </c>
    </row>
    <row r="5204" spans="2:11" x14ac:dyDescent="0.45">
      <c r="B5204" s="1" t="s">
        <v>4000</v>
      </c>
      <c r="C5204" s="1" t="s">
        <v>5155</v>
      </c>
      <c r="D5204" s="7">
        <v>45886</v>
      </c>
      <c r="E5204" s="7">
        <v>45913</v>
      </c>
      <c r="G5204" s="1" t="s">
        <v>41</v>
      </c>
      <c r="H5204" s="8">
        <v>672643.29</v>
      </c>
      <c r="I5204" s="8">
        <v>615005.23</v>
      </c>
      <c r="J5204" s="1">
        <f>IF(COUNTIF($C$4:C5204,C5204)=1,1,0)</f>
        <v>1</v>
      </c>
      <c r="K5204" s="1">
        <f t="shared" si="81"/>
        <v>2025</v>
      </c>
    </row>
    <row r="5205" spans="2:11" x14ac:dyDescent="0.45">
      <c r="B5205" s="1" t="s">
        <v>4000</v>
      </c>
      <c r="C5205" s="1" t="s">
        <v>5156</v>
      </c>
      <c r="D5205" s="7">
        <v>44061</v>
      </c>
      <c r="E5205" s="7">
        <v>44075</v>
      </c>
      <c r="G5205" s="1" t="s">
        <v>1348</v>
      </c>
      <c r="H5205" s="8">
        <v>65318620.770000003</v>
      </c>
      <c r="I5205" s="8">
        <v>49707570.210000001</v>
      </c>
      <c r="J5205" s="1">
        <f>IF(COUNTIF($C$4:C5205,C5205)=1,1,0)</f>
        <v>1</v>
      </c>
      <c r="K5205" s="1">
        <f t="shared" si="81"/>
        <v>2020</v>
      </c>
    </row>
    <row r="5206" spans="2:11" x14ac:dyDescent="0.45">
      <c r="B5206" s="1" t="s">
        <v>4000</v>
      </c>
      <c r="C5206" s="1" t="s">
        <v>5157</v>
      </c>
      <c r="D5206" s="7">
        <v>43595</v>
      </c>
      <c r="E5206" s="7">
        <v>43616</v>
      </c>
      <c r="G5206" s="1" t="s">
        <v>20</v>
      </c>
      <c r="H5206" s="8">
        <v>352883.97</v>
      </c>
      <c r="I5206" s="8">
        <v>233223.82</v>
      </c>
      <c r="J5206" s="1">
        <f>IF(COUNTIF($C$4:C5206,C5206)=1,1,0)</f>
        <v>1</v>
      </c>
      <c r="K5206" s="1">
        <f t="shared" si="81"/>
        <v>2019</v>
      </c>
    </row>
    <row r="5207" spans="2:11" x14ac:dyDescent="0.45">
      <c r="B5207" s="1" t="s">
        <v>4000</v>
      </c>
      <c r="C5207" s="1" t="s">
        <v>5158</v>
      </c>
      <c r="D5207" s="7">
        <v>45990</v>
      </c>
      <c r="E5207" s="7">
        <v>46002</v>
      </c>
      <c r="G5207" s="1" t="s">
        <v>212</v>
      </c>
      <c r="H5207" s="8">
        <v>12837527.789999999</v>
      </c>
      <c r="I5207" s="8">
        <v>6479154.8300000001</v>
      </c>
      <c r="J5207" s="1">
        <f>IF(COUNTIF($C$4:C5207,C5207)=1,1,0)</f>
        <v>1</v>
      </c>
      <c r="K5207" s="1">
        <f t="shared" si="81"/>
        <v>2025</v>
      </c>
    </row>
    <row r="5208" spans="2:11" x14ac:dyDescent="0.45">
      <c r="B5208" s="1" t="s">
        <v>4000</v>
      </c>
      <c r="C5208" s="1" t="s">
        <v>5159</v>
      </c>
      <c r="D5208" s="7">
        <v>45409</v>
      </c>
      <c r="E5208" s="7">
        <v>45433</v>
      </c>
      <c r="G5208" s="1" t="s">
        <v>1348</v>
      </c>
      <c r="H5208" s="8">
        <v>24904595.289999999</v>
      </c>
      <c r="I5208" s="8">
        <v>11507022.73</v>
      </c>
      <c r="J5208" s="1">
        <f>IF(COUNTIF($C$4:C5208,C5208)=1,1,0)</f>
        <v>1</v>
      </c>
      <c r="K5208" s="1">
        <f t="shared" si="81"/>
        <v>2024</v>
      </c>
    </row>
    <row r="5209" spans="2:11" x14ac:dyDescent="0.45">
      <c r="B5209" s="1" t="s">
        <v>4000</v>
      </c>
      <c r="C5209" s="1" t="s">
        <v>5160</v>
      </c>
      <c r="D5209" s="7">
        <v>46002</v>
      </c>
      <c r="E5209" s="7">
        <v>46025</v>
      </c>
      <c r="G5209" s="1" t="s">
        <v>38</v>
      </c>
      <c r="H5209" s="8">
        <v>1287185.3</v>
      </c>
      <c r="I5209" s="8">
        <v>1115997.43</v>
      </c>
      <c r="J5209" s="1">
        <f>IF(COUNTIF($C$4:C5209,C5209)=1,1,0)</f>
        <v>1</v>
      </c>
      <c r="K5209" s="1">
        <f t="shared" si="81"/>
        <v>2025</v>
      </c>
    </row>
    <row r="5210" spans="2:11" x14ac:dyDescent="0.45">
      <c r="B5210" s="1" t="s">
        <v>4000</v>
      </c>
      <c r="C5210" s="1" t="s">
        <v>5161</v>
      </c>
      <c r="D5210" s="7">
        <v>45093</v>
      </c>
      <c r="E5210" s="7">
        <v>45113</v>
      </c>
      <c r="G5210" s="1" t="s">
        <v>18</v>
      </c>
      <c r="H5210" s="8">
        <v>2617157.54</v>
      </c>
      <c r="I5210" s="8">
        <v>2267077.3199999998</v>
      </c>
      <c r="J5210" s="1">
        <f>IF(COUNTIF($C$4:C5210,C5210)=1,1,0)</f>
        <v>1</v>
      </c>
      <c r="K5210" s="1">
        <f t="shared" si="81"/>
        <v>2023</v>
      </c>
    </row>
    <row r="5211" spans="2:11" x14ac:dyDescent="0.45">
      <c r="B5211" s="1" t="s">
        <v>4000</v>
      </c>
      <c r="C5211" s="1" t="s">
        <v>5162</v>
      </c>
      <c r="D5211" s="7">
        <v>44781</v>
      </c>
      <c r="E5211" s="7">
        <v>44808</v>
      </c>
      <c r="G5211" s="1" t="s">
        <v>22</v>
      </c>
      <c r="H5211" s="8">
        <v>4707293.95</v>
      </c>
      <c r="I5211" s="8">
        <v>2709572.34</v>
      </c>
      <c r="J5211" s="1">
        <f>IF(COUNTIF($C$4:C5211,C5211)=1,1,0)</f>
        <v>1</v>
      </c>
      <c r="K5211" s="1">
        <f t="shared" si="81"/>
        <v>2022</v>
      </c>
    </row>
    <row r="5212" spans="2:11" x14ac:dyDescent="0.45">
      <c r="B5212" s="1" t="s">
        <v>4000</v>
      </c>
      <c r="C5212" s="1" t="s">
        <v>5163</v>
      </c>
      <c r="D5212" s="7">
        <v>45703</v>
      </c>
      <c r="E5212" s="7">
        <v>45703</v>
      </c>
      <c r="G5212" s="1" t="s">
        <v>38</v>
      </c>
      <c r="H5212" s="8">
        <v>327141.24</v>
      </c>
      <c r="I5212" s="8">
        <v>226093.01</v>
      </c>
      <c r="J5212" s="1">
        <f>IF(COUNTIF($C$4:C5212,C5212)=1,1,0)</f>
        <v>1</v>
      </c>
      <c r="K5212" s="1">
        <f t="shared" si="81"/>
        <v>2025</v>
      </c>
    </row>
    <row r="5213" spans="2:11" x14ac:dyDescent="0.45">
      <c r="B5213" s="1" t="s">
        <v>4000</v>
      </c>
      <c r="C5213" s="1" t="s">
        <v>5164</v>
      </c>
      <c r="D5213" s="7">
        <v>43566</v>
      </c>
      <c r="E5213" s="7">
        <v>43595</v>
      </c>
      <c r="G5213" s="1" t="s">
        <v>212</v>
      </c>
      <c r="H5213" s="8">
        <v>27817923.739999998</v>
      </c>
      <c r="I5213" s="8">
        <v>21237587.91</v>
      </c>
      <c r="J5213" s="1">
        <f>IF(COUNTIF($C$4:C5213,C5213)=1,1,0)</f>
        <v>1</v>
      </c>
      <c r="K5213" s="1">
        <f t="shared" si="81"/>
        <v>2019</v>
      </c>
    </row>
    <row r="5214" spans="2:11" x14ac:dyDescent="0.45">
      <c r="B5214" s="1" t="s">
        <v>4000</v>
      </c>
      <c r="C5214" s="1" t="s">
        <v>5165</v>
      </c>
      <c r="D5214" s="7">
        <v>45382</v>
      </c>
      <c r="E5214" s="7">
        <v>45407</v>
      </c>
      <c r="G5214" s="1" t="s">
        <v>1348</v>
      </c>
      <c r="H5214" s="8">
        <v>99219534.159999996</v>
      </c>
      <c r="I5214" s="8">
        <v>54084802.280000001</v>
      </c>
      <c r="J5214" s="1">
        <f>IF(COUNTIF($C$4:C5214,C5214)=1,1,0)</f>
        <v>1</v>
      </c>
      <c r="K5214" s="1">
        <f t="shared" si="81"/>
        <v>2024</v>
      </c>
    </row>
    <row r="5215" spans="2:11" x14ac:dyDescent="0.45">
      <c r="B5215" s="1" t="s">
        <v>4000</v>
      </c>
      <c r="C5215" s="1" t="s">
        <v>5166</v>
      </c>
      <c r="D5215" s="7">
        <v>43566</v>
      </c>
      <c r="E5215" s="7">
        <v>43571</v>
      </c>
      <c r="G5215" s="1" t="s">
        <v>212</v>
      </c>
      <c r="H5215" s="8">
        <v>8561879.4900000002</v>
      </c>
      <c r="I5215" s="8">
        <v>4377187.12</v>
      </c>
      <c r="J5215" s="1">
        <f>IF(COUNTIF($C$4:C5215,C5215)=1,1,0)</f>
        <v>1</v>
      </c>
      <c r="K5215" s="1">
        <f t="shared" si="81"/>
        <v>2019</v>
      </c>
    </row>
    <row r="5216" spans="2:11" x14ac:dyDescent="0.45">
      <c r="B5216" s="1" t="s">
        <v>4000</v>
      </c>
      <c r="C5216" s="1" t="s">
        <v>5167</v>
      </c>
      <c r="D5216" s="7">
        <v>45338</v>
      </c>
      <c r="E5216" s="7">
        <v>45350</v>
      </c>
      <c r="G5216" s="1" t="s">
        <v>16</v>
      </c>
      <c r="H5216" s="8">
        <v>1719850.84</v>
      </c>
      <c r="I5216" s="8">
        <v>1089193.06</v>
      </c>
      <c r="J5216" s="1">
        <f>IF(COUNTIF($C$4:C5216,C5216)=1,1,0)</f>
        <v>1</v>
      </c>
      <c r="K5216" s="1">
        <f t="shared" si="81"/>
        <v>2024</v>
      </c>
    </row>
    <row r="5217" spans="2:11" x14ac:dyDescent="0.45">
      <c r="B5217" s="1" t="s">
        <v>4000</v>
      </c>
      <c r="C5217" s="1" t="s">
        <v>5168</v>
      </c>
      <c r="D5217" s="7">
        <v>44706</v>
      </c>
      <c r="E5217" s="7">
        <v>44725</v>
      </c>
      <c r="G5217" s="1" t="s">
        <v>13</v>
      </c>
      <c r="H5217" s="8">
        <v>184854.53</v>
      </c>
      <c r="I5217" s="8">
        <v>134448.38</v>
      </c>
      <c r="J5217" s="1">
        <f>IF(COUNTIF($C$4:C5217,C5217)=1,1,0)</f>
        <v>1</v>
      </c>
      <c r="K5217" s="1">
        <f t="shared" si="81"/>
        <v>2022</v>
      </c>
    </row>
    <row r="5218" spans="2:11" x14ac:dyDescent="0.45">
      <c r="B5218" s="1" t="s">
        <v>4000</v>
      </c>
      <c r="C5218" s="1" t="s">
        <v>5169</v>
      </c>
      <c r="D5218" s="7">
        <v>45864</v>
      </c>
      <c r="E5218" s="7">
        <v>45868</v>
      </c>
      <c r="G5218" s="1" t="s">
        <v>22</v>
      </c>
      <c r="H5218" s="8">
        <v>30041680.210000001</v>
      </c>
      <c r="I5218" s="8">
        <v>18282390.600000001</v>
      </c>
      <c r="J5218" s="1">
        <f>IF(COUNTIF($C$4:C5218,C5218)=1,1,0)</f>
        <v>1</v>
      </c>
      <c r="K5218" s="1">
        <f t="shared" si="81"/>
        <v>2025</v>
      </c>
    </row>
    <row r="5219" spans="2:11" x14ac:dyDescent="0.45">
      <c r="B5219" s="1" t="s">
        <v>4000</v>
      </c>
      <c r="C5219" s="1" t="s">
        <v>5170</v>
      </c>
      <c r="D5219" s="7">
        <v>45637</v>
      </c>
      <c r="E5219" s="7">
        <v>45661</v>
      </c>
      <c r="G5219" s="1" t="s">
        <v>41</v>
      </c>
      <c r="H5219" s="8">
        <v>401467.02</v>
      </c>
      <c r="I5219" s="8">
        <v>314093.07</v>
      </c>
      <c r="J5219" s="1">
        <f>IF(COUNTIF($C$4:C5219,C5219)=1,1,0)</f>
        <v>1</v>
      </c>
      <c r="K5219" s="1">
        <f t="shared" si="81"/>
        <v>2024</v>
      </c>
    </row>
    <row r="5220" spans="2:11" x14ac:dyDescent="0.45">
      <c r="B5220" s="1" t="s">
        <v>4000</v>
      </c>
      <c r="C5220" s="1" t="s">
        <v>5171</v>
      </c>
      <c r="D5220" s="7">
        <v>43987</v>
      </c>
      <c r="E5220" s="7">
        <v>44009</v>
      </c>
      <c r="G5220" s="1" t="s">
        <v>38</v>
      </c>
      <c r="H5220" s="8">
        <v>228875.45</v>
      </c>
      <c r="I5220" s="8">
        <v>182206.8</v>
      </c>
      <c r="J5220" s="1">
        <f>IF(COUNTIF($C$4:C5220,C5220)=1,1,0)</f>
        <v>1</v>
      </c>
      <c r="K5220" s="1">
        <f t="shared" si="81"/>
        <v>2020</v>
      </c>
    </row>
    <row r="5221" spans="2:11" x14ac:dyDescent="0.45">
      <c r="B5221" s="1" t="s">
        <v>4000</v>
      </c>
      <c r="C5221" s="1" t="s">
        <v>5172</v>
      </c>
      <c r="D5221" s="7">
        <v>45440</v>
      </c>
      <c r="E5221" s="7">
        <v>45468</v>
      </c>
      <c r="G5221" s="1" t="s">
        <v>1348</v>
      </c>
      <c r="H5221" s="8">
        <v>8449874.2400000002</v>
      </c>
      <c r="I5221" s="8">
        <v>5839964.79</v>
      </c>
      <c r="J5221" s="1">
        <f>IF(COUNTIF($C$4:C5221,C5221)=1,1,0)</f>
        <v>1</v>
      </c>
      <c r="K5221" s="1">
        <f t="shared" si="81"/>
        <v>2024</v>
      </c>
    </row>
    <row r="5222" spans="2:11" x14ac:dyDescent="0.45">
      <c r="B5222" s="1" t="s">
        <v>4000</v>
      </c>
      <c r="C5222" s="1" t="s">
        <v>5173</v>
      </c>
      <c r="D5222" s="7">
        <v>45929</v>
      </c>
      <c r="E5222" s="7">
        <v>45930</v>
      </c>
      <c r="G5222" s="1" t="s">
        <v>22</v>
      </c>
      <c r="H5222" s="8">
        <v>8166938.5800000001</v>
      </c>
      <c r="I5222" s="8">
        <v>3588877.41</v>
      </c>
      <c r="J5222" s="1">
        <f>IF(COUNTIF($C$4:C5222,C5222)=1,1,0)</f>
        <v>1</v>
      </c>
      <c r="K5222" s="1">
        <f t="shared" si="81"/>
        <v>2025</v>
      </c>
    </row>
    <row r="5223" spans="2:11" x14ac:dyDescent="0.45">
      <c r="B5223" s="1" t="s">
        <v>4000</v>
      </c>
      <c r="C5223" s="1" t="s">
        <v>4846</v>
      </c>
      <c r="D5223" s="7">
        <v>45376</v>
      </c>
      <c r="E5223" s="7">
        <v>45391</v>
      </c>
      <c r="G5223" s="1" t="s">
        <v>1348</v>
      </c>
      <c r="H5223" s="8">
        <v>2160228.6800000002</v>
      </c>
      <c r="I5223" s="8">
        <v>1237396.97</v>
      </c>
      <c r="J5223" s="1">
        <f>IF(COUNTIF($C$4:C5223,C5223)=1,1,0)</f>
        <v>0</v>
      </c>
      <c r="K5223" s="1">
        <f t="shared" si="81"/>
        <v>2024</v>
      </c>
    </row>
    <row r="5224" spans="2:11" x14ac:dyDescent="0.45">
      <c r="B5224" s="1" t="s">
        <v>4000</v>
      </c>
      <c r="C5224" s="1" t="s">
        <v>5174</v>
      </c>
      <c r="D5224" s="7">
        <v>45696</v>
      </c>
      <c r="E5224" s="7">
        <v>45703</v>
      </c>
      <c r="G5224" s="1" t="s">
        <v>41</v>
      </c>
      <c r="H5224" s="8">
        <v>111470.11</v>
      </c>
      <c r="I5224" s="8">
        <v>98137.08</v>
      </c>
      <c r="J5224" s="1">
        <f>IF(COUNTIF($C$4:C5224,C5224)=1,1,0)</f>
        <v>1</v>
      </c>
      <c r="K5224" s="1">
        <f t="shared" si="81"/>
        <v>2025</v>
      </c>
    </row>
    <row r="5225" spans="2:11" x14ac:dyDescent="0.45">
      <c r="B5225" s="1" t="s">
        <v>4000</v>
      </c>
      <c r="C5225" s="1" t="s">
        <v>5175</v>
      </c>
      <c r="D5225" s="7">
        <v>44409</v>
      </c>
      <c r="E5225" s="7">
        <v>44423</v>
      </c>
      <c r="G5225" s="1" t="s">
        <v>1348</v>
      </c>
      <c r="H5225" s="8">
        <v>39487233.920000002</v>
      </c>
      <c r="I5225" s="8">
        <v>22120985.789999999</v>
      </c>
      <c r="J5225" s="1">
        <f>IF(COUNTIF($C$4:C5225,C5225)=1,1,0)</f>
        <v>1</v>
      </c>
      <c r="K5225" s="1">
        <f t="shared" si="81"/>
        <v>2021</v>
      </c>
    </row>
    <row r="5226" spans="2:11" x14ac:dyDescent="0.45">
      <c r="B5226" s="1" t="s">
        <v>4000</v>
      </c>
      <c r="C5226" s="1" t="s">
        <v>5176</v>
      </c>
      <c r="D5226" s="7">
        <v>44249</v>
      </c>
      <c r="E5226" s="7">
        <v>44271</v>
      </c>
      <c r="G5226" s="1" t="s">
        <v>38</v>
      </c>
      <c r="H5226" s="8">
        <v>167184.47</v>
      </c>
      <c r="I5226" s="8">
        <v>124511.58</v>
      </c>
      <c r="J5226" s="1">
        <f>IF(COUNTIF($C$4:C5226,C5226)=1,1,0)</f>
        <v>1</v>
      </c>
      <c r="K5226" s="1">
        <f t="shared" si="81"/>
        <v>2021</v>
      </c>
    </row>
    <row r="5227" spans="2:11" x14ac:dyDescent="0.45">
      <c r="B5227" s="1" t="s">
        <v>4000</v>
      </c>
      <c r="C5227" s="1" t="s">
        <v>5177</v>
      </c>
      <c r="D5227" s="7">
        <v>43689</v>
      </c>
      <c r="E5227" s="7">
        <v>43708</v>
      </c>
      <c r="G5227" s="1" t="s">
        <v>18</v>
      </c>
      <c r="H5227" s="8">
        <v>704249.85</v>
      </c>
      <c r="I5227" s="8">
        <v>550234.18000000005</v>
      </c>
      <c r="J5227" s="1">
        <f>IF(COUNTIF($C$4:C5227,C5227)=1,1,0)</f>
        <v>1</v>
      </c>
      <c r="K5227" s="1">
        <f t="shared" si="81"/>
        <v>2019</v>
      </c>
    </row>
    <row r="5228" spans="2:11" x14ac:dyDescent="0.45">
      <c r="B5228" s="1" t="s">
        <v>4000</v>
      </c>
      <c r="C5228" s="1" t="s">
        <v>5178</v>
      </c>
      <c r="D5228" s="7">
        <v>45254</v>
      </c>
      <c r="E5228" s="7">
        <v>45279</v>
      </c>
      <c r="G5228" s="1" t="s">
        <v>41</v>
      </c>
      <c r="H5228" s="8">
        <v>39390.730000000003</v>
      </c>
      <c r="I5228" s="8">
        <v>32744.61</v>
      </c>
      <c r="J5228" s="1">
        <f>IF(COUNTIF($C$4:C5228,C5228)=1,1,0)</f>
        <v>1</v>
      </c>
      <c r="K5228" s="1">
        <f t="shared" si="81"/>
        <v>2023</v>
      </c>
    </row>
    <row r="5229" spans="2:11" x14ac:dyDescent="0.45">
      <c r="B5229" s="1" t="s">
        <v>4000</v>
      </c>
      <c r="C5229" s="1" t="s">
        <v>5179</v>
      </c>
      <c r="D5229" s="7">
        <v>44646</v>
      </c>
      <c r="E5229" s="7">
        <v>44666</v>
      </c>
      <c r="G5229" s="1" t="s">
        <v>13</v>
      </c>
      <c r="H5229" s="8">
        <v>170233.22</v>
      </c>
      <c r="I5229" s="8">
        <v>148616.37</v>
      </c>
      <c r="J5229" s="1">
        <f>IF(COUNTIF($C$4:C5229,C5229)=1,1,0)</f>
        <v>1</v>
      </c>
      <c r="K5229" s="1">
        <f t="shared" si="81"/>
        <v>2022</v>
      </c>
    </row>
    <row r="5230" spans="2:11" x14ac:dyDescent="0.45">
      <c r="B5230" s="1" t="s">
        <v>4000</v>
      </c>
      <c r="C5230" s="1" t="s">
        <v>5180</v>
      </c>
      <c r="D5230" s="7">
        <v>45657</v>
      </c>
      <c r="E5230" s="7">
        <v>45658</v>
      </c>
      <c r="G5230" s="1" t="s">
        <v>13</v>
      </c>
      <c r="H5230" s="8">
        <v>557449.42000000004</v>
      </c>
      <c r="I5230" s="8">
        <v>431192.87</v>
      </c>
      <c r="J5230" s="1">
        <f>IF(COUNTIF($C$4:C5230,C5230)=1,1,0)</f>
        <v>1</v>
      </c>
      <c r="K5230" s="1">
        <f t="shared" si="81"/>
        <v>2024</v>
      </c>
    </row>
    <row r="5231" spans="2:11" x14ac:dyDescent="0.45">
      <c r="B5231" s="1" t="s">
        <v>4000</v>
      </c>
      <c r="C5231" s="1" t="s">
        <v>5181</v>
      </c>
      <c r="D5231" s="7">
        <v>45430</v>
      </c>
      <c r="E5231" s="7">
        <v>45452</v>
      </c>
      <c r="G5231" s="1" t="s">
        <v>22</v>
      </c>
      <c r="H5231" s="8">
        <v>1441581.88</v>
      </c>
      <c r="I5231" s="8">
        <v>839436.95</v>
      </c>
      <c r="J5231" s="1">
        <f>IF(COUNTIF($C$4:C5231,C5231)=1,1,0)</f>
        <v>1</v>
      </c>
      <c r="K5231" s="1">
        <f t="shared" si="81"/>
        <v>2024</v>
      </c>
    </row>
    <row r="5232" spans="2:11" x14ac:dyDescent="0.45">
      <c r="B5232" s="1" t="s">
        <v>4000</v>
      </c>
      <c r="C5232" s="1" t="s">
        <v>5182</v>
      </c>
      <c r="D5232" s="7">
        <v>43910</v>
      </c>
      <c r="E5232" s="7">
        <v>43910</v>
      </c>
      <c r="G5232" s="1" t="s">
        <v>41</v>
      </c>
      <c r="H5232" s="8">
        <v>96331.59</v>
      </c>
      <c r="I5232" s="8">
        <v>85423.23</v>
      </c>
      <c r="J5232" s="1">
        <f>IF(COUNTIF($C$4:C5232,C5232)=1,1,0)</f>
        <v>1</v>
      </c>
      <c r="K5232" s="1">
        <f t="shared" si="81"/>
        <v>2020</v>
      </c>
    </row>
    <row r="5233" spans="2:11" x14ac:dyDescent="0.45">
      <c r="B5233" s="1" t="s">
        <v>4000</v>
      </c>
      <c r="C5233" s="1" t="s">
        <v>5183</v>
      </c>
      <c r="D5233" s="7">
        <v>45855</v>
      </c>
      <c r="E5233" s="7">
        <v>45862</v>
      </c>
      <c r="G5233" s="1" t="s">
        <v>13</v>
      </c>
      <c r="H5233" s="8">
        <v>188719.52</v>
      </c>
      <c r="I5233" s="8">
        <v>160590.94</v>
      </c>
      <c r="J5233" s="1">
        <f>IF(COUNTIF($C$4:C5233,C5233)=1,1,0)</f>
        <v>1</v>
      </c>
      <c r="K5233" s="1">
        <f t="shared" si="81"/>
        <v>2025</v>
      </c>
    </row>
    <row r="5234" spans="2:11" x14ac:dyDescent="0.45">
      <c r="B5234" s="1" t="s">
        <v>4000</v>
      </c>
      <c r="C5234" s="1" t="s">
        <v>5184</v>
      </c>
      <c r="D5234" s="7">
        <v>45797</v>
      </c>
      <c r="E5234" s="7">
        <v>45799</v>
      </c>
      <c r="G5234" s="1" t="s">
        <v>38</v>
      </c>
      <c r="H5234" s="8">
        <v>46170.48</v>
      </c>
      <c r="I5234" s="8">
        <v>33090.879999999997</v>
      </c>
      <c r="J5234" s="1">
        <f>IF(COUNTIF($C$4:C5234,C5234)=1,1,0)</f>
        <v>1</v>
      </c>
      <c r="K5234" s="1">
        <f t="shared" si="81"/>
        <v>2025</v>
      </c>
    </row>
    <row r="5235" spans="2:11" x14ac:dyDescent="0.45">
      <c r="B5235" s="1" t="s">
        <v>4000</v>
      </c>
      <c r="C5235" s="1" t="s">
        <v>5185</v>
      </c>
      <c r="D5235" s="7">
        <v>43560</v>
      </c>
      <c r="E5235" s="7">
        <v>43584</v>
      </c>
      <c r="G5235" s="1" t="s">
        <v>20</v>
      </c>
      <c r="H5235" s="8">
        <v>493250.38</v>
      </c>
      <c r="I5235" s="8">
        <v>354307.4</v>
      </c>
      <c r="J5235" s="1">
        <f>IF(COUNTIF($C$4:C5235,C5235)=1,1,0)</f>
        <v>1</v>
      </c>
      <c r="K5235" s="1">
        <f t="shared" si="81"/>
        <v>2019</v>
      </c>
    </row>
    <row r="5236" spans="2:11" x14ac:dyDescent="0.45">
      <c r="B5236" s="1" t="s">
        <v>4000</v>
      </c>
      <c r="C5236" s="1" t="s">
        <v>5186</v>
      </c>
      <c r="D5236" s="7">
        <v>44494</v>
      </c>
      <c r="E5236" s="7">
        <v>44513</v>
      </c>
      <c r="G5236" s="1" t="s">
        <v>13</v>
      </c>
      <c r="H5236" s="8">
        <v>380967</v>
      </c>
      <c r="I5236" s="8">
        <v>326205.27</v>
      </c>
      <c r="J5236" s="1">
        <f>IF(COUNTIF($C$4:C5236,C5236)=1,1,0)</f>
        <v>1</v>
      </c>
      <c r="K5236" s="1">
        <f t="shared" si="81"/>
        <v>2021</v>
      </c>
    </row>
    <row r="5237" spans="2:11" x14ac:dyDescent="0.45">
      <c r="B5237" s="1" t="s">
        <v>4000</v>
      </c>
      <c r="C5237" s="1" t="s">
        <v>5187</v>
      </c>
      <c r="D5237" s="7">
        <v>45312</v>
      </c>
      <c r="E5237" s="7">
        <v>45337</v>
      </c>
      <c r="G5237" s="1" t="s">
        <v>22</v>
      </c>
      <c r="H5237" s="8">
        <v>11848738.66</v>
      </c>
      <c r="I5237" s="8">
        <v>6326411.5800000001</v>
      </c>
      <c r="J5237" s="1">
        <f>IF(COUNTIF($C$4:C5237,C5237)=1,1,0)</f>
        <v>1</v>
      </c>
      <c r="K5237" s="1">
        <f t="shared" si="81"/>
        <v>2024</v>
      </c>
    </row>
    <row r="5238" spans="2:11" x14ac:dyDescent="0.45">
      <c r="B5238" s="1" t="s">
        <v>4000</v>
      </c>
      <c r="C5238" s="1" t="s">
        <v>5188</v>
      </c>
      <c r="D5238" s="7">
        <v>43981</v>
      </c>
      <c r="E5238" s="7">
        <v>43982</v>
      </c>
      <c r="G5238" s="1" t="s">
        <v>212</v>
      </c>
      <c r="H5238" s="8">
        <v>40078513.549999997</v>
      </c>
      <c r="I5238" s="8">
        <v>25881982.210000001</v>
      </c>
      <c r="J5238" s="1">
        <f>IF(COUNTIF($C$4:C5238,C5238)=1,1,0)</f>
        <v>1</v>
      </c>
      <c r="K5238" s="1">
        <f t="shared" si="81"/>
        <v>2020</v>
      </c>
    </row>
    <row r="5239" spans="2:11" x14ac:dyDescent="0.45">
      <c r="B5239" s="1" t="s">
        <v>4000</v>
      </c>
      <c r="C5239" s="1" t="s">
        <v>5189</v>
      </c>
      <c r="D5239" s="7">
        <v>43773</v>
      </c>
      <c r="E5239" s="7">
        <v>43802</v>
      </c>
      <c r="G5239" s="1" t="s">
        <v>16</v>
      </c>
      <c r="H5239" s="8">
        <v>735093.58</v>
      </c>
      <c r="I5239" s="8">
        <v>592264.5</v>
      </c>
      <c r="J5239" s="1">
        <f>IF(COUNTIF($C$4:C5239,C5239)=1,1,0)</f>
        <v>1</v>
      </c>
      <c r="K5239" s="1">
        <f t="shared" si="81"/>
        <v>2019</v>
      </c>
    </row>
    <row r="5240" spans="2:11" x14ac:dyDescent="0.45">
      <c r="B5240" s="1" t="s">
        <v>4000</v>
      </c>
      <c r="C5240" s="1" t="s">
        <v>5190</v>
      </c>
      <c r="D5240" s="7">
        <v>43348</v>
      </c>
      <c r="E5240" s="7">
        <v>43357</v>
      </c>
      <c r="G5240" s="1" t="s">
        <v>38</v>
      </c>
      <c r="H5240" s="8">
        <v>65461.77</v>
      </c>
      <c r="I5240" s="8">
        <v>45787.24</v>
      </c>
      <c r="J5240" s="1">
        <f>IF(COUNTIF($C$4:C5240,C5240)=1,1,0)</f>
        <v>1</v>
      </c>
      <c r="K5240" s="1">
        <f t="shared" si="81"/>
        <v>2018</v>
      </c>
    </row>
    <row r="5241" spans="2:11" x14ac:dyDescent="0.45">
      <c r="B5241" s="1" t="s">
        <v>4000</v>
      </c>
      <c r="C5241" s="1" t="s">
        <v>5191</v>
      </c>
      <c r="D5241" s="7">
        <v>44065</v>
      </c>
      <c r="E5241" s="7">
        <v>44076</v>
      </c>
      <c r="G5241" s="1" t="s">
        <v>13</v>
      </c>
      <c r="H5241" s="8">
        <v>195103.43</v>
      </c>
      <c r="I5241" s="8">
        <v>138378.93</v>
      </c>
      <c r="J5241" s="1">
        <f>IF(COUNTIF($C$4:C5241,C5241)=1,1,0)</f>
        <v>1</v>
      </c>
      <c r="K5241" s="1">
        <f t="shared" si="81"/>
        <v>2020</v>
      </c>
    </row>
    <row r="5242" spans="2:11" x14ac:dyDescent="0.45">
      <c r="B5242" s="1" t="s">
        <v>4000</v>
      </c>
      <c r="C5242" s="1" t="s">
        <v>5192</v>
      </c>
      <c r="D5242" s="7">
        <v>45135</v>
      </c>
      <c r="E5242" s="7">
        <v>45138</v>
      </c>
      <c r="G5242" s="1" t="s">
        <v>212</v>
      </c>
      <c r="H5242" s="8">
        <v>98627478.599999994</v>
      </c>
      <c r="I5242" s="8">
        <v>49885324.039999999</v>
      </c>
      <c r="J5242" s="1">
        <f>IF(COUNTIF($C$4:C5242,C5242)=1,1,0)</f>
        <v>1</v>
      </c>
      <c r="K5242" s="1">
        <f t="shared" si="81"/>
        <v>2023</v>
      </c>
    </row>
    <row r="5243" spans="2:11" x14ac:dyDescent="0.45">
      <c r="B5243" s="1" t="s">
        <v>4000</v>
      </c>
      <c r="C5243" s="1" t="s">
        <v>5193</v>
      </c>
      <c r="D5243" s="7">
        <v>45798</v>
      </c>
      <c r="E5243" s="7">
        <v>45821</v>
      </c>
      <c r="G5243" s="1" t="s">
        <v>38</v>
      </c>
      <c r="H5243" s="8">
        <v>1070016</v>
      </c>
      <c r="I5243" s="8">
        <v>846567.71</v>
      </c>
      <c r="J5243" s="1">
        <f>IF(COUNTIF($C$4:C5243,C5243)=1,1,0)</f>
        <v>1</v>
      </c>
      <c r="K5243" s="1">
        <f t="shared" si="81"/>
        <v>2025</v>
      </c>
    </row>
    <row r="5244" spans="2:11" x14ac:dyDescent="0.45">
      <c r="B5244" s="1" t="s">
        <v>4000</v>
      </c>
      <c r="C5244" s="1" t="s">
        <v>5194</v>
      </c>
      <c r="D5244" s="7">
        <v>44526</v>
      </c>
      <c r="E5244" s="7">
        <v>44537</v>
      </c>
      <c r="G5244" s="1" t="s">
        <v>212</v>
      </c>
      <c r="H5244" s="8">
        <v>11800237.66</v>
      </c>
      <c r="I5244" s="8">
        <v>9176193.3599999994</v>
      </c>
      <c r="J5244" s="1">
        <f>IF(COUNTIF($C$4:C5244,C5244)=1,1,0)</f>
        <v>1</v>
      </c>
      <c r="K5244" s="1">
        <f t="shared" si="81"/>
        <v>2021</v>
      </c>
    </row>
    <row r="5245" spans="2:11" x14ac:dyDescent="0.45">
      <c r="B5245" s="1" t="s">
        <v>4000</v>
      </c>
      <c r="C5245" s="1" t="s">
        <v>5195</v>
      </c>
      <c r="D5245" s="7">
        <v>46042</v>
      </c>
      <c r="E5245" s="7">
        <v>46056</v>
      </c>
      <c r="G5245" s="1" t="s">
        <v>212</v>
      </c>
      <c r="H5245" s="8">
        <v>4539985.4400000004</v>
      </c>
      <c r="I5245" s="8">
        <v>2807934.7</v>
      </c>
      <c r="J5245" s="1">
        <f>IF(COUNTIF($C$4:C5245,C5245)=1,1,0)</f>
        <v>1</v>
      </c>
      <c r="K5245" s="1">
        <f t="shared" si="81"/>
        <v>2026</v>
      </c>
    </row>
    <row r="5246" spans="2:11" x14ac:dyDescent="0.45">
      <c r="B5246" s="1" t="s">
        <v>4000</v>
      </c>
      <c r="C5246" s="1" t="s">
        <v>5196</v>
      </c>
      <c r="D5246" s="7">
        <v>44623</v>
      </c>
      <c r="E5246" s="7">
        <v>44638</v>
      </c>
      <c r="G5246" s="1" t="s">
        <v>41</v>
      </c>
      <c r="H5246" s="8">
        <v>139424.01</v>
      </c>
      <c r="I5246" s="8">
        <v>116752.1</v>
      </c>
      <c r="J5246" s="1">
        <f>IF(COUNTIF($C$4:C5246,C5246)=1,1,0)</f>
        <v>1</v>
      </c>
      <c r="K5246" s="1">
        <f t="shared" si="81"/>
        <v>2022</v>
      </c>
    </row>
    <row r="5247" spans="2:11" x14ac:dyDescent="0.45">
      <c r="B5247" s="1" t="s">
        <v>4000</v>
      </c>
      <c r="C5247" s="1" t="s">
        <v>5197</v>
      </c>
      <c r="D5247" s="7">
        <v>44825</v>
      </c>
      <c r="E5247" s="7">
        <v>44845</v>
      </c>
      <c r="G5247" s="1" t="s">
        <v>20</v>
      </c>
      <c r="H5247" s="8">
        <v>2737280.06</v>
      </c>
      <c r="I5247" s="8">
        <v>2123455.4900000002</v>
      </c>
      <c r="J5247" s="1">
        <f>IF(COUNTIF($C$4:C5247,C5247)=1,1,0)</f>
        <v>1</v>
      </c>
      <c r="K5247" s="1">
        <f t="shared" si="81"/>
        <v>2022</v>
      </c>
    </row>
    <row r="5248" spans="2:11" x14ac:dyDescent="0.45">
      <c r="B5248" s="1" t="s">
        <v>4000</v>
      </c>
      <c r="C5248" s="1" t="s">
        <v>5198</v>
      </c>
      <c r="D5248" s="7">
        <v>43359</v>
      </c>
      <c r="E5248" s="7">
        <v>43381</v>
      </c>
      <c r="G5248" s="1" t="s">
        <v>13</v>
      </c>
      <c r="H5248" s="8">
        <v>61826.75</v>
      </c>
      <c r="I5248" s="8">
        <v>43537.5</v>
      </c>
      <c r="J5248" s="1">
        <f>IF(COUNTIF($C$4:C5248,C5248)=1,1,0)</f>
        <v>1</v>
      </c>
      <c r="K5248" s="1">
        <f t="shared" si="81"/>
        <v>2018</v>
      </c>
    </row>
    <row r="5249" spans="2:11" x14ac:dyDescent="0.45">
      <c r="B5249" s="1" t="s">
        <v>4000</v>
      </c>
      <c r="C5249" s="1" t="s">
        <v>5199</v>
      </c>
      <c r="D5249" s="7">
        <v>45198</v>
      </c>
      <c r="E5249" s="7">
        <v>45198</v>
      </c>
      <c r="G5249" s="1" t="s">
        <v>16</v>
      </c>
      <c r="H5249" s="8">
        <v>2386539.4300000002</v>
      </c>
      <c r="I5249" s="8">
        <v>1308704.3799999999</v>
      </c>
      <c r="J5249" s="1">
        <f>IF(COUNTIF($C$4:C5249,C5249)=1,1,0)</f>
        <v>1</v>
      </c>
      <c r="K5249" s="1">
        <f t="shared" si="81"/>
        <v>2023</v>
      </c>
    </row>
    <row r="5250" spans="2:11" x14ac:dyDescent="0.45">
      <c r="B5250" s="1" t="s">
        <v>4000</v>
      </c>
      <c r="C5250" s="1" t="s">
        <v>5200</v>
      </c>
      <c r="D5250" s="7">
        <v>45389</v>
      </c>
      <c r="E5250" s="7">
        <v>45406</v>
      </c>
      <c r="G5250" s="1" t="s">
        <v>20</v>
      </c>
      <c r="H5250" s="8">
        <v>710916.54</v>
      </c>
      <c r="I5250" s="8">
        <v>549730.26</v>
      </c>
      <c r="J5250" s="1">
        <f>IF(COUNTIF($C$4:C5250,C5250)=1,1,0)</f>
        <v>1</v>
      </c>
      <c r="K5250" s="1">
        <f t="shared" si="81"/>
        <v>2024</v>
      </c>
    </row>
    <row r="5251" spans="2:11" x14ac:dyDescent="0.45">
      <c r="B5251" s="1" t="s">
        <v>4000</v>
      </c>
      <c r="C5251" s="1" t="s">
        <v>5201</v>
      </c>
      <c r="D5251" s="7">
        <v>45085</v>
      </c>
      <c r="E5251" s="7">
        <v>45088</v>
      </c>
      <c r="G5251" s="1" t="s">
        <v>13</v>
      </c>
      <c r="H5251" s="8">
        <v>541577.53</v>
      </c>
      <c r="I5251" s="8">
        <v>487225.46</v>
      </c>
      <c r="J5251" s="1">
        <f>IF(COUNTIF($C$4:C5251,C5251)=1,1,0)</f>
        <v>1</v>
      </c>
      <c r="K5251" s="1">
        <f t="shared" si="81"/>
        <v>2023</v>
      </c>
    </row>
    <row r="5252" spans="2:11" x14ac:dyDescent="0.45">
      <c r="B5252" s="1" t="s">
        <v>4000</v>
      </c>
      <c r="C5252" s="1" t="s">
        <v>5202</v>
      </c>
      <c r="D5252" s="7">
        <v>46043</v>
      </c>
      <c r="E5252" s="7">
        <v>46066</v>
      </c>
      <c r="G5252" s="1" t="s">
        <v>212</v>
      </c>
      <c r="H5252" s="8">
        <v>697678.65</v>
      </c>
      <c r="I5252" s="8">
        <v>325700.24</v>
      </c>
      <c r="J5252" s="1">
        <f>IF(COUNTIF($C$4:C5252,C5252)=1,1,0)</f>
        <v>1</v>
      </c>
      <c r="K5252" s="1">
        <f t="shared" si="81"/>
        <v>2026</v>
      </c>
    </row>
    <row r="5253" spans="2:11" x14ac:dyDescent="0.45">
      <c r="B5253" s="1" t="s">
        <v>4000</v>
      </c>
      <c r="C5253" s="1" t="s">
        <v>5203</v>
      </c>
      <c r="D5253" s="7">
        <v>45262</v>
      </c>
      <c r="E5253" s="7">
        <v>45281</v>
      </c>
      <c r="G5253" s="1" t="s">
        <v>212</v>
      </c>
      <c r="H5253" s="8">
        <v>17606983.739999998</v>
      </c>
      <c r="I5253" s="8">
        <v>12472174.43</v>
      </c>
      <c r="J5253" s="1">
        <f>IF(COUNTIF($C$4:C5253,C5253)=1,1,0)</f>
        <v>1</v>
      </c>
      <c r="K5253" s="1">
        <f t="shared" ref="K5253:K5316" si="82">YEAR(D5253)</f>
        <v>2023</v>
      </c>
    </row>
    <row r="5254" spans="2:11" x14ac:dyDescent="0.45">
      <c r="B5254" s="1" t="s">
        <v>4000</v>
      </c>
      <c r="C5254" s="1" t="s">
        <v>5204</v>
      </c>
      <c r="D5254" s="7">
        <v>44512</v>
      </c>
      <c r="E5254" s="7">
        <v>44517</v>
      </c>
      <c r="G5254" s="1" t="s">
        <v>1348</v>
      </c>
      <c r="H5254" s="8">
        <v>21685921.829999998</v>
      </c>
      <c r="I5254" s="8">
        <v>10299719.08</v>
      </c>
      <c r="J5254" s="1">
        <f>IF(COUNTIF($C$4:C5254,C5254)=1,1,0)</f>
        <v>1</v>
      </c>
      <c r="K5254" s="1">
        <f t="shared" si="82"/>
        <v>2021</v>
      </c>
    </row>
    <row r="5255" spans="2:11" x14ac:dyDescent="0.45">
      <c r="B5255" s="1" t="s">
        <v>4000</v>
      </c>
      <c r="C5255" s="1" t="s">
        <v>5205</v>
      </c>
      <c r="D5255" s="7">
        <v>45478</v>
      </c>
      <c r="E5255" s="7">
        <v>45500</v>
      </c>
      <c r="G5255" s="1" t="s">
        <v>22</v>
      </c>
      <c r="H5255" s="8">
        <v>36436619.359999999</v>
      </c>
      <c r="I5255" s="8">
        <v>18326676.170000002</v>
      </c>
      <c r="J5255" s="1">
        <f>IF(COUNTIF($C$4:C5255,C5255)=1,1,0)</f>
        <v>1</v>
      </c>
      <c r="K5255" s="1">
        <f t="shared" si="82"/>
        <v>2024</v>
      </c>
    </row>
    <row r="5256" spans="2:11" x14ac:dyDescent="0.45">
      <c r="B5256" s="1" t="s">
        <v>4000</v>
      </c>
      <c r="C5256" s="1" t="s">
        <v>5206</v>
      </c>
      <c r="D5256" s="7">
        <v>43996</v>
      </c>
      <c r="E5256" s="7">
        <v>43997</v>
      </c>
      <c r="G5256" s="1" t="s">
        <v>38</v>
      </c>
      <c r="H5256" s="8">
        <v>114736.17</v>
      </c>
      <c r="I5256" s="8">
        <v>95618.77</v>
      </c>
      <c r="J5256" s="1">
        <f>IF(COUNTIF($C$4:C5256,C5256)=1,1,0)</f>
        <v>1</v>
      </c>
      <c r="K5256" s="1">
        <f t="shared" si="82"/>
        <v>2020</v>
      </c>
    </row>
    <row r="5257" spans="2:11" x14ac:dyDescent="0.45">
      <c r="B5257" s="1" t="s">
        <v>4000</v>
      </c>
      <c r="C5257" s="1" t="s">
        <v>5207</v>
      </c>
      <c r="D5257" s="7">
        <v>45646</v>
      </c>
      <c r="E5257" s="7">
        <v>45654</v>
      </c>
      <c r="G5257" s="1" t="s">
        <v>16</v>
      </c>
      <c r="H5257" s="8">
        <v>2768745.53</v>
      </c>
      <c r="I5257" s="8">
        <v>2121654.09</v>
      </c>
      <c r="J5257" s="1">
        <f>IF(COUNTIF($C$4:C5257,C5257)=1,1,0)</f>
        <v>1</v>
      </c>
      <c r="K5257" s="1">
        <f t="shared" si="82"/>
        <v>2024</v>
      </c>
    </row>
    <row r="5258" spans="2:11" x14ac:dyDescent="0.45">
      <c r="B5258" s="1" t="s">
        <v>4000</v>
      </c>
      <c r="C5258" s="1" t="s">
        <v>5208</v>
      </c>
      <c r="D5258" s="7">
        <v>45200</v>
      </c>
      <c r="E5258" s="7">
        <v>45209</v>
      </c>
      <c r="G5258" s="1" t="s">
        <v>22</v>
      </c>
      <c r="H5258" s="8">
        <v>16850062.59</v>
      </c>
      <c r="I5258" s="8">
        <v>12291413.640000001</v>
      </c>
      <c r="J5258" s="1">
        <f>IF(COUNTIF($C$4:C5258,C5258)=1,1,0)</f>
        <v>1</v>
      </c>
      <c r="K5258" s="1">
        <f t="shared" si="82"/>
        <v>2023</v>
      </c>
    </row>
    <row r="5259" spans="2:11" x14ac:dyDescent="0.45">
      <c r="B5259" s="1" t="s">
        <v>4000</v>
      </c>
      <c r="C5259" s="1" t="s">
        <v>5209</v>
      </c>
      <c r="D5259" s="7">
        <v>43343</v>
      </c>
      <c r="E5259" s="7">
        <v>43356</v>
      </c>
      <c r="G5259" s="1" t="s">
        <v>16</v>
      </c>
      <c r="H5259" s="8">
        <v>822998.61</v>
      </c>
      <c r="I5259" s="8">
        <v>530305.55000000005</v>
      </c>
      <c r="J5259" s="1">
        <f>IF(COUNTIF($C$4:C5259,C5259)=1,1,0)</f>
        <v>1</v>
      </c>
      <c r="K5259" s="1">
        <f t="shared" si="82"/>
        <v>2018</v>
      </c>
    </row>
    <row r="5260" spans="2:11" x14ac:dyDescent="0.45">
      <c r="B5260" s="1" t="s">
        <v>4000</v>
      </c>
      <c r="C5260" s="1" t="s">
        <v>5210</v>
      </c>
      <c r="D5260" s="7">
        <v>45986</v>
      </c>
      <c r="E5260" s="7">
        <v>46004</v>
      </c>
      <c r="G5260" s="1" t="s">
        <v>20</v>
      </c>
      <c r="H5260" s="8">
        <v>1069366.6399999999</v>
      </c>
      <c r="I5260" s="8">
        <v>670292.69999999995</v>
      </c>
      <c r="J5260" s="1">
        <f>IF(COUNTIF($C$4:C5260,C5260)=1,1,0)</f>
        <v>1</v>
      </c>
      <c r="K5260" s="1">
        <f t="shared" si="82"/>
        <v>2025</v>
      </c>
    </row>
    <row r="5261" spans="2:11" x14ac:dyDescent="0.45">
      <c r="B5261" s="1" t="s">
        <v>4000</v>
      </c>
      <c r="C5261" s="1" t="s">
        <v>5211</v>
      </c>
      <c r="D5261" s="7">
        <v>45191</v>
      </c>
      <c r="E5261" s="7">
        <v>45207</v>
      </c>
      <c r="G5261" s="1" t="s">
        <v>20</v>
      </c>
      <c r="H5261" s="8">
        <v>395967.59</v>
      </c>
      <c r="I5261" s="8">
        <v>316921.21000000002</v>
      </c>
      <c r="J5261" s="1">
        <f>IF(COUNTIF($C$4:C5261,C5261)=1,1,0)</f>
        <v>1</v>
      </c>
      <c r="K5261" s="1">
        <f t="shared" si="82"/>
        <v>2023</v>
      </c>
    </row>
    <row r="5262" spans="2:11" x14ac:dyDescent="0.45">
      <c r="B5262" s="1" t="s">
        <v>4000</v>
      </c>
      <c r="C5262" s="1" t="s">
        <v>5212</v>
      </c>
      <c r="D5262" s="7">
        <v>44821</v>
      </c>
      <c r="E5262" s="7">
        <v>44848</v>
      </c>
      <c r="G5262" s="1" t="s">
        <v>13</v>
      </c>
      <c r="H5262" s="8">
        <v>419842</v>
      </c>
      <c r="I5262" s="8">
        <v>347534.21</v>
      </c>
      <c r="J5262" s="1">
        <f>IF(COUNTIF($C$4:C5262,C5262)=1,1,0)</f>
        <v>1</v>
      </c>
      <c r="K5262" s="1">
        <f t="shared" si="82"/>
        <v>2022</v>
      </c>
    </row>
    <row r="5263" spans="2:11" x14ac:dyDescent="0.45">
      <c r="B5263" s="1" t="s">
        <v>4000</v>
      </c>
      <c r="C5263" s="1" t="s">
        <v>5213</v>
      </c>
      <c r="D5263" s="7">
        <v>45664</v>
      </c>
      <c r="E5263" s="7">
        <v>45668</v>
      </c>
      <c r="G5263" s="1" t="s">
        <v>22</v>
      </c>
      <c r="H5263" s="8">
        <v>9511589.2100000009</v>
      </c>
      <c r="I5263" s="8">
        <v>7009152.5700000003</v>
      </c>
      <c r="J5263" s="1">
        <f>IF(COUNTIF($C$4:C5263,C5263)=1,1,0)</f>
        <v>1</v>
      </c>
      <c r="K5263" s="1">
        <f t="shared" si="82"/>
        <v>2025</v>
      </c>
    </row>
    <row r="5264" spans="2:11" x14ac:dyDescent="0.45">
      <c r="B5264" s="1" t="s">
        <v>4000</v>
      </c>
      <c r="C5264" s="1" t="s">
        <v>5214</v>
      </c>
      <c r="D5264" s="7">
        <v>45838</v>
      </c>
      <c r="E5264" s="7">
        <v>45841</v>
      </c>
      <c r="G5264" s="1" t="s">
        <v>38</v>
      </c>
      <c r="H5264" s="8">
        <v>56490.27</v>
      </c>
      <c r="I5264" s="8">
        <v>45248.1</v>
      </c>
      <c r="J5264" s="1">
        <f>IF(COUNTIF($C$4:C5264,C5264)=1,1,0)</f>
        <v>1</v>
      </c>
      <c r="K5264" s="1">
        <f t="shared" si="82"/>
        <v>2025</v>
      </c>
    </row>
    <row r="5265" spans="2:11" x14ac:dyDescent="0.45">
      <c r="B5265" s="1" t="s">
        <v>4000</v>
      </c>
      <c r="C5265" s="1" t="s">
        <v>5215</v>
      </c>
      <c r="D5265" s="7">
        <v>44442</v>
      </c>
      <c r="E5265" s="7">
        <v>44448</v>
      </c>
      <c r="G5265" s="1" t="s">
        <v>212</v>
      </c>
      <c r="H5265" s="8">
        <v>4317690.57</v>
      </c>
      <c r="I5265" s="8">
        <v>2881880.71</v>
      </c>
      <c r="J5265" s="1">
        <f>IF(COUNTIF($C$4:C5265,C5265)=1,1,0)</f>
        <v>1</v>
      </c>
      <c r="K5265" s="1">
        <f t="shared" si="82"/>
        <v>2021</v>
      </c>
    </row>
    <row r="5266" spans="2:11" x14ac:dyDescent="0.45">
      <c r="B5266" s="1" t="s">
        <v>4000</v>
      </c>
      <c r="C5266" s="1" t="s">
        <v>5216</v>
      </c>
      <c r="D5266" s="7">
        <v>44274</v>
      </c>
      <c r="E5266" s="7">
        <v>44293</v>
      </c>
      <c r="G5266" s="1" t="s">
        <v>13</v>
      </c>
      <c r="H5266" s="8">
        <v>382522.17</v>
      </c>
      <c r="I5266" s="8">
        <v>262398.89</v>
      </c>
      <c r="J5266" s="1">
        <f>IF(COUNTIF($C$4:C5266,C5266)=1,1,0)</f>
        <v>1</v>
      </c>
      <c r="K5266" s="1">
        <f t="shared" si="82"/>
        <v>2021</v>
      </c>
    </row>
    <row r="5267" spans="2:11" x14ac:dyDescent="0.45">
      <c r="B5267" s="1" t="s">
        <v>4000</v>
      </c>
      <c r="C5267" s="1" t="s">
        <v>5217</v>
      </c>
      <c r="D5267" s="7">
        <v>43641</v>
      </c>
      <c r="E5267" s="7">
        <v>43666</v>
      </c>
      <c r="G5267" s="1" t="s">
        <v>22</v>
      </c>
      <c r="H5267" s="8">
        <v>1983911.95</v>
      </c>
      <c r="I5267" s="8">
        <v>987798.39</v>
      </c>
      <c r="J5267" s="1">
        <f>IF(COUNTIF($C$4:C5267,C5267)=1,1,0)</f>
        <v>1</v>
      </c>
      <c r="K5267" s="1">
        <f t="shared" si="82"/>
        <v>2019</v>
      </c>
    </row>
    <row r="5268" spans="2:11" x14ac:dyDescent="0.45">
      <c r="B5268" s="1" t="s">
        <v>4000</v>
      </c>
      <c r="C5268" s="1" t="s">
        <v>5218</v>
      </c>
      <c r="D5268" s="7">
        <v>44948</v>
      </c>
      <c r="E5268" s="7">
        <v>44949</v>
      </c>
      <c r="G5268" s="1" t="s">
        <v>20</v>
      </c>
      <c r="H5268" s="8">
        <v>554727.49</v>
      </c>
      <c r="I5268" s="8">
        <v>426490</v>
      </c>
      <c r="J5268" s="1">
        <f>IF(COUNTIF($C$4:C5268,C5268)=1,1,0)</f>
        <v>1</v>
      </c>
      <c r="K5268" s="1">
        <f t="shared" si="82"/>
        <v>2023</v>
      </c>
    </row>
    <row r="5269" spans="2:11" x14ac:dyDescent="0.45">
      <c r="B5269" s="1" t="s">
        <v>4000</v>
      </c>
      <c r="C5269" s="1" t="s">
        <v>5219</v>
      </c>
      <c r="D5269" s="7">
        <v>43666</v>
      </c>
      <c r="E5269" s="7">
        <v>43685</v>
      </c>
      <c r="G5269" s="1" t="s">
        <v>38</v>
      </c>
      <c r="H5269" s="8">
        <v>437947.05</v>
      </c>
      <c r="I5269" s="8">
        <v>402688.01</v>
      </c>
      <c r="J5269" s="1">
        <f>IF(COUNTIF($C$4:C5269,C5269)=1,1,0)</f>
        <v>1</v>
      </c>
      <c r="K5269" s="1">
        <f t="shared" si="82"/>
        <v>2019</v>
      </c>
    </row>
    <row r="5270" spans="2:11" x14ac:dyDescent="0.45">
      <c r="B5270" s="1" t="s">
        <v>4000</v>
      </c>
      <c r="C5270" s="1" t="s">
        <v>5220</v>
      </c>
      <c r="D5270" s="7">
        <v>44026</v>
      </c>
      <c r="E5270" s="7">
        <v>44039</v>
      </c>
      <c r="G5270" s="1" t="s">
        <v>16</v>
      </c>
      <c r="H5270" s="8">
        <v>995603.63</v>
      </c>
      <c r="I5270" s="8">
        <v>651349.49</v>
      </c>
      <c r="J5270" s="1">
        <f>IF(COUNTIF($C$4:C5270,C5270)=1,1,0)</f>
        <v>1</v>
      </c>
      <c r="K5270" s="1">
        <f t="shared" si="82"/>
        <v>2020</v>
      </c>
    </row>
    <row r="5271" spans="2:11" x14ac:dyDescent="0.45">
      <c r="B5271" s="1" t="s">
        <v>4000</v>
      </c>
      <c r="C5271" s="1" t="s">
        <v>5221</v>
      </c>
      <c r="D5271" s="7">
        <v>44963</v>
      </c>
      <c r="E5271" s="7">
        <v>44990</v>
      </c>
      <c r="G5271" s="1" t="s">
        <v>1348</v>
      </c>
      <c r="H5271" s="8">
        <v>17253772.98</v>
      </c>
      <c r="I5271" s="8">
        <v>12821033.24</v>
      </c>
      <c r="J5271" s="1">
        <f>IF(COUNTIF($C$4:C5271,C5271)=1,1,0)</f>
        <v>1</v>
      </c>
      <c r="K5271" s="1">
        <f t="shared" si="82"/>
        <v>2023</v>
      </c>
    </row>
    <row r="5272" spans="2:11" x14ac:dyDescent="0.45">
      <c r="B5272" s="1" t="s">
        <v>4000</v>
      </c>
      <c r="C5272" s="1" t="s">
        <v>5222</v>
      </c>
      <c r="D5272" s="7">
        <v>44962</v>
      </c>
      <c r="E5272" s="7">
        <v>44976</v>
      </c>
      <c r="G5272" s="1" t="s">
        <v>41</v>
      </c>
      <c r="H5272" s="8">
        <v>129091.51</v>
      </c>
      <c r="I5272" s="8">
        <v>96750.080000000002</v>
      </c>
      <c r="J5272" s="1">
        <f>IF(COUNTIF($C$4:C5272,C5272)=1,1,0)</f>
        <v>1</v>
      </c>
      <c r="K5272" s="1">
        <f t="shared" si="82"/>
        <v>2023</v>
      </c>
    </row>
    <row r="5273" spans="2:11" x14ac:dyDescent="0.45">
      <c r="B5273" s="1" t="s">
        <v>4000</v>
      </c>
      <c r="C5273" s="1" t="s">
        <v>5223</v>
      </c>
      <c r="D5273" s="7">
        <v>44564</v>
      </c>
      <c r="E5273" s="7">
        <v>44588</v>
      </c>
      <c r="G5273" s="1" t="s">
        <v>1348</v>
      </c>
      <c r="H5273" s="8">
        <v>31157507.670000002</v>
      </c>
      <c r="I5273" s="8">
        <v>21716930.579999998</v>
      </c>
      <c r="J5273" s="1">
        <f>IF(COUNTIF($C$4:C5273,C5273)=1,1,0)</f>
        <v>1</v>
      </c>
      <c r="K5273" s="1">
        <f t="shared" si="82"/>
        <v>2022</v>
      </c>
    </row>
    <row r="5274" spans="2:11" x14ac:dyDescent="0.45">
      <c r="B5274" s="1" t="s">
        <v>4000</v>
      </c>
      <c r="C5274" s="1" t="s">
        <v>5224</v>
      </c>
      <c r="D5274" s="7">
        <v>44322</v>
      </c>
      <c r="E5274" s="7">
        <v>44351</v>
      </c>
      <c r="G5274" s="1" t="s">
        <v>212</v>
      </c>
      <c r="H5274" s="8">
        <v>10152569.300000001</v>
      </c>
      <c r="I5274" s="8">
        <v>7324794.0599999996</v>
      </c>
      <c r="J5274" s="1">
        <f>IF(COUNTIF($C$4:C5274,C5274)=1,1,0)</f>
        <v>1</v>
      </c>
      <c r="K5274" s="1">
        <f t="shared" si="82"/>
        <v>2021</v>
      </c>
    </row>
    <row r="5275" spans="2:11" x14ac:dyDescent="0.45">
      <c r="B5275" s="1" t="s">
        <v>4000</v>
      </c>
      <c r="C5275" s="1" t="s">
        <v>5225</v>
      </c>
      <c r="D5275" s="7">
        <v>45480</v>
      </c>
      <c r="E5275" s="7">
        <v>45493</v>
      </c>
      <c r="G5275" s="1" t="s">
        <v>16</v>
      </c>
      <c r="H5275" s="8">
        <v>939006.12</v>
      </c>
      <c r="I5275" s="8">
        <v>690867.47</v>
      </c>
      <c r="J5275" s="1">
        <f>IF(COUNTIF($C$4:C5275,C5275)=1,1,0)</f>
        <v>1</v>
      </c>
      <c r="K5275" s="1">
        <f t="shared" si="82"/>
        <v>2024</v>
      </c>
    </row>
    <row r="5276" spans="2:11" x14ac:dyDescent="0.45">
      <c r="B5276" s="1" t="s">
        <v>4000</v>
      </c>
      <c r="C5276" s="1" t="s">
        <v>5226</v>
      </c>
      <c r="D5276" s="7">
        <v>43207</v>
      </c>
      <c r="E5276" s="7">
        <v>43228</v>
      </c>
      <c r="G5276" s="1" t="s">
        <v>20</v>
      </c>
      <c r="H5276" s="8">
        <v>740718.98</v>
      </c>
      <c r="I5276" s="8">
        <v>433752.06</v>
      </c>
      <c r="J5276" s="1">
        <f>IF(COUNTIF($C$4:C5276,C5276)=1,1,0)</f>
        <v>1</v>
      </c>
      <c r="K5276" s="1">
        <f t="shared" si="82"/>
        <v>2018</v>
      </c>
    </row>
    <row r="5277" spans="2:11" x14ac:dyDescent="0.45">
      <c r="B5277" s="1" t="s">
        <v>4000</v>
      </c>
      <c r="C5277" s="1" t="s">
        <v>5227</v>
      </c>
      <c r="D5277" s="7">
        <v>45103</v>
      </c>
      <c r="E5277" s="7">
        <v>45108</v>
      </c>
      <c r="G5277" s="1" t="s">
        <v>41</v>
      </c>
      <c r="H5277" s="8">
        <v>196589.01</v>
      </c>
      <c r="I5277" s="8">
        <v>174875.61</v>
      </c>
      <c r="J5277" s="1">
        <f>IF(COUNTIF($C$4:C5277,C5277)=1,1,0)</f>
        <v>1</v>
      </c>
      <c r="K5277" s="1">
        <f t="shared" si="82"/>
        <v>2023</v>
      </c>
    </row>
    <row r="5278" spans="2:11" x14ac:dyDescent="0.45">
      <c r="B5278" s="1" t="s">
        <v>4000</v>
      </c>
      <c r="C5278" s="1" t="s">
        <v>5228</v>
      </c>
      <c r="D5278" s="7">
        <v>43720</v>
      </c>
      <c r="E5278" s="7">
        <v>43744</v>
      </c>
      <c r="G5278" s="1" t="s">
        <v>20</v>
      </c>
      <c r="H5278" s="8">
        <v>758299.02</v>
      </c>
      <c r="I5278" s="8">
        <v>517691.36</v>
      </c>
      <c r="J5278" s="1">
        <f>IF(COUNTIF($C$4:C5278,C5278)=1,1,0)</f>
        <v>1</v>
      </c>
      <c r="K5278" s="1">
        <f t="shared" si="82"/>
        <v>2019</v>
      </c>
    </row>
    <row r="5279" spans="2:11" x14ac:dyDescent="0.45">
      <c r="B5279" s="1" t="s">
        <v>4000</v>
      </c>
      <c r="C5279" s="1" t="s">
        <v>5229</v>
      </c>
      <c r="D5279" s="7">
        <v>43760</v>
      </c>
      <c r="E5279" s="7">
        <v>43770</v>
      </c>
      <c r="G5279" s="1" t="s">
        <v>13</v>
      </c>
      <c r="H5279" s="8">
        <v>444305.09</v>
      </c>
      <c r="I5279" s="8">
        <v>330370.02</v>
      </c>
      <c r="J5279" s="1">
        <f>IF(COUNTIF($C$4:C5279,C5279)=1,1,0)</f>
        <v>1</v>
      </c>
      <c r="K5279" s="1">
        <f t="shared" si="82"/>
        <v>2019</v>
      </c>
    </row>
    <row r="5280" spans="2:11" x14ac:dyDescent="0.45">
      <c r="B5280" s="1" t="s">
        <v>4000</v>
      </c>
      <c r="C5280" s="1" t="s">
        <v>5230</v>
      </c>
      <c r="D5280" s="7">
        <v>45089</v>
      </c>
      <c r="E5280" s="7">
        <v>45107</v>
      </c>
      <c r="G5280" s="1" t="s">
        <v>41</v>
      </c>
      <c r="H5280" s="8">
        <v>136258.14000000001</v>
      </c>
      <c r="I5280" s="8">
        <v>123512.34</v>
      </c>
      <c r="J5280" s="1">
        <f>IF(COUNTIF($C$4:C5280,C5280)=1,1,0)</f>
        <v>1</v>
      </c>
      <c r="K5280" s="1">
        <f t="shared" si="82"/>
        <v>2023</v>
      </c>
    </row>
    <row r="5281" spans="2:11" x14ac:dyDescent="0.45">
      <c r="B5281" s="1" t="s">
        <v>4000</v>
      </c>
      <c r="C5281" s="1" t="s">
        <v>5231</v>
      </c>
      <c r="D5281" s="7">
        <v>44306</v>
      </c>
      <c r="E5281" s="7">
        <v>44311</v>
      </c>
      <c r="G5281" s="1" t="s">
        <v>38</v>
      </c>
      <c r="H5281" s="8">
        <v>47557.15</v>
      </c>
      <c r="I5281" s="8">
        <v>34313.96</v>
      </c>
      <c r="J5281" s="1">
        <f>IF(COUNTIF($C$4:C5281,C5281)=1,1,0)</f>
        <v>1</v>
      </c>
      <c r="K5281" s="1">
        <f t="shared" si="82"/>
        <v>2021</v>
      </c>
    </row>
    <row r="5282" spans="2:11" x14ac:dyDescent="0.45">
      <c r="B5282" s="1" t="s">
        <v>4000</v>
      </c>
      <c r="C5282" s="1" t="s">
        <v>3774</v>
      </c>
      <c r="D5282" s="7">
        <v>45110</v>
      </c>
      <c r="E5282" s="7">
        <v>45136</v>
      </c>
      <c r="G5282" s="1" t="s">
        <v>1348</v>
      </c>
      <c r="H5282" s="8">
        <v>4124282.42</v>
      </c>
      <c r="I5282" s="8">
        <v>3045006.68</v>
      </c>
      <c r="J5282" s="1">
        <f>IF(COUNTIF($C$4:C5282,C5282)=1,1,0)</f>
        <v>0</v>
      </c>
      <c r="K5282" s="1">
        <f t="shared" si="82"/>
        <v>2023</v>
      </c>
    </row>
    <row r="5283" spans="2:11" x14ac:dyDescent="0.45">
      <c r="B5283" s="1" t="s">
        <v>4000</v>
      </c>
      <c r="C5283" s="1" t="s">
        <v>5232</v>
      </c>
      <c r="D5283" s="7">
        <v>44802</v>
      </c>
      <c r="E5283" s="7">
        <v>44819</v>
      </c>
      <c r="G5283" s="1" t="s">
        <v>13</v>
      </c>
      <c r="H5283" s="8">
        <v>649018.4</v>
      </c>
      <c r="I5283" s="8">
        <v>586130.69999999995</v>
      </c>
      <c r="J5283" s="1">
        <f>IF(COUNTIF($C$4:C5283,C5283)=1,1,0)</f>
        <v>1</v>
      </c>
      <c r="K5283" s="1">
        <f t="shared" si="82"/>
        <v>2022</v>
      </c>
    </row>
    <row r="5284" spans="2:11" x14ac:dyDescent="0.45">
      <c r="B5284" s="1" t="s">
        <v>4000</v>
      </c>
      <c r="C5284" s="1" t="s">
        <v>5233</v>
      </c>
      <c r="D5284" s="7">
        <v>44622</v>
      </c>
      <c r="E5284" s="7">
        <v>44637</v>
      </c>
      <c r="G5284" s="1" t="s">
        <v>41</v>
      </c>
      <c r="H5284" s="8">
        <v>360684.31</v>
      </c>
      <c r="I5284" s="8">
        <v>276042.53000000003</v>
      </c>
      <c r="J5284" s="1">
        <f>IF(COUNTIF($C$4:C5284,C5284)=1,1,0)</f>
        <v>1</v>
      </c>
      <c r="K5284" s="1">
        <f t="shared" si="82"/>
        <v>2022</v>
      </c>
    </row>
    <row r="5285" spans="2:11" x14ac:dyDescent="0.45">
      <c r="B5285" s="1" t="s">
        <v>4000</v>
      </c>
      <c r="C5285" s="1" t="s">
        <v>5234</v>
      </c>
      <c r="D5285" s="7">
        <v>43988</v>
      </c>
      <c r="E5285" s="7">
        <v>44007</v>
      </c>
      <c r="G5285" s="1" t="s">
        <v>1348</v>
      </c>
      <c r="H5285" s="8">
        <v>16554847.24</v>
      </c>
      <c r="I5285" s="8">
        <v>10475541.51</v>
      </c>
      <c r="J5285" s="1">
        <f>IF(COUNTIF($C$4:C5285,C5285)=1,1,0)</f>
        <v>1</v>
      </c>
      <c r="K5285" s="1">
        <f t="shared" si="82"/>
        <v>2020</v>
      </c>
    </row>
    <row r="5286" spans="2:11" x14ac:dyDescent="0.45">
      <c r="B5286" s="1" t="s">
        <v>4000</v>
      </c>
      <c r="C5286" s="1" t="s">
        <v>5235</v>
      </c>
      <c r="D5286" s="7">
        <v>43318</v>
      </c>
      <c r="E5286" s="7">
        <v>43329</v>
      </c>
      <c r="G5286" s="1" t="s">
        <v>13</v>
      </c>
      <c r="H5286" s="8">
        <v>911459.41</v>
      </c>
      <c r="I5286" s="8">
        <v>694615.27</v>
      </c>
      <c r="J5286" s="1">
        <f>IF(COUNTIF($C$4:C5286,C5286)=1,1,0)</f>
        <v>1</v>
      </c>
      <c r="K5286" s="1">
        <f t="shared" si="82"/>
        <v>2018</v>
      </c>
    </row>
    <row r="5287" spans="2:11" x14ac:dyDescent="0.45">
      <c r="B5287" s="1" t="s">
        <v>4000</v>
      </c>
      <c r="C5287" s="1" t="s">
        <v>5236</v>
      </c>
      <c r="D5287" s="7">
        <v>45907</v>
      </c>
      <c r="E5287" s="7">
        <v>45920</v>
      </c>
      <c r="G5287" s="1" t="s">
        <v>16</v>
      </c>
      <c r="H5287" s="8">
        <v>1812569</v>
      </c>
      <c r="I5287" s="8">
        <v>1139533.32</v>
      </c>
      <c r="J5287" s="1">
        <f>IF(COUNTIF($C$4:C5287,C5287)=1,1,0)</f>
        <v>1</v>
      </c>
      <c r="K5287" s="1">
        <f t="shared" si="82"/>
        <v>2025</v>
      </c>
    </row>
    <row r="5288" spans="2:11" x14ac:dyDescent="0.45">
      <c r="B5288" s="1" t="s">
        <v>4000</v>
      </c>
      <c r="C5288" s="1" t="s">
        <v>5237</v>
      </c>
      <c r="D5288" s="7">
        <v>43396</v>
      </c>
      <c r="E5288" s="7">
        <v>43396</v>
      </c>
      <c r="G5288" s="1" t="s">
        <v>13</v>
      </c>
      <c r="H5288" s="8">
        <v>392447.92</v>
      </c>
      <c r="I5288" s="8">
        <v>347554.64</v>
      </c>
      <c r="J5288" s="1">
        <f>IF(COUNTIF($C$4:C5288,C5288)=1,1,0)</f>
        <v>1</v>
      </c>
      <c r="K5288" s="1">
        <f t="shared" si="82"/>
        <v>2018</v>
      </c>
    </row>
    <row r="5289" spans="2:11" x14ac:dyDescent="0.45">
      <c r="B5289" s="1" t="s">
        <v>4000</v>
      </c>
      <c r="C5289" s="1" t="s">
        <v>5238</v>
      </c>
      <c r="D5289" s="7">
        <v>44223</v>
      </c>
      <c r="E5289" s="7">
        <v>44231</v>
      </c>
      <c r="G5289" s="1" t="s">
        <v>38</v>
      </c>
      <c r="H5289" s="8">
        <v>65645.11</v>
      </c>
      <c r="I5289" s="8">
        <v>60064.94</v>
      </c>
      <c r="J5289" s="1">
        <f>IF(COUNTIF($C$4:C5289,C5289)=1,1,0)</f>
        <v>1</v>
      </c>
      <c r="K5289" s="1">
        <f t="shared" si="82"/>
        <v>2021</v>
      </c>
    </row>
    <row r="5290" spans="2:11" x14ac:dyDescent="0.45">
      <c r="B5290" s="1" t="s">
        <v>4000</v>
      </c>
      <c r="C5290" s="1" t="s">
        <v>5239</v>
      </c>
      <c r="D5290" s="7">
        <v>45485</v>
      </c>
      <c r="E5290" s="7">
        <v>45489</v>
      </c>
      <c r="G5290" s="1" t="s">
        <v>38</v>
      </c>
      <c r="H5290" s="8">
        <v>654422.25</v>
      </c>
      <c r="I5290" s="8">
        <v>578627.49</v>
      </c>
      <c r="J5290" s="1">
        <f>IF(COUNTIF($C$4:C5290,C5290)=1,1,0)</f>
        <v>1</v>
      </c>
      <c r="K5290" s="1">
        <f t="shared" si="82"/>
        <v>2024</v>
      </c>
    </row>
    <row r="5291" spans="2:11" x14ac:dyDescent="0.45">
      <c r="B5291" s="1" t="s">
        <v>4000</v>
      </c>
      <c r="C5291" s="1" t="s">
        <v>5240</v>
      </c>
      <c r="D5291" s="7">
        <v>45454</v>
      </c>
      <c r="E5291" s="7">
        <v>45483</v>
      </c>
      <c r="G5291" s="1" t="s">
        <v>13</v>
      </c>
      <c r="H5291" s="8">
        <v>334072.7</v>
      </c>
      <c r="I5291" s="8">
        <v>274031.76</v>
      </c>
      <c r="J5291" s="1">
        <f>IF(COUNTIF($C$4:C5291,C5291)=1,1,0)</f>
        <v>1</v>
      </c>
      <c r="K5291" s="1">
        <f t="shared" si="82"/>
        <v>2024</v>
      </c>
    </row>
    <row r="5292" spans="2:11" x14ac:dyDescent="0.45">
      <c r="B5292" s="1" t="s">
        <v>4000</v>
      </c>
      <c r="C5292" s="1" t="s">
        <v>5241</v>
      </c>
      <c r="D5292" s="7">
        <v>45705</v>
      </c>
      <c r="E5292" s="7">
        <v>45724</v>
      </c>
      <c r="G5292" s="1" t="s">
        <v>38</v>
      </c>
      <c r="H5292" s="8">
        <v>1016023.9</v>
      </c>
      <c r="I5292" s="8">
        <v>917348.64</v>
      </c>
      <c r="J5292" s="1">
        <f>IF(COUNTIF($C$4:C5292,C5292)=1,1,0)</f>
        <v>1</v>
      </c>
      <c r="K5292" s="1">
        <f t="shared" si="82"/>
        <v>2025</v>
      </c>
    </row>
    <row r="5293" spans="2:11" x14ac:dyDescent="0.45">
      <c r="B5293" s="1" t="s">
        <v>4000</v>
      </c>
      <c r="C5293" s="1" t="s">
        <v>5242</v>
      </c>
      <c r="D5293" s="7">
        <v>44332</v>
      </c>
      <c r="E5293" s="7">
        <v>44344</v>
      </c>
      <c r="G5293" s="1" t="s">
        <v>38</v>
      </c>
      <c r="H5293" s="8">
        <v>595100.02</v>
      </c>
      <c r="I5293" s="8">
        <v>462585.36</v>
      </c>
      <c r="J5293" s="1">
        <f>IF(COUNTIF($C$4:C5293,C5293)=1,1,0)</f>
        <v>1</v>
      </c>
      <c r="K5293" s="1">
        <f t="shared" si="82"/>
        <v>2021</v>
      </c>
    </row>
    <row r="5294" spans="2:11" x14ac:dyDescent="0.45">
      <c r="B5294" s="1" t="s">
        <v>4000</v>
      </c>
      <c r="C5294" s="1" t="s">
        <v>5243</v>
      </c>
      <c r="D5294" s="7">
        <v>45450</v>
      </c>
      <c r="E5294" s="7">
        <v>45468</v>
      </c>
      <c r="G5294" s="1" t="s">
        <v>13</v>
      </c>
      <c r="H5294" s="8">
        <v>915952.29</v>
      </c>
      <c r="I5294" s="8">
        <v>809641.95</v>
      </c>
      <c r="J5294" s="1">
        <f>IF(COUNTIF($C$4:C5294,C5294)=1,1,0)</f>
        <v>1</v>
      </c>
      <c r="K5294" s="1">
        <f t="shared" si="82"/>
        <v>2024</v>
      </c>
    </row>
    <row r="5295" spans="2:11" x14ac:dyDescent="0.45">
      <c r="B5295" s="1" t="s">
        <v>4000</v>
      </c>
      <c r="C5295" s="1" t="s">
        <v>5244</v>
      </c>
      <c r="D5295" s="7">
        <v>44065</v>
      </c>
      <c r="E5295" s="7">
        <v>44074</v>
      </c>
      <c r="G5295" s="1" t="s">
        <v>212</v>
      </c>
      <c r="H5295" s="8">
        <v>29243944.170000002</v>
      </c>
      <c r="I5295" s="8">
        <v>21700156.539999999</v>
      </c>
      <c r="J5295" s="1">
        <f>IF(COUNTIF($C$4:C5295,C5295)=1,1,0)</f>
        <v>1</v>
      </c>
      <c r="K5295" s="1">
        <f t="shared" si="82"/>
        <v>2020</v>
      </c>
    </row>
    <row r="5296" spans="2:11" x14ac:dyDescent="0.45">
      <c r="B5296" s="1" t="s">
        <v>4000</v>
      </c>
      <c r="C5296" s="1" t="s">
        <v>5245</v>
      </c>
      <c r="D5296" s="7">
        <v>45843</v>
      </c>
      <c r="E5296" s="7">
        <v>45872</v>
      </c>
      <c r="G5296" s="1" t="s">
        <v>13</v>
      </c>
      <c r="H5296" s="8">
        <v>97034.5</v>
      </c>
      <c r="I5296" s="8">
        <v>66703.31</v>
      </c>
      <c r="J5296" s="1">
        <f>IF(COUNTIF($C$4:C5296,C5296)=1,1,0)</f>
        <v>1</v>
      </c>
      <c r="K5296" s="1">
        <f t="shared" si="82"/>
        <v>2025</v>
      </c>
    </row>
    <row r="5297" spans="2:11" x14ac:dyDescent="0.45">
      <c r="B5297" s="1" t="s">
        <v>4000</v>
      </c>
      <c r="C5297" s="1" t="s">
        <v>5246</v>
      </c>
      <c r="D5297" s="7">
        <v>46241</v>
      </c>
      <c r="E5297" s="7">
        <v>46263</v>
      </c>
      <c r="G5297" s="1" t="s">
        <v>212</v>
      </c>
      <c r="H5297" s="8">
        <v>6139775.6600000001</v>
      </c>
      <c r="I5297" s="8">
        <v>4242058.6900000004</v>
      </c>
      <c r="J5297" s="1">
        <f>IF(COUNTIF($C$4:C5297,C5297)=1,1,0)</f>
        <v>1</v>
      </c>
      <c r="K5297" s="1">
        <f t="shared" si="82"/>
        <v>2026</v>
      </c>
    </row>
    <row r="5298" spans="2:11" x14ac:dyDescent="0.45">
      <c r="B5298" s="1" t="s">
        <v>4000</v>
      </c>
      <c r="C5298" s="1" t="s">
        <v>5247</v>
      </c>
      <c r="D5298" s="7">
        <v>45629</v>
      </c>
      <c r="E5298" s="7">
        <v>45632</v>
      </c>
      <c r="G5298" s="1" t="s">
        <v>1348</v>
      </c>
      <c r="H5298" s="8">
        <v>7873517.0499999998</v>
      </c>
      <c r="I5298" s="8">
        <v>5453896.8099999996</v>
      </c>
      <c r="J5298" s="1">
        <f>IF(COUNTIF($C$4:C5298,C5298)=1,1,0)</f>
        <v>1</v>
      </c>
      <c r="K5298" s="1">
        <f t="shared" si="82"/>
        <v>2024</v>
      </c>
    </row>
    <row r="5299" spans="2:11" x14ac:dyDescent="0.45">
      <c r="B5299" s="1" t="s">
        <v>4000</v>
      </c>
      <c r="C5299" s="1" t="s">
        <v>5248</v>
      </c>
      <c r="D5299" s="7">
        <v>43191</v>
      </c>
      <c r="E5299" s="7">
        <v>43197</v>
      </c>
      <c r="G5299" s="1" t="s">
        <v>38</v>
      </c>
      <c r="H5299" s="8">
        <v>175936.22</v>
      </c>
      <c r="I5299" s="8">
        <v>115048.18</v>
      </c>
      <c r="J5299" s="1">
        <f>IF(COUNTIF($C$4:C5299,C5299)=1,1,0)</f>
        <v>1</v>
      </c>
      <c r="K5299" s="1">
        <f t="shared" si="82"/>
        <v>2018</v>
      </c>
    </row>
    <row r="5300" spans="2:11" x14ac:dyDescent="0.45">
      <c r="B5300" s="1" t="s">
        <v>4000</v>
      </c>
      <c r="C5300" s="1" t="s">
        <v>5249</v>
      </c>
      <c r="D5300" s="7">
        <v>45189</v>
      </c>
      <c r="E5300" s="7">
        <v>45217</v>
      </c>
      <c r="G5300" s="1" t="s">
        <v>212</v>
      </c>
      <c r="H5300" s="8">
        <v>2470261.41</v>
      </c>
      <c r="I5300" s="8">
        <v>1903089.73</v>
      </c>
      <c r="J5300" s="1">
        <f>IF(COUNTIF($C$4:C5300,C5300)=1,1,0)</f>
        <v>1</v>
      </c>
      <c r="K5300" s="1">
        <f t="shared" si="82"/>
        <v>2023</v>
      </c>
    </row>
    <row r="5301" spans="2:11" x14ac:dyDescent="0.45">
      <c r="B5301" s="1" t="s">
        <v>4000</v>
      </c>
      <c r="C5301" s="1" t="s">
        <v>5250</v>
      </c>
      <c r="D5301" s="7">
        <v>44052</v>
      </c>
      <c r="E5301" s="7">
        <v>44059</v>
      </c>
      <c r="G5301" s="1" t="s">
        <v>1348</v>
      </c>
      <c r="H5301" s="8">
        <v>60962286.140000001</v>
      </c>
      <c r="I5301" s="8">
        <v>42540408.75</v>
      </c>
      <c r="J5301" s="1">
        <f>IF(COUNTIF($C$4:C5301,C5301)=1,1,0)</f>
        <v>1</v>
      </c>
      <c r="K5301" s="1">
        <f t="shared" si="82"/>
        <v>2020</v>
      </c>
    </row>
    <row r="5302" spans="2:11" x14ac:dyDescent="0.45">
      <c r="B5302" s="1" t="s">
        <v>4000</v>
      </c>
      <c r="C5302" s="1" t="s">
        <v>5251</v>
      </c>
      <c r="D5302" s="7">
        <v>44464</v>
      </c>
      <c r="E5302" s="7">
        <v>44484</v>
      </c>
      <c r="G5302" s="1" t="s">
        <v>212</v>
      </c>
      <c r="H5302" s="8">
        <v>14597058.380000001</v>
      </c>
      <c r="I5302" s="8">
        <v>10841695.279999999</v>
      </c>
      <c r="J5302" s="1">
        <f>IF(COUNTIF($C$4:C5302,C5302)=1,1,0)</f>
        <v>1</v>
      </c>
      <c r="K5302" s="1">
        <f t="shared" si="82"/>
        <v>2021</v>
      </c>
    </row>
    <row r="5303" spans="2:11" x14ac:dyDescent="0.45">
      <c r="B5303" s="1" t="s">
        <v>4000</v>
      </c>
      <c r="C5303" s="1" t="s">
        <v>5252</v>
      </c>
      <c r="D5303" s="7">
        <v>43744</v>
      </c>
      <c r="E5303" s="7">
        <v>43746</v>
      </c>
      <c r="G5303" s="1" t="s">
        <v>1348</v>
      </c>
      <c r="H5303" s="8">
        <v>4290803.1500000004</v>
      </c>
      <c r="I5303" s="8">
        <v>2177232.29</v>
      </c>
      <c r="J5303" s="1">
        <f>IF(COUNTIF($C$4:C5303,C5303)=1,1,0)</f>
        <v>1</v>
      </c>
      <c r="K5303" s="1">
        <f t="shared" si="82"/>
        <v>2019</v>
      </c>
    </row>
    <row r="5304" spans="2:11" x14ac:dyDescent="0.45">
      <c r="B5304" s="1" t="s">
        <v>4000</v>
      </c>
      <c r="C5304" s="1" t="s">
        <v>5253</v>
      </c>
      <c r="D5304" s="7">
        <v>43539</v>
      </c>
      <c r="E5304" s="7">
        <v>43564</v>
      </c>
      <c r="G5304" s="1" t="s">
        <v>13</v>
      </c>
      <c r="H5304" s="8">
        <v>559613.86</v>
      </c>
      <c r="I5304" s="8">
        <v>494093.52</v>
      </c>
      <c r="J5304" s="1">
        <f>IF(COUNTIF($C$4:C5304,C5304)=1,1,0)</f>
        <v>1</v>
      </c>
      <c r="K5304" s="1">
        <f t="shared" si="82"/>
        <v>2019</v>
      </c>
    </row>
    <row r="5305" spans="2:11" x14ac:dyDescent="0.45">
      <c r="B5305" s="1" t="s">
        <v>4000</v>
      </c>
      <c r="C5305" s="1" t="s">
        <v>5254</v>
      </c>
      <c r="D5305" s="7">
        <v>45750</v>
      </c>
      <c r="E5305" s="7">
        <v>45774</v>
      </c>
      <c r="G5305" s="1" t="s">
        <v>212</v>
      </c>
      <c r="H5305" s="8">
        <v>26268709.539999999</v>
      </c>
      <c r="I5305" s="8">
        <v>13320585.220000001</v>
      </c>
      <c r="J5305" s="1">
        <f>IF(COUNTIF($C$4:C5305,C5305)=1,1,0)</f>
        <v>1</v>
      </c>
      <c r="K5305" s="1">
        <f t="shared" si="82"/>
        <v>2025</v>
      </c>
    </row>
    <row r="5306" spans="2:11" x14ac:dyDescent="0.45">
      <c r="B5306" s="1" t="s">
        <v>4000</v>
      </c>
      <c r="C5306" s="1" t="s">
        <v>5255</v>
      </c>
      <c r="D5306" s="7">
        <v>45945</v>
      </c>
      <c r="E5306" s="7">
        <v>45952</v>
      </c>
      <c r="G5306" s="1" t="s">
        <v>16</v>
      </c>
      <c r="H5306" s="8">
        <v>8483750.0199999996</v>
      </c>
      <c r="I5306" s="8">
        <v>5926752.0099999998</v>
      </c>
      <c r="J5306" s="1">
        <f>IF(COUNTIF($C$4:C5306,C5306)=1,1,0)</f>
        <v>1</v>
      </c>
      <c r="K5306" s="1">
        <f t="shared" si="82"/>
        <v>2025</v>
      </c>
    </row>
    <row r="5307" spans="2:11" x14ac:dyDescent="0.45">
      <c r="B5307" s="1" t="s">
        <v>4000</v>
      </c>
      <c r="C5307" s="1" t="s">
        <v>5256</v>
      </c>
      <c r="D5307" s="7">
        <v>44978</v>
      </c>
      <c r="E5307" s="7">
        <v>44979</v>
      </c>
      <c r="G5307" s="1" t="s">
        <v>22</v>
      </c>
      <c r="H5307" s="8">
        <v>20262196</v>
      </c>
      <c r="I5307" s="8">
        <v>14827519.26</v>
      </c>
      <c r="J5307" s="1">
        <f>IF(COUNTIF($C$4:C5307,C5307)=1,1,0)</f>
        <v>1</v>
      </c>
      <c r="K5307" s="1">
        <f t="shared" si="82"/>
        <v>2023</v>
      </c>
    </row>
    <row r="5308" spans="2:11" x14ac:dyDescent="0.45">
      <c r="B5308" s="1" t="s">
        <v>4000</v>
      </c>
      <c r="C5308" s="1" t="s">
        <v>5257</v>
      </c>
      <c r="D5308" s="7">
        <v>45216</v>
      </c>
      <c r="E5308" s="7">
        <v>45243</v>
      </c>
      <c r="G5308" s="1" t="s">
        <v>16</v>
      </c>
      <c r="H5308" s="8">
        <v>3092059.62</v>
      </c>
      <c r="I5308" s="8">
        <v>2207178.56</v>
      </c>
      <c r="J5308" s="1">
        <f>IF(COUNTIF($C$4:C5308,C5308)=1,1,0)</f>
        <v>1</v>
      </c>
      <c r="K5308" s="1">
        <f t="shared" si="82"/>
        <v>2023</v>
      </c>
    </row>
    <row r="5309" spans="2:11" x14ac:dyDescent="0.45">
      <c r="B5309" s="1" t="s">
        <v>4000</v>
      </c>
      <c r="C5309" s="1" t="s">
        <v>5258</v>
      </c>
      <c r="D5309" s="7">
        <v>44681</v>
      </c>
      <c r="E5309" s="7">
        <v>44704</v>
      </c>
      <c r="G5309" s="1" t="s">
        <v>22</v>
      </c>
      <c r="H5309" s="8">
        <v>14112203.92</v>
      </c>
      <c r="I5309" s="8">
        <v>9462560.5399999991</v>
      </c>
      <c r="J5309" s="1">
        <f>IF(COUNTIF($C$4:C5309,C5309)=1,1,0)</f>
        <v>1</v>
      </c>
      <c r="K5309" s="1">
        <f t="shared" si="82"/>
        <v>2022</v>
      </c>
    </row>
    <row r="5310" spans="2:11" x14ac:dyDescent="0.45">
      <c r="B5310" s="1" t="s">
        <v>4000</v>
      </c>
      <c r="C5310" s="1" t="s">
        <v>5259</v>
      </c>
      <c r="D5310" s="7">
        <v>45079</v>
      </c>
      <c r="E5310" s="7">
        <v>45088</v>
      </c>
      <c r="G5310" s="1" t="s">
        <v>16</v>
      </c>
      <c r="H5310" s="8">
        <v>1709285.41</v>
      </c>
      <c r="I5310" s="8">
        <v>1122612.4099999999</v>
      </c>
      <c r="J5310" s="1">
        <f>IF(COUNTIF($C$4:C5310,C5310)=1,1,0)</f>
        <v>1</v>
      </c>
      <c r="K5310" s="1">
        <f t="shared" si="82"/>
        <v>2023</v>
      </c>
    </row>
    <row r="5311" spans="2:11" x14ac:dyDescent="0.45">
      <c r="B5311" s="1" t="s">
        <v>4000</v>
      </c>
      <c r="C5311" s="1" t="s">
        <v>5260</v>
      </c>
      <c r="D5311" s="7">
        <v>43561</v>
      </c>
      <c r="E5311" s="7">
        <v>43578</v>
      </c>
      <c r="G5311" s="1" t="s">
        <v>38</v>
      </c>
      <c r="H5311" s="8">
        <v>363905.75</v>
      </c>
      <c r="I5311" s="8">
        <v>249012.85</v>
      </c>
      <c r="J5311" s="1">
        <f>IF(COUNTIF($C$4:C5311,C5311)=1,1,0)</f>
        <v>1</v>
      </c>
      <c r="K5311" s="1">
        <f t="shared" si="82"/>
        <v>2019</v>
      </c>
    </row>
    <row r="5312" spans="2:11" x14ac:dyDescent="0.45">
      <c r="B5312" s="1" t="s">
        <v>4000</v>
      </c>
      <c r="C5312" s="1" t="s">
        <v>5261</v>
      </c>
      <c r="D5312" s="7">
        <v>44231</v>
      </c>
      <c r="E5312" s="7">
        <v>44233</v>
      </c>
      <c r="G5312" s="1" t="s">
        <v>20</v>
      </c>
      <c r="H5312" s="8">
        <v>694715.99</v>
      </c>
      <c r="I5312" s="8">
        <v>433903.51</v>
      </c>
      <c r="J5312" s="1">
        <f>IF(COUNTIF($C$4:C5312,C5312)=1,1,0)</f>
        <v>1</v>
      </c>
      <c r="K5312" s="1">
        <f t="shared" si="82"/>
        <v>2021</v>
      </c>
    </row>
    <row r="5313" spans="2:11" x14ac:dyDescent="0.45">
      <c r="B5313" s="1" t="s">
        <v>4000</v>
      </c>
      <c r="C5313" s="1" t="s">
        <v>5262</v>
      </c>
      <c r="D5313" s="7">
        <v>45262</v>
      </c>
      <c r="E5313" s="7">
        <v>45272</v>
      </c>
      <c r="G5313" s="1" t="s">
        <v>38</v>
      </c>
      <c r="H5313" s="8">
        <v>111277.84</v>
      </c>
      <c r="I5313" s="8">
        <v>89247.53</v>
      </c>
      <c r="J5313" s="1">
        <f>IF(COUNTIF($C$4:C5313,C5313)=1,1,0)</f>
        <v>1</v>
      </c>
      <c r="K5313" s="1">
        <f t="shared" si="82"/>
        <v>2023</v>
      </c>
    </row>
    <row r="5314" spans="2:11" x14ac:dyDescent="0.45">
      <c r="B5314" s="1" t="s">
        <v>4000</v>
      </c>
      <c r="C5314" s="1" t="s">
        <v>5263</v>
      </c>
      <c r="D5314" s="7">
        <v>46132</v>
      </c>
      <c r="E5314" s="7">
        <v>46132</v>
      </c>
      <c r="G5314" s="1" t="s">
        <v>13</v>
      </c>
      <c r="H5314" s="8">
        <v>394883</v>
      </c>
      <c r="I5314" s="8">
        <v>347394.43</v>
      </c>
      <c r="J5314" s="1">
        <f>IF(COUNTIF($C$4:C5314,C5314)=1,1,0)</f>
        <v>1</v>
      </c>
      <c r="K5314" s="1">
        <f t="shared" si="82"/>
        <v>2026</v>
      </c>
    </row>
    <row r="5315" spans="2:11" x14ac:dyDescent="0.45">
      <c r="B5315" s="1" t="s">
        <v>4000</v>
      </c>
      <c r="C5315" s="1" t="s">
        <v>5264</v>
      </c>
      <c r="D5315" s="7">
        <v>44364</v>
      </c>
      <c r="E5315" s="7">
        <v>44375</v>
      </c>
      <c r="G5315" s="1" t="s">
        <v>38</v>
      </c>
      <c r="H5315" s="8">
        <v>278011.96000000002</v>
      </c>
      <c r="I5315" s="8">
        <v>216998.9</v>
      </c>
      <c r="J5315" s="1">
        <f>IF(COUNTIF($C$4:C5315,C5315)=1,1,0)</f>
        <v>1</v>
      </c>
      <c r="K5315" s="1">
        <f t="shared" si="82"/>
        <v>2021</v>
      </c>
    </row>
    <row r="5316" spans="2:11" x14ac:dyDescent="0.45">
      <c r="B5316" s="1" t="s">
        <v>4000</v>
      </c>
      <c r="C5316" s="1" t="s">
        <v>5265</v>
      </c>
      <c r="D5316" s="7">
        <v>46019</v>
      </c>
      <c r="E5316" s="7">
        <v>46028</v>
      </c>
      <c r="G5316" s="1" t="s">
        <v>41</v>
      </c>
      <c r="H5316" s="8">
        <v>232489.82</v>
      </c>
      <c r="I5316" s="8">
        <v>179916.61</v>
      </c>
      <c r="J5316" s="1">
        <f>IF(COUNTIF($C$4:C5316,C5316)=1,1,0)</f>
        <v>1</v>
      </c>
      <c r="K5316" s="1">
        <f t="shared" si="82"/>
        <v>2025</v>
      </c>
    </row>
    <row r="5317" spans="2:11" x14ac:dyDescent="0.45">
      <c r="B5317" s="1" t="s">
        <v>4000</v>
      </c>
      <c r="C5317" s="1" t="s">
        <v>5266</v>
      </c>
      <c r="D5317" s="7">
        <v>44660</v>
      </c>
      <c r="E5317" s="7">
        <v>44684</v>
      </c>
      <c r="G5317" s="1" t="s">
        <v>38</v>
      </c>
      <c r="H5317" s="8">
        <v>479393.6</v>
      </c>
      <c r="I5317" s="8">
        <v>377445.68</v>
      </c>
      <c r="J5317" s="1">
        <f>IF(COUNTIF($C$4:C5317,C5317)=1,1,0)</f>
        <v>1</v>
      </c>
      <c r="K5317" s="1">
        <f t="shared" ref="K5317:K5380" si="83">YEAR(D5317)</f>
        <v>2022</v>
      </c>
    </row>
    <row r="5318" spans="2:11" x14ac:dyDescent="0.45">
      <c r="B5318" s="1" t="s">
        <v>4000</v>
      </c>
      <c r="C5318" s="1" t="s">
        <v>5267</v>
      </c>
      <c r="D5318" s="7">
        <v>43681</v>
      </c>
      <c r="E5318" s="7">
        <v>43711</v>
      </c>
      <c r="G5318" s="1" t="s">
        <v>212</v>
      </c>
      <c r="H5318" s="8">
        <v>9392767.4000000004</v>
      </c>
      <c r="I5318" s="8">
        <v>6556516.79</v>
      </c>
      <c r="J5318" s="1">
        <f>IF(COUNTIF($C$4:C5318,C5318)=1,1,0)</f>
        <v>1</v>
      </c>
      <c r="K5318" s="1">
        <f t="shared" si="83"/>
        <v>2019</v>
      </c>
    </row>
    <row r="5319" spans="2:11" x14ac:dyDescent="0.45">
      <c r="B5319" s="1" t="s">
        <v>4000</v>
      </c>
      <c r="C5319" s="1" t="s">
        <v>5268</v>
      </c>
      <c r="D5319" s="7">
        <v>45344</v>
      </c>
      <c r="E5319" s="7">
        <v>45371</v>
      </c>
      <c r="G5319" s="1" t="s">
        <v>20</v>
      </c>
      <c r="H5319" s="8">
        <v>293424.53000000003</v>
      </c>
      <c r="I5319" s="8">
        <v>191283.38</v>
      </c>
      <c r="J5319" s="1">
        <f>IF(COUNTIF($C$4:C5319,C5319)=1,1,0)</f>
        <v>1</v>
      </c>
      <c r="K5319" s="1">
        <f t="shared" si="83"/>
        <v>2024</v>
      </c>
    </row>
    <row r="5320" spans="2:11" x14ac:dyDescent="0.45">
      <c r="B5320" s="1" t="s">
        <v>4000</v>
      </c>
      <c r="C5320" s="1" t="s">
        <v>5269</v>
      </c>
      <c r="D5320" s="7">
        <v>44417</v>
      </c>
      <c r="E5320" s="7">
        <v>44434</v>
      </c>
      <c r="G5320" s="1" t="s">
        <v>212</v>
      </c>
      <c r="H5320" s="8">
        <v>10613756.699999999</v>
      </c>
      <c r="I5320" s="8">
        <v>6179580.54</v>
      </c>
      <c r="J5320" s="1">
        <f>IF(COUNTIF($C$4:C5320,C5320)=1,1,0)</f>
        <v>1</v>
      </c>
      <c r="K5320" s="1">
        <f t="shared" si="83"/>
        <v>2021</v>
      </c>
    </row>
    <row r="5321" spans="2:11" x14ac:dyDescent="0.45">
      <c r="B5321" s="1" t="s">
        <v>4000</v>
      </c>
      <c r="C5321" s="1" t="s">
        <v>5270</v>
      </c>
      <c r="D5321" s="7">
        <v>45419</v>
      </c>
      <c r="E5321" s="7">
        <v>45436</v>
      </c>
      <c r="G5321" s="1" t="s">
        <v>16</v>
      </c>
      <c r="H5321" s="8">
        <v>6095665.0599999996</v>
      </c>
      <c r="I5321" s="8">
        <v>4344968.57</v>
      </c>
      <c r="J5321" s="1">
        <f>IF(COUNTIF($C$4:C5321,C5321)=1,1,0)</f>
        <v>1</v>
      </c>
      <c r="K5321" s="1">
        <f t="shared" si="83"/>
        <v>2024</v>
      </c>
    </row>
    <row r="5322" spans="2:11" x14ac:dyDescent="0.45">
      <c r="B5322" s="1" t="s">
        <v>4000</v>
      </c>
      <c r="C5322" s="1" t="s">
        <v>5271</v>
      </c>
      <c r="D5322" s="7">
        <v>45590</v>
      </c>
      <c r="E5322" s="7">
        <v>45594</v>
      </c>
      <c r="G5322" s="1" t="s">
        <v>1348</v>
      </c>
      <c r="H5322" s="8">
        <v>67781362.519999996</v>
      </c>
      <c r="I5322" s="8">
        <v>37944163.969999999</v>
      </c>
      <c r="J5322" s="1">
        <f>IF(COUNTIF($C$4:C5322,C5322)=1,1,0)</f>
        <v>1</v>
      </c>
      <c r="K5322" s="1">
        <f t="shared" si="83"/>
        <v>2024</v>
      </c>
    </row>
    <row r="5323" spans="2:11" x14ac:dyDescent="0.45">
      <c r="B5323" s="1" t="s">
        <v>4000</v>
      </c>
      <c r="C5323" s="1" t="s">
        <v>5272</v>
      </c>
      <c r="D5323" s="7">
        <v>44543</v>
      </c>
      <c r="E5323" s="7">
        <v>44569</v>
      </c>
      <c r="G5323" s="1" t="s">
        <v>38</v>
      </c>
      <c r="H5323" s="8">
        <v>392792.29</v>
      </c>
      <c r="I5323" s="8">
        <v>345785.7</v>
      </c>
      <c r="J5323" s="1">
        <f>IF(COUNTIF($C$4:C5323,C5323)=1,1,0)</f>
        <v>1</v>
      </c>
      <c r="K5323" s="1">
        <f t="shared" si="83"/>
        <v>2021</v>
      </c>
    </row>
    <row r="5324" spans="2:11" x14ac:dyDescent="0.45">
      <c r="B5324" s="1" t="s">
        <v>4000</v>
      </c>
      <c r="C5324" s="1" t="s">
        <v>5273</v>
      </c>
      <c r="D5324" s="7">
        <v>45183</v>
      </c>
      <c r="E5324" s="7">
        <v>45193</v>
      </c>
      <c r="G5324" s="1" t="s">
        <v>22</v>
      </c>
      <c r="H5324" s="8">
        <v>8891182.8800000008</v>
      </c>
      <c r="I5324" s="8">
        <v>6560979.9199999999</v>
      </c>
      <c r="J5324" s="1">
        <f>IF(COUNTIF($C$4:C5324,C5324)=1,1,0)</f>
        <v>1</v>
      </c>
      <c r="K5324" s="1">
        <f t="shared" si="83"/>
        <v>2023</v>
      </c>
    </row>
    <row r="5325" spans="2:11" x14ac:dyDescent="0.45">
      <c r="B5325" s="1" t="s">
        <v>4000</v>
      </c>
      <c r="C5325" s="1" t="s">
        <v>5274</v>
      </c>
      <c r="D5325" s="7">
        <v>45236</v>
      </c>
      <c r="E5325" s="7">
        <v>45238</v>
      </c>
      <c r="G5325" s="1" t="s">
        <v>22</v>
      </c>
      <c r="H5325" s="8">
        <v>8942613.1400000006</v>
      </c>
      <c r="I5325" s="8">
        <v>6608160.4100000001</v>
      </c>
      <c r="J5325" s="1">
        <f>IF(COUNTIF($C$4:C5325,C5325)=1,1,0)</f>
        <v>1</v>
      </c>
      <c r="K5325" s="1">
        <f t="shared" si="83"/>
        <v>2023</v>
      </c>
    </row>
    <row r="5326" spans="2:11" x14ac:dyDescent="0.45">
      <c r="B5326" s="1" t="s">
        <v>4000</v>
      </c>
      <c r="C5326" s="1" t="s">
        <v>5275</v>
      </c>
      <c r="D5326" s="7">
        <v>45126</v>
      </c>
      <c r="E5326" s="7">
        <v>45131</v>
      </c>
      <c r="G5326" s="1" t="s">
        <v>22</v>
      </c>
      <c r="H5326" s="8">
        <v>5781107.7599999998</v>
      </c>
      <c r="I5326" s="8">
        <v>3344727.66</v>
      </c>
      <c r="J5326" s="1">
        <f>IF(COUNTIF($C$4:C5326,C5326)=1,1,0)</f>
        <v>1</v>
      </c>
      <c r="K5326" s="1">
        <f t="shared" si="83"/>
        <v>2023</v>
      </c>
    </row>
    <row r="5327" spans="2:11" x14ac:dyDescent="0.45">
      <c r="B5327" s="1" t="s">
        <v>4000</v>
      </c>
      <c r="C5327" s="1" t="s">
        <v>5276</v>
      </c>
      <c r="D5327" s="7">
        <v>45870</v>
      </c>
      <c r="E5327" s="7">
        <v>45890</v>
      </c>
      <c r="G5327" s="1" t="s">
        <v>1348</v>
      </c>
      <c r="H5327" s="8">
        <v>19300668.280000001</v>
      </c>
      <c r="I5327" s="8">
        <v>12347621.189999999</v>
      </c>
      <c r="J5327" s="1">
        <f>IF(COUNTIF($C$4:C5327,C5327)=1,1,0)</f>
        <v>1</v>
      </c>
      <c r="K5327" s="1">
        <f t="shared" si="83"/>
        <v>2025</v>
      </c>
    </row>
    <row r="5328" spans="2:11" x14ac:dyDescent="0.45">
      <c r="B5328" s="1" t="s">
        <v>4000</v>
      </c>
      <c r="C5328" s="1" t="s">
        <v>5277</v>
      </c>
      <c r="D5328" s="7">
        <v>45110</v>
      </c>
      <c r="E5328" s="7">
        <v>45119</v>
      </c>
      <c r="G5328" s="1" t="s">
        <v>212</v>
      </c>
      <c r="H5328" s="8">
        <v>24128173.190000001</v>
      </c>
      <c r="I5328" s="8">
        <v>10226853.91</v>
      </c>
      <c r="J5328" s="1">
        <f>IF(COUNTIF($C$4:C5328,C5328)=1,1,0)</f>
        <v>1</v>
      </c>
      <c r="K5328" s="1">
        <f t="shared" si="83"/>
        <v>2023</v>
      </c>
    </row>
    <row r="5329" spans="2:11" x14ac:dyDescent="0.45">
      <c r="B5329" s="1" t="s">
        <v>4000</v>
      </c>
      <c r="C5329" s="1" t="s">
        <v>5278</v>
      </c>
      <c r="D5329" s="7">
        <v>43423</v>
      </c>
      <c r="E5329" s="7">
        <v>43431</v>
      </c>
      <c r="G5329" s="1" t="s">
        <v>1348</v>
      </c>
      <c r="H5329" s="8">
        <v>70572457.799999997</v>
      </c>
      <c r="I5329" s="8">
        <v>48993539.579999998</v>
      </c>
      <c r="J5329" s="1">
        <f>IF(COUNTIF($C$4:C5329,C5329)=1,1,0)</f>
        <v>1</v>
      </c>
      <c r="K5329" s="1">
        <f t="shared" si="83"/>
        <v>2018</v>
      </c>
    </row>
    <row r="5330" spans="2:11" x14ac:dyDescent="0.45">
      <c r="B5330" s="1" t="s">
        <v>4000</v>
      </c>
      <c r="C5330" s="1" t="s">
        <v>5279</v>
      </c>
      <c r="D5330" s="7">
        <v>46176</v>
      </c>
      <c r="E5330" s="7">
        <v>46176</v>
      </c>
      <c r="G5330" s="1" t="s">
        <v>13</v>
      </c>
      <c r="H5330" s="8">
        <v>117962.09</v>
      </c>
      <c r="I5330" s="8">
        <v>98079.92</v>
      </c>
      <c r="J5330" s="1">
        <f>IF(COUNTIF($C$4:C5330,C5330)=1,1,0)</f>
        <v>1</v>
      </c>
      <c r="K5330" s="1">
        <f t="shared" si="83"/>
        <v>2026</v>
      </c>
    </row>
    <row r="5331" spans="2:11" x14ac:dyDescent="0.45">
      <c r="B5331" s="1" t="s">
        <v>4000</v>
      </c>
      <c r="C5331" s="1" t="s">
        <v>5280</v>
      </c>
      <c r="D5331" s="7">
        <v>44900</v>
      </c>
      <c r="E5331" s="7">
        <v>44919</v>
      </c>
      <c r="G5331" s="1" t="s">
        <v>212</v>
      </c>
      <c r="H5331" s="8">
        <v>3138714.95</v>
      </c>
      <c r="I5331" s="8">
        <v>1537982.12</v>
      </c>
      <c r="J5331" s="1">
        <f>IF(COUNTIF($C$4:C5331,C5331)=1,1,0)</f>
        <v>1</v>
      </c>
      <c r="K5331" s="1">
        <f t="shared" si="83"/>
        <v>2022</v>
      </c>
    </row>
    <row r="5332" spans="2:11" x14ac:dyDescent="0.45">
      <c r="B5332" s="1" t="s">
        <v>4000</v>
      </c>
      <c r="C5332" s="1" t="s">
        <v>5281</v>
      </c>
      <c r="D5332" s="7">
        <v>43978</v>
      </c>
      <c r="E5332" s="7">
        <v>43978</v>
      </c>
      <c r="G5332" s="1" t="s">
        <v>212</v>
      </c>
      <c r="H5332" s="8">
        <v>894170.1</v>
      </c>
      <c r="I5332" s="8">
        <v>669359.81999999995</v>
      </c>
      <c r="J5332" s="1">
        <f>IF(COUNTIF($C$4:C5332,C5332)=1,1,0)</f>
        <v>1</v>
      </c>
      <c r="K5332" s="1">
        <f t="shared" si="83"/>
        <v>2020</v>
      </c>
    </row>
    <row r="5333" spans="2:11" x14ac:dyDescent="0.45">
      <c r="B5333" s="1" t="s">
        <v>4000</v>
      </c>
      <c r="C5333" s="1" t="s">
        <v>5282</v>
      </c>
      <c r="D5333" s="7">
        <v>43378</v>
      </c>
      <c r="E5333" s="7">
        <v>43388</v>
      </c>
      <c r="G5333" s="1" t="s">
        <v>16</v>
      </c>
      <c r="H5333" s="8">
        <v>363796.14</v>
      </c>
      <c r="I5333" s="8">
        <v>266236.78999999998</v>
      </c>
      <c r="J5333" s="1">
        <f>IF(COUNTIF($C$4:C5333,C5333)=1,1,0)</f>
        <v>1</v>
      </c>
      <c r="K5333" s="1">
        <f t="shared" si="83"/>
        <v>2018</v>
      </c>
    </row>
    <row r="5334" spans="2:11" x14ac:dyDescent="0.45">
      <c r="B5334" s="1" t="s">
        <v>4000</v>
      </c>
      <c r="C5334" s="1" t="s">
        <v>5283</v>
      </c>
      <c r="D5334" s="7">
        <v>44299</v>
      </c>
      <c r="E5334" s="7">
        <v>44311</v>
      </c>
      <c r="G5334" s="1" t="s">
        <v>16</v>
      </c>
      <c r="H5334" s="8">
        <v>1095239.47</v>
      </c>
      <c r="I5334" s="8">
        <v>900044.59</v>
      </c>
      <c r="J5334" s="1">
        <f>IF(COUNTIF($C$4:C5334,C5334)=1,1,0)</f>
        <v>1</v>
      </c>
      <c r="K5334" s="1">
        <f t="shared" si="83"/>
        <v>2021</v>
      </c>
    </row>
    <row r="5335" spans="2:11" x14ac:dyDescent="0.45">
      <c r="B5335" s="1" t="s">
        <v>4000</v>
      </c>
      <c r="C5335" s="1" t="s">
        <v>5284</v>
      </c>
      <c r="D5335" s="7">
        <v>43758</v>
      </c>
      <c r="E5335" s="7">
        <v>43762</v>
      </c>
      <c r="G5335" s="1" t="s">
        <v>20</v>
      </c>
      <c r="H5335" s="8">
        <v>449572.94</v>
      </c>
      <c r="I5335" s="8">
        <v>277862.55</v>
      </c>
      <c r="J5335" s="1">
        <f>IF(COUNTIF($C$4:C5335,C5335)=1,1,0)</f>
        <v>1</v>
      </c>
      <c r="K5335" s="1">
        <f t="shared" si="83"/>
        <v>2019</v>
      </c>
    </row>
    <row r="5336" spans="2:11" x14ac:dyDescent="0.45">
      <c r="B5336" s="1" t="s">
        <v>4000</v>
      </c>
      <c r="C5336" s="1" t="s">
        <v>5285</v>
      </c>
      <c r="D5336" s="7">
        <v>43831</v>
      </c>
      <c r="E5336" s="7">
        <v>43855</v>
      </c>
      <c r="G5336" s="1" t="s">
        <v>38</v>
      </c>
      <c r="H5336" s="8">
        <v>427517.31</v>
      </c>
      <c r="I5336" s="8">
        <v>361827.29</v>
      </c>
      <c r="J5336" s="1">
        <f>IF(COUNTIF($C$4:C5336,C5336)=1,1,0)</f>
        <v>1</v>
      </c>
      <c r="K5336" s="1">
        <f t="shared" si="83"/>
        <v>2020</v>
      </c>
    </row>
    <row r="5337" spans="2:11" x14ac:dyDescent="0.45">
      <c r="B5337" s="1" t="s">
        <v>4000</v>
      </c>
      <c r="C5337" s="1" t="s">
        <v>5286</v>
      </c>
      <c r="D5337" s="7">
        <v>46296</v>
      </c>
      <c r="E5337" s="7">
        <v>46322</v>
      </c>
      <c r="G5337" s="1" t="s">
        <v>41</v>
      </c>
      <c r="H5337" s="8">
        <v>107469.62</v>
      </c>
      <c r="I5337" s="8">
        <v>90236.31</v>
      </c>
      <c r="J5337" s="1">
        <f>IF(COUNTIF($C$4:C5337,C5337)=1,1,0)</f>
        <v>1</v>
      </c>
      <c r="K5337" s="1">
        <f t="shared" si="83"/>
        <v>2026</v>
      </c>
    </row>
    <row r="5338" spans="2:11" x14ac:dyDescent="0.45">
      <c r="B5338" s="1" t="s">
        <v>4000</v>
      </c>
      <c r="C5338" s="1" t="s">
        <v>5287</v>
      </c>
      <c r="D5338" s="7">
        <v>44817</v>
      </c>
      <c r="E5338" s="7">
        <v>44844</v>
      </c>
      <c r="G5338" s="1" t="s">
        <v>20</v>
      </c>
      <c r="H5338" s="8">
        <v>659651.69999999995</v>
      </c>
      <c r="I5338" s="8">
        <v>369529.8</v>
      </c>
      <c r="J5338" s="1">
        <f>IF(COUNTIF($C$4:C5338,C5338)=1,1,0)</f>
        <v>1</v>
      </c>
      <c r="K5338" s="1">
        <f t="shared" si="83"/>
        <v>2022</v>
      </c>
    </row>
    <row r="5339" spans="2:11" x14ac:dyDescent="0.45">
      <c r="B5339" s="1" t="s">
        <v>4000</v>
      </c>
      <c r="C5339" s="1" t="s">
        <v>5288</v>
      </c>
      <c r="D5339" s="7">
        <v>43508</v>
      </c>
      <c r="E5339" s="7">
        <v>43529</v>
      </c>
      <c r="G5339" s="1" t="s">
        <v>22</v>
      </c>
      <c r="H5339" s="8">
        <v>1412151.04</v>
      </c>
      <c r="I5339" s="8">
        <v>936685.27</v>
      </c>
      <c r="J5339" s="1">
        <f>IF(COUNTIF($C$4:C5339,C5339)=1,1,0)</f>
        <v>1</v>
      </c>
      <c r="K5339" s="1">
        <f t="shared" si="83"/>
        <v>2019</v>
      </c>
    </row>
    <row r="5340" spans="2:11" x14ac:dyDescent="0.45">
      <c r="B5340" s="1" t="s">
        <v>4000</v>
      </c>
      <c r="C5340" s="1" t="s">
        <v>5289</v>
      </c>
      <c r="D5340" s="7">
        <v>45539</v>
      </c>
      <c r="E5340" s="7">
        <v>45543</v>
      </c>
      <c r="G5340" s="1" t="s">
        <v>41</v>
      </c>
      <c r="H5340" s="8">
        <v>43406</v>
      </c>
      <c r="I5340" s="8">
        <v>29573.25</v>
      </c>
      <c r="J5340" s="1">
        <f>IF(COUNTIF($C$4:C5340,C5340)=1,1,0)</f>
        <v>1</v>
      </c>
      <c r="K5340" s="1">
        <f t="shared" si="83"/>
        <v>2024</v>
      </c>
    </row>
    <row r="5341" spans="2:11" x14ac:dyDescent="0.45">
      <c r="B5341" s="1" t="s">
        <v>4000</v>
      </c>
      <c r="C5341" s="1" t="s">
        <v>5290</v>
      </c>
      <c r="D5341" s="7">
        <v>43765</v>
      </c>
      <c r="E5341" s="7">
        <v>43792</v>
      </c>
      <c r="G5341" s="1" t="s">
        <v>212</v>
      </c>
      <c r="H5341" s="8">
        <v>38407298.689999998</v>
      </c>
      <c r="I5341" s="8">
        <v>24026816.280000001</v>
      </c>
      <c r="J5341" s="1">
        <f>IF(COUNTIF($C$4:C5341,C5341)=1,1,0)</f>
        <v>1</v>
      </c>
      <c r="K5341" s="1">
        <f t="shared" si="83"/>
        <v>2019</v>
      </c>
    </row>
    <row r="5342" spans="2:11" x14ac:dyDescent="0.45">
      <c r="B5342" s="1" t="s">
        <v>4000</v>
      </c>
      <c r="C5342" s="1" t="s">
        <v>5291</v>
      </c>
      <c r="D5342" s="7">
        <v>45661</v>
      </c>
      <c r="E5342" s="7">
        <v>45676</v>
      </c>
      <c r="G5342" s="1" t="s">
        <v>38</v>
      </c>
      <c r="H5342" s="8">
        <v>279355.08</v>
      </c>
      <c r="I5342" s="8">
        <v>228645.86</v>
      </c>
      <c r="J5342" s="1">
        <f>IF(COUNTIF($C$4:C5342,C5342)=1,1,0)</f>
        <v>1</v>
      </c>
      <c r="K5342" s="1">
        <f t="shared" si="83"/>
        <v>2025</v>
      </c>
    </row>
    <row r="5343" spans="2:11" x14ac:dyDescent="0.45">
      <c r="B5343" s="1" t="s">
        <v>4000</v>
      </c>
      <c r="C5343" s="1" t="s">
        <v>5292</v>
      </c>
      <c r="D5343" s="7">
        <v>43476</v>
      </c>
      <c r="E5343" s="7">
        <v>43488</v>
      </c>
      <c r="G5343" s="1" t="s">
        <v>20</v>
      </c>
      <c r="H5343" s="8">
        <v>1218621.0900000001</v>
      </c>
      <c r="I5343" s="8">
        <v>829012.15</v>
      </c>
      <c r="J5343" s="1">
        <f>IF(COUNTIF($C$4:C5343,C5343)=1,1,0)</f>
        <v>1</v>
      </c>
      <c r="K5343" s="1">
        <f t="shared" si="83"/>
        <v>2019</v>
      </c>
    </row>
    <row r="5344" spans="2:11" x14ac:dyDescent="0.45">
      <c r="B5344" s="1" t="s">
        <v>4000</v>
      </c>
      <c r="C5344" s="1" t="s">
        <v>5293</v>
      </c>
      <c r="D5344" s="7">
        <v>45863</v>
      </c>
      <c r="E5344" s="7">
        <v>45885</v>
      </c>
      <c r="G5344" s="1" t="s">
        <v>22</v>
      </c>
      <c r="H5344" s="8">
        <v>7276775.1900000004</v>
      </c>
      <c r="I5344" s="8">
        <v>4536551.13</v>
      </c>
      <c r="J5344" s="1">
        <f>IF(COUNTIF($C$4:C5344,C5344)=1,1,0)</f>
        <v>1</v>
      </c>
      <c r="K5344" s="1">
        <f t="shared" si="83"/>
        <v>2025</v>
      </c>
    </row>
    <row r="5345" spans="2:11" x14ac:dyDescent="0.45">
      <c r="B5345" s="1" t="s">
        <v>4000</v>
      </c>
      <c r="C5345" s="1" t="s">
        <v>5294</v>
      </c>
      <c r="D5345" s="7">
        <v>45939</v>
      </c>
      <c r="E5345" s="7">
        <v>45969</v>
      </c>
      <c r="G5345" s="1" t="s">
        <v>38</v>
      </c>
      <c r="H5345" s="8">
        <v>101810.34</v>
      </c>
      <c r="I5345" s="8">
        <v>77434.820000000007</v>
      </c>
      <c r="J5345" s="1">
        <f>IF(COUNTIF($C$4:C5345,C5345)=1,1,0)</f>
        <v>1</v>
      </c>
      <c r="K5345" s="1">
        <f t="shared" si="83"/>
        <v>2025</v>
      </c>
    </row>
    <row r="5346" spans="2:11" x14ac:dyDescent="0.45">
      <c r="B5346" s="1" t="s">
        <v>4000</v>
      </c>
      <c r="C5346" s="1" t="s">
        <v>5295</v>
      </c>
      <c r="D5346" s="7">
        <v>45224</v>
      </c>
      <c r="E5346" s="7">
        <v>45252</v>
      </c>
      <c r="G5346" s="1" t="s">
        <v>13</v>
      </c>
      <c r="H5346" s="8">
        <v>234158.94</v>
      </c>
      <c r="I5346" s="8">
        <v>207842.07</v>
      </c>
      <c r="J5346" s="1">
        <f>IF(COUNTIF($C$4:C5346,C5346)=1,1,0)</f>
        <v>1</v>
      </c>
      <c r="K5346" s="1">
        <f t="shared" si="83"/>
        <v>2023</v>
      </c>
    </row>
    <row r="5347" spans="2:11" x14ac:dyDescent="0.45">
      <c r="B5347" s="1" t="s">
        <v>4000</v>
      </c>
      <c r="C5347" s="1" t="s">
        <v>5296</v>
      </c>
      <c r="D5347" s="7">
        <v>43386</v>
      </c>
      <c r="E5347" s="7">
        <v>43395</v>
      </c>
      <c r="G5347" s="1" t="s">
        <v>20</v>
      </c>
      <c r="H5347" s="8">
        <v>300772.24</v>
      </c>
      <c r="I5347" s="8">
        <v>203821.46</v>
      </c>
      <c r="J5347" s="1">
        <f>IF(COUNTIF($C$4:C5347,C5347)=1,1,0)</f>
        <v>1</v>
      </c>
      <c r="K5347" s="1">
        <f t="shared" si="83"/>
        <v>2018</v>
      </c>
    </row>
    <row r="5348" spans="2:11" x14ac:dyDescent="0.45">
      <c r="B5348" s="1" t="s">
        <v>4000</v>
      </c>
      <c r="C5348" s="1" t="s">
        <v>5297</v>
      </c>
      <c r="D5348" s="7">
        <v>44454</v>
      </c>
      <c r="E5348" s="7">
        <v>44482</v>
      </c>
      <c r="G5348" s="1" t="s">
        <v>38</v>
      </c>
      <c r="H5348" s="8">
        <v>255787.15</v>
      </c>
      <c r="I5348" s="8">
        <v>204916.24</v>
      </c>
      <c r="J5348" s="1">
        <f>IF(COUNTIF($C$4:C5348,C5348)=1,1,0)</f>
        <v>1</v>
      </c>
      <c r="K5348" s="1">
        <f t="shared" si="83"/>
        <v>2021</v>
      </c>
    </row>
    <row r="5349" spans="2:11" x14ac:dyDescent="0.45">
      <c r="B5349" s="1" t="s">
        <v>4000</v>
      </c>
      <c r="C5349" s="1" t="s">
        <v>5298</v>
      </c>
      <c r="D5349" s="7">
        <v>43493</v>
      </c>
      <c r="E5349" s="7">
        <v>43499</v>
      </c>
      <c r="G5349" s="1" t="s">
        <v>38</v>
      </c>
      <c r="H5349" s="8">
        <v>386380.98</v>
      </c>
      <c r="I5349" s="8">
        <v>266940.32</v>
      </c>
      <c r="J5349" s="1">
        <f>IF(COUNTIF($C$4:C5349,C5349)=1,1,0)</f>
        <v>1</v>
      </c>
      <c r="K5349" s="1">
        <f t="shared" si="83"/>
        <v>2019</v>
      </c>
    </row>
    <row r="5350" spans="2:11" x14ac:dyDescent="0.45">
      <c r="B5350" s="1" t="s">
        <v>4000</v>
      </c>
      <c r="C5350" s="1" t="s">
        <v>5299</v>
      </c>
      <c r="D5350" s="7">
        <v>43811</v>
      </c>
      <c r="E5350" s="7">
        <v>43836</v>
      </c>
      <c r="G5350" s="1" t="s">
        <v>22</v>
      </c>
      <c r="H5350" s="8">
        <v>22482221.510000002</v>
      </c>
      <c r="I5350" s="8">
        <v>14245288.98</v>
      </c>
      <c r="J5350" s="1">
        <f>IF(COUNTIF($C$4:C5350,C5350)=1,1,0)</f>
        <v>1</v>
      </c>
      <c r="K5350" s="1">
        <f t="shared" si="83"/>
        <v>2019</v>
      </c>
    </row>
    <row r="5351" spans="2:11" x14ac:dyDescent="0.45">
      <c r="B5351" s="1" t="s">
        <v>4000</v>
      </c>
      <c r="C5351" s="1" t="s">
        <v>5300</v>
      </c>
      <c r="D5351" s="7">
        <v>44325</v>
      </c>
      <c r="E5351" s="7">
        <v>44335</v>
      </c>
      <c r="G5351" s="1" t="s">
        <v>22</v>
      </c>
      <c r="H5351" s="8">
        <v>43648070.090000004</v>
      </c>
      <c r="I5351" s="8">
        <v>20562942.579999998</v>
      </c>
      <c r="J5351" s="1">
        <f>IF(COUNTIF($C$4:C5351,C5351)=1,1,0)</f>
        <v>1</v>
      </c>
      <c r="K5351" s="1">
        <f t="shared" si="83"/>
        <v>2021</v>
      </c>
    </row>
    <row r="5352" spans="2:11" x14ac:dyDescent="0.45">
      <c r="B5352" s="1" t="s">
        <v>4000</v>
      </c>
      <c r="C5352" s="1" t="s">
        <v>5301</v>
      </c>
      <c r="D5352" s="7">
        <v>44507</v>
      </c>
      <c r="E5352" s="7">
        <v>44510</v>
      </c>
      <c r="G5352" s="1" t="s">
        <v>41</v>
      </c>
      <c r="H5352" s="8">
        <v>23471.81</v>
      </c>
      <c r="I5352" s="8">
        <v>19300.849999999999</v>
      </c>
      <c r="J5352" s="1">
        <f>IF(COUNTIF($C$4:C5352,C5352)=1,1,0)</f>
        <v>1</v>
      </c>
      <c r="K5352" s="1">
        <f t="shared" si="83"/>
        <v>2021</v>
      </c>
    </row>
    <row r="5353" spans="2:11" x14ac:dyDescent="0.45">
      <c r="B5353" s="1" t="s">
        <v>4000</v>
      </c>
      <c r="C5353" s="1" t="s">
        <v>5302</v>
      </c>
      <c r="D5353" s="7">
        <v>45840</v>
      </c>
      <c r="E5353" s="7">
        <v>45851</v>
      </c>
      <c r="G5353" s="1" t="s">
        <v>16</v>
      </c>
      <c r="H5353" s="8">
        <v>2585756.25</v>
      </c>
      <c r="I5353" s="8">
        <v>1952243.48</v>
      </c>
      <c r="J5353" s="1">
        <f>IF(COUNTIF($C$4:C5353,C5353)=1,1,0)</f>
        <v>1</v>
      </c>
      <c r="K5353" s="1">
        <f t="shared" si="83"/>
        <v>2025</v>
      </c>
    </row>
    <row r="5354" spans="2:11" x14ac:dyDescent="0.45">
      <c r="B5354" s="1" t="s">
        <v>4000</v>
      </c>
      <c r="C5354" s="1" t="s">
        <v>5303</v>
      </c>
      <c r="D5354" s="7">
        <v>46014</v>
      </c>
      <c r="E5354" s="7">
        <v>46032</v>
      </c>
      <c r="G5354" s="1" t="s">
        <v>41</v>
      </c>
      <c r="H5354" s="8">
        <v>410603.84</v>
      </c>
      <c r="I5354" s="8">
        <v>300043.27</v>
      </c>
      <c r="J5354" s="1">
        <f>IF(COUNTIF($C$4:C5354,C5354)=1,1,0)</f>
        <v>1</v>
      </c>
      <c r="K5354" s="1">
        <f t="shared" si="83"/>
        <v>2025</v>
      </c>
    </row>
    <row r="5355" spans="2:11" x14ac:dyDescent="0.45">
      <c r="B5355" s="1" t="s">
        <v>4000</v>
      </c>
      <c r="C5355" s="1" t="s">
        <v>5304</v>
      </c>
      <c r="D5355" s="7">
        <v>44744</v>
      </c>
      <c r="E5355" s="7">
        <v>44748</v>
      </c>
      <c r="G5355" s="1" t="s">
        <v>41</v>
      </c>
      <c r="H5355" s="8">
        <v>149874.63</v>
      </c>
      <c r="I5355" s="8">
        <v>136829.25</v>
      </c>
      <c r="J5355" s="1">
        <f>IF(COUNTIF($C$4:C5355,C5355)=1,1,0)</f>
        <v>1</v>
      </c>
      <c r="K5355" s="1">
        <f t="shared" si="83"/>
        <v>2022</v>
      </c>
    </row>
    <row r="5356" spans="2:11" x14ac:dyDescent="0.45">
      <c r="B5356" s="1" t="s">
        <v>4000</v>
      </c>
      <c r="C5356" s="1" t="s">
        <v>5305</v>
      </c>
      <c r="D5356" s="7">
        <v>45665</v>
      </c>
      <c r="E5356" s="7">
        <v>45685</v>
      </c>
      <c r="G5356" s="1" t="s">
        <v>22</v>
      </c>
      <c r="H5356" s="8">
        <v>7245733.9500000002</v>
      </c>
      <c r="I5356" s="8">
        <v>5687989.2400000002</v>
      </c>
      <c r="J5356" s="1">
        <f>IF(COUNTIF($C$4:C5356,C5356)=1,1,0)</f>
        <v>1</v>
      </c>
      <c r="K5356" s="1">
        <f t="shared" si="83"/>
        <v>2025</v>
      </c>
    </row>
    <row r="5357" spans="2:11" x14ac:dyDescent="0.45">
      <c r="B5357" s="1" t="s">
        <v>4000</v>
      </c>
      <c r="C5357" s="1" t="s">
        <v>5306</v>
      </c>
      <c r="D5357" s="7">
        <v>46014</v>
      </c>
      <c r="E5357" s="7">
        <v>46019</v>
      </c>
      <c r="G5357" s="1" t="s">
        <v>38</v>
      </c>
      <c r="H5357" s="8">
        <v>729296.87</v>
      </c>
      <c r="I5357" s="8">
        <v>580222.24</v>
      </c>
      <c r="J5357" s="1">
        <f>IF(COUNTIF($C$4:C5357,C5357)=1,1,0)</f>
        <v>1</v>
      </c>
      <c r="K5357" s="1">
        <f t="shared" si="83"/>
        <v>2025</v>
      </c>
    </row>
    <row r="5358" spans="2:11" x14ac:dyDescent="0.45">
      <c r="B5358" s="1" t="s">
        <v>4000</v>
      </c>
      <c r="C5358" s="1" t="s">
        <v>5307</v>
      </c>
      <c r="D5358" s="7">
        <v>45692</v>
      </c>
      <c r="E5358" s="7">
        <v>45701</v>
      </c>
      <c r="G5358" s="1" t="s">
        <v>22</v>
      </c>
      <c r="H5358" s="8">
        <v>47990055.770000003</v>
      </c>
      <c r="I5358" s="8">
        <v>30153685.789999999</v>
      </c>
      <c r="J5358" s="1">
        <f>IF(COUNTIF($C$4:C5358,C5358)=1,1,0)</f>
        <v>1</v>
      </c>
      <c r="K5358" s="1">
        <f t="shared" si="83"/>
        <v>2025</v>
      </c>
    </row>
    <row r="5359" spans="2:11" x14ac:dyDescent="0.45">
      <c r="B5359" s="1" t="s">
        <v>4000</v>
      </c>
      <c r="C5359" s="1" t="s">
        <v>5308</v>
      </c>
      <c r="D5359" s="7">
        <v>45866</v>
      </c>
      <c r="E5359" s="7">
        <v>45881</v>
      </c>
      <c r="G5359" s="1" t="s">
        <v>1348</v>
      </c>
      <c r="H5359" s="8">
        <v>107599162.37</v>
      </c>
      <c r="I5359" s="8">
        <v>69552880.489999995</v>
      </c>
      <c r="J5359" s="1">
        <f>IF(COUNTIF($C$4:C5359,C5359)=1,1,0)</f>
        <v>1</v>
      </c>
      <c r="K5359" s="1">
        <f t="shared" si="83"/>
        <v>2025</v>
      </c>
    </row>
    <row r="5360" spans="2:11" x14ac:dyDescent="0.45">
      <c r="B5360" s="1" t="s">
        <v>4000</v>
      </c>
      <c r="C5360" s="1" t="s">
        <v>5309</v>
      </c>
      <c r="D5360" s="7">
        <v>43431</v>
      </c>
      <c r="E5360" s="7">
        <v>43454</v>
      </c>
      <c r="G5360" s="1" t="s">
        <v>22</v>
      </c>
      <c r="H5360" s="8">
        <v>29868519.550000001</v>
      </c>
      <c r="I5360" s="8">
        <v>14444254.59</v>
      </c>
      <c r="J5360" s="1">
        <f>IF(COUNTIF($C$4:C5360,C5360)=1,1,0)</f>
        <v>1</v>
      </c>
      <c r="K5360" s="1">
        <f t="shared" si="83"/>
        <v>2018</v>
      </c>
    </row>
    <row r="5361" spans="2:11" x14ac:dyDescent="0.45">
      <c r="B5361" s="1" t="s">
        <v>4000</v>
      </c>
      <c r="C5361" s="1" t="s">
        <v>5310</v>
      </c>
      <c r="D5361" s="7">
        <v>43350</v>
      </c>
      <c r="E5361" s="7">
        <v>43361</v>
      </c>
      <c r="G5361" s="1" t="s">
        <v>22</v>
      </c>
      <c r="H5361" s="8">
        <v>6141256.0800000001</v>
      </c>
      <c r="I5361" s="8">
        <v>3832762.2</v>
      </c>
      <c r="J5361" s="1">
        <f>IF(COUNTIF($C$4:C5361,C5361)=1,1,0)</f>
        <v>1</v>
      </c>
      <c r="K5361" s="1">
        <f t="shared" si="83"/>
        <v>2018</v>
      </c>
    </row>
    <row r="5362" spans="2:11" x14ac:dyDescent="0.45">
      <c r="B5362" s="1" t="s">
        <v>4000</v>
      </c>
      <c r="C5362" s="1" t="s">
        <v>5311</v>
      </c>
      <c r="D5362" s="7">
        <v>45034</v>
      </c>
      <c r="E5362" s="7">
        <v>45036</v>
      </c>
      <c r="G5362" s="1" t="s">
        <v>16</v>
      </c>
      <c r="H5362" s="8">
        <v>1123398.68</v>
      </c>
      <c r="I5362" s="8">
        <v>691122.85</v>
      </c>
      <c r="J5362" s="1">
        <f>IF(COUNTIF($C$4:C5362,C5362)=1,1,0)</f>
        <v>1</v>
      </c>
      <c r="K5362" s="1">
        <f t="shared" si="83"/>
        <v>2023</v>
      </c>
    </row>
    <row r="5363" spans="2:11" x14ac:dyDescent="0.45">
      <c r="B5363" s="1" t="s">
        <v>4000</v>
      </c>
      <c r="C5363" s="1" t="s">
        <v>5312</v>
      </c>
      <c r="D5363" s="7">
        <v>44272</v>
      </c>
      <c r="E5363" s="7">
        <v>44294</v>
      </c>
      <c r="G5363" s="1" t="s">
        <v>20</v>
      </c>
      <c r="H5363" s="8">
        <v>981057.84</v>
      </c>
      <c r="I5363" s="8">
        <v>683237.68</v>
      </c>
      <c r="J5363" s="1">
        <f>IF(COUNTIF($C$4:C5363,C5363)=1,1,0)</f>
        <v>1</v>
      </c>
      <c r="K5363" s="1">
        <f t="shared" si="83"/>
        <v>2021</v>
      </c>
    </row>
    <row r="5364" spans="2:11" x14ac:dyDescent="0.45">
      <c r="B5364" s="1" t="s">
        <v>4000</v>
      </c>
      <c r="C5364" s="1" t="s">
        <v>5313</v>
      </c>
      <c r="D5364" s="7">
        <v>43751</v>
      </c>
      <c r="E5364" s="7">
        <v>43759</v>
      </c>
      <c r="G5364" s="1" t="s">
        <v>44</v>
      </c>
      <c r="H5364" s="8">
        <v>75299700.180000007</v>
      </c>
      <c r="I5364" s="8">
        <v>52565514.789999999</v>
      </c>
      <c r="J5364" s="1">
        <f>IF(COUNTIF($C$4:C5364,C5364)=1,1,0)</f>
        <v>1</v>
      </c>
      <c r="K5364" s="1">
        <f t="shared" si="83"/>
        <v>2019</v>
      </c>
    </row>
    <row r="5365" spans="2:11" x14ac:dyDescent="0.45">
      <c r="B5365" s="1" t="s">
        <v>4000</v>
      </c>
      <c r="C5365" s="1" t="s">
        <v>5314</v>
      </c>
      <c r="D5365" s="7">
        <v>43727</v>
      </c>
      <c r="E5365" s="7">
        <v>43729</v>
      </c>
      <c r="G5365" s="1" t="s">
        <v>20</v>
      </c>
      <c r="H5365" s="8">
        <v>535359.49</v>
      </c>
      <c r="I5365" s="8">
        <v>349305.32</v>
      </c>
      <c r="J5365" s="1">
        <f>IF(COUNTIF($C$4:C5365,C5365)=1,1,0)</f>
        <v>1</v>
      </c>
      <c r="K5365" s="1">
        <f t="shared" si="83"/>
        <v>2019</v>
      </c>
    </row>
    <row r="5366" spans="2:11" x14ac:dyDescent="0.45">
      <c r="B5366" s="1" t="s">
        <v>4000</v>
      </c>
      <c r="C5366" s="1" t="s">
        <v>5315</v>
      </c>
      <c r="D5366" s="7">
        <v>46096</v>
      </c>
      <c r="E5366" s="7">
        <v>46097</v>
      </c>
      <c r="G5366" s="1" t="s">
        <v>16</v>
      </c>
      <c r="H5366" s="8">
        <v>1162550.58</v>
      </c>
      <c r="I5366" s="8">
        <v>879259.35</v>
      </c>
      <c r="J5366" s="1">
        <f>IF(COUNTIF($C$4:C5366,C5366)=1,1,0)</f>
        <v>1</v>
      </c>
      <c r="K5366" s="1">
        <f t="shared" si="83"/>
        <v>2026</v>
      </c>
    </row>
    <row r="5367" spans="2:11" x14ac:dyDescent="0.45">
      <c r="B5367" s="1" t="s">
        <v>4000</v>
      </c>
      <c r="C5367" s="1" t="s">
        <v>5316</v>
      </c>
      <c r="D5367" s="7">
        <v>44051</v>
      </c>
      <c r="E5367" s="7">
        <v>44051</v>
      </c>
      <c r="G5367" s="1" t="s">
        <v>44</v>
      </c>
      <c r="H5367" s="8">
        <v>31796611.300000001</v>
      </c>
      <c r="I5367" s="8">
        <v>17686912.870000001</v>
      </c>
      <c r="J5367" s="1">
        <f>IF(COUNTIF($C$4:C5367,C5367)=1,1,0)</f>
        <v>1</v>
      </c>
      <c r="K5367" s="1">
        <f t="shared" si="83"/>
        <v>2020</v>
      </c>
    </row>
    <row r="5368" spans="2:11" x14ac:dyDescent="0.45">
      <c r="B5368" s="1" t="s">
        <v>4000</v>
      </c>
      <c r="C5368" s="1" t="s">
        <v>5317</v>
      </c>
      <c r="D5368" s="7">
        <v>43866</v>
      </c>
      <c r="E5368" s="7">
        <v>43893</v>
      </c>
      <c r="G5368" s="1" t="s">
        <v>41</v>
      </c>
      <c r="H5368" s="8">
        <v>295505.71000000002</v>
      </c>
      <c r="I5368" s="8">
        <v>244995.55</v>
      </c>
      <c r="J5368" s="1">
        <f>IF(COUNTIF($C$4:C5368,C5368)=1,1,0)</f>
        <v>1</v>
      </c>
      <c r="K5368" s="1">
        <f t="shared" si="83"/>
        <v>2020</v>
      </c>
    </row>
    <row r="5369" spans="2:11" x14ac:dyDescent="0.45">
      <c r="B5369" s="1" t="s">
        <v>4000</v>
      </c>
      <c r="C5369" s="1" t="s">
        <v>5318</v>
      </c>
      <c r="D5369" s="7">
        <v>43742</v>
      </c>
      <c r="E5369" s="7">
        <v>43742</v>
      </c>
      <c r="G5369" s="1" t="s">
        <v>20</v>
      </c>
      <c r="H5369" s="8">
        <v>1273585.45</v>
      </c>
      <c r="I5369" s="8">
        <v>725357.92</v>
      </c>
      <c r="J5369" s="1">
        <f>IF(COUNTIF($C$4:C5369,C5369)=1,1,0)</f>
        <v>1</v>
      </c>
      <c r="K5369" s="1">
        <f t="shared" si="83"/>
        <v>2019</v>
      </c>
    </row>
    <row r="5370" spans="2:11" x14ac:dyDescent="0.45">
      <c r="B5370" s="1" t="s">
        <v>4000</v>
      </c>
      <c r="C5370" s="1" t="s">
        <v>5319</v>
      </c>
      <c r="D5370" s="7">
        <v>43643</v>
      </c>
      <c r="E5370" s="7">
        <v>43666</v>
      </c>
      <c r="G5370" s="1" t="s">
        <v>212</v>
      </c>
      <c r="H5370" s="8">
        <v>247419.55</v>
      </c>
      <c r="I5370" s="8">
        <v>166628.93</v>
      </c>
      <c r="J5370" s="1">
        <f>IF(COUNTIF($C$4:C5370,C5370)=1,1,0)</f>
        <v>1</v>
      </c>
      <c r="K5370" s="1">
        <f t="shared" si="83"/>
        <v>2019</v>
      </c>
    </row>
    <row r="5371" spans="2:11" x14ac:dyDescent="0.45">
      <c r="B5371" s="1" t="s">
        <v>4000</v>
      </c>
      <c r="C5371" s="1" t="s">
        <v>5320</v>
      </c>
      <c r="D5371" s="7">
        <v>45715</v>
      </c>
      <c r="E5371" s="7">
        <v>45717</v>
      </c>
      <c r="G5371" s="1" t="s">
        <v>1348</v>
      </c>
      <c r="H5371" s="8">
        <v>44450606.859999999</v>
      </c>
      <c r="I5371" s="8">
        <v>32700795.66</v>
      </c>
      <c r="J5371" s="1">
        <f>IF(COUNTIF($C$4:C5371,C5371)=1,1,0)</f>
        <v>1</v>
      </c>
      <c r="K5371" s="1">
        <f t="shared" si="83"/>
        <v>2025</v>
      </c>
    </row>
    <row r="5372" spans="2:11" x14ac:dyDescent="0.45">
      <c r="B5372" s="1" t="s">
        <v>4000</v>
      </c>
      <c r="C5372" s="1" t="s">
        <v>5321</v>
      </c>
      <c r="D5372" s="7">
        <v>45025</v>
      </c>
      <c r="E5372" s="7">
        <v>45048</v>
      </c>
      <c r="G5372" s="1" t="s">
        <v>1348</v>
      </c>
      <c r="H5372" s="8">
        <v>92607301.670000002</v>
      </c>
      <c r="I5372" s="8">
        <v>70526872.480000004</v>
      </c>
      <c r="J5372" s="1">
        <f>IF(COUNTIF($C$4:C5372,C5372)=1,1,0)</f>
        <v>1</v>
      </c>
      <c r="K5372" s="1">
        <f t="shared" si="83"/>
        <v>2023</v>
      </c>
    </row>
    <row r="5373" spans="2:11" x14ac:dyDescent="0.45">
      <c r="B5373" s="1" t="s">
        <v>4000</v>
      </c>
      <c r="C5373" s="1" t="s">
        <v>5322</v>
      </c>
      <c r="D5373" s="7">
        <v>45993</v>
      </c>
      <c r="E5373" s="7">
        <v>46017</v>
      </c>
      <c r="G5373" s="1" t="s">
        <v>22</v>
      </c>
      <c r="H5373" s="8">
        <v>8379966.1600000001</v>
      </c>
      <c r="I5373" s="8">
        <v>4098483.94</v>
      </c>
      <c r="J5373" s="1">
        <f>IF(COUNTIF($C$4:C5373,C5373)=1,1,0)</f>
        <v>1</v>
      </c>
      <c r="K5373" s="1">
        <f t="shared" si="83"/>
        <v>2025</v>
      </c>
    </row>
    <row r="5374" spans="2:11" x14ac:dyDescent="0.45">
      <c r="B5374" s="1" t="s">
        <v>4000</v>
      </c>
      <c r="C5374" s="1" t="s">
        <v>5323</v>
      </c>
      <c r="D5374" s="7">
        <v>43620</v>
      </c>
      <c r="E5374" s="7">
        <v>43631</v>
      </c>
      <c r="G5374" s="1" t="s">
        <v>1348</v>
      </c>
      <c r="H5374" s="8">
        <v>3426139.84</v>
      </c>
      <c r="I5374" s="8">
        <v>1867366.82</v>
      </c>
      <c r="J5374" s="1">
        <f>IF(COUNTIF($C$4:C5374,C5374)=1,1,0)</f>
        <v>1</v>
      </c>
      <c r="K5374" s="1">
        <f t="shared" si="83"/>
        <v>2019</v>
      </c>
    </row>
    <row r="5375" spans="2:11" x14ac:dyDescent="0.45">
      <c r="B5375" s="1" t="s">
        <v>4000</v>
      </c>
      <c r="C5375" s="1" t="s">
        <v>5324</v>
      </c>
      <c r="D5375" s="7">
        <v>45961</v>
      </c>
      <c r="E5375" s="7">
        <v>45983</v>
      </c>
      <c r="G5375" s="1" t="s">
        <v>41</v>
      </c>
      <c r="H5375" s="8">
        <v>60541.09</v>
      </c>
      <c r="I5375" s="8">
        <v>49251.67</v>
      </c>
      <c r="J5375" s="1">
        <f>IF(COUNTIF($C$4:C5375,C5375)=1,1,0)</f>
        <v>1</v>
      </c>
      <c r="K5375" s="1">
        <f t="shared" si="83"/>
        <v>2025</v>
      </c>
    </row>
    <row r="5376" spans="2:11" x14ac:dyDescent="0.45">
      <c r="B5376" s="1" t="s">
        <v>4000</v>
      </c>
      <c r="C5376" s="1" t="s">
        <v>5325</v>
      </c>
      <c r="D5376" s="7">
        <v>43891</v>
      </c>
      <c r="E5376" s="7">
        <v>43905</v>
      </c>
      <c r="G5376" s="1" t="s">
        <v>41</v>
      </c>
      <c r="H5376" s="8">
        <v>40952.81</v>
      </c>
      <c r="I5376" s="8">
        <v>36958.660000000003</v>
      </c>
      <c r="J5376" s="1">
        <f>IF(COUNTIF($C$4:C5376,C5376)=1,1,0)</f>
        <v>1</v>
      </c>
      <c r="K5376" s="1">
        <f t="shared" si="83"/>
        <v>2020</v>
      </c>
    </row>
    <row r="5377" spans="2:11" x14ac:dyDescent="0.45">
      <c r="B5377" s="1" t="s">
        <v>4000</v>
      </c>
      <c r="C5377" s="1" t="s">
        <v>5326</v>
      </c>
      <c r="D5377" s="7">
        <v>43331</v>
      </c>
      <c r="E5377" s="7">
        <v>43360</v>
      </c>
      <c r="G5377" s="1" t="s">
        <v>18</v>
      </c>
      <c r="H5377" s="8">
        <v>2011906.3</v>
      </c>
      <c r="I5377" s="8">
        <v>1793367.72</v>
      </c>
      <c r="J5377" s="1">
        <f>IF(COUNTIF($C$4:C5377,C5377)=1,1,0)</f>
        <v>1</v>
      </c>
      <c r="K5377" s="1">
        <f t="shared" si="83"/>
        <v>2018</v>
      </c>
    </row>
    <row r="5378" spans="2:11" x14ac:dyDescent="0.45">
      <c r="B5378" s="1" t="s">
        <v>4000</v>
      </c>
      <c r="C5378" s="1" t="s">
        <v>5327</v>
      </c>
      <c r="D5378" s="7">
        <v>45643</v>
      </c>
      <c r="E5378" s="7">
        <v>45662</v>
      </c>
      <c r="G5378" s="1" t="s">
        <v>41</v>
      </c>
      <c r="H5378" s="8">
        <v>237184.51</v>
      </c>
      <c r="I5378" s="8">
        <v>192874.03</v>
      </c>
      <c r="J5378" s="1">
        <f>IF(COUNTIF($C$4:C5378,C5378)=1,1,0)</f>
        <v>1</v>
      </c>
      <c r="K5378" s="1">
        <f t="shared" si="83"/>
        <v>2024</v>
      </c>
    </row>
    <row r="5379" spans="2:11" x14ac:dyDescent="0.45">
      <c r="B5379" s="1" t="s">
        <v>4000</v>
      </c>
      <c r="C5379" s="1" t="s">
        <v>5328</v>
      </c>
      <c r="D5379" s="7">
        <v>44995</v>
      </c>
      <c r="E5379" s="7">
        <v>45003</v>
      </c>
      <c r="G5379" s="1" t="s">
        <v>1348</v>
      </c>
      <c r="H5379" s="8">
        <v>47496573.060000002</v>
      </c>
      <c r="I5379" s="8">
        <v>19861983.460000001</v>
      </c>
      <c r="J5379" s="1">
        <f>IF(COUNTIF($C$4:C5379,C5379)=1,1,0)</f>
        <v>1</v>
      </c>
      <c r="K5379" s="1">
        <f t="shared" si="83"/>
        <v>2023</v>
      </c>
    </row>
    <row r="5380" spans="2:11" x14ac:dyDescent="0.45">
      <c r="B5380" s="1" t="s">
        <v>4000</v>
      </c>
      <c r="C5380" s="1" t="s">
        <v>5329</v>
      </c>
      <c r="D5380" s="7">
        <v>45423</v>
      </c>
      <c r="E5380" s="7">
        <v>45426</v>
      </c>
      <c r="G5380" s="1" t="s">
        <v>13</v>
      </c>
      <c r="H5380" s="8">
        <v>230183.81</v>
      </c>
      <c r="I5380" s="8">
        <v>177236.11</v>
      </c>
      <c r="J5380" s="1">
        <f>IF(COUNTIF($C$4:C5380,C5380)=1,1,0)</f>
        <v>1</v>
      </c>
      <c r="K5380" s="1">
        <f t="shared" si="83"/>
        <v>2024</v>
      </c>
    </row>
    <row r="5381" spans="2:11" x14ac:dyDescent="0.45">
      <c r="B5381" s="1" t="s">
        <v>4000</v>
      </c>
      <c r="C5381" s="1" t="s">
        <v>5330</v>
      </c>
      <c r="D5381" s="7">
        <v>46001</v>
      </c>
      <c r="E5381" s="7">
        <v>46018</v>
      </c>
      <c r="G5381" s="1" t="s">
        <v>44</v>
      </c>
      <c r="H5381" s="8">
        <v>50097792.060000002</v>
      </c>
      <c r="I5381" s="8">
        <v>20258927.449999999</v>
      </c>
      <c r="J5381" s="1">
        <f>IF(COUNTIF($C$4:C5381,C5381)=1,1,0)</f>
        <v>1</v>
      </c>
      <c r="K5381" s="1">
        <f t="shared" ref="K5381:K5444" si="84">YEAR(D5381)</f>
        <v>2025</v>
      </c>
    </row>
    <row r="5382" spans="2:11" x14ac:dyDescent="0.45">
      <c r="B5382" s="1" t="s">
        <v>4000</v>
      </c>
      <c r="C5382" s="1" t="s">
        <v>5331</v>
      </c>
      <c r="D5382" s="7">
        <v>43489</v>
      </c>
      <c r="E5382" s="7">
        <v>43508</v>
      </c>
      <c r="G5382" s="1" t="s">
        <v>16</v>
      </c>
      <c r="H5382" s="8">
        <v>156323.03</v>
      </c>
      <c r="I5382" s="8">
        <v>114991.14</v>
      </c>
      <c r="J5382" s="1">
        <f>IF(COUNTIF($C$4:C5382,C5382)=1,1,0)</f>
        <v>1</v>
      </c>
      <c r="K5382" s="1">
        <f t="shared" si="84"/>
        <v>2019</v>
      </c>
    </row>
    <row r="5383" spans="2:11" x14ac:dyDescent="0.45">
      <c r="B5383" s="1" t="s">
        <v>4000</v>
      </c>
      <c r="C5383" s="1" t="s">
        <v>5332</v>
      </c>
      <c r="D5383" s="7">
        <v>46042</v>
      </c>
      <c r="E5383" s="7">
        <v>46059</v>
      </c>
      <c r="G5383" s="1" t="s">
        <v>22</v>
      </c>
      <c r="H5383" s="8">
        <v>9242138.4399999995</v>
      </c>
      <c r="I5383" s="8">
        <v>4950692.3</v>
      </c>
      <c r="J5383" s="1">
        <f>IF(COUNTIF($C$4:C5383,C5383)=1,1,0)</f>
        <v>1</v>
      </c>
      <c r="K5383" s="1">
        <f t="shared" si="84"/>
        <v>2026</v>
      </c>
    </row>
    <row r="5384" spans="2:11" x14ac:dyDescent="0.45">
      <c r="B5384" s="1" t="s">
        <v>4000</v>
      </c>
      <c r="C5384" s="1" t="s">
        <v>5333</v>
      </c>
      <c r="D5384" s="7">
        <v>43474</v>
      </c>
      <c r="E5384" s="7">
        <v>43502</v>
      </c>
      <c r="G5384" s="1" t="s">
        <v>13</v>
      </c>
      <c r="H5384" s="8">
        <v>121209.8</v>
      </c>
      <c r="I5384" s="8">
        <v>98074.63</v>
      </c>
      <c r="J5384" s="1">
        <f>IF(COUNTIF($C$4:C5384,C5384)=1,1,0)</f>
        <v>1</v>
      </c>
      <c r="K5384" s="1">
        <f t="shared" si="84"/>
        <v>2019</v>
      </c>
    </row>
    <row r="5385" spans="2:11" x14ac:dyDescent="0.45">
      <c r="B5385" s="1" t="s">
        <v>4000</v>
      </c>
      <c r="C5385" s="1" t="s">
        <v>5334</v>
      </c>
      <c r="D5385" s="7">
        <v>43529</v>
      </c>
      <c r="E5385" s="7">
        <v>43549</v>
      </c>
      <c r="G5385" s="1" t="s">
        <v>16</v>
      </c>
      <c r="H5385" s="8">
        <v>794210.25</v>
      </c>
      <c r="I5385" s="8">
        <v>634563.79</v>
      </c>
      <c r="J5385" s="1">
        <f>IF(COUNTIF($C$4:C5385,C5385)=1,1,0)</f>
        <v>1</v>
      </c>
      <c r="K5385" s="1">
        <f t="shared" si="84"/>
        <v>2019</v>
      </c>
    </row>
    <row r="5386" spans="2:11" x14ac:dyDescent="0.45">
      <c r="B5386" s="1" t="s">
        <v>4000</v>
      </c>
      <c r="C5386" s="1" t="s">
        <v>5335</v>
      </c>
      <c r="D5386" s="7">
        <v>44518</v>
      </c>
      <c r="E5386" s="7">
        <v>44545</v>
      </c>
      <c r="G5386" s="1" t="s">
        <v>38</v>
      </c>
      <c r="H5386" s="8">
        <v>1454656.92</v>
      </c>
      <c r="I5386" s="8">
        <v>1284181.92</v>
      </c>
      <c r="J5386" s="1">
        <f>IF(COUNTIF($C$4:C5386,C5386)=1,1,0)</f>
        <v>1</v>
      </c>
      <c r="K5386" s="1">
        <f t="shared" si="84"/>
        <v>2021</v>
      </c>
    </row>
    <row r="5387" spans="2:11" x14ac:dyDescent="0.45">
      <c r="B5387" s="1" t="s">
        <v>4000</v>
      </c>
      <c r="C5387" s="1" t="s">
        <v>5336</v>
      </c>
      <c r="D5387" s="7">
        <v>44325</v>
      </c>
      <c r="E5387" s="7">
        <v>44353</v>
      </c>
      <c r="G5387" s="1" t="s">
        <v>212</v>
      </c>
      <c r="H5387" s="8">
        <v>15952955.859999999</v>
      </c>
      <c r="I5387" s="8">
        <v>11424741.710000001</v>
      </c>
      <c r="J5387" s="1">
        <f>IF(COUNTIF($C$4:C5387,C5387)=1,1,0)</f>
        <v>1</v>
      </c>
      <c r="K5387" s="1">
        <f t="shared" si="84"/>
        <v>2021</v>
      </c>
    </row>
    <row r="5388" spans="2:11" x14ac:dyDescent="0.45">
      <c r="B5388" s="1" t="s">
        <v>4000</v>
      </c>
      <c r="C5388" s="1" t="s">
        <v>5337</v>
      </c>
      <c r="D5388" s="7">
        <v>45227</v>
      </c>
      <c r="E5388" s="7">
        <v>45231</v>
      </c>
      <c r="G5388" s="1" t="s">
        <v>41</v>
      </c>
      <c r="H5388" s="8">
        <v>338320.09</v>
      </c>
      <c r="I5388" s="8">
        <v>291328.48</v>
      </c>
      <c r="J5388" s="1">
        <f>IF(COUNTIF($C$4:C5388,C5388)=1,1,0)</f>
        <v>1</v>
      </c>
      <c r="K5388" s="1">
        <f t="shared" si="84"/>
        <v>2023</v>
      </c>
    </row>
    <row r="5389" spans="2:11" x14ac:dyDescent="0.45">
      <c r="B5389" s="1" t="s">
        <v>4000</v>
      </c>
      <c r="C5389" s="1" t="s">
        <v>5338</v>
      </c>
      <c r="D5389" s="7">
        <v>45112</v>
      </c>
      <c r="E5389" s="7">
        <v>45140</v>
      </c>
      <c r="G5389" s="1" t="s">
        <v>16</v>
      </c>
      <c r="H5389" s="8">
        <v>9328417.4100000001</v>
      </c>
      <c r="I5389" s="8">
        <v>5133185.1399999997</v>
      </c>
      <c r="J5389" s="1">
        <f>IF(COUNTIF($C$4:C5389,C5389)=1,1,0)</f>
        <v>1</v>
      </c>
      <c r="K5389" s="1">
        <f t="shared" si="84"/>
        <v>2023</v>
      </c>
    </row>
    <row r="5390" spans="2:11" x14ac:dyDescent="0.45">
      <c r="B5390" s="1" t="s">
        <v>4000</v>
      </c>
      <c r="C5390" s="1" t="s">
        <v>5339</v>
      </c>
      <c r="D5390" s="7">
        <v>44852</v>
      </c>
      <c r="E5390" s="7">
        <v>44860</v>
      </c>
      <c r="G5390" s="1" t="s">
        <v>44</v>
      </c>
      <c r="H5390" s="8">
        <v>30628286.59</v>
      </c>
      <c r="I5390" s="8">
        <v>22141595.059999999</v>
      </c>
      <c r="J5390" s="1">
        <f>IF(COUNTIF($C$4:C5390,C5390)=1,1,0)</f>
        <v>1</v>
      </c>
      <c r="K5390" s="1">
        <f t="shared" si="84"/>
        <v>2022</v>
      </c>
    </row>
    <row r="5391" spans="2:11" x14ac:dyDescent="0.45">
      <c r="B5391" s="1" t="s">
        <v>4000</v>
      </c>
      <c r="C5391" s="1" t="s">
        <v>5340</v>
      </c>
      <c r="D5391" s="7">
        <v>43441</v>
      </c>
      <c r="E5391" s="7">
        <v>43468</v>
      </c>
      <c r="G5391" s="1" t="s">
        <v>22</v>
      </c>
      <c r="H5391" s="8">
        <v>1962438.44</v>
      </c>
      <c r="I5391" s="8">
        <v>937775.39</v>
      </c>
      <c r="J5391" s="1">
        <f>IF(COUNTIF($C$4:C5391,C5391)=1,1,0)</f>
        <v>1</v>
      </c>
      <c r="K5391" s="1">
        <f t="shared" si="84"/>
        <v>2018</v>
      </c>
    </row>
    <row r="5392" spans="2:11" x14ac:dyDescent="0.45">
      <c r="B5392" s="1" t="s">
        <v>4000</v>
      </c>
      <c r="C5392" s="1" t="s">
        <v>5341</v>
      </c>
      <c r="D5392" s="7">
        <v>45191</v>
      </c>
      <c r="E5392" s="7">
        <v>45209</v>
      </c>
      <c r="G5392" s="1" t="s">
        <v>13</v>
      </c>
      <c r="H5392" s="8">
        <v>275614.73</v>
      </c>
      <c r="I5392" s="8">
        <v>202867.85</v>
      </c>
      <c r="J5392" s="1">
        <f>IF(COUNTIF($C$4:C5392,C5392)=1,1,0)</f>
        <v>1</v>
      </c>
      <c r="K5392" s="1">
        <f t="shared" si="84"/>
        <v>2023</v>
      </c>
    </row>
    <row r="5393" spans="2:11" x14ac:dyDescent="0.45">
      <c r="B5393" s="1" t="s">
        <v>4000</v>
      </c>
      <c r="C5393" s="1" t="s">
        <v>5342</v>
      </c>
      <c r="D5393" s="7">
        <v>45138</v>
      </c>
      <c r="E5393" s="7">
        <v>45168</v>
      </c>
      <c r="G5393" s="1" t="s">
        <v>13</v>
      </c>
      <c r="H5393" s="8">
        <v>215933.95</v>
      </c>
      <c r="I5393" s="8">
        <v>177513.66</v>
      </c>
      <c r="J5393" s="1">
        <f>IF(COUNTIF($C$4:C5393,C5393)=1,1,0)</f>
        <v>1</v>
      </c>
      <c r="K5393" s="1">
        <f t="shared" si="84"/>
        <v>2023</v>
      </c>
    </row>
    <row r="5394" spans="2:11" x14ac:dyDescent="0.45">
      <c r="B5394" s="1" t="s">
        <v>4000</v>
      </c>
      <c r="C5394" s="1" t="s">
        <v>5343</v>
      </c>
      <c r="D5394" s="7">
        <v>43373</v>
      </c>
      <c r="E5394" s="7">
        <v>43374</v>
      </c>
      <c r="G5394" s="1" t="s">
        <v>38</v>
      </c>
      <c r="H5394" s="8">
        <v>407923.65</v>
      </c>
      <c r="I5394" s="8">
        <v>338648.7</v>
      </c>
      <c r="J5394" s="1">
        <f>IF(COUNTIF($C$4:C5394,C5394)=1,1,0)</f>
        <v>1</v>
      </c>
      <c r="K5394" s="1">
        <f t="shared" si="84"/>
        <v>2018</v>
      </c>
    </row>
    <row r="5395" spans="2:11" x14ac:dyDescent="0.45">
      <c r="B5395" s="1" t="s">
        <v>4000</v>
      </c>
      <c r="C5395" s="1" t="s">
        <v>5344</v>
      </c>
      <c r="D5395" s="7">
        <v>44928</v>
      </c>
      <c r="E5395" s="7">
        <v>44951</v>
      </c>
      <c r="G5395" s="1" t="s">
        <v>20</v>
      </c>
      <c r="H5395" s="8">
        <v>605665.39</v>
      </c>
      <c r="I5395" s="8">
        <v>469268.29</v>
      </c>
      <c r="J5395" s="1">
        <f>IF(COUNTIF($C$4:C5395,C5395)=1,1,0)</f>
        <v>1</v>
      </c>
      <c r="K5395" s="1">
        <f t="shared" si="84"/>
        <v>2023</v>
      </c>
    </row>
    <row r="5396" spans="2:11" x14ac:dyDescent="0.45">
      <c r="B5396" s="1" t="s">
        <v>4000</v>
      </c>
      <c r="C5396" s="1" t="s">
        <v>5345</v>
      </c>
      <c r="D5396" s="7">
        <v>45392</v>
      </c>
      <c r="E5396" s="7">
        <v>45416</v>
      </c>
      <c r="G5396" s="1" t="s">
        <v>16</v>
      </c>
      <c r="H5396" s="8">
        <v>2383525.6800000002</v>
      </c>
      <c r="I5396" s="8">
        <v>1905075.17</v>
      </c>
      <c r="J5396" s="1">
        <f>IF(COUNTIF($C$4:C5396,C5396)=1,1,0)</f>
        <v>1</v>
      </c>
      <c r="K5396" s="1">
        <f t="shared" si="84"/>
        <v>2024</v>
      </c>
    </row>
    <row r="5397" spans="2:11" x14ac:dyDescent="0.45">
      <c r="B5397" s="1" t="s">
        <v>4000</v>
      </c>
      <c r="C5397" s="1" t="s">
        <v>5346</v>
      </c>
      <c r="D5397" s="7">
        <v>44195</v>
      </c>
      <c r="E5397" s="7">
        <v>44219</v>
      </c>
      <c r="G5397" s="1" t="s">
        <v>16</v>
      </c>
      <c r="H5397" s="8">
        <v>691348.65</v>
      </c>
      <c r="I5397" s="8">
        <v>446734.13</v>
      </c>
      <c r="J5397" s="1">
        <f>IF(COUNTIF($C$4:C5397,C5397)=1,1,0)</f>
        <v>1</v>
      </c>
      <c r="K5397" s="1">
        <f t="shared" si="84"/>
        <v>2020</v>
      </c>
    </row>
    <row r="5398" spans="2:11" x14ac:dyDescent="0.45">
      <c r="B5398" s="1" t="s">
        <v>4000</v>
      </c>
      <c r="C5398" s="1" t="s">
        <v>5347</v>
      </c>
      <c r="D5398" s="7">
        <v>43229</v>
      </c>
      <c r="E5398" s="7">
        <v>43246</v>
      </c>
      <c r="G5398" s="1" t="s">
        <v>44</v>
      </c>
      <c r="H5398" s="8">
        <v>14838241.1</v>
      </c>
      <c r="I5398" s="8">
        <v>8110039.6299999999</v>
      </c>
      <c r="J5398" s="1">
        <f>IF(COUNTIF($C$4:C5398,C5398)=1,1,0)</f>
        <v>1</v>
      </c>
      <c r="K5398" s="1">
        <f t="shared" si="84"/>
        <v>2018</v>
      </c>
    </row>
    <row r="5399" spans="2:11" x14ac:dyDescent="0.45">
      <c r="B5399" s="1" t="s">
        <v>4000</v>
      </c>
      <c r="C5399" s="1" t="s">
        <v>5348</v>
      </c>
      <c r="D5399" s="7">
        <v>44371</v>
      </c>
      <c r="E5399" s="7">
        <v>44387</v>
      </c>
      <c r="G5399" s="1" t="s">
        <v>1348</v>
      </c>
      <c r="H5399" s="8">
        <v>3601407.3</v>
      </c>
      <c r="I5399" s="8">
        <v>1643193.11</v>
      </c>
      <c r="J5399" s="1">
        <f>IF(COUNTIF($C$4:C5399,C5399)=1,1,0)</f>
        <v>1</v>
      </c>
      <c r="K5399" s="1">
        <f t="shared" si="84"/>
        <v>2021</v>
      </c>
    </row>
    <row r="5400" spans="2:11" x14ac:dyDescent="0.45">
      <c r="B5400" s="1" t="s">
        <v>4000</v>
      </c>
      <c r="C5400" s="1" t="s">
        <v>5349</v>
      </c>
      <c r="D5400" s="7">
        <v>45815</v>
      </c>
      <c r="E5400" s="7">
        <v>45824</v>
      </c>
      <c r="G5400" s="1" t="s">
        <v>44</v>
      </c>
      <c r="H5400" s="8">
        <v>44946739.799999997</v>
      </c>
      <c r="I5400" s="8">
        <v>32503930.309999999</v>
      </c>
      <c r="J5400" s="1">
        <f>IF(COUNTIF($C$4:C5400,C5400)=1,1,0)</f>
        <v>1</v>
      </c>
      <c r="K5400" s="1">
        <f t="shared" si="84"/>
        <v>2025</v>
      </c>
    </row>
    <row r="5401" spans="2:11" x14ac:dyDescent="0.45">
      <c r="B5401" s="1" t="s">
        <v>4000</v>
      </c>
      <c r="C5401" s="1" t="s">
        <v>5350</v>
      </c>
      <c r="D5401" s="7">
        <v>45226</v>
      </c>
      <c r="E5401" s="7">
        <v>45228</v>
      </c>
      <c r="G5401" s="1" t="s">
        <v>1348</v>
      </c>
      <c r="H5401" s="8">
        <v>32930979.350000001</v>
      </c>
      <c r="I5401" s="8">
        <v>17018766.829999998</v>
      </c>
      <c r="J5401" s="1">
        <f>IF(COUNTIF($C$4:C5401,C5401)=1,1,0)</f>
        <v>1</v>
      </c>
      <c r="K5401" s="1">
        <f t="shared" si="84"/>
        <v>2023</v>
      </c>
    </row>
    <row r="5402" spans="2:11" x14ac:dyDescent="0.45">
      <c r="B5402" s="1" t="s">
        <v>4000</v>
      </c>
      <c r="C5402" s="1" t="s">
        <v>5351</v>
      </c>
      <c r="D5402" s="7">
        <v>45726</v>
      </c>
      <c r="E5402" s="7">
        <v>45756</v>
      </c>
      <c r="G5402" s="1" t="s">
        <v>38</v>
      </c>
      <c r="H5402" s="8">
        <v>761417.69</v>
      </c>
      <c r="I5402" s="8">
        <v>610761.94999999995</v>
      </c>
      <c r="J5402" s="1">
        <f>IF(COUNTIF($C$4:C5402,C5402)=1,1,0)</f>
        <v>1</v>
      </c>
      <c r="K5402" s="1">
        <f t="shared" si="84"/>
        <v>2025</v>
      </c>
    </row>
    <row r="5403" spans="2:11" x14ac:dyDescent="0.45">
      <c r="B5403" s="1" t="s">
        <v>4000</v>
      </c>
      <c r="C5403" s="1" t="s">
        <v>5352</v>
      </c>
      <c r="D5403" s="7">
        <v>44346</v>
      </c>
      <c r="E5403" s="7">
        <v>44360</v>
      </c>
      <c r="G5403" s="1" t="s">
        <v>18</v>
      </c>
      <c r="H5403" s="8">
        <v>3028093.22</v>
      </c>
      <c r="I5403" s="8">
        <v>2221697.39</v>
      </c>
      <c r="J5403" s="1">
        <f>IF(COUNTIF($C$4:C5403,C5403)=1,1,0)</f>
        <v>1</v>
      </c>
      <c r="K5403" s="1">
        <f t="shared" si="84"/>
        <v>2021</v>
      </c>
    </row>
    <row r="5404" spans="2:11" x14ac:dyDescent="0.45">
      <c r="B5404" s="1" t="s">
        <v>4000</v>
      </c>
      <c r="C5404" s="1" t="s">
        <v>5353</v>
      </c>
      <c r="D5404" s="7">
        <v>45673</v>
      </c>
      <c r="E5404" s="7">
        <v>45688</v>
      </c>
      <c r="G5404" s="1" t="s">
        <v>18</v>
      </c>
      <c r="H5404" s="8">
        <v>1879841.99</v>
      </c>
      <c r="I5404" s="8">
        <v>1424687.88</v>
      </c>
      <c r="J5404" s="1">
        <f>IF(COUNTIF($C$4:C5404,C5404)=1,1,0)</f>
        <v>1</v>
      </c>
      <c r="K5404" s="1">
        <f t="shared" si="84"/>
        <v>2025</v>
      </c>
    </row>
    <row r="5405" spans="2:11" x14ac:dyDescent="0.45">
      <c r="B5405" s="1" t="s">
        <v>4000</v>
      </c>
      <c r="C5405" s="1" t="s">
        <v>5354</v>
      </c>
      <c r="D5405" s="7">
        <v>43714</v>
      </c>
      <c r="E5405" s="7">
        <v>43741</v>
      </c>
      <c r="G5405" s="1" t="s">
        <v>16</v>
      </c>
      <c r="H5405" s="8">
        <v>13633477.5</v>
      </c>
      <c r="I5405" s="8">
        <v>10907948.43</v>
      </c>
      <c r="J5405" s="1">
        <f>IF(COUNTIF($C$4:C5405,C5405)=1,1,0)</f>
        <v>1</v>
      </c>
      <c r="K5405" s="1">
        <f t="shared" si="84"/>
        <v>2019</v>
      </c>
    </row>
    <row r="5406" spans="2:11" x14ac:dyDescent="0.45">
      <c r="B5406" s="1" t="s">
        <v>4000</v>
      </c>
      <c r="C5406" s="1" t="s">
        <v>5355</v>
      </c>
      <c r="D5406" s="7">
        <v>43981</v>
      </c>
      <c r="E5406" s="7">
        <v>43997</v>
      </c>
      <c r="G5406" s="1" t="s">
        <v>41</v>
      </c>
      <c r="H5406" s="8">
        <v>106373.66</v>
      </c>
      <c r="I5406" s="8">
        <v>80407.509999999995</v>
      </c>
      <c r="J5406" s="1">
        <f>IF(COUNTIF($C$4:C5406,C5406)=1,1,0)</f>
        <v>1</v>
      </c>
      <c r="K5406" s="1">
        <f t="shared" si="84"/>
        <v>2020</v>
      </c>
    </row>
    <row r="5407" spans="2:11" x14ac:dyDescent="0.45">
      <c r="B5407" s="1" t="s">
        <v>4000</v>
      </c>
      <c r="C5407" s="1" t="s">
        <v>5356</v>
      </c>
      <c r="D5407" s="7">
        <v>44347</v>
      </c>
      <c r="E5407" s="7">
        <v>44356</v>
      </c>
      <c r="G5407" s="1" t="s">
        <v>20</v>
      </c>
      <c r="H5407" s="8">
        <v>1560907.86</v>
      </c>
      <c r="I5407" s="8">
        <v>1031489.69</v>
      </c>
      <c r="J5407" s="1">
        <f>IF(COUNTIF($C$4:C5407,C5407)=1,1,0)</f>
        <v>1</v>
      </c>
      <c r="K5407" s="1">
        <f t="shared" si="84"/>
        <v>2021</v>
      </c>
    </row>
    <row r="5408" spans="2:11" x14ac:dyDescent="0.45">
      <c r="B5408" s="1" t="s">
        <v>4000</v>
      </c>
      <c r="C5408" s="1" t="s">
        <v>5357</v>
      </c>
      <c r="D5408" s="7">
        <v>43940</v>
      </c>
      <c r="E5408" s="7">
        <v>43943</v>
      </c>
      <c r="G5408" s="1" t="s">
        <v>18</v>
      </c>
      <c r="H5408" s="8">
        <v>1493035.08</v>
      </c>
      <c r="I5408" s="8">
        <v>1041995.63</v>
      </c>
      <c r="J5408" s="1">
        <f>IF(COUNTIF($C$4:C5408,C5408)=1,1,0)</f>
        <v>1</v>
      </c>
      <c r="K5408" s="1">
        <f t="shared" si="84"/>
        <v>2020</v>
      </c>
    </row>
    <row r="5409" spans="2:11" x14ac:dyDescent="0.45">
      <c r="B5409" s="1" t="s">
        <v>4000</v>
      </c>
      <c r="C5409" s="1" t="s">
        <v>5358</v>
      </c>
      <c r="D5409" s="7">
        <v>45498</v>
      </c>
      <c r="E5409" s="7">
        <v>45519</v>
      </c>
      <c r="G5409" s="1" t="s">
        <v>18</v>
      </c>
      <c r="H5409" s="8">
        <v>2903768</v>
      </c>
      <c r="I5409" s="8">
        <v>2159676.7000000002</v>
      </c>
      <c r="J5409" s="1">
        <f>IF(COUNTIF($C$4:C5409,C5409)=1,1,0)</f>
        <v>1</v>
      </c>
      <c r="K5409" s="1">
        <f t="shared" si="84"/>
        <v>2024</v>
      </c>
    </row>
    <row r="5410" spans="2:11" x14ac:dyDescent="0.45">
      <c r="B5410" s="1" t="s">
        <v>4000</v>
      </c>
      <c r="C5410" s="1" t="s">
        <v>5359</v>
      </c>
      <c r="D5410" s="7">
        <v>43977</v>
      </c>
      <c r="E5410" s="7">
        <v>43996</v>
      </c>
      <c r="G5410" s="1" t="s">
        <v>22</v>
      </c>
      <c r="H5410" s="8">
        <v>7494651.9800000004</v>
      </c>
      <c r="I5410" s="8">
        <v>5757737.9100000001</v>
      </c>
      <c r="J5410" s="1">
        <f>IF(COUNTIF($C$4:C5410,C5410)=1,1,0)</f>
        <v>1</v>
      </c>
      <c r="K5410" s="1">
        <f t="shared" si="84"/>
        <v>2020</v>
      </c>
    </row>
    <row r="5411" spans="2:11" x14ac:dyDescent="0.45">
      <c r="B5411" s="1" t="s">
        <v>4000</v>
      </c>
      <c r="C5411" s="1" t="s">
        <v>5360</v>
      </c>
      <c r="D5411" s="7">
        <v>44252</v>
      </c>
      <c r="E5411" s="7">
        <v>44254</v>
      </c>
      <c r="G5411" s="1" t="s">
        <v>41</v>
      </c>
      <c r="H5411" s="8">
        <v>124381.4</v>
      </c>
      <c r="I5411" s="8">
        <v>89059.61</v>
      </c>
      <c r="J5411" s="1">
        <f>IF(COUNTIF($C$4:C5411,C5411)=1,1,0)</f>
        <v>1</v>
      </c>
      <c r="K5411" s="1">
        <f t="shared" si="84"/>
        <v>2021</v>
      </c>
    </row>
    <row r="5412" spans="2:11" x14ac:dyDescent="0.45">
      <c r="B5412" s="1" t="s">
        <v>4000</v>
      </c>
      <c r="C5412" s="1" t="s">
        <v>5361</v>
      </c>
      <c r="D5412" s="7">
        <v>45933</v>
      </c>
      <c r="E5412" s="7">
        <v>45936</v>
      </c>
      <c r="G5412" s="1" t="s">
        <v>38</v>
      </c>
      <c r="H5412" s="8">
        <v>402960.73</v>
      </c>
      <c r="I5412" s="8">
        <v>296745.12</v>
      </c>
      <c r="J5412" s="1">
        <f>IF(COUNTIF($C$4:C5412,C5412)=1,1,0)</f>
        <v>1</v>
      </c>
      <c r="K5412" s="1">
        <f t="shared" si="84"/>
        <v>2025</v>
      </c>
    </row>
    <row r="5413" spans="2:11" x14ac:dyDescent="0.45">
      <c r="B5413" s="1" t="s">
        <v>4000</v>
      </c>
      <c r="C5413" s="1" t="s">
        <v>5362</v>
      </c>
      <c r="D5413" s="7">
        <v>45995</v>
      </c>
      <c r="E5413" s="7">
        <v>46007</v>
      </c>
      <c r="G5413" s="1" t="s">
        <v>22</v>
      </c>
      <c r="H5413" s="8">
        <v>21715598.27</v>
      </c>
      <c r="I5413" s="8">
        <v>10469347.810000001</v>
      </c>
      <c r="J5413" s="1">
        <f>IF(COUNTIF($C$4:C5413,C5413)=1,1,0)</f>
        <v>1</v>
      </c>
      <c r="K5413" s="1">
        <f t="shared" si="84"/>
        <v>2025</v>
      </c>
    </row>
    <row r="5414" spans="2:11" x14ac:dyDescent="0.45">
      <c r="B5414" s="1" t="s">
        <v>4000</v>
      </c>
      <c r="C5414" s="1" t="s">
        <v>5363</v>
      </c>
      <c r="D5414" s="7">
        <v>44900</v>
      </c>
      <c r="E5414" s="7">
        <v>44904</v>
      </c>
      <c r="G5414" s="1" t="s">
        <v>44</v>
      </c>
      <c r="H5414" s="8">
        <v>219837603.38</v>
      </c>
      <c r="I5414" s="8">
        <v>160153390.36000001</v>
      </c>
      <c r="J5414" s="1">
        <f>IF(COUNTIF($C$4:C5414,C5414)=1,1,0)</f>
        <v>1</v>
      </c>
      <c r="K5414" s="1">
        <f t="shared" si="84"/>
        <v>2022</v>
      </c>
    </row>
    <row r="5415" spans="2:11" x14ac:dyDescent="0.45">
      <c r="B5415" s="1" t="s">
        <v>4000</v>
      </c>
      <c r="C5415" s="1" t="s">
        <v>5364</v>
      </c>
      <c r="D5415" s="7">
        <v>45034</v>
      </c>
      <c r="E5415" s="7">
        <v>45055</v>
      </c>
      <c r="G5415" s="1" t="s">
        <v>13</v>
      </c>
      <c r="H5415" s="8">
        <v>326955.09000000003</v>
      </c>
      <c r="I5415" s="8">
        <v>257230.74</v>
      </c>
      <c r="J5415" s="1">
        <f>IF(COUNTIF($C$4:C5415,C5415)=1,1,0)</f>
        <v>1</v>
      </c>
      <c r="K5415" s="1">
        <f t="shared" si="84"/>
        <v>2023</v>
      </c>
    </row>
    <row r="5416" spans="2:11" x14ac:dyDescent="0.45">
      <c r="B5416" s="1" t="s">
        <v>4000</v>
      </c>
      <c r="C5416" s="1" t="s">
        <v>5365</v>
      </c>
      <c r="D5416" s="7">
        <v>44534</v>
      </c>
      <c r="E5416" s="7">
        <v>44552</v>
      </c>
      <c r="G5416" s="1" t="s">
        <v>20</v>
      </c>
      <c r="H5416" s="8">
        <v>1103928.17</v>
      </c>
      <c r="I5416" s="8">
        <v>696674.93</v>
      </c>
      <c r="J5416" s="1">
        <f>IF(COUNTIF($C$4:C5416,C5416)=1,1,0)</f>
        <v>1</v>
      </c>
      <c r="K5416" s="1">
        <f t="shared" si="84"/>
        <v>2021</v>
      </c>
    </row>
    <row r="5417" spans="2:11" x14ac:dyDescent="0.45">
      <c r="B5417" s="1" t="s">
        <v>4000</v>
      </c>
      <c r="C5417" s="1" t="s">
        <v>5366</v>
      </c>
      <c r="D5417" s="7">
        <v>43562</v>
      </c>
      <c r="E5417" s="7">
        <v>43564</v>
      </c>
      <c r="G5417" s="1" t="s">
        <v>44</v>
      </c>
      <c r="H5417" s="8">
        <v>167683388.06</v>
      </c>
      <c r="I5417" s="8">
        <v>98324452.560000002</v>
      </c>
      <c r="J5417" s="1">
        <f>IF(COUNTIF($C$4:C5417,C5417)=1,1,0)</f>
        <v>1</v>
      </c>
      <c r="K5417" s="1">
        <f t="shared" si="84"/>
        <v>2019</v>
      </c>
    </row>
    <row r="5418" spans="2:11" x14ac:dyDescent="0.45">
      <c r="B5418" s="1" t="s">
        <v>4000</v>
      </c>
      <c r="C5418" s="1" t="s">
        <v>5367</v>
      </c>
      <c r="D5418" s="7">
        <v>43567</v>
      </c>
      <c r="E5418" s="7">
        <v>43590</v>
      </c>
      <c r="G5418" s="1" t="s">
        <v>41</v>
      </c>
      <c r="H5418" s="8">
        <v>109137.65</v>
      </c>
      <c r="I5418" s="8">
        <v>77362.2</v>
      </c>
      <c r="J5418" s="1">
        <f>IF(COUNTIF($C$4:C5418,C5418)=1,1,0)</f>
        <v>1</v>
      </c>
      <c r="K5418" s="1">
        <f t="shared" si="84"/>
        <v>2019</v>
      </c>
    </row>
    <row r="5419" spans="2:11" x14ac:dyDescent="0.45">
      <c r="B5419" s="1" t="s">
        <v>4000</v>
      </c>
      <c r="C5419" s="1" t="s">
        <v>5368</v>
      </c>
      <c r="D5419" s="7">
        <v>43326</v>
      </c>
      <c r="E5419" s="7">
        <v>43329</v>
      </c>
      <c r="G5419" s="1" t="s">
        <v>13</v>
      </c>
      <c r="H5419" s="8">
        <v>328497.24</v>
      </c>
      <c r="I5419" s="8">
        <v>248222.81</v>
      </c>
      <c r="J5419" s="1">
        <f>IF(COUNTIF($C$4:C5419,C5419)=1,1,0)</f>
        <v>1</v>
      </c>
      <c r="K5419" s="1">
        <f t="shared" si="84"/>
        <v>2018</v>
      </c>
    </row>
    <row r="5420" spans="2:11" x14ac:dyDescent="0.45">
      <c r="B5420" s="1" t="s">
        <v>4000</v>
      </c>
      <c r="C5420" s="1" t="s">
        <v>5369</v>
      </c>
      <c r="D5420" s="7">
        <v>45801</v>
      </c>
      <c r="E5420" s="7">
        <v>45806</v>
      </c>
      <c r="G5420" s="1" t="s">
        <v>22</v>
      </c>
      <c r="H5420" s="8">
        <v>15146016.09</v>
      </c>
      <c r="I5420" s="8">
        <v>9216860.5199999996</v>
      </c>
      <c r="J5420" s="1">
        <f>IF(COUNTIF($C$4:C5420,C5420)=1,1,0)</f>
        <v>1</v>
      </c>
      <c r="K5420" s="1">
        <f t="shared" si="84"/>
        <v>2025</v>
      </c>
    </row>
    <row r="5421" spans="2:11" x14ac:dyDescent="0.45">
      <c r="B5421" s="1" t="s">
        <v>4000</v>
      </c>
      <c r="C5421" s="1" t="s">
        <v>5370</v>
      </c>
      <c r="D5421" s="7">
        <v>46027</v>
      </c>
      <c r="E5421" s="7">
        <v>46038</v>
      </c>
      <c r="G5421" s="1" t="s">
        <v>44</v>
      </c>
      <c r="H5421" s="8">
        <v>84255151.469999999</v>
      </c>
      <c r="I5421" s="8">
        <v>57121190.850000001</v>
      </c>
      <c r="J5421" s="1">
        <f>IF(COUNTIF($C$4:C5421,C5421)=1,1,0)</f>
        <v>1</v>
      </c>
      <c r="K5421" s="1">
        <f t="shared" si="84"/>
        <v>2026</v>
      </c>
    </row>
    <row r="5422" spans="2:11" x14ac:dyDescent="0.45">
      <c r="B5422" s="1" t="s">
        <v>4000</v>
      </c>
      <c r="C5422" s="1" t="s">
        <v>5371</v>
      </c>
      <c r="D5422" s="7">
        <v>45335</v>
      </c>
      <c r="E5422" s="7">
        <v>45345</v>
      </c>
      <c r="G5422" s="1" t="s">
        <v>1348</v>
      </c>
      <c r="H5422" s="8">
        <v>169155909.43000001</v>
      </c>
      <c r="I5422" s="8">
        <v>57089709.140000001</v>
      </c>
      <c r="J5422" s="1">
        <f>IF(COUNTIF($C$4:C5422,C5422)=1,1,0)</f>
        <v>1</v>
      </c>
      <c r="K5422" s="1">
        <f t="shared" si="84"/>
        <v>2024</v>
      </c>
    </row>
    <row r="5423" spans="2:11" x14ac:dyDescent="0.45">
      <c r="B5423" s="1" t="s">
        <v>4000</v>
      </c>
      <c r="C5423" s="1" t="s">
        <v>5372</v>
      </c>
      <c r="D5423" s="7">
        <v>43886</v>
      </c>
      <c r="E5423" s="7">
        <v>43900</v>
      </c>
      <c r="G5423" s="1" t="s">
        <v>212</v>
      </c>
      <c r="H5423" s="8">
        <v>10568279.68</v>
      </c>
      <c r="I5423" s="8">
        <v>5743321.6299999999</v>
      </c>
      <c r="J5423" s="1">
        <f>IF(COUNTIF($C$4:C5423,C5423)=1,1,0)</f>
        <v>1</v>
      </c>
      <c r="K5423" s="1">
        <f t="shared" si="84"/>
        <v>2020</v>
      </c>
    </row>
    <row r="5424" spans="2:11" x14ac:dyDescent="0.45">
      <c r="B5424" s="1" t="s">
        <v>4000</v>
      </c>
      <c r="C5424" s="1" t="s">
        <v>5373</v>
      </c>
      <c r="D5424" s="7">
        <v>43882</v>
      </c>
      <c r="E5424" s="7">
        <v>43901</v>
      </c>
      <c r="G5424" s="1" t="s">
        <v>38</v>
      </c>
      <c r="H5424" s="8">
        <v>617453.15</v>
      </c>
      <c r="I5424" s="8">
        <v>551700.78</v>
      </c>
      <c r="J5424" s="1">
        <f>IF(COUNTIF($C$4:C5424,C5424)=1,1,0)</f>
        <v>1</v>
      </c>
      <c r="K5424" s="1">
        <f t="shared" si="84"/>
        <v>2020</v>
      </c>
    </row>
    <row r="5425" spans="2:11" x14ac:dyDescent="0.45">
      <c r="B5425" s="1" t="s">
        <v>4000</v>
      </c>
      <c r="C5425" s="1" t="s">
        <v>5374</v>
      </c>
      <c r="D5425" s="7">
        <v>46072</v>
      </c>
      <c r="E5425" s="7">
        <v>46102</v>
      </c>
      <c r="G5425" s="1" t="s">
        <v>38</v>
      </c>
      <c r="H5425" s="8">
        <v>946611.81</v>
      </c>
      <c r="I5425" s="8">
        <v>718511.22</v>
      </c>
      <c r="J5425" s="1">
        <f>IF(COUNTIF($C$4:C5425,C5425)=1,1,0)</f>
        <v>1</v>
      </c>
      <c r="K5425" s="1">
        <f t="shared" si="84"/>
        <v>2026</v>
      </c>
    </row>
    <row r="5426" spans="2:11" x14ac:dyDescent="0.45">
      <c r="B5426" s="1" t="s">
        <v>4000</v>
      </c>
      <c r="C5426" s="1" t="s">
        <v>5375</v>
      </c>
      <c r="D5426" s="7">
        <v>43176</v>
      </c>
      <c r="E5426" s="7">
        <v>43181</v>
      </c>
      <c r="G5426" s="1" t="s">
        <v>212</v>
      </c>
      <c r="H5426" s="8">
        <v>15356145.609999999</v>
      </c>
      <c r="I5426" s="8">
        <v>8039993.04</v>
      </c>
      <c r="J5426" s="1">
        <f>IF(COUNTIF($C$4:C5426,C5426)=1,1,0)</f>
        <v>1</v>
      </c>
      <c r="K5426" s="1">
        <f t="shared" si="84"/>
        <v>2018</v>
      </c>
    </row>
    <row r="5427" spans="2:11" x14ac:dyDescent="0.45">
      <c r="B5427" s="1" t="s">
        <v>4000</v>
      </c>
      <c r="C5427" s="1" t="s">
        <v>5376</v>
      </c>
      <c r="D5427" s="7">
        <v>43214</v>
      </c>
      <c r="E5427" s="7">
        <v>43218</v>
      </c>
      <c r="G5427" s="1" t="s">
        <v>18</v>
      </c>
      <c r="H5427" s="8">
        <v>3295625.18</v>
      </c>
      <c r="I5427" s="8">
        <v>2988248.82</v>
      </c>
      <c r="J5427" s="1">
        <f>IF(COUNTIF($C$4:C5427,C5427)=1,1,0)</f>
        <v>1</v>
      </c>
      <c r="K5427" s="1">
        <f t="shared" si="84"/>
        <v>2018</v>
      </c>
    </row>
    <row r="5428" spans="2:11" x14ac:dyDescent="0.45">
      <c r="B5428" s="1" t="s">
        <v>4000</v>
      </c>
      <c r="C5428" s="1" t="s">
        <v>5377</v>
      </c>
      <c r="D5428" s="7">
        <v>44595</v>
      </c>
      <c r="E5428" s="7">
        <v>44625</v>
      </c>
      <c r="G5428" s="1" t="s">
        <v>38</v>
      </c>
      <c r="H5428" s="8">
        <v>199467.83</v>
      </c>
      <c r="I5428" s="8">
        <v>138548.89000000001</v>
      </c>
      <c r="J5428" s="1">
        <f>IF(COUNTIF($C$4:C5428,C5428)=1,1,0)</f>
        <v>1</v>
      </c>
      <c r="K5428" s="1">
        <f t="shared" si="84"/>
        <v>2022</v>
      </c>
    </row>
    <row r="5429" spans="2:11" x14ac:dyDescent="0.45">
      <c r="B5429" s="1" t="s">
        <v>4000</v>
      </c>
      <c r="C5429" s="1" t="s">
        <v>5378</v>
      </c>
      <c r="D5429" s="7">
        <v>45218</v>
      </c>
      <c r="E5429" s="7">
        <v>45234</v>
      </c>
      <c r="G5429" s="1" t="s">
        <v>212</v>
      </c>
      <c r="H5429" s="8">
        <v>17533470.129999999</v>
      </c>
      <c r="I5429" s="8">
        <v>13539397.76</v>
      </c>
      <c r="J5429" s="1">
        <f>IF(COUNTIF($C$4:C5429,C5429)=1,1,0)</f>
        <v>1</v>
      </c>
      <c r="K5429" s="1">
        <f t="shared" si="84"/>
        <v>2023</v>
      </c>
    </row>
    <row r="5430" spans="2:11" x14ac:dyDescent="0.45">
      <c r="B5430" s="1" t="s">
        <v>4000</v>
      </c>
      <c r="C5430" s="1" t="s">
        <v>5379</v>
      </c>
      <c r="D5430" s="7">
        <v>44493</v>
      </c>
      <c r="E5430" s="7">
        <v>44511</v>
      </c>
      <c r="G5430" s="1" t="s">
        <v>212</v>
      </c>
      <c r="H5430" s="8">
        <v>34368422.409999996</v>
      </c>
      <c r="I5430" s="8">
        <v>16828426</v>
      </c>
      <c r="J5430" s="1">
        <f>IF(COUNTIF($C$4:C5430,C5430)=1,1,0)</f>
        <v>1</v>
      </c>
      <c r="K5430" s="1">
        <f t="shared" si="84"/>
        <v>2021</v>
      </c>
    </row>
    <row r="5431" spans="2:11" x14ac:dyDescent="0.45">
      <c r="B5431" s="1" t="s">
        <v>4000</v>
      </c>
      <c r="C5431" s="1" t="s">
        <v>5380</v>
      </c>
      <c r="D5431" s="7">
        <v>43697</v>
      </c>
      <c r="E5431" s="7">
        <v>43716</v>
      </c>
      <c r="G5431" s="1" t="s">
        <v>41</v>
      </c>
      <c r="H5431" s="8">
        <v>68593</v>
      </c>
      <c r="I5431" s="8">
        <v>55032.71</v>
      </c>
      <c r="J5431" s="1">
        <f>IF(COUNTIF($C$4:C5431,C5431)=1,1,0)</f>
        <v>1</v>
      </c>
      <c r="K5431" s="1">
        <f t="shared" si="84"/>
        <v>2019</v>
      </c>
    </row>
    <row r="5432" spans="2:11" x14ac:dyDescent="0.45">
      <c r="B5432" s="1" t="s">
        <v>4000</v>
      </c>
      <c r="C5432" s="1" t="s">
        <v>5381</v>
      </c>
      <c r="D5432" s="7">
        <v>45059</v>
      </c>
      <c r="E5432" s="7">
        <v>45068</v>
      </c>
      <c r="G5432" s="1" t="s">
        <v>22</v>
      </c>
      <c r="H5432" s="8">
        <v>6214280.2000000002</v>
      </c>
      <c r="I5432" s="8">
        <v>4791019.4400000004</v>
      </c>
      <c r="J5432" s="1">
        <f>IF(COUNTIF($C$4:C5432,C5432)=1,1,0)</f>
        <v>1</v>
      </c>
      <c r="K5432" s="1">
        <f t="shared" si="84"/>
        <v>2023</v>
      </c>
    </row>
    <row r="5433" spans="2:11" x14ac:dyDescent="0.45">
      <c r="B5433" s="1" t="s">
        <v>4000</v>
      </c>
      <c r="C5433" s="1" t="s">
        <v>5382</v>
      </c>
      <c r="D5433" s="7">
        <v>44152</v>
      </c>
      <c r="E5433" s="7">
        <v>44161</v>
      </c>
      <c r="G5433" s="1" t="s">
        <v>13</v>
      </c>
      <c r="H5433" s="8">
        <v>57409.34</v>
      </c>
      <c r="I5433" s="8">
        <v>53318.05</v>
      </c>
      <c r="J5433" s="1">
        <f>IF(COUNTIF($C$4:C5433,C5433)=1,1,0)</f>
        <v>1</v>
      </c>
      <c r="K5433" s="1">
        <f t="shared" si="84"/>
        <v>2020</v>
      </c>
    </row>
    <row r="5434" spans="2:11" x14ac:dyDescent="0.45">
      <c r="B5434" s="1" t="s">
        <v>4000</v>
      </c>
      <c r="C5434" s="1" t="s">
        <v>5383</v>
      </c>
      <c r="D5434" s="7">
        <v>45654</v>
      </c>
      <c r="E5434" s="7">
        <v>45684</v>
      </c>
      <c r="G5434" s="1" t="s">
        <v>22</v>
      </c>
      <c r="H5434" s="8">
        <v>16372790.949999999</v>
      </c>
      <c r="I5434" s="8">
        <v>12880702.869999999</v>
      </c>
      <c r="J5434" s="1">
        <f>IF(COUNTIF($C$4:C5434,C5434)=1,1,0)</f>
        <v>1</v>
      </c>
      <c r="K5434" s="1">
        <f t="shared" si="84"/>
        <v>2024</v>
      </c>
    </row>
    <row r="5435" spans="2:11" x14ac:dyDescent="0.45">
      <c r="B5435" s="1" t="s">
        <v>4000</v>
      </c>
      <c r="C5435" s="1" t="s">
        <v>5384</v>
      </c>
      <c r="D5435" s="7">
        <v>44423</v>
      </c>
      <c r="E5435" s="7">
        <v>44442</v>
      </c>
      <c r="G5435" s="1" t="s">
        <v>44</v>
      </c>
      <c r="H5435" s="8">
        <v>112669587.36</v>
      </c>
      <c r="I5435" s="8">
        <v>71076445.129999995</v>
      </c>
      <c r="J5435" s="1">
        <f>IF(COUNTIF($C$4:C5435,C5435)=1,1,0)</f>
        <v>1</v>
      </c>
      <c r="K5435" s="1">
        <f t="shared" si="84"/>
        <v>2021</v>
      </c>
    </row>
    <row r="5436" spans="2:11" x14ac:dyDescent="0.45">
      <c r="B5436" s="1" t="s">
        <v>4000</v>
      </c>
      <c r="C5436" s="1" t="s">
        <v>5385</v>
      </c>
      <c r="D5436" s="7">
        <v>45460</v>
      </c>
      <c r="E5436" s="7">
        <v>45463</v>
      </c>
      <c r="G5436" s="1" t="s">
        <v>1348</v>
      </c>
      <c r="H5436" s="8">
        <v>25730932.57</v>
      </c>
      <c r="I5436" s="8">
        <v>12700051.380000001</v>
      </c>
      <c r="J5436" s="1">
        <f>IF(COUNTIF($C$4:C5436,C5436)=1,1,0)</f>
        <v>1</v>
      </c>
      <c r="K5436" s="1">
        <f t="shared" si="84"/>
        <v>2024</v>
      </c>
    </row>
    <row r="5437" spans="2:11" x14ac:dyDescent="0.45">
      <c r="B5437" s="1" t="s">
        <v>4000</v>
      </c>
      <c r="C5437" s="1" t="s">
        <v>5386</v>
      </c>
      <c r="D5437" s="7">
        <v>43658</v>
      </c>
      <c r="E5437" s="7">
        <v>43665</v>
      </c>
      <c r="G5437" s="1" t="s">
        <v>38</v>
      </c>
      <c r="H5437" s="8">
        <v>1627049.81</v>
      </c>
      <c r="I5437" s="8">
        <v>1411400.21</v>
      </c>
      <c r="J5437" s="1">
        <f>IF(COUNTIF($C$4:C5437,C5437)=1,1,0)</f>
        <v>1</v>
      </c>
      <c r="K5437" s="1">
        <f t="shared" si="84"/>
        <v>2019</v>
      </c>
    </row>
    <row r="5438" spans="2:11" x14ac:dyDescent="0.45">
      <c r="B5438" s="1" t="s">
        <v>4000</v>
      </c>
      <c r="C5438" s="1" t="s">
        <v>5387</v>
      </c>
      <c r="D5438" s="7">
        <v>44823</v>
      </c>
      <c r="E5438" s="7">
        <v>44838</v>
      </c>
      <c r="G5438" s="1" t="s">
        <v>41</v>
      </c>
      <c r="H5438" s="8">
        <v>206040.07</v>
      </c>
      <c r="I5438" s="8">
        <v>170518.76</v>
      </c>
      <c r="J5438" s="1">
        <f>IF(COUNTIF($C$4:C5438,C5438)=1,1,0)</f>
        <v>1</v>
      </c>
      <c r="K5438" s="1">
        <f t="shared" si="84"/>
        <v>2022</v>
      </c>
    </row>
    <row r="5439" spans="2:11" x14ac:dyDescent="0.45">
      <c r="B5439" s="1" t="s">
        <v>4000</v>
      </c>
      <c r="C5439" s="1" t="s">
        <v>5388</v>
      </c>
      <c r="D5439" s="7">
        <v>43232</v>
      </c>
      <c r="E5439" s="7">
        <v>43252</v>
      </c>
      <c r="G5439" s="1" t="s">
        <v>20</v>
      </c>
      <c r="H5439" s="8">
        <v>39694364.329999998</v>
      </c>
      <c r="I5439" s="8">
        <v>27633059.629999999</v>
      </c>
      <c r="J5439" s="1">
        <f>IF(COUNTIF($C$4:C5439,C5439)=1,1,0)</f>
        <v>1</v>
      </c>
      <c r="K5439" s="1">
        <f t="shared" si="84"/>
        <v>2018</v>
      </c>
    </row>
    <row r="5440" spans="2:11" x14ac:dyDescent="0.45">
      <c r="B5440" s="1" t="s">
        <v>4000</v>
      </c>
      <c r="C5440" s="1" t="s">
        <v>5389</v>
      </c>
      <c r="D5440" s="7">
        <v>45344</v>
      </c>
      <c r="E5440" s="7">
        <v>45365</v>
      </c>
      <c r="G5440" s="1" t="s">
        <v>22</v>
      </c>
      <c r="H5440" s="8">
        <v>4837613.1100000003</v>
      </c>
      <c r="I5440" s="8">
        <v>2357967.77</v>
      </c>
      <c r="J5440" s="1">
        <f>IF(COUNTIF($C$4:C5440,C5440)=1,1,0)</f>
        <v>1</v>
      </c>
      <c r="K5440" s="1">
        <f t="shared" si="84"/>
        <v>2024</v>
      </c>
    </row>
    <row r="5441" spans="2:11" x14ac:dyDescent="0.45">
      <c r="B5441" s="1" t="s">
        <v>4000</v>
      </c>
      <c r="C5441" s="1" t="s">
        <v>5390</v>
      </c>
      <c r="D5441" s="7">
        <v>43286</v>
      </c>
      <c r="E5441" s="7">
        <v>43295</v>
      </c>
      <c r="G5441" s="1" t="s">
        <v>212</v>
      </c>
      <c r="H5441" s="8">
        <v>67249275</v>
      </c>
      <c r="I5441" s="8">
        <v>33504424.739999998</v>
      </c>
      <c r="J5441" s="1">
        <f>IF(COUNTIF($C$4:C5441,C5441)=1,1,0)</f>
        <v>1</v>
      </c>
      <c r="K5441" s="1">
        <f t="shared" si="84"/>
        <v>2018</v>
      </c>
    </row>
    <row r="5442" spans="2:11" x14ac:dyDescent="0.45">
      <c r="B5442" s="1" t="s">
        <v>4000</v>
      </c>
      <c r="C5442" s="1" t="s">
        <v>5391</v>
      </c>
      <c r="D5442" s="7">
        <v>44855</v>
      </c>
      <c r="E5442" s="7">
        <v>44879</v>
      </c>
      <c r="G5442" s="1" t="s">
        <v>44</v>
      </c>
      <c r="H5442" s="8">
        <v>164631966.5</v>
      </c>
      <c r="I5442" s="8">
        <v>79383067.390000001</v>
      </c>
      <c r="J5442" s="1">
        <f>IF(COUNTIF($C$4:C5442,C5442)=1,1,0)</f>
        <v>1</v>
      </c>
      <c r="K5442" s="1">
        <f t="shared" si="84"/>
        <v>2022</v>
      </c>
    </row>
    <row r="5443" spans="2:11" x14ac:dyDescent="0.45">
      <c r="B5443" s="1" t="s">
        <v>4000</v>
      </c>
      <c r="C5443" s="1" t="s">
        <v>5392</v>
      </c>
      <c r="D5443" s="7">
        <v>45009</v>
      </c>
      <c r="E5443" s="7">
        <v>45026</v>
      </c>
      <c r="G5443" s="1" t="s">
        <v>212</v>
      </c>
      <c r="H5443" s="8">
        <v>7479773.0499999998</v>
      </c>
      <c r="I5443" s="8">
        <v>3442135.1</v>
      </c>
      <c r="J5443" s="1">
        <f>IF(COUNTIF($C$4:C5443,C5443)=1,1,0)</f>
        <v>1</v>
      </c>
      <c r="K5443" s="1">
        <f t="shared" si="84"/>
        <v>2023</v>
      </c>
    </row>
    <row r="5444" spans="2:11" x14ac:dyDescent="0.45">
      <c r="B5444" s="1" t="s">
        <v>4000</v>
      </c>
      <c r="C5444" s="1" t="s">
        <v>5393</v>
      </c>
      <c r="D5444" s="7">
        <v>46172</v>
      </c>
      <c r="E5444" s="7">
        <v>46178</v>
      </c>
      <c r="G5444" s="1" t="s">
        <v>38</v>
      </c>
      <c r="H5444" s="8">
        <v>168138.45</v>
      </c>
      <c r="I5444" s="8">
        <v>112779.93</v>
      </c>
      <c r="J5444" s="1">
        <f>IF(COUNTIF($C$4:C5444,C5444)=1,1,0)</f>
        <v>1</v>
      </c>
      <c r="K5444" s="1">
        <f t="shared" si="84"/>
        <v>2026</v>
      </c>
    </row>
    <row r="5445" spans="2:11" x14ac:dyDescent="0.45">
      <c r="B5445" s="1" t="s">
        <v>4000</v>
      </c>
      <c r="C5445" s="1" t="s">
        <v>5394</v>
      </c>
      <c r="D5445" s="7">
        <v>44294</v>
      </c>
      <c r="E5445" s="7">
        <v>44299</v>
      </c>
      <c r="G5445" s="1" t="s">
        <v>38</v>
      </c>
      <c r="H5445" s="8">
        <v>553358.42000000004</v>
      </c>
      <c r="I5445" s="8">
        <v>412280.41</v>
      </c>
      <c r="J5445" s="1">
        <f>IF(COUNTIF($C$4:C5445,C5445)=1,1,0)</f>
        <v>1</v>
      </c>
      <c r="K5445" s="1">
        <f t="shared" ref="K5445:K5508" si="85">YEAR(D5445)</f>
        <v>2021</v>
      </c>
    </row>
    <row r="5446" spans="2:11" x14ac:dyDescent="0.45">
      <c r="B5446" s="1" t="s">
        <v>4000</v>
      </c>
      <c r="C5446" s="1" t="s">
        <v>5395</v>
      </c>
      <c r="D5446" s="7">
        <v>45049</v>
      </c>
      <c r="E5446" s="7">
        <v>45064</v>
      </c>
      <c r="G5446" s="1" t="s">
        <v>1348</v>
      </c>
      <c r="H5446" s="8">
        <v>17518920.239999998</v>
      </c>
      <c r="I5446" s="8">
        <v>11995451.43</v>
      </c>
      <c r="J5446" s="1">
        <f>IF(COUNTIF($C$4:C5446,C5446)=1,1,0)</f>
        <v>1</v>
      </c>
      <c r="K5446" s="1">
        <f t="shared" si="85"/>
        <v>2023</v>
      </c>
    </row>
    <row r="5447" spans="2:11" x14ac:dyDescent="0.45">
      <c r="B5447" s="1" t="s">
        <v>4000</v>
      </c>
      <c r="C5447" s="1" t="s">
        <v>5396</v>
      </c>
      <c r="D5447" s="7">
        <v>45910</v>
      </c>
      <c r="E5447" s="7">
        <v>45928</v>
      </c>
      <c r="G5447" s="1" t="s">
        <v>41</v>
      </c>
      <c r="H5447" s="8">
        <v>289911.18</v>
      </c>
      <c r="I5447" s="8">
        <v>228178.03</v>
      </c>
      <c r="J5447" s="1">
        <f>IF(COUNTIF($C$4:C5447,C5447)=1,1,0)</f>
        <v>1</v>
      </c>
      <c r="K5447" s="1">
        <f t="shared" si="85"/>
        <v>2025</v>
      </c>
    </row>
    <row r="5448" spans="2:11" x14ac:dyDescent="0.45">
      <c r="B5448" s="1" t="s">
        <v>4000</v>
      </c>
      <c r="C5448" s="1" t="s">
        <v>4455</v>
      </c>
      <c r="D5448" s="7">
        <v>44306</v>
      </c>
      <c r="E5448" s="7">
        <v>44310</v>
      </c>
      <c r="G5448" s="1" t="s">
        <v>38</v>
      </c>
      <c r="H5448" s="8">
        <v>775251.4</v>
      </c>
      <c r="I5448" s="8">
        <v>625314.29</v>
      </c>
      <c r="J5448" s="1">
        <f>IF(COUNTIF($C$4:C5448,C5448)=1,1,0)</f>
        <v>0</v>
      </c>
      <c r="K5448" s="1">
        <f t="shared" si="85"/>
        <v>2021</v>
      </c>
    </row>
    <row r="5449" spans="2:11" x14ac:dyDescent="0.45">
      <c r="B5449" s="1" t="s">
        <v>4000</v>
      </c>
      <c r="C5449" s="1" t="s">
        <v>5397</v>
      </c>
      <c r="D5449" s="7">
        <v>44911</v>
      </c>
      <c r="E5449" s="7">
        <v>44936</v>
      </c>
      <c r="G5449" s="1" t="s">
        <v>16</v>
      </c>
      <c r="H5449" s="8">
        <v>4106309.55</v>
      </c>
      <c r="I5449" s="8">
        <v>2654854.65</v>
      </c>
      <c r="J5449" s="1">
        <f>IF(COUNTIF($C$4:C5449,C5449)=1,1,0)</f>
        <v>1</v>
      </c>
      <c r="K5449" s="1">
        <f t="shared" si="85"/>
        <v>2022</v>
      </c>
    </row>
    <row r="5450" spans="2:11" x14ac:dyDescent="0.45">
      <c r="B5450" s="1" t="s">
        <v>4000</v>
      </c>
      <c r="C5450" s="1" t="s">
        <v>5398</v>
      </c>
      <c r="D5450" s="7">
        <v>43739</v>
      </c>
      <c r="E5450" s="7">
        <v>43768</v>
      </c>
      <c r="G5450" s="1" t="s">
        <v>18</v>
      </c>
      <c r="H5450" s="8">
        <v>833535.88</v>
      </c>
      <c r="I5450" s="8">
        <v>767264.29</v>
      </c>
      <c r="J5450" s="1">
        <f>IF(COUNTIF($C$4:C5450,C5450)=1,1,0)</f>
        <v>1</v>
      </c>
      <c r="K5450" s="1">
        <f t="shared" si="85"/>
        <v>2019</v>
      </c>
    </row>
    <row r="5451" spans="2:11" x14ac:dyDescent="0.45">
      <c r="B5451" s="1" t="s">
        <v>4000</v>
      </c>
      <c r="C5451" s="1" t="s">
        <v>5399</v>
      </c>
      <c r="D5451" s="7">
        <v>45062</v>
      </c>
      <c r="E5451" s="7">
        <v>45085</v>
      </c>
      <c r="G5451" s="1" t="s">
        <v>13</v>
      </c>
      <c r="H5451" s="8">
        <v>126410.3</v>
      </c>
      <c r="I5451" s="8">
        <v>108526.07</v>
      </c>
      <c r="J5451" s="1">
        <f>IF(COUNTIF($C$4:C5451,C5451)=1,1,0)</f>
        <v>1</v>
      </c>
      <c r="K5451" s="1">
        <f t="shared" si="85"/>
        <v>2023</v>
      </c>
    </row>
    <row r="5452" spans="2:11" x14ac:dyDescent="0.45">
      <c r="B5452" s="1" t="s">
        <v>4000</v>
      </c>
      <c r="C5452" s="1" t="s">
        <v>5400</v>
      </c>
      <c r="D5452" s="7">
        <v>44094</v>
      </c>
      <c r="E5452" s="7">
        <v>44096</v>
      </c>
      <c r="G5452" s="1" t="s">
        <v>13</v>
      </c>
      <c r="H5452" s="8">
        <v>260898.95</v>
      </c>
      <c r="I5452" s="8">
        <v>201100.25</v>
      </c>
      <c r="J5452" s="1">
        <f>IF(COUNTIF($C$4:C5452,C5452)=1,1,0)</f>
        <v>1</v>
      </c>
      <c r="K5452" s="1">
        <f t="shared" si="85"/>
        <v>2020</v>
      </c>
    </row>
    <row r="5453" spans="2:11" x14ac:dyDescent="0.45">
      <c r="B5453" s="1" t="s">
        <v>4000</v>
      </c>
      <c r="C5453" s="1" t="s">
        <v>5401</v>
      </c>
      <c r="D5453" s="7">
        <v>43954</v>
      </c>
      <c r="E5453" s="7">
        <v>43966</v>
      </c>
      <c r="G5453" s="1" t="s">
        <v>18</v>
      </c>
      <c r="H5453" s="8">
        <v>649580.94999999995</v>
      </c>
      <c r="I5453" s="8">
        <v>528216.12</v>
      </c>
      <c r="J5453" s="1">
        <f>IF(COUNTIF($C$4:C5453,C5453)=1,1,0)</f>
        <v>1</v>
      </c>
      <c r="K5453" s="1">
        <f t="shared" si="85"/>
        <v>2020</v>
      </c>
    </row>
    <row r="5454" spans="2:11" x14ac:dyDescent="0.45">
      <c r="B5454" s="1" t="s">
        <v>4000</v>
      </c>
      <c r="C5454" s="1" t="s">
        <v>5402</v>
      </c>
      <c r="D5454" s="7">
        <v>43589</v>
      </c>
      <c r="E5454" s="7">
        <v>43593</v>
      </c>
      <c r="G5454" s="1" t="s">
        <v>212</v>
      </c>
      <c r="H5454" s="8">
        <v>10447151.74</v>
      </c>
      <c r="I5454" s="8">
        <v>5741087.9000000004</v>
      </c>
      <c r="J5454" s="1">
        <f>IF(COUNTIF($C$4:C5454,C5454)=1,1,0)</f>
        <v>1</v>
      </c>
      <c r="K5454" s="1">
        <f t="shared" si="85"/>
        <v>2019</v>
      </c>
    </row>
    <row r="5455" spans="2:11" x14ac:dyDescent="0.45">
      <c r="B5455" s="1" t="s">
        <v>4000</v>
      </c>
      <c r="C5455" s="1" t="s">
        <v>5403</v>
      </c>
      <c r="D5455" s="7">
        <v>45967</v>
      </c>
      <c r="E5455" s="7">
        <v>45972</v>
      </c>
      <c r="G5455" s="1" t="s">
        <v>18</v>
      </c>
      <c r="H5455" s="8">
        <v>2560791.92</v>
      </c>
      <c r="I5455" s="8">
        <v>2222032.23</v>
      </c>
      <c r="J5455" s="1">
        <f>IF(COUNTIF($C$4:C5455,C5455)=1,1,0)</f>
        <v>1</v>
      </c>
      <c r="K5455" s="1">
        <f t="shared" si="85"/>
        <v>2025</v>
      </c>
    </row>
    <row r="5456" spans="2:11" x14ac:dyDescent="0.45">
      <c r="B5456" s="1" t="s">
        <v>4000</v>
      </c>
      <c r="C5456" s="1" t="s">
        <v>5404</v>
      </c>
      <c r="D5456" s="7">
        <v>44954</v>
      </c>
      <c r="E5456" s="7">
        <v>44975</v>
      </c>
      <c r="G5456" s="1" t="s">
        <v>18</v>
      </c>
      <c r="H5456" s="8">
        <v>3043249.88</v>
      </c>
      <c r="I5456" s="8">
        <v>2601655.92</v>
      </c>
      <c r="J5456" s="1">
        <f>IF(COUNTIF($C$4:C5456,C5456)=1,1,0)</f>
        <v>1</v>
      </c>
      <c r="K5456" s="1">
        <f t="shared" si="85"/>
        <v>2023</v>
      </c>
    </row>
    <row r="5457" spans="2:11" x14ac:dyDescent="0.45">
      <c r="B5457" s="1" t="s">
        <v>4000</v>
      </c>
      <c r="C5457" s="1" t="s">
        <v>5405</v>
      </c>
      <c r="D5457" s="7">
        <v>44798</v>
      </c>
      <c r="E5457" s="7">
        <v>44800</v>
      </c>
      <c r="G5457" s="1" t="s">
        <v>38</v>
      </c>
      <c r="H5457" s="8">
        <v>2012851.59</v>
      </c>
      <c r="I5457" s="8">
        <v>1780860.81</v>
      </c>
      <c r="J5457" s="1">
        <f>IF(COUNTIF($C$4:C5457,C5457)=1,1,0)</f>
        <v>1</v>
      </c>
      <c r="K5457" s="1">
        <f t="shared" si="85"/>
        <v>2022</v>
      </c>
    </row>
    <row r="5458" spans="2:11" x14ac:dyDescent="0.45">
      <c r="B5458" s="1" t="s">
        <v>4000</v>
      </c>
      <c r="C5458" s="1" t="s">
        <v>5406</v>
      </c>
      <c r="D5458" s="7">
        <v>45854</v>
      </c>
      <c r="E5458" s="7">
        <v>45869</v>
      </c>
      <c r="G5458" s="1" t="s">
        <v>13</v>
      </c>
      <c r="H5458" s="8">
        <v>429053.45</v>
      </c>
      <c r="I5458" s="8">
        <v>314171.84999999998</v>
      </c>
      <c r="J5458" s="1">
        <f>IF(COUNTIF($C$4:C5458,C5458)=1,1,0)</f>
        <v>1</v>
      </c>
      <c r="K5458" s="1">
        <f t="shared" si="85"/>
        <v>2025</v>
      </c>
    </row>
    <row r="5459" spans="2:11" x14ac:dyDescent="0.45">
      <c r="B5459" s="1" t="s">
        <v>4000</v>
      </c>
      <c r="C5459" s="1" t="s">
        <v>5407</v>
      </c>
      <c r="D5459" s="7">
        <v>45720</v>
      </c>
      <c r="E5459" s="7">
        <v>45733</v>
      </c>
      <c r="G5459" s="1" t="s">
        <v>44</v>
      </c>
      <c r="H5459" s="8">
        <v>22119963.52</v>
      </c>
      <c r="I5459" s="8">
        <v>9273270.4600000009</v>
      </c>
      <c r="J5459" s="1">
        <f>IF(COUNTIF($C$4:C5459,C5459)=1,1,0)</f>
        <v>1</v>
      </c>
      <c r="K5459" s="1">
        <f t="shared" si="85"/>
        <v>2025</v>
      </c>
    </row>
    <row r="5460" spans="2:11" x14ac:dyDescent="0.45">
      <c r="B5460" s="1" t="s">
        <v>4000</v>
      </c>
      <c r="C5460" s="1" t="s">
        <v>5408</v>
      </c>
      <c r="D5460" s="7">
        <v>44626</v>
      </c>
      <c r="E5460" s="7">
        <v>44628</v>
      </c>
      <c r="G5460" s="1" t="s">
        <v>44</v>
      </c>
      <c r="H5460" s="8">
        <v>132538337.03</v>
      </c>
      <c r="I5460" s="8">
        <v>83242754.969999999</v>
      </c>
      <c r="J5460" s="1">
        <f>IF(COUNTIF($C$4:C5460,C5460)=1,1,0)</f>
        <v>1</v>
      </c>
      <c r="K5460" s="1">
        <f t="shared" si="85"/>
        <v>2022</v>
      </c>
    </row>
    <row r="5461" spans="2:11" x14ac:dyDescent="0.45">
      <c r="B5461" s="1" t="s">
        <v>4000</v>
      </c>
      <c r="C5461" s="1" t="s">
        <v>5409</v>
      </c>
      <c r="D5461" s="7">
        <v>44026</v>
      </c>
      <c r="E5461" s="7">
        <v>44050</v>
      </c>
      <c r="G5461" s="1" t="s">
        <v>44</v>
      </c>
      <c r="H5461" s="8">
        <v>30552656.829999998</v>
      </c>
      <c r="I5461" s="8">
        <v>18956767.059999999</v>
      </c>
      <c r="J5461" s="1">
        <f>IF(COUNTIF($C$4:C5461,C5461)=1,1,0)</f>
        <v>1</v>
      </c>
      <c r="K5461" s="1">
        <f t="shared" si="85"/>
        <v>2020</v>
      </c>
    </row>
    <row r="5462" spans="2:11" x14ac:dyDescent="0.45">
      <c r="B5462" s="1" t="s">
        <v>4000</v>
      </c>
      <c r="C5462" s="1" t="s">
        <v>5410</v>
      </c>
      <c r="D5462" s="7">
        <v>44366</v>
      </c>
      <c r="E5462" s="7">
        <v>44378</v>
      </c>
      <c r="G5462" s="1" t="s">
        <v>1348</v>
      </c>
      <c r="H5462" s="8">
        <v>78211322.090000004</v>
      </c>
      <c r="I5462" s="8">
        <v>35560266.299999997</v>
      </c>
      <c r="J5462" s="1">
        <f>IF(COUNTIF($C$4:C5462,C5462)=1,1,0)</f>
        <v>1</v>
      </c>
      <c r="K5462" s="1">
        <f t="shared" si="85"/>
        <v>2021</v>
      </c>
    </row>
    <row r="5463" spans="2:11" x14ac:dyDescent="0.45">
      <c r="B5463" s="1" t="s">
        <v>4000</v>
      </c>
      <c r="C5463" s="1" t="s">
        <v>5411</v>
      </c>
      <c r="D5463" s="7">
        <v>44885</v>
      </c>
      <c r="E5463" s="7">
        <v>44903</v>
      </c>
      <c r="G5463" s="1" t="s">
        <v>1348</v>
      </c>
      <c r="H5463" s="8">
        <v>2478878.13</v>
      </c>
      <c r="I5463" s="8">
        <v>1534093.17</v>
      </c>
      <c r="J5463" s="1">
        <f>IF(COUNTIF($C$4:C5463,C5463)=1,1,0)</f>
        <v>1</v>
      </c>
      <c r="K5463" s="1">
        <f t="shared" si="85"/>
        <v>2022</v>
      </c>
    </row>
    <row r="5464" spans="2:11" x14ac:dyDescent="0.45">
      <c r="B5464" s="1" t="s">
        <v>4000</v>
      </c>
      <c r="C5464" s="1" t="s">
        <v>5412</v>
      </c>
      <c r="D5464" s="7">
        <v>45664</v>
      </c>
      <c r="E5464" s="7">
        <v>45690</v>
      </c>
      <c r="G5464" s="1" t="s">
        <v>22</v>
      </c>
      <c r="H5464" s="8">
        <v>833212.46</v>
      </c>
      <c r="I5464" s="8">
        <v>331875.53999999998</v>
      </c>
      <c r="J5464" s="1">
        <f>IF(COUNTIF($C$4:C5464,C5464)=1,1,0)</f>
        <v>1</v>
      </c>
      <c r="K5464" s="1">
        <f t="shared" si="85"/>
        <v>2025</v>
      </c>
    </row>
    <row r="5465" spans="2:11" x14ac:dyDescent="0.45">
      <c r="B5465" s="1" t="s">
        <v>4000</v>
      </c>
      <c r="C5465" s="1" t="s">
        <v>5413</v>
      </c>
      <c r="D5465" s="7">
        <v>45563</v>
      </c>
      <c r="E5465" s="7">
        <v>45591</v>
      </c>
      <c r="G5465" s="1" t="s">
        <v>16</v>
      </c>
      <c r="H5465" s="8">
        <v>3605849.3</v>
      </c>
      <c r="I5465" s="8">
        <v>2445622.54</v>
      </c>
      <c r="J5465" s="1">
        <f>IF(COUNTIF($C$4:C5465,C5465)=1,1,0)</f>
        <v>1</v>
      </c>
      <c r="K5465" s="1">
        <f t="shared" si="85"/>
        <v>2024</v>
      </c>
    </row>
    <row r="5466" spans="2:11" x14ac:dyDescent="0.45">
      <c r="B5466" s="1" t="s">
        <v>4000</v>
      </c>
      <c r="C5466" s="1" t="s">
        <v>5414</v>
      </c>
      <c r="D5466" s="7">
        <v>46160</v>
      </c>
      <c r="E5466" s="7">
        <v>46184</v>
      </c>
      <c r="G5466" s="1" t="s">
        <v>20</v>
      </c>
      <c r="H5466" s="8">
        <v>170216.92</v>
      </c>
      <c r="I5466" s="8">
        <v>102034.1</v>
      </c>
      <c r="J5466" s="1">
        <f>IF(COUNTIF($C$4:C5466,C5466)=1,1,0)</f>
        <v>1</v>
      </c>
      <c r="K5466" s="1">
        <f t="shared" si="85"/>
        <v>2026</v>
      </c>
    </row>
    <row r="5467" spans="2:11" x14ac:dyDescent="0.45">
      <c r="B5467" s="1" t="s">
        <v>4000</v>
      </c>
      <c r="C5467" s="1" t="s">
        <v>5415</v>
      </c>
      <c r="D5467" s="7">
        <v>44152</v>
      </c>
      <c r="E5467" s="7">
        <v>44170</v>
      </c>
      <c r="G5467" s="1" t="s">
        <v>41</v>
      </c>
      <c r="H5467" s="8">
        <v>261688.82</v>
      </c>
      <c r="I5467" s="8">
        <v>209158.5</v>
      </c>
      <c r="J5467" s="1">
        <f>IF(COUNTIF($C$4:C5467,C5467)=1,1,0)</f>
        <v>1</v>
      </c>
      <c r="K5467" s="1">
        <f t="shared" si="85"/>
        <v>2020</v>
      </c>
    </row>
    <row r="5468" spans="2:11" x14ac:dyDescent="0.45">
      <c r="B5468" s="1" t="s">
        <v>4000</v>
      </c>
      <c r="C5468" s="1" t="s">
        <v>5416</v>
      </c>
      <c r="D5468" s="7">
        <v>44028</v>
      </c>
      <c r="E5468" s="7">
        <v>44036</v>
      </c>
      <c r="G5468" s="1" t="s">
        <v>20</v>
      </c>
      <c r="H5468" s="8">
        <v>1252297.3999999999</v>
      </c>
      <c r="I5468" s="8">
        <v>721467.12</v>
      </c>
      <c r="J5468" s="1">
        <f>IF(COUNTIF($C$4:C5468,C5468)=1,1,0)</f>
        <v>1</v>
      </c>
      <c r="K5468" s="1">
        <f t="shared" si="85"/>
        <v>2020</v>
      </c>
    </row>
    <row r="5469" spans="2:11" x14ac:dyDescent="0.45">
      <c r="B5469" s="1" t="s">
        <v>4000</v>
      </c>
      <c r="C5469" s="1" t="s">
        <v>5417</v>
      </c>
      <c r="D5469" s="7">
        <v>43963</v>
      </c>
      <c r="E5469" s="7">
        <v>43987</v>
      </c>
      <c r="G5469" s="1" t="s">
        <v>18</v>
      </c>
      <c r="H5469" s="8">
        <v>5272460.2</v>
      </c>
      <c r="I5469" s="8">
        <v>3883398.56</v>
      </c>
      <c r="J5469" s="1">
        <f>IF(COUNTIF($C$4:C5469,C5469)=1,1,0)</f>
        <v>1</v>
      </c>
      <c r="K5469" s="1">
        <f t="shared" si="85"/>
        <v>2020</v>
      </c>
    </row>
    <row r="5470" spans="2:11" x14ac:dyDescent="0.45">
      <c r="B5470" s="1" t="s">
        <v>4000</v>
      </c>
      <c r="C5470" s="1" t="s">
        <v>5418</v>
      </c>
      <c r="D5470" s="7">
        <v>43361</v>
      </c>
      <c r="E5470" s="7">
        <v>43386</v>
      </c>
      <c r="G5470" s="1" t="s">
        <v>13</v>
      </c>
      <c r="H5470" s="8">
        <v>309226.19</v>
      </c>
      <c r="I5470" s="8">
        <v>274273.09000000003</v>
      </c>
      <c r="J5470" s="1">
        <f>IF(COUNTIF($C$4:C5470,C5470)=1,1,0)</f>
        <v>1</v>
      </c>
      <c r="K5470" s="1">
        <f t="shared" si="85"/>
        <v>2018</v>
      </c>
    </row>
    <row r="5471" spans="2:11" x14ac:dyDescent="0.45">
      <c r="B5471" s="1" t="s">
        <v>4000</v>
      </c>
      <c r="C5471" s="1" t="s">
        <v>5419</v>
      </c>
      <c r="D5471" s="7">
        <v>45156</v>
      </c>
      <c r="E5471" s="7">
        <v>45172</v>
      </c>
      <c r="G5471" s="1" t="s">
        <v>41</v>
      </c>
      <c r="H5471" s="8">
        <v>207965.52</v>
      </c>
      <c r="I5471" s="8">
        <v>181643.53</v>
      </c>
      <c r="J5471" s="1">
        <f>IF(COUNTIF($C$4:C5471,C5471)=1,1,0)</f>
        <v>1</v>
      </c>
      <c r="K5471" s="1">
        <f t="shared" si="85"/>
        <v>2023</v>
      </c>
    </row>
    <row r="5472" spans="2:11" x14ac:dyDescent="0.45">
      <c r="B5472" s="1" t="s">
        <v>4000</v>
      </c>
      <c r="C5472" s="1" t="s">
        <v>5420</v>
      </c>
      <c r="D5472" s="7">
        <v>43224</v>
      </c>
      <c r="E5472" s="7">
        <v>43249</v>
      </c>
      <c r="G5472" s="1" t="s">
        <v>16</v>
      </c>
      <c r="H5472" s="8">
        <v>6859672.7999999998</v>
      </c>
      <c r="I5472" s="8">
        <v>4250663.57</v>
      </c>
      <c r="J5472" s="1">
        <f>IF(COUNTIF($C$4:C5472,C5472)=1,1,0)</f>
        <v>1</v>
      </c>
      <c r="K5472" s="1">
        <f t="shared" si="85"/>
        <v>2018</v>
      </c>
    </row>
    <row r="5473" spans="2:11" x14ac:dyDescent="0.45">
      <c r="B5473" s="1" t="s">
        <v>4000</v>
      </c>
      <c r="C5473" s="1" t="s">
        <v>5421</v>
      </c>
      <c r="D5473" s="7">
        <v>43258</v>
      </c>
      <c r="E5473" s="7">
        <v>43269</v>
      </c>
      <c r="G5473" s="1" t="s">
        <v>41</v>
      </c>
      <c r="H5473" s="8">
        <v>627597.22</v>
      </c>
      <c r="I5473" s="8">
        <v>493494.78</v>
      </c>
      <c r="J5473" s="1">
        <f>IF(COUNTIF($C$4:C5473,C5473)=1,1,0)</f>
        <v>1</v>
      </c>
      <c r="K5473" s="1">
        <f t="shared" si="85"/>
        <v>2018</v>
      </c>
    </row>
    <row r="5474" spans="2:11" x14ac:dyDescent="0.45">
      <c r="B5474" s="1" t="s">
        <v>4000</v>
      </c>
      <c r="C5474" s="1" t="s">
        <v>5422</v>
      </c>
      <c r="D5474" s="7">
        <v>43690</v>
      </c>
      <c r="E5474" s="7">
        <v>43696</v>
      </c>
      <c r="G5474" s="1" t="s">
        <v>16</v>
      </c>
      <c r="H5474" s="8">
        <v>73259.77</v>
      </c>
      <c r="I5474" s="8">
        <v>52812.17</v>
      </c>
      <c r="J5474" s="1">
        <f>IF(COUNTIF($C$4:C5474,C5474)=1,1,0)</f>
        <v>1</v>
      </c>
      <c r="K5474" s="1">
        <f t="shared" si="85"/>
        <v>2019</v>
      </c>
    </row>
    <row r="5475" spans="2:11" x14ac:dyDescent="0.45">
      <c r="B5475" s="1" t="s">
        <v>4000</v>
      </c>
      <c r="C5475" s="1" t="s">
        <v>5423</v>
      </c>
      <c r="D5475" s="7">
        <v>46276</v>
      </c>
      <c r="E5475" s="7">
        <v>46302</v>
      </c>
      <c r="G5475" s="1" t="s">
        <v>18</v>
      </c>
      <c r="H5475" s="8">
        <v>3470777.68</v>
      </c>
      <c r="I5475" s="8">
        <v>2905328.73</v>
      </c>
      <c r="J5475" s="1">
        <f>IF(COUNTIF($C$4:C5475,C5475)=1,1,0)</f>
        <v>1</v>
      </c>
      <c r="K5475" s="1">
        <f t="shared" si="85"/>
        <v>2026</v>
      </c>
    </row>
    <row r="5476" spans="2:11" x14ac:dyDescent="0.45">
      <c r="B5476" s="1" t="s">
        <v>4000</v>
      </c>
      <c r="C5476" s="1" t="s">
        <v>5424</v>
      </c>
      <c r="D5476" s="7">
        <v>43873</v>
      </c>
      <c r="E5476" s="7">
        <v>43882</v>
      </c>
      <c r="G5476" s="1" t="s">
        <v>212</v>
      </c>
      <c r="H5476" s="8">
        <v>3206059.48</v>
      </c>
      <c r="I5476" s="8">
        <v>2056990.23</v>
      </c>
      <c r="J5476" s="1">
        <f>IF(COUNTIF($C$4:C5476,C5476)=1,1,0)</f>
        <v>1</v>
      </c>
      <c r="K5476" s="1">
        <f t="shared" si="85"/>
        <v>2020</v>
      </c>
    </row>
    <row r="5477" spans="2:11" x14ac:dyDescent="0.45">
      <c r="B5477" s="1" t="s">
        <v>4000</v>
      </c>
      <c r="C5477" s="1" t="s">
        <v>5425</v>
      </c>
      <c r="D5477" s="7">
        <v>44867</v>
      </c>
      <c r="E5477" s="7">
        <v>44884</v>
      </c>
      <c r="G5477" s="1" t="s">
        <v>22</v>
      </c>
      <c r="H5477" s="8">
        <v>50871728.850000001</v>
      </c>
      <c r="I5477" s="8">
        <v>28507505.079999998</v>
      </c>
      <c r="J5477" s="1">
        <f>IF(COUNTIF($C$4:C5477,C5477)=1,1,0)</f>
        <v>1</v>
      </c>
      <c r="K5477" s="1">
        <f t="shared" si="85"/>
        <v>2022</v>
      </c>
    </row>
    <row r="5478" spans="2:11" x14ac:dyDescent="0.45">
      <c r="B5478" s="1" t="s">
        <v>4000</v>
      </c>
      <c r="C5478" s="1" t="s">
        <v>5426</v>
      </c>
      <c r="D5478" s="7">
        <v>45848</v>
      </c>
      <c r="E5478" s="7">
        <v>45852</v>
      </c>
      <c r="G5478" s="1" t="s">
        <v>20</v>
      </c>
      <c r="H5478" s="8">
        <v>318201.65000000002</v>
      </c>
      <c r="I5478" s="8">
        <v>254324.46</v>
      </c>
      <c r="J5478" s="1">
        <f>IF(COUNTIF($C$4:C5478,C5478)=1,1,0)</f>
        <v>1</v>
      </c>
      <c r="K5478" s="1">
        <f t="shared" si="85"/>
        <v>2025</v>
      </c>
    </row>
    <row r="5479" spans="2:11" x14ac:dyDescent="0.45">
      <c r="B5479" s="1" t="s">
        <v>4000</v>
      </c>
      <c r="C5479" s="1" t="s">
        <v>5427</v>
      </c>
      <c r="D5479" s="7">
        <v>45997</v>
      </c>
      <c r="E5479" s="7">
        <v>46001</v>
      </c>
      <c r="G5479" s="1" t="s">
        <v>18</v>
      </c>
      <c r="H5479" s="8">
        <v>2822505.48</v>
      </c>
      <c r="I5479" s="8">
        <v>2530360.23</v>
      </c>
      <c r="J5479" s="1">
        <f>IF(COUNTIF($C$4:C5479,C5479)=1,1,0)</f>
        <v>1</v>
      </c>
      <c r="K5479" s="1">
        <f t="shared" si="85"/>
        <v>2025</v>
      </c>
    </row>
    <row r="5480" spans="2:11" x14ac:dyDescent="0.45">
      <c r="B5480" s="1" t="s">
        <v>4000</v>
      </c>
      <c r="C5480" s="1" t="s">
        <v>5428</v>
      </c>
      <c r="D5480" s="7">
        <v>44834</v>
      </c>
      <c r="E5480" s="7">
        <v>44851</v>
      </c>
      <c r="G5480" s="1" t="s">
        <v>18</v>
      </c>
      <c r="H5480" s="8">
        <v>3055320.72</v>
      </c>
      <c r="I5480" s="8">
        <v>2383883.83</v>
      </c>
      <c r="J5480" s="1">
        <f>IF(COUNTIF($C$4:C5480,C5480)=1,1,0)</f>
        <v>1</v>
      </c>
      <c r="K5480" s="1">
        <f t="shared" si="85"/>
        <v>2022</v>
      </c>
    </row>
    <row r="5481" spans="2:11" x14ac:dyDescent="0.45">
      <c r="B5481" s="1" t="s">
        <v>4000</v>
      </c>
      <c r="C5481" s="1" t="s">
        <v>5429</v>
      </c>
      <c r="D5481" s="7">
        <v>44184</v>
      </c>
      <c r="E5481" s="7">
        <v>44197</v>
      </c>
      <c r="G5481" s="1" t="s">
        <v>41</v>
      </c>
      <c r="H5481" s="8">
        <v>220316.32</v>
      </c>
      <c r="I5481" s="8">
        <v>165317.78</v>
      </c>
      <c r="J5481" s="1">
        <f>IF(COUNTIF($C$4:C5481,C5481)=1,1,0)</f>
        <v>1</v>
      </c>
      <c r="K5481" s="1">
        <f t="shared" si="85"/>
        <v>2020</v>
      </c>
    </row>
    <row r="5482" spans="2:11" x14ac:dyDescent="0.45">
      <c r="B5482" s="1" t="s">
        <v>4000</v>
      </c>
      <c r="C5482" s="1" t="s">
        <v>5430</v>
      </c>
      <c r="D5482" s="7">
        <v>43427</v>
      </c>
      <c r="E5482" s="7">
        <v>43443</v>
      </c>
      <c r="G5482" s="1" t="s">
        <v>22</v>
      </c>
      <c r="H5482" s="8">
        <v>110943340.8</v>
      </c>
      <c r="I5482" s="8">
        <v>77572325.930000007</v>
      </c>
      <c r="J5482" s="1">
        <f>IF(COUNTIF($C$4:C5482,C5482)=1,1,0)</f>
        <v>1</v>
      </c>
      <c r="K5482" s="1">
        <f t="shared" si="85"/>
        <v>2018</v>
      </c>
    </row>
    <row r="5483" spans="2:11" x14ac:dyDescent="0.45">
      <c r="B5483" s="1" t="s">
        <v>4000</v>
      </c>
      <c r="C5483" s="1" t="s">
        <v>4290</v>
      </c>
      <c r="D5483" s="7">
        <v>43923</v>
      </c>
      <c r="E5483" s="7">
        <v>43933</v>
      </c>
      <c r="G5483" s="1" t="s">
        <v>18</v>
      </c>
      <c r="H5483" s="8">
        <v>2147656.1</v>
      </c>
      <c r="I5483" s="8">
        <v>1561983.23</v>
      </c>
      <c r="J5483" s="1">
        <f>IF(COUNTIF($C$4:C5483,C5483)=1,1,0)</f>
        <v>0</v>
      </c>
      <c r="K5483" s="1">
        <f t="shared" si="85"/>
        <v>2020</v>
      </c>
    </row>
    <row r="5484" spans="2:11" x14ac:dyDescent="0.45">
      <c r="B5484" s="1" t="s">
        <v>4000</v>
      </c>
      <c r="C5484" s="1" t="s">
        <v>5431</v>
      </c>
      <c r="D5484" s="7">
        <v>43895</v>
      </c>
      <c r="E5484" s="7">
        <v>43909</v>
      </c>
      <c r="G5484" s="1" t="s">
        <v>20</v>
      </c>
      <c r="H5484" s="8">
        <v>505548.54</v>
      </c>
      <c r="I5484" s="8">
        <v>413316.39</v>
      </c>
      <c r="J5484" s="1">
        <f>IF(COUNTIF($C$4:C5484,C5484)=1,1,0)</f>
        <v>1</v>
      </c>
      <c r="K5484" s="1">
        <f t="shared" si="85"/>
        <v>2020</v>
      </c>
    </row>
    <row r="5485" spans="2:11" x14ac:dyDescent="0.45">
      <c r="B5485" s="1" t="s">
        <v>4000</v>
      </c>
      <c r="C5485" s="1" t="s">
        <v>5432</v>
      </c>
      <c r="D5485" s="7">
        <v>45152</v>
      </c>
      <c r="E5485" s="7">
        <v>45173</v>
      </c>
      <c r="G5485" s="1" t="s">
        <v>16</v>
      </c>
      <c r="H5485" s="8">
        <v>709624.31</v>
      </c>
      <c r="I5485" s="8">
        <v>420160.71</v>
      </c>
      <c r="J5485" s="1">
        <f>IF(COUNTIF($C$4:C5485,C5485)=1,1,0)</f>
        <v>1</v>
      </c>
      <c r="K5485" s="1">
        <f t="shared" si="85"/>
        <v>2023</v>
      </c>
    </row>
    <row r="5486" spans="2:11" x14ac:dyDescent="0.45">
      <c r="B5486" s="1" t="s">
        <v>4000</v>
      </c>
      <c r="C5486" s="1" t="s">
        <v>5433</v>
      </c>
      <c r="D5486" s="7">
        <v>43521</v>
      </c>
      <c r="E5486" s="7">
        <v>43550</v>
      </c>
      <c r="G5486" s="1" t="s">
        <v>18</v>
      </c>
      <c r="H5486" s="8">
        <v>7585463.8300000001</v>
      </c>
      <c r="I5486" s="8">
        <v>5371033.5199999996</v>
      </c>
      <c r="J5486" s="1">
        <f>IF(COUNTIF($C$4:C5486,C5486)=1,1,0)</f>
        <v>1</v>
      </c>
      <c r="K5486" s="1">
        <f t="shared" si="85"/>
        <v>2019</v>
      </c>
    </row>
    <row r="5487" spans="2:11" x14ac:dyDescent="0.45">
      <c r="B5487" s="1" t="s">
        <v>4000</v>
      </c>
      <c r="C5487" s="1" t="s">
        <v>5434</v>
      </c>
      <c r="D5487" s="7">
        <v>45688</v>
      </c>
      <c r="E5487" s="7">
        <v>45688</v>
      </c>
      <c r="G5487" s="1" t="s">
        <v>38</v>
      </c>
      <c r="H5487" s="8">
        <v>335804.14</v>
      </c>
      <c r="I5487" s="8">
        <v>267738.42</v>
      </c>
      <c r="J5487" s="1">
        <f>IF(COUNTIF($C$4:C5487,C5487)=1,1,0)</f>
        <v>1</v>
      </c>
      <c r="K5487" s="1">
        <f t="shared" si="85"/>
        <v>2025</v>
      </c>
    </row>
    <row r="5488" spans="2:11" x14ac:dyDescent="0.45">
      <c r="B5488" s="1" t="s">
        <v>4000</v>
      </c>
      <c r="C5488" s="1" t="s">
        <v>5435</v>
      </c>
      <c r="D5488" s="7">
        <v>44802</v>
      </c>
      <c r="E5488" s="7">
        <v>44831</v>
      </c>
      <c r="G5488" s="1" t="s">
        <v>13</v>
      </c>
      <c r="H5488" s="8">
        <v>370758.76</v>
      </c>
      <c r="I5488" s="8">
        <v>273732.37</v>
      </c>
      <c r="J5488" s="1">
        <f>IF(COUNTIF($C$4:C5488,C5488)=1,1,0)</f>
        <v>1</v>
      </c>
      <c r="K5488" s="1">
        <f t="shared" si="85"/>
        <v>2022</v>
      </c>
    </row>
    <row r="5489" spans="2:11" x14ac:dyDescent="0.45">
      <c r="B5489" s="1" t="s">
        <v>4000</v>
      </c>
      <c r="C5489" s="1" t="s">
        <v>5436</v>
      </c>
      <c r="D5489" s="7">
        <v>45733</v>
      </c>
      <c r="E5489" s="7">
        <v>45739</v>
      </c>
      <c r="G5489" s="1" t="s">
        <v>212</v>
      </c>
      <c r="H5489" s="8">
        <v>11286612.220000001</v>
      </c>
      <c r="I5489" s="8">
        <v>3981316.44</v>
      </c>
      <c r="J5489" s="1">
        <f>IF(COUNTIF($C$4:C5489,C5489)=1,1,0)</f>
        <v>1</v>
      </c>
      <c r="K5489" s="1">
        <f t="shared" si="85"/>
        <v>2025</v>
      </c>
    </row>
    <row r="5490" spans="2:11" x14ac:dyDescent="0.45">
      <c r="B5490" s="1" t="s">
        <v>4000</v>
      </c>
      <c r="C5490" s="1" t="s">
        <v>5437</v>
      </c>
      <c r="D5490" s="7">
        <v>43957</v>
      </c>
      <c r="E5490" s="7">
        <v>43974</v>
      </c>
      <c r="G5490" s="1" t="s">
        <v>22</v>
      </c>
      <c r="H5490" s="8">
        <v>36768280.549999997</v>
      </c>
      <c r="I5490" s="8">
        <v>27671055.48</v>
      </c>
      <c r="J5490" s="1">
        <f>IF(COUNTIF($C$4:C5490,C5490)=1,1,0)</f>
        <v>1</v>
      </c>
      <c r="K5490" s="1">
        <f t="shared" si="85"/>
        <v>2020</v>
      </c>
    </row>
    <row r="5491" spans="2:11" x14ac:dyDescent="0.45">
      <c r="B5491" s="1" t="s">
        <v>4000</v>
      </c>
      <c r="C5491" s="1" t="s">
        <v>5438</v>
      </c>
      <c r="D5491" s="7">
        <v>46026</v>
      </c>
      <c r="E5491" s="7">
        <v>46048</v>
      </c>
      <c r="G5491" s="1" t="s">
        <v>1348</v>
      </c>
      <c r="H5491" s="8">
        <v>19325016.859999999</v>
      </c>
      <c r="I5491" s="8">
        <v>15105674.460000001</v>
      </c>
      <c r="J5491" s="1">
        <f>IF(COUNTIF($C$4:C5491,C5491)=1,1,0)</f>
        <v>1</v>
      </c>
      <c r="K5491" s="1">
        <f t="shared" si="85"/>
        <v>2026</v>
      </c>
    </row>
    <row r="5492" spans="2:11" x14ac:dyDescent="0.45">
      <c r="B5492" s="1" t="s">
        <v>4000</v>
      </c>
      <c r="C5492" s="1" t="s">
        <v>5439</v>
      </c>
      <c r="D5492" s="7">
        <v>43707</v>
      </c>
      <c r="E5492" s="7">
        <v>43725</v>
      </c>
      <c r="G5492" s="1" t="s">
        <v>13</v>
      </c>
      <c r="H5492" s="8">
        <v>1019692.7</v>
      </c>
      <c r="I5492" s="8">
        <v>830186.21</v>
      </c>
      <c r="J5492" s="1">
        <f>IF(COUNTIF($C$4:C5492,C5492)=1,1,0)</f>
        <v>1</v>
      </c>
      <c r="K5492" s="1">
        <f t="shared" si="85"/>
        <v>2019</v>
      </c>
    </row>
    <row r="5493" spans="2:11" x14ac:dyDescent="0.45">
      <c r="B5493" s="1" t="s">
        <v>4000</v>
      </c>
      <c r="C5493" s="1" t="s">
        <v>5440</v>
      </c>
      <c r="D5493" s="7">
        <v>43686</v>
      </c>
      <c r="E5493" s="7">
        <v>43690</v>
      </c>
      <c r="G5493" s="1" t="s">
        <v>18</v>
      </c>
      <c r="H5493" s="8">
        <v>3832657.96</v>
      </c>
      <c r="I5493" s="8">
        <v>3012162.05</v>
      </c>
      <c r="J5493" s="1">
        <f>IF(COUNTIF($C$4:C5493,C5493)=1,1,0)</f>
        <v>1</v>
      </c>
      <c r="K5493" s="1">
        <f t="shared" si="85"/>
        <v>2019</v>
      </c>
    </row>
    <row r="5494" spans="2:11" x14ac:dyDescent="0.45">
      <c r="B5494" s="1" t="s">
        <v>4000</v>
      </c>
      <c r="C5494" s="1" t="s">
        <v>5441</v>
      </c>
      <c r="D5494" s="7">
        <v>45227</v>
      </c>
      <c r="E5494" s="7">
        <v>45242</v>
      </c>
      <c r="G5494" s="1" t="s">
        <v>16</v>
      </c>
      <c r="H5494" s="8">
        <v>1632126.1</v>
      </c>
      <c r="I5494" s="8">
        <v>1164851.22</v>
      </c>
      <c r="J5494" s="1">
        <f>IF(COUNTIF($C$4:C5494,C5494)=1,1,0)</f>
        <v>1</v>
      </c>
      <c r="K5494" s="1">
        <f t="shared" si="85"/>
        <v>2023</v>
      </c>
    </row>
    <row r="5495" spans="2:11" x14ac:dyDescent="0.45">
      <c r="B5495" s="1" t="s">
        <v>4000</v>
      </c>
      <c r="C5495" s="1" t="s">
        <v>5442</v>
      </c>
      <c r="D5495" s="7">
        <v>45343</v>
      </c>
      <c r="E5495" s="7">
        <v>45355</v>
      </c>
      <c r="G5495" s="1" t="s">
        <v>13</v>
      </c>
      <c r="H5495" s="8">
        <v>530444.62</v>
      </c>
      <c r="I5495" s="8">
        <v>365333.41</v>
      </c>
      <c r="J5495" s="1">
        <f>IF(COUNTIF($C$4:C5495,C5495)=1,1,0)</f>
        <v>1</v>
      </c>
      <c r="K5495" s="1">
        <f t="shared" si="85"/>
        <v>2024</v>
      </c>
    </row>
    <row r="5496" spans="2:11" x14ac:dyDescent="0.45">
      <c r="B5496" s="1" t="s">
        <v>4000</v>
      </c>
      <c r="C5496" s="1" t="s">
        <v>5443</v>
      </c>
      <c r="D5496" s="7">
        <v>43804</v>
      </c>
      <c r="E5496" s="7">
        <v>43816</v>
      </c>
      <c r="G5496" s="1" t="s">
        <v>1348</v>
      </c>
      <c r="H5496" s="8">
        <v>88140906.959999993</v>
      </c>
      <c r="I5496" s="8">
        <v>66668811.600000001</v>
      </c>
      <c r="J5496" s="1">
        <f>IF(COUNTIF($C$4:C5496,C5496)=1,1,0)</f>
        <v>1</v>
      </c>
      <c r="K5496" s="1">
        <f t="shared" si="85"/>
        <v>2019</v>
      </c>
    </row>
    <row r="5497" spans="2:11" x14ac:dyDescent="0.45">
      <c r="B5497" s="1" t="s">
        <v>4000</v>
      </c>
      <c r="C5497" s="1" t="s">
        <v>5444</v>
      </c>
      <c r="D5497" s="7">
        <v>43307</v>
      </c>
      <c r="E5497" s="7">
        <v>43331</v>
      </c>
      <c r="G5497" s="1" t="s">
        <v>13</v>
      </c>
      <c r="H5497" s="8">
        <v>207826.34</v>
      </c>
      <c r="I5497" s="8">
        <v>159179.81</v>
      </c>
      <c r="J5497" s="1">
        <f>IF(COUNTIF($C$4:C5497,C5497)=1,1,0)</f>
        <v>1</v>
      </c>
      <c r="K5497" s="1">
        <f t="shared" si="85"/>
        <v>2018</v>
      </c>
    </row>
    <row r="5498" spans="2:11" x14ac:dyDescent="0.45">
      <c r="B5498" s="1" t="s">
        <v>4000</v>
      </c>
      <c r="C5498" s="1" t="s">
        <v>5445</v>
      </c>
      <c r="D5498" s="7">
        <v>43232</v>
      </c>
      <c r="E5498" s="7">
        <v>43250</v>
      </c>
      <c r="G5498" s="1" t="s">
        <v>212</v>
      </c>
      <c r="H5498" s="8">
        <v>19867330.710000001</v>
      </c>
      <c r="I5498" s="8">
        <v>14994908.039999999</v>
      </c>
      <c r="J5498" s="1">
        <f>IF(COUNTIF($C$4:C5498,C5498)=1,1,0)</f>
        <v>1</v>
      </c>
      <c r="K5498" s="1">
        <f t="shared" si="85"/>
        <v>2018</v>
      </c>
    </row>
    <row r="5499" spans="2:11" x14ac:dyDescent="0.45">
      <c r="B5499" s="1" t="s">
        <v>4000</v>
      </c>
      <c r="C5499" s="1" t="s">
        <v>5446</v>
      </c>
      <c r="D5499" s="7">
        <v>45136</v>
      </c>
      <c r="E5499" s="7">
        <v>45146</v>
      </c>
      <c r="G5499" s="1" t="s">
        <v>38</v>
      </c>
      <c r="H5499" s="8">
        <v>953972.63</v>
      </c>
      <c r="I5499" s="8">
        <v>729486.76</v>
      </c>
      <c r="J5499" s="1">
        <f>IF(COUNTIF($C$4:C5499,C5499)=1,1,0)</f>
        <v>1</v>
      </c>
      <c r="K5499" s="1">
        <f t="shared" si="85"/>
        <v>2023</v>
      </c>
    </row>
    <row r="5500" spans="2:11" x14ac:dyDescent="0.45">
      <c r="B5500" s="1" t="s">
        <v>4000</v>
      </c>
      <c r="C5500" s="1" t="s">
        <v>5447</v>
      </c>
      <c r="D5500" s="7">
        <v>43873</v>
      </c>
      <c r="E5500" s="7">
        <v>43900</v>
      </c>
      <c r="G5500" s="1" t="s">
        <v>212</v>
      </c>
      <c r="H5500" s="8">
        <v>7726724.9500000002</v>
      </c>
      <c r="I5500" s="8">
        <v>5259950.8</v>
      </c>
      <c r="J5500" s="1">
        <f>IF(COUNTIF($C$4:C5500,C5500)=1,1,0)</f>
        <v>1</v>
      </c>
      <c r="K5500" s="1">
        <f t="shared" si="85"/>
        <v>2020</v>
      </c>
    </row>
    <row r="5501" spans="2:11" x14ac:dyDescent="0.45">
      <c r="B5501" s="1" t="s">
        <v>4000</v>
      </c>
      <c r="C5501" s="1" t="s">
        <v>5448</v>
      </c>
      <c r="D5501" s="7">
        <v>43206</v>
      </c>
      <c r="E5501" s="7">
        <v>43223</v>
      </c>
      <c r="G5501" s="1" t="s">
        <v>38</v>
      </c>
      <c r="H5501" s="8">
        <v>413343.58</v>
      </c>
      <c r="I5501" s="8">
        <v>326706.14</v>
      </c>
      <c r="J5501" s="1">
        <f>IF(COUNTIF($C$4:C5501,C5501)=1,1,0)</f>
        <v>1</v>
      </c>
      <c r="K5501" s="1">
        <f t="shared" si="85"/>
        <v>2018</v>
      </c>
    </row>
    <row r="5502" spans="2:11" x14ac:dyDescent="0.45">
      <c r="B5502" s="1" t="s">
        <v>4000</v>
      </c>
      <c r="C5502" s="1" t="s">
        <v>5449</v>
      </c>
      <c r="D5502" s="7">
        <v>45109</v>
      </c>
      <c r="E5502" s="7">
        <v>45118</v>
      </c>
      <c r="G5502" s="1" t="s">
        <v>18</v>
      </c>
      <c r="H5502" s="8">
        <v>3608293.36</v>
      </c>
      <c r="I5502" s="8">
        <v>2552070.7400000002</v>
      </c>
      <c r="J5502" s="1">
        <f>IF(COUNTIF($C$4:C5502,C5502)=1,1,0)</f>
        <v>1</v>
      </c>
      <c r="K5502" s="1">
        <f t="shared" si="85"/>
        <v>2023</v>
      </c>
    </row>
    <row r="5503" spans="2:11" x14ac:dyDescent="0.45">
      <c r="B5503" s="1" t="s">
        <v>4000</v>
      </c>
      <c r="C5503" s="1" t="s">
        <v>5450</v>
      </c>
      <c r="D5503" s="7">
        <v>45662</v>
      </c>
      <c r="E5503" s="7">
        <v>45665</v>
      </c>
      <c r="G5503" s="1" t="s">
        <v>18</v>
      </c>
      <c r="H5503" s="8">
        <v>324005.71000000002</v>
      </c>
      <c r="I5503" s="8">
        <v>269105.90999999997</v>
      </c>
      <c r="J5503" s="1">
        <f>IF(COUNTIF($C$4:C5503,C5503)=1,1,0)</f>
        <v>1</v>
      </c>
      <c r="K5503" s="1">
        <f t="shared" si="85"/>
        <v>2025</v>
      </c>
    </row>
    <row r="5504" spans="2:11" x14ac:dyDescent="0.45">
      <c r="B5504" s="1" t="s">
        <v>4000</v>
      </c>
      <c r="C5504" s="1" t="s">
        <v>5451</v>
      </c>
      <c r="D5504" s="7">
        <v>44037</v>
      </c>
      <c r="E5504" s="7">
        <v>44061</v>
      </c>
      <c r="G5504" s="1" t="s">
        <v>212</v>
      </c>
      <c r="H5504" s="8">
        <v>3768172.43</v>
      </c>
      <c r="I5504" s="8">
        <v>2219886.61</v>
      </c>
      <c r="J5504" s="1">
        <f>IF(COUNTIF($C$4:C5504,C5504)=1,1,0)</f>
        <v>1</v>
      </c>
      <c r="K5504" s="1">
        <f t="shared" si="85"/>
        <v>2020</v>
      </c>
    </row>
    <row r="5505" spans="2:11" x14ac:dyDescent="0.45">
      <c r="B5505" s="1" t="s">
        <v>4000</v>
      </c>
      <c r="C5505" s="1" t="s">
        <v>5452</v>
      </c>
      <c r="D5505" s="7">
        <v>45471</v>
      </c>
      <c r="E5505" s="7">
        <v>45496</v>
      </c>
      <c r="G5505" s="1" t="s">
        <v>18</v>
      </c>
      <c r="H5505" s="8">
        <v>2109051.7000000002</v>
      </c>
      <c r="I5505" s="8">
        <v>1610901.66</v>
      </c>
      <c r="J5505" s="1">
        <f>IF(COUNTIF($C$4:C5505,C5505)=1,1,0)</f>
        <v>1</v>
      </c>
      <c r="K5505" s="1">
        <f t="shared" si="85"/>
        <v>2024</v>
      </c>
    </row>
    <row r="5506" spans="2:11" x14ac:dyDescent="0.45">
      <c r="B5506" s="1" t="s">
        <v>4000</v>
      </c>
      <c r="C5506" s="1" t="s">
        <v>5453</v>
      </c>
      <c r="D5506" s="7">
        <v>44340</v>
      </c>
      <c r="E5506" s="7">
        <v>44346</v>
      </c>
      <c r="G5506" s="1" t="s">
        <v>212</v>
      </c>
      <c r="H5506" s="8">
        <v>4006466.1</v>
      </c>
      <c r="I5506" s="8">
        <v>2840029.13</v>
      </c>
      <c r="J5506" s="1">
        <f>IF(COUNTIF($C$4:C5506,C5506)=1,1,0)</f>
        <v>1</v>
      </c>
      <c r="K5506" s="1">
        <f t="shared" si="85"/>
        <v>2021</v>
      </c>
    </row>
    <row r="5507" spans="2:11" x14ac:dyDescent="0.45">
      <c r="B5507" s="1" t="s">
        <v>4000</v>
      </c>
      <c r="C5507" s="1" t="s">
        <v>5454</v>
      </c>
      <c r="D5507" s="7">
        <v>45929</v>
      </c>
      <c r="E5507" s="7">
        <v>45959</v>
      </c>
      <c r="G5507" s="1" t="s">
        <v>22</v>
      </c>
      <c r="H5507" s="8">
        <v>79263564.510000005</v>
      </c>
      <c r="I5507" s="8">
        <v>58356109.890000001</v>
      </c>
      <c r="J5507" s="1">
        <f>IF(COUNTIF($C$4:C5507,C5507)=1,1,0)</f>
        <v>1</v>
      </c>
      <c r="K5507" s="1">
        <f t="shared" si="85"/>
        <v>2025</v>
      </c>
    </row>
    <row r="5508" spans="2:11" x14ac:dyDescent="0.45">
      <c r="B5508" s="1" t="s">
        <v>4000</v>
      </c>
      <c r="C5508" s="1" t="s">
        <v>5455</v>
      </c>
      <c r="D5508" s="7">
        <v>45820</v>
      </c>
      <c r="E5508" s="7">
        <v>45823</v>
      </c>
      <c r="G5508" s="1" t="s">
        <v>1348</v>
      </c>
      <c r="H5508" s="8">
        <v>22558140.010000002</v>
      </c>
      <c r="I5508" s="8">
        <v>14649646.689999999</v>
      </c>
      <c r="J5508" s="1">
        <f>IF(COUNTIF($C$4:C5508,C5508)=1,1,0)</f>
        <v>1</v>
      </c>
      <c r="K5508" s="1">
        <f t="shared" si="85"/>
        <v>2025</v>
      </c>
    </row>
    <row r="5509" spans="2:11" x14ac:dyDescent="0.45">
      <c r="B5509" s="1" t="s">
        <v>4000</v>
      </c>
      <c r="C5509" s="1" t="s">
        <v>5456</v>
      </c>
      <c r="D5509" s="7">
        <v>44651</v>
      </c>
      <c r="E5509" s="7">
        <v>44677</v>
      </c>
      <c r="G5509" s="1" t="s">
        <v>44</v>
      </c>
      <c r="H5509" s="8">
        <v>71758314.189999998</v>
      </c>
      <c r="I5509" s="8">
        <v>41220962.490000002</v>
      </c>
      <c r="J5509" s="1">
        <f>IF(COUNTIF($C$4:C5509,C5509)=1,1,0)</f>
        <v>1</v>
      </c>
      <c r="K5509" s="1">
        <f t="shared" ref="K5509:K5572" si="86">YEAR(D5509)</f>
        <v>2022</v>
      </c>
    </row>
    <row r="5510" spans="2:11" x14ac:dyDescent="0.45">
      <c r="B5510" s="1" t="s">
        <v>4000</v>
      </c>
      <c r="C5510" s="1" t="s">
        <v>5457</v>
      </c>
      <c r="D5510" s="7">
        <v>43946</v>
      </c>
      <c r="E5510" s="7">
        <v>43967</v>
      </c>
      <c r="G5510" s="1" t="s">
        <v>212</v>
      </c>
      <c r="H5510" s="8">
        <v>5794784.6699999999</v>
      </c>
      <c r="I5510" s="8">
        <v>3563925.37</v>
      </c>
      <c r="J5510" s="1">
        <f>IF(COUNTIF($C$4:C5510,C5510)=1,1,0)</f>
        <v>1</v>
      </c>
      <c r="K5510" s="1">
        <f t="shared" si="86"/>
        <v>2020</v>
      </c>
    </row>
    <row r="5511" spans="2:11" x14ac:dyDescent="0.45">
      <c r="B5511" s="1" t="s">
        <v>4000</v>
      </c>
      <c r="C5511" s="1" t="s">
        <v>5458</v>
      </c>
      <c r="D5511" s="7">
        <v>46100</v>
      </c>
      <c r="E5511" s="7">
        <v>46101</v>
      </c>
      <c r="G5511" s="1" t="s">
        <v>22</v>
      </c>
      <c r="H5511" s="8">
        <v>247810.67</v>
      </c>
      <c r="I5511" s="8">
        <v>148536.42000000001</v>
      </c>
      <c r="J5511" s="1">
        <f>IF(COUNTIF($C$4:C5511,C5511)=1,1,0)</f>
        <v>1</v>
      </c>
      <c r="K5511" s="1">
        <f t="shared" si="86"/>
        <v>2026</v>
      </c>
    </row>
    <row r="5512" spans="2:11" x14ac:dyDescent="0.45">
      <c r="B5512" s="1" t="s">
        <v>4000</v>
      </c>
      <c r="C5512" s="1" t="s">
        <v>5459</v>
      </c>
      <c r="D5512" s="7">
        <v>43581</v>
      </c>
      <c r="E5512" s="7">
        <v>43598</v>
      </c>
      <c r="G5512" s="1" t="s">
        <v>44</v>
      </c>
      <c r="H5512" s="8">
        <v>51366366.659999996</v>
      </c>
      <c r="I5512" s="8">
        <v>33117009.309999999</v>
      </c>
      <c r="J5512" s="1">
        <f>IF(COUNTIF($C$4:C5512,C5512)=1,1,0)</f>
        <v>1</v>
      </c>
      <c r="K5512" s="1">
        <f t="shared" si="86"/>
        <v>2019</v>
      </c>
    </row>
    <row r="5513" spans="2:11" x14ac:dyDescent="0.45">
      <c r="B5513" s="1" t="s">
        <v>4000</v>
      </c>
      <c r="C5513" s="1" t="s">
        <v>5460</v>
      </c>
      <c r="D5513" s="7">
        <v>44959</v>
      </c>
      <c r="E5513" s="7">
        <v>44989</v>
      </c>
      <c r="G5513" s="1" t="s">
        <v>18</v>
      </c>
      <c r="H5513" s="8">
        <v>839426.81</v>
      </c>
      <c r="I5513" s="8">
        <v>759606.51</v>
      </c>
      <c r="J5513" s="1">
        <f>IF(COUNTIF($C$4:C5513,C5513)=1,1,0)</f>
        <v>1</v>
      </c>
      <c r="K5513" s="1">
        <f t="shared" si="86"/>
        <v>2023</v>
      </c>
    </row>
    <row r="5514" spans="2:11" x14ac:dyDescent="0.45">
      <c r="B5514" s="1" t="s">
        <v>4000</v>
      </c>
      <c r="C5514" s="1" t="s">
        <v>5461</v>
      </c>
      <c r="D5514" s="7">
        <v>45079</v>
      </c>
      <c r="E5514" s="7">
        <v>45102</v>
      </c>
      <c r="G5514" s="1" t="s">
        <v>13</v>
      </c>
      <c r="H5514" s="8">
        <v>206870.65</v>
      </c>
      <c r="I5514" s="8">
        <v>161797.73000000001</v>
      </c>
      <c r="J5514" s="1">
        <f>IF(COUNTIF($C$4:C5514,C5514)=1,1,0)</f>
        <v>1</v>
      </c>
      <c r="K5514" s="1">
        <f t="shared" si="86"/>
        <v>2023</v>
      </c>
    </row>
    <row r="5515" spans="2:11" x14ac:dyDescent="0.45">
      <c r="B5515" s="1" t="s">
        <v>4000</v>
      </c>
      <c r="C5515" s="1" t="s">
        <v>5462</v>
      </c>
      <c r="D5515" s="7">
        <v>45769</v>
      </c>
      <c r="E5515" s="7">
        <v>45771</v>
      </c>
      <c r="G5515" s="1" t="s">
        <v>20</v>
      </c>
      <c r="H5515" s="8">
        <v>114673.45</v>
      </c>
      <c r="I5515" s="8">
        <v>70843.39</v>
      </c>
      <c r="J5515" s="1">
        <f>IF(COUNTIF($C$4:C5515,C5515)=1,1,0)</f>
        <v>1</v>
      </c>
      <c r="K5515" s="1">
        <f t="shared" si="86"/>
        <v>2025</v>
      </c>
    </row>
    <row r="5516" spans="2:11" x14ac:dyDescent="0.45">
      <c r="B5516" s="1" t="s">
        <v>4000</v>
      </c>
      <c r="C5516" s="1" t="s">
        <v>5463</v>
      </c>
      <c r="D5516" s="7">
        <v>43362</v>
      </c>
      <c r="E5516" s="7">
        <v>43373</v>
      </c>
      <c r="G5516" s="1" t="s">
        <v>13</v>
      </c>
      <c r="H5516" s="8">
        <v>365825.48</v>
      </c>
      <c r="I5516" s="8">
        <v>333617.09999999998</v>
      </c>
      <c r="J5516" s="1">
        <f>IF(COUNTIF($C$4:C5516,C5516)=1,1,0)</f>
        <v>1</v>
      </c>
      <c r="K5516" s="1">
        <f t="shared" si="86"/>
        <v>2018</v>
      </c>
    </row>
    <row r="5517" spans="2:11" x14ac:dyDescent="0.45">
      <c r="B5517" s="1" t="s">
        <v>4000</v>
      </c>
      <c r="C5517" s="1" t="s">
        <v>5464</v>
      </c>
      <c r="D5517" s="7">
        <v>43286</v>
      </c>
      <c r="E5517" s="7">
        <v>43296</v>
      </c>
      <c r="G5517" s="1" t="s">
        <v>20</v>
      </c>
      <c r="H5517" s="8">
        <v>294927.87</v>
      </c>
      <c r="I5517" s="8">
        <v>244423.16</v>
      </c>
      <c r="J5517" s="1">
        <f>IF(COUNTIF($C$4:C5517,C5517)=1,1,0)</f>
        <v>1</v>
      </c>
      <c r="K5517" s="1">
        <f t="shared" si="86"/>
        <v>2018</v>
      </c>
    </row>
    <row r="5518" spans="2:11" x14ac:dyDescent="0.45">
      <c r="B5518" s="1" t="s">
        <v>4000</v>
      </c>
      <c r="C5518" s="1" t="s">
        <v>5465</v>
      </c>
      <c r="D5518" s="7">
        <v>43347</v>
      </c>
      <c r="E5518" s="7">
        <v>43374</v>
      </c>
      <c r="G5518" s="1" t="s">
        <v>38</v>
      </c>
      <c r="H5518" s="8">
        <v>168549.69</v>
      </c>
      <c r="I5518" s="8">
        <v>150419.24</v>
      </c>
      <c r="J5518" s="1">
        <f>IF(COUNTIF($C$4:C5518,C5518)=1,1,0)</f>
        <v>1</v>
      </c>
      <c r="K5518" s="1">
        <f t="shared" si="86"/>
        <v>2018</v>
      </c>
    </row>
    <row r="5519" spans="2:11" x14ac:dyDescent="0.45">
      <c r="B5519" s="1" t="s">
        <v>4000</v>
      </c>
      <c r="C5519" s="1" t="s">
        <v>5466</v>
      </c>
      <c r="D5519" s="7">
        <v>44092</v>
      </c>
      <c r="E5519" s="7">
        <v>44120</v>
      </c>
      <c r="G5519" s="1" t="s">
        <v>41</v>
      </c>
      <c r="H5519" s="8">
        <v>106702.68</v>
      </c>
      <c r="I5519" s="8">
        <v>80601.89</v>
      </c>
      <c r="J5519" s="1">
        <f>IF(COUNTIF($C$4:C5519,C5519)=1,1,0)</f>
        <v>1</v>
      </c>
      <c r="K5519" s="1">
        <f t="shared" si="86"/>
        <v>2020</v>
      </c>
    </row>
    <row r="5520" spans="2:11" x14ac:dyDescent="0.45">
      <c r="B5520" s="1" t="s">
        <v>4000</v>
      </c>
      <c r="C5520" s="1" t="s">
        <v>5467</v>
      </c>
      <c r="D5520" s="7">
        <v>44583</v>
      </c>
      <c r="E5520" s="7">
        <v>44601</v>
      </c>
      <c r="G5520" s="1" t="s">
        <v>20</v>
      </c>
      <c r="H5520" s="8">
        <v>504271.66</v>
      </c>
      <c r="I5520" s="8">
        <v>321905.32</v>
      </c>
      <c r="J5520" s="1">
        <f>IF(COUNTIF($C$4:C5520,C5520)=1,1,0)</f>
        <v>1</v>
      </c>
      <c r="K5520" s="1">
        <f t="shared" si="86"/>
        <v>2022</v>
      </c>
    </row>
    <row r="5521" spans="2:11" x14ac:dyDescent="0.45">
      <c r="B5521" s="1" t="s">
        <v>4000</v>
      </c>
      <c r="C5521" s="1" t="s">
        <v>5468</v>
      </c>
      <c r="D5521" s="7">
        <v>43587</v>
      </c>
      <c r="E5521" s="7">
        <v>43605</v>
      </c>
      <c r="G5521" s="1" t="s">
        <v>20</v>
      </c>
      <c r="H5521" s="8">
        <v>707037.46</v>
      </c>
      <c r="I5521" s="8">
        <v>515312.97</v>
      </c>
      <c r="J5521" s="1">
        <f>IF(COUNTIF($C$4:C5521,C5521)=1,1,0)</f>
        <v>1</v>
      </c>
      <c r="K5521" s="1">
        <f t="shared" si="86"/>
        <v>2019</v>
      </c>
    </row>
    <row r="5522" spans="2:11" x14ac:dyDescent="0.45">
      <c r="B5522" s="1" t="s">
        <v>4000</v>
      </c>
      <c r="C5522" s="1" t="s">
        <v>5469</v>
      </c>
      <c r="D5522" s="7">
        <v>45904</v>
      </c>
      <c r="E5522" s="7">
        <v>45929</v>
      </c>
      <c r="G5522" s="1" t="s">
        <v>16</v>
      </c>
      <c r="H5522" s="8">
        <v>8355050.0499999998</v>
      </c>
      <c r="I5522" s="8">
        <v>6362200.9400000004</v>
      </c>
      <c r="J5522" s="1">
        <f>IF(COUNTIF($C$4:C5522,C5522)=1,1,0)</f>
        <v>1</v>
      </c>
      <c r="K5522" s="1">
        <f t="shared" si="86"/>
        <v>2025</v>
      </c>
    </row>
    <row r="5523" spans="2:11" x14ac:dyDescent="0.45">
      <c r="B5523" s="1" t="s">
        <v>4000</v>
      </c>
      <c r="C5523" s="1" t="s">
        <v>5470</v>
      </c>
      <c r="D5523" s="7">
        <v>45474</v>
      </c>
      <c r="E5523" s="7">
        <v>45495</v>
      </c>
      <c r="G5523" s="1" t="s">
        <v>212</v>
      </c>
      <c r="H5523" s="8">
        <v>27181402.780000001</v>
      </c>
      <c r="I5523" s="8">
        <v>12248473.91</v>
      </c>
      <c r="J5523" s="1">
        <f>IF(COUNTIF($C$4:C5523,C5523)=1,1,0)</f>
        <v>1</v>
      </c>
      <c r="K5523" s="1">
        <f t="shared" si="86"/>
        <v>2024</v>
      </c>
    </row>
    <row r="5524" spans="2:11" x14ac:dyDescent="0.45">
      <c r="B5524" s="1" t="s">
        <v>4000</v>
      </c>
      <c r="C5524" s="1" t="s">
        <v>5471</v>
      </c>
      <c r="D5524" s="7">
        <v>45777</v>
      </c>
      <c r="E5524" s="7">
        <v>45803</v>
      </c>
      <c r="G5524" s="1" t="s">
        <v>22</v>
      </c>
      <c r="H5524" s="8">
        <v>16864356.25</v>
      </c>
      <c r="I5524" s="8">
        <v>11067433.949999999</v>
      </c>
      <c r="J5524" s="1">
        <f>IF(COUNTIF($C$4:C5524,C5524)=1,1,0)</f>
        <v>1</v>
      </c>
      <c r="K5524" s="1">
        <f t="shared" si="86"/>
        <v>2025</v>
      </c>
    </row>
    <row r="5525" spans="2:11" x14ac:dyDescent="0.45">
      <c r="B5525" s="1" t="s">
        <v>4000</v>
      </c>
      <c r="C5525" s="1" t="s">
        <v>5472</v>
      </c>
      <c r="D5525" s="7">
        <v>45702</v>
      </c>
      <c r="E5525" s="7">
        <v>45719</v>
      </c>
      <c r="G5525" s="1" t="s">
        <v>44</v>
      </c>
      <c r="H5525" s="8">
        <v>9673909.1600000001</v>
      </c>
      <c r="I5525" s="8">
        <v>4754124.8600000003</v>
      </c>
      <c r="J5525" s="1">
        <f>IF(COUNTIF($C$4:C5525,C5525)=1,1,0)</f>
        <v>1</v>
      </c>
      <c r="K5525" s="1">
        <f t="shared" si="86"/>
        <v>2025</v>
      </c>
    </row>
    <row r="5526" spans="2:11" x14ac:dyDescent="0.45">
      <c r="B5526" s="1" t="s">
        <v>4000</v>
      </c>
      <c r="C5526" s="1" t="s">
        <v>5473</v>
      </c>
      <c r="D5526" s="7">
        <v>45007</v>
      </c>
      <c r="E5526" s="7">
        <v>45037</v>
      </c>
      <c r="G5526" s="1" t="s">
        <v>41</v>
      </c>
      <c r="H5526" s="8">
        <v>175371.26</v>
      </c>
      <c r="I5526" s="8">
        <v>147610.35</v>
      </c>
      <c r="J5526" s="1">
        <f>IF(COUNTIF($C$4:C5526,C5526)=1,1,0)</f>
        <v>1</v>
      </c>
      <c r="K5526" s="1">
        <f t="shared" si="86"/>
        <v>2023</v>
      </c>
    </row>
    <row r="5527" spans="2:11" x14ac:dyDescent="0.45">
      <c r="B5527" s="1" t="s">
        <v>4000</v>
      </c>
      <c r="C5527" s="1" t="s">
        <v>5474</v>
      </c>
      <c r="D5527" s="7">
        <v>44260</v>
      </c>
      <c r="E5527" s="7">
        <v>44274</v>
      </c>
      <c r="G5527" s="1" t="s">
        <v>13</v>
      </c>
      <c r="H5527" s="8">
        <v>165570.13</v>
      </c>
      <c r="I5527" s="8">
        <v>135368.35999999999</v>
      </c>
      <c r="J5527" s="1">
        <f>IF(COUNTIF($C$4:C5527,C5527)=1,1,0)</f>
        <v>1</v>
      </c>
      <c r="K5527" s="1">
        <f t="shared" si="86"/>
        <v>2021</v>
      </c>
    </row>
    <row r="5528" spans="2:11" x14ac:dyDescent="0.45">
      <c r="B5528" s="1" t="s">
        <v>4000</v>
      </c>
      <c r="C5528" s="1" t="s">
        <v>5475</v>
      </c>
      <c r="D5528" s="7">
        <v>44839</v>
      </c>
      <c r="E5528" s="7">
        <v>44850</v>
      </c>
      <c r="G5528" s="1" t="s">
        <v>212</v>
      </c>
      <c r="H5528" s="8">
        <v>34594930.030000001</v>
      </c>
      <c r="I5528" s="8">
        <v>25959734.050000001</v>
      </c>
      <c r="J5528" s="1">
        <f>IF(COUNTIF($C$4:C5528,C5528)=1,1,0)</f>
        <v>1</v>
      </c>
      <c r="K5528" s="1">
        <f t="shared" si="86"/>
        <v>2022</v>
      </c>
    </row>
    <row r="5529" spans="2:11" x14ac:dyDescent="0.45">
      <c r="B5529" s="1" t="s">
        <v>4000</v>
      </c>
      <c r="C5529" s="1" t="s">
        <v>5476</v>
      </c>
      <c r="D5529" s="7">
        <v>43842</v>
      </c>
      <c r="E5529" s="7">
        <v>43859</v>
      </c>
      <c r="G5529" s="1" t="s">
        <v>212</v>
      </c>
      <c r="H5529" s="8">
        <v>22469403.100000001</v>
      </c>
      <c r="I5529" s="8">
        <v>9829801.6999999993</v>
      </c>
      <c r="J5529" s="1">
        <f>IF(COUNTIF($C$4:C5529,C5529)=1,1,0)</f>
        <v>1</v>
      </c>
      <c r="K5529" s="1">
        <f t="shared" si="86"/>
        <v>2020</v>
      </c>
    </row>
    <row r="5530" spans="2:11" x14ac:dyDescent="0.45">
      <c r="B5530" s="1" t="s">
        <v>4000</v>
      </c>
      <c r="C5530" s="1" t="s">
        <v>5477</v>
      </c>
      <c r="D5530" s="7">
        <v>45890</v>
      </c>
      <c r="E5530" s="7">
        <v>45894</v>
      </c>
      <c r="G5530" s="1" t="s">
        <v>13</v>
      </c>
      <c r="H5530" s="8">
        <v>150922.79</v>
      </c>
      <c r="I5530" s="8">
        <v>116483.04</v>
      </c>
      <c r="J5530" s="1">
        <f>IF(COUNTIF($C$4:C5530,C5530)=1,1,0)</f>
        <v>1</v>
      </c>
      <c r="K5530" s="1">
        <f t="shared" si="86"/>
        <v>2025</v>
      </c>
    </row>
    <row r="5531" spans="2:11" x14ac:dyDescent="0.45">
      <c r="B5531" s="1" t="s">
        <v>4000</v>
      </c>
      <c r="C5531" s="1" t="s">
        <v>5478</v>
      </c>
      <c r="D5531" s="7">
        <v>44330</v>
      </c>
      <c r="E5531" s="7">
        <v>44343</v>
      </c>
      <c r="G5531" s="1" t="s">
        <v>20</v>
      </c>
      <c r="H5531" s="8">
        <v>35445998.130000003</v>
      </c>
      <c r="I5531" s="8">
        <v>19174076.09</v>
      </c>
      <c r="J5531" s="1">
        <f>IF(COUNTIF($C$4:C5531,C5531)=1,1,0)</f>
        <v>1</v>
      </c>
      <c r="K5531" s="1">
        <f t="shared" si="86"/>
        <v>2021</v>
      </c>
    </row>
    <row r="5532" spans="2:11" x14ac:dyDescent="0.45">
      <c r="B5532" s="1" t="s">
        <v>4000</v>
      </c>
      <c r="C5532" s="1" t="s">
        <v>5479</v>
      </c>
      <c r="D5532" s="7">
        <v>45048</v>
      </c>
      <c r="E5532" s="7">
        <v>45059</v>
      </c>
      <c r="G5532" s="1" t="s">
        <v>22</v>
      </c>
      <c r="H5532" s="8">
        <v>10877666.869999999</v>
      </c>
      <c r="I5532" s="8">
        <v>4663451.1399999997</v>
      </c>
      <c r="J5532" s="1">
        <f>IF(COUNTIF($C$4:C5532,C5532)=1,1,0)</f>
        <v>1</v>
      </c>
      <c r="K5532" s="1">
        <f t="shared" si="86"/>
        <v>2023</v>
      </c>
    </row>
    <row r="5533" spans="2:11" x14ac:dyDescent="0.45">
      <c r="B5533" s="1" t="s">
        <v>4000</v>
      </c>
      <c r="C5533" s="1" t="s">
        <v>5480</v>
      </c>
      <c r="D5533" s="7">
        <v>45324</v>
      </c>
      <c r="E5533" s="7">
        <v>45339</v>
      </c>
      <c r="G5533" s="1" t="s">
        <v>38</v>
      </c>
      <c r="H5533" s="8">
        <v>2843548.2</v>
      </c>
      <c r="I5533" s="8">
        <v>2288238.37</v>
      </c>
      <c r="J5533" s="1">
        <f>IF(COUNTIF($C$4:C5533,C5533)=1,1,0)</f>
        <v>1</v>
      </c>
      <c r="K5533" s="1">
        <f t="shared" si="86"/>
        <v>2024</v>
      </c>
    </row>
    <row r="5534" spans="2:11" x14ac:dyDescent="0.45">
      <c r="B5534" s="1" t="s">
        <v>4000</v>
      </c>
      <c r="C5534" s="1" t="s">
        <v>5481</v>
      </c>
      <c r="D5534" s="7">
        <v>45170</v>
      </c>
      <c r="E5534" s="7">
        <v>45180</v>
      </c>
      <c r="G5534" s="1" t="s">
        <v>41</v>
      </c>
      <c r="H5534" s="8">
        <v>180716.51</v>
      </c>
      <c r="I5534" s="8">
        <v>157894.43</v>
      </c>
      <c r="J5534" s="1">
        <f>IF(COUNTIF($C$4:C5534,C5534)=1,1,0)</f>
        <v>1</v>
      </c>
      <c r="K5534" s="1">
        <f t="shared" si="86"/>
        <v>2023</v>
      </c>
    </row>
    <row r="5535" spans="2:11" x14ac:dyDescent="0.45">
      <c r="B5535" s="1" t="s">
        <v>4000</v>
      </c>
      <c r="C5535" s="1" t="s">
        <v>5482</v>
      </c>
      <c r="D5535" s="7">
        <v>43362</v>
      </c>
      <c r="E5535" s="7">
        <v>43365</v>
      </c>
      <c r="G5535" s="1" t="s">
        <v>22</v>
      </c>
      <c r="H5535" s="8">
        <v>11023548.5</v>
      </c>
      <c r="I5535" s="8">
        <v>4267413.7300000004</v>
      </c>
      <c r="J5535" s="1">
        <f>IF(COUNTIF($C$4:C5535,C5535)=1,1,0)</f>
        <v>1</v>
      </c>
      <c r="K5535" s="1">
        <f t="shared" si="86"/>
        <v>2018</v>
      </c>
    </row>
    <row r="5536" spans="2:11" x14ac:dyDescent="0.45">
      <c r="B5536" s="1" t="s">
        <v>4000</v>
      </c>
      <c r="C5536" s="1" t="s">
        <v>5483</v>
      </c>
      <c r="D5536" s="7">
        <v>46081</v>
      </c>
      <c r="E5536" s="7">
        <v>46107</v>
      </c>
      <c r="G5536" s="1" t="s">
        <v>13</v>
      </c>
      <c r="H5536" s="8">
        <v>352980.08</v>
      </c>
      <c r="I5536" s="8">
        <v>316925.78000000003</v>
      </c>
      <c r="J5536" s="1">
        <f>IF(COUNTIF($C$4:C5536,C5536)=1,1,0)</f>
        <v>1</v>
      </c>
      <c r="K5536" s="1">
        <f t="shared" si="86"/>
        <v>2026</v>
      </c>
    </row>
    <row r="5537" spans="2:11" x14ac:dyDescent="0.45">
      <c r="B5537" s="1" t="s">
        <v>4000</v>
      </c>
      <c r="C5537" s="1" t="s">
        <v>5484</v>
      </c>
      <c r="D5537" s="7">
        <v>44206</v>
      </c>
      <c r="E5537" s="7">
        <v>44219</v>
      </c>
      <c r="G5537" s="1" t="s">
        <v>20</v>
      </c>
      <c r="H5537" s="8">
        <v>1527217.24</v>
      </c>
      <c r="I5537" s="8">
        <v>1050638.24</v>
      </c>
      <c r="J5537" s="1">
        <f>IF(COUNTIF($C$4:C5537,C5537)=1,1,0)</f>
        <v>1</v>
      </c>
      <c r="K5537" s="1">
        <f t="shared" si="86"/>
        <v>2021</v>
      </c>
    </row>
    <row r="5538" spans="2:11" x14ac:dyDescent="0.45">
      <c r="B5538" s="1" t="s">
        <v>4000</v>
      </c>
      <c r="C5538" s="1" t="s">
        <v>5485</v>
      </c>
      <c r="D5538" s="7">
        <v>44646</v>
      </c>
      <c r="E5538" s="7">
        <v>44650</v>
      </c>
      <c r="G5538" s="1" t="s">
        <v>16</v>
      </c>
      <c r="H5538" s="8">
        <v>4783991.01</v>
      </c>
      <c r="I5538" s="8">
        <v>3315068.11</v>
      </c>
      <c r="J5538" s="1">
        <f>IF(COUNTIF($C$4:C5538,C5538)=1,1,0)</f>
        <v>1</v>
      </c>
      <c r="K5538" s="1">
        <f t="shared" si="86"/>
        <v>2022</v>
      </c>
    </row>
    <row r="5539" spans="2:11" x14ac:dyDescent="0.45">
      <c r="B5539" s="1" t="s">
        <v>4000</v>
      </c>
      <c r="C5539" s="1" t="s">
        <v>5486</v>
      </c>
      <c r="D5539" s="7">
        <v>45792</v>
      </c>
      <c r="E5539" s="7">
        <v>45812</v>
      </c>
      <c r="G5539" s="1" t="s">
        <v>38</v>
      </c>
      <c r="H5539" s="8">
        <v>1063179.31</v>
      </c>
      <c r="I5539" s="8">
        <v>895705.25</v>
      </c>
      <c r="J5539" s="1">
        <f>IF(COUNTIF($C$4:C5539,C5539)=1,1,0)</f>
        <v>1</v>
      </c>
      <c r="K5539" s="1">
        <f t="shared" si="86"/>
        <v>2025</v>
      </c>
    </row>
    <row r="5540" spans="2:11" x14ac:dyDescent="0.45">
      <c r="B5540" s="1" t="s">
        <v>4000</v>
      </c>
      <c r="C5540" s="1" t="s">
        <v>5487</v>
      </c>
      <c r="D5540" s="7">
        <v>44397</v>
      </c>
      <c r="E5540" s="7">
        <v>44411</v>
      </c>
      <c r="G5540" s="1" t="s">
        <v>38</v>
      </c>
      <c r="H5540" s="8">
        <v>668841.31999999995</v>
      </c>
      <c r="I5540" s="8">
        <v>538624.31999999995</v>
      </c>
      <c r="J5540" s="1">
        <f>IF(COUNTIF($C$4:C5540,C5540)=1,1,0)</f>
        <v>1</v>
      </c>
      <c r="K5540" s="1">
        <f t="shared" si="86"/>
        <v>2021</v>
      </c>
    </row>
    <row r="5541" spans="2:11" x14ac:dyDescent="0.45">
      <c r="B5541" s="1" t="s">
        <v>4000</v>
      </c>
      <c r="C5541" s="1" t="s">
        <v>5488</v>
      </c>
      <c r="D5541" s="7">
        <v>45194</v>
      </c>
      <c r="E5541" s="7">
        <v>45202</v>
      </c>
      <c r="G5541" s="1" t="s">
        <v>212</v>
      </c>
      <c r="H5541" s="8">
        <v>7347128.4400000004</v>
      </c>
      <c r="I5541" s="8">
        <v>4681869.57</v>
      </c>
      <c r="J5541" s="1">
        <f>IF(COUNTIF($C$4:C5541,C5541)=1,1,0)</f>
        <v>1</v>
      </c>
      <c r="K5541" s="1">
        <f t="shared" si="86"/>
        <v>2023</v>
      </c>
    </row>
    <row r="5542" spans="2:11" x14ac:dyDescent="0.45">
      <c r="B5542" s="1" t="s">
        <v>4000</v>
      </c>
      <c r="C5542" s="1" t="s">
        <v>5489</v>
      </c>
      <c r="D5542" s="7">
        <v>44707</v>
      </c>
      <c r="E5542" s="7">
        <v>44711</v>
      </c>
      <c r="G5542" s="1" t="s">
        <v>18</v>
      </c>
      <c r="H5542" s="8">
        <v>788486.31</v>
      </c>
      <c r="I5542" s="8">
        <v>575792.55000000005</v>
      </c>
      <c r="J5542" s="1">
        <f>IF(COUNTIF($C$4:C5542,C5542)=1,1,0)</f>
        <v>1</v>
      </c>
      <c r="K5542" s="1">
        <f t="shared" si="86"/>
        <v>2022</v>
      </c>
    </row>
    <row r="5543" spans="2:11" x14ac:dyDescent="0.45">
      <c r="B5543" s="1" t="s">
        <v>4000</v>
      </c>
      <c r="C5543" s="1" t="s">
        <v>5490</v>
      </c>
      <c r="D5543" s="7">
        <v>45630</v>
      </c>
      <c r="E5543" s="7">
        <v>45630</v>
      </c>
      <c r="G5543" s="1" t="s">
        <v>13</v>
      </c>
      <c r="H5543" s="8">
        <v>588186.32999999996</v>
      </c>
      <c r="I5543" s="8">
        <v>530961.68000000005</v>
      </c>
      <c r="J5543" s="1">
        <f>IF(COUNTIF($C$4:C5543,C5543)=1,1,0)</f>
        <v>1</v>
      </c>
      <c r="K5543" s="1">
        <f t="shared" si="86"/>
        <v>2024</v>
      </c>
    </row>
    <row r="5544" spans="2:11" x14ac:dyDescent="0.45">
      <c r="B5544" s="1" t="s">
        <v>4000</v>
      </c>
      <c r="C5544" s="1" t="s">
        <v>5491</v>
      </c>
      <c r="D5544" s="7">
        <v>45122</v>
      </c>
      <c r="E5544" s="7">
        <v>45128</v>
      </c>
      <c r="G5544" s="1" t="s">
        <v>41</v>
      </c>
      <c r="H5544" s="8">
        <v>38439.919999999998</v>
      </c>
      <c r="I5544" s="8">
        <v>31703.21</v>
      </c>
      <c r="J5544" s="1">
        <f>IF(COUNTIF($C$4:C5544,C5544)=1,1,0)</f>
        <v>1</v>
      </c>
      <c r="K5544" s="1">
        <f t="shared" si="86"/>
        <v>2023</v>
      </c>
    </row>
    <row r="5545" spans="2:11" x14ac:dyDescent="0.45">
      <c r="B5545" s="1" t="s">
        <v>4000</v>
      </c>
      <c r="C5545" s="1" t="s">
        <v>5492</v>
      </c>
      <c r="D5545" s="7">
        <v>45824</v>
      </c>
      <c r="E5545" s="7">
        <v>45833</v>
      </c>
      <c r="G5545" s="1" t="s">
        <v>13</v>
      </c>
      <c r="H5545" s="8">
        <v>1028978.22</v>
      </c>
      <c r="I5545" s="8">
        <v>785080.1</v>
      </c>
      <c r="J5545" s="1">
        <f>IF(COUNTIF($C$4:C5545,C5545)=1,1,0)</f>
        <v>1</v>
      </c>
      <c r="K5545" s="1">
        <f t="shared" si="86"/>
        <v>2025</v>
      </c>
    </row>
    <row r="5546" spans="2:11" x14ac:dyDescent="0.45">
      <c r="B5546" s="1" t="s">
        <v>4000</v>
      </c>
      <c r="C5546" s="1" t="s">
        <v>5493</v>
      </c>
      <c r="D5546" s="7">
        <v>43782</v>
      </c>
      <c r="E5546" s="7">
        <v>43794</v>
      </c>
      <c r="G5546" s="1" t="s">
        <v>44</v>
      </c>
      <c r="H5546" s="8">
        <v>7627407.6100000003</v>
      </c>
      <c r="I5546" s="8">
        <v>3585523.56</v>
      </c>
      <c r="J5546" s="1">
        <f>IF(COUNTIF($C$4:C5546,C5546)=1,1,0)</f>
        <v>1</v>
      </c>
      <c r="K5546" s="1">
        <f t="shared" si="86"/>
        <v>2019</v>
      </c>
    </row>
    <row r="5547" spans="2:11" x14ac:dyDescent="0.45">
      <c r="B5547" s="1" t="s">
        <v>4000</v>
      </c>
      <c r="C5547" s="1" t="s">
        <v>5494</v>
      </c>
      <c r="D5547" s="7">
        <v>45488</v>
      </c>
      <c r="E5547" s="7">
        <v>45511</v>
      </c>
      <c r="G5547" s="1" t="s">
        <v>13</v>
      </c>
      <c r="H5547" s="8">
        <v>247674.63</v>
      </c>
      <c r="I5547" s="8">
        <v>209855.52</v>
      </c>
      <c r="J5547" s="1">
        <f>IF(COUNTIF($C$4:C5547,C5547)=1,1,0)</f>
        <v>1</v>
      </c>
      <c r="K5547" s="1">
        <f t="shared" si="86"/>
        <v>2024</v>
      </c>
    </row>
    <row r="5548" spans="2:11" x14ac:dyDescent="0.45">
      <c r="B5548" s="1" t="s">
        <v>4000</v>
      </c>
      <c r="C5548" s="1" t="s">
        <v>5495</v>
      </c>
      <c r="D5548" s="7">
        <v>43522</v>
      </c>
      <c r="E5548" s="7">
        <v>43530</v>
      </c>
      <c r="G5548" s="1" t="s">
        <v>44</v>
      </c>
      <c r="H5548" s="8">
        <v>317403377.94</v>
      </c>
      <c r="I5548" s="8">
        <v>147640849.22</v>
      </c>
      <c r="J5548" s="1">
        <f>IF(COUNTIF($C$4:C5548,C5548)=1,1,0)</f>
        <v>1</v>
      </c>
      <c r="K5548" s="1">
        <f t="shared" si="86"/>
        <v>2019</v>
      </c>
    </row>
    <row r="5549" spans="2:11" x14ac:dyDescent="0.45">
      <c r="B5549" s="1" t="s">
        <v>4000</v>
      </c>
      <c r="C5549" s="1" t="s">
        <v>5496</v>
      </c>
      <c r="D5549" s="7">
        <v>43796</v>
      </c>
      <c r="E5549" s="7">
        <v>43799</v>
      </c>
      <c r="G5549" s="1" t="s">
        <v>44</v>
      </c>
      <c r="H5549" s="8">
        <v>206893174.59</v>
      </c>
      <c r="I5549" s="8">
        <v>106269511.3</v>
      </c>
      <c r="J5549" s="1">
        <f>IF(COUNTIF($C$4:C5549,C5549)=1,1,0)</f>
        <v>1</v>
      </c>
      <c r="K5549" s="1">
        <f t="shared" si="86"/>
        <v>2019</v>
      </c>
    </row>
    <row r="5550" spans="2:11" x14ac:dyDescent="0.45">
      <c r="B5550" s="1" t="s">
        <v>4000</v>
      </c>
      <c r="C5550" s="1" t="s">
        <v>5497</v>
      </c>
      <c r="D5550" s="7">
        <v>43576</v>
      </c>
      <c r="E5550" s="7">
        <v>43580</v>
      </c>
      <c r="G5550" s="1" t="s">
        <v>212</v>
      </c>
      <c r="H5550" s="8">
        <v>3192772.58</v>
      </c>
      <c r="I5550" s="8">
        <v>2169057.19</v>
      </c>
      <c r="J5550" s="1">
        <f>IF(COUNTIF($C$4:C5550,C5550)=1,1,0)</f>
        <v>1</v>
      </c>
      <c r="K5550" s="1">
        <f t="shared" si="86"/>
        <v>2019</v>
      </c>
    </row>
    <row r="5551" spans="2:11" x14ac:dyDescent="0.45">
      <c r="B5551" s="1" t="s">
        <v>4000</v>
      </c>
      <c r="C5551" s="1" t="s">
        <v>5498</v>
      </c>
      <c r="D5551" s="7">
        <v>43619</v>
      </c>
      <c r="E5551" s="7">
        <v>43633</v>
      </c>
      <c r="G5551" s="1" t="s">
        <v>212</v>
      </c>
      <c r="H5551" s="8">
        <v>8842620.8100000005</v>
      </c>
      <c r="I5551" s="8">
        <v>3695767.56</v>
      </c>
      <c r="J5551" s="1">
        <f>IF(COUNTIF($C$4:C5551,C5551)=1,1,0)</f>
        <v>1</v>
      </c>
      <c r="K5551" s="1">
        <f t="shared" si="86"/>
        <v>2019</v>
      </c>
    </row>
    <row r="5552" spans="2:11" x14ac:dyDescent="0.45">
      <c r="B5552" s="1" t="s">
        <v>4000</v>
      </c>
      <c r="C5552" s="1" t="s">
        <v>5499</v>
      </c>
      <c r="D5552" s="7">
        <v>43629</v>
      </c>
      <c r="E5552" s="7">
        <v>43635</v>
      </c>
      <c r="G5552" s="1" t="s">
        <v>22</v>
      </c>
      <c r="H5552" s="8">
        <v>14525340.619999999</v>
      </c>
      <c r="I5552" s="8">
        <v>9366396.7699999996</v>
      </c>
      <c r="J5552" s="1">
        <f>IF(COUNTIF($C$4:C5552,C5552)=1,1,0)</f>
        <v>1</v>
      </c>
      <c r="K5552" s="1">
        <f t="shared" si="86"/>
        <v>2019</v>
      </c>
    </row>
    <row r="5553" spans="2:11" x14ac:dyDescent="0.45">
      <c r="B5553" s="1" t="s">
        <v>4000</v>
      </c>
      <c r="C5553" s="1" t="s">
        <v>5500</v>
      </c>
      <c r="D5553" s="7">
        <v>43333</v>
      </c>
      <c r="E5553" s="7">
        <v>43341</v>
      </c>
      <c r="G5553" s="1" t="s">
        <v>22</v>
      </c>
      <c r="H5553" s="8">
        <v>90685205.359999999</v>
      </c>
      <c r="I5553" s="8">
        <v>67913935.579999998</v>
      </c>
      <c r="J5553" s="1">
        <f>IF(COUNTIF($C$4:C5553,C5553)=1,1,0)</f>
        <v>1</v>
      </c>
      <c r="K5553" s="1">
        <f t="shared" si="86"/>
        <v>2018</v>
      </c>
    </row>
    <row r="5554" spans="2:11" x14ac:dyDescent="0.45">
      <c r="B5554" s="1" t="s">
        <v>4000</v>
      </c>
      <c r="C5554" s="1" t="s">
        <v>4613</v>
      </c>
      <c r="D5554" s="7">
        <v>43824</v>
      </c>
      <c r="E5554" s="7">
        <v>43828</v>
      </c>
      <c r="G5554" s="1" t="s">
        <v>18</v>
      </c>
      <c r="H5554" s="8">
        <v>445861.77</v>
      </c>
      <c r="I5554" s="8">
        <v>339839.57</v>
      </c>
      <c r="J5554" s="1">
        <f>IF(COUNTIF($C$4:C5554,C5554)=1,1,0)</f>
        <v>0</v>
      </c>
      <c r="K5554" s="1">
        <f t="shared" si="86"/>
        <v>2019</v>
      </c>
    </row>
    <row r="5555" spans="2:11" x14ac:dyDescent="0.45">
      <c r="B5555" s="1" t="s">
        <v>4000</v>
      </c>
      <c r="C5555" s="1" t="s">
        <v>5501</v>
      </c>
      <c r="D5555" s="7">
        <v>44975</v>
      </c>
      <c r="E5555" s="7">
        <v>44999</v>
      </c>
      <c r="G5555" s="1" t="s">
        <v>20</v>
      </c>
      <c r="H5555" s="8">
        <v>195784013.40000001</v>
      </c>
      <c r="I5555" s="8">
        <v>147218465.75999999</v>
      </c>
      <c r="J5555" s="1">
        <f>IF(COUNTIF($C$4:C5555,C5555)=1,1,0)</f>
        <v>1</v>
      </c>
      <c r="K5555" s="1">
        <f t="shared" si="86"/>
        <v>2023</v>
      </c>
    </row>
    <row r="5556" spans="2:11" x14ac:dyDescent="0.45">
      <c r="B5556" s="1" t="s">
        <v>4000</v>
      </c>
      <c r="C5556" s="1" t="s">
        <v>5502</v>
      </c>
      <c r="D5556" s="7">
        <v>44151</v>
      </c>
      <c r="E5556" s="7">
        <v>44170</v>
      </c>
      <c r="G5556" s="1" t="s">
        <v>20</v>
      </c>
      <c r="H5556" s="8">
        <v>42738253.68</v>
      </c>
      <c r="I5556" s="8">
        <v>31149772.34</v>
      </c>
      <c r="J5556" s="1">
        <f>IF(COUNTIF($C$4:C5556,C5556)=1,1,0)</f>
        <v>1</v>
      </c>
      <c r="K5556" s="1">
        <f t="shared" si="86"/>
        <v>2020</v>
      </c>
    </row>
    <row r="5557" spans="2:11" x14ac:dyDescent="0.45">
      <c r="B5557" s="1" t="s">
        <v>4000</v>
      </c>
      <c r="C5557" s="1" t="s">
        <v>5503</v>
      </c>
      <c r="D5557" s="7">
        <v>45221</v>
      </c>
      <c r="E5557" s="7">
        <v>45246</v>
      </c>
      <c r="G5557" s="1" t="s">
        <v>38</v>
      </c>
      <c r="H5557" s="8">
        <v>1057688.3500000001</v>
      </c>
      <c r="I5557" s="8">
        <v>788028.47</v>
      </c>
      <c r="J5557" s="1">
        <f>IF(COUNTIF($C$4:C5557,C5557)=1,1,0)</f>
        <v>1</v>
      </c>
      <c r="K5557" s="1">
        <f t="shared" si="86"/>
        <v>2023</v>
      </c>
    </row>
    <row r="5558" spans="2:11" x14ac:dyDescent="0.45">
      <c r="B5558" s="1" t="s">
        <v>4000</v>
      </c>
      <c r="C5558" s="1" t="s">
        <v>5504</v>
      </c>
      <c r="D5558" s="7">
        <v>46033</v>
      </c>
      <c r="E5558" s="7">
        <v>46045</v>
      </c>
      <c r="G5558" s="1" t="s">
        <v>16</v>
      </c>
      <c r="H5558" s="8">
        <v>1918843.12</v>
      </c>
      <c r="I5558" s="8">
        <v>1415240.87</v>
      </c>
      <c r="J5558" s="1">
        <f>IF(COUNTIF($C$4:C5558,C5558)=1,1,0)</f>
        <v>1</v>
      </c>
      <c r="K5558" s="1">
        <f t="shared" si="86"/>
        <v>2026</v>
      </c>
    </row>
    <row r="5559" spans="2:11" x14ac:dyDescent="0.45">
      <c r="B5559" s="1" t="s">
        <v>4000</v>
      </c>
      <c r="C5559" s="1" t="s">
        <v>5505</v>
      </c>
      <c r="D5559" s="7">
        <v>44424</v>
      </c>
      <c r="E5559" s="7">
        <v>44447</v>
      </c>
      <c r="G5559" s="1" t="s">
        <v>22</v>
      </c>
      <c r="H5559" s="8">
        <v>3773556.28</v>
      </c>
      <c r="I5559" s="8">
        <v>2790790.4</v>
      </c>
      <c r="J5559" s="1">
        <f>IF(COUNTIF($C$4:C5559,C5559)=1,1,0)</f>
        <v>1</v>
      </c>
      <c r="K5559" s="1">
        <f t="shared" si="86"/>
        <v>2021</v>
      </c>
    </row>
    <row r="5560" spans="2:11" x14ac:dyDescent="0.45">
      <c r="B5560" s="1" t="s">
        <v>4000</v>
      </c>
      <c r="C5560" s="1" t="s">
        <v>5506</v>
      </c>
      <c r="D5560" s="7">
        <v>45678</v>
      </c>
      <c r="E5560" s="7">
        <v>45685</v>
      </c>
      <c r="G5560" s="1" t="s">
        <v>16</v>
      </c>
      <c r="H5560" s="8">
        <v>3345084.09</v>
      </c>
      <c r="I5560" s="8">
        <v>2156524.5</v>
      </c>
      <c r="J5560" s="1">
        <f>IF(COUNTIF($C$4:C5560,C5560)=1,1,0)</f>
        <v>1</v>
      </c>
      <c r="K5560" s="1">
        <f t="shared" si="86"/>
        <v>2025</v>
      </c>
    </row>
    <row r="5561" spans="2:11" x14ac:dyDescent="0.45">
      <c r="B5561" s="1" t="s">
        <v>4000</v>
      </c>
      <c r="C5561" s="1" t="s">
        <v>5507</v>
      </c>
      <c r="D5561" s="7">
        <v>46163</v>
      </c>
      <c r="E5561" s="7">
        <v>46182</v>
      </c>
      <c r="G5561" s="1" t="s">
        <v>38</v>
      </c>
      <c r="H5561" s="8">
        <v>1711064.1</v>
      </c>
      <c r="I5561" s="8">
        <v>1357679.56</v>
      </c>
      <c r="J5561" s="1">
        <f>IF(COUNTIF($C$4:C5561,C5561)=1,1,0)</f>
        <v>1</v>
      </c>
      <c r="K5561" s="1">
        <f t="shared" si="86"/>
        <v>2026</v>
      </c>
    </row>
    <row r="5562" spans="2:11" x14ac:dyDescent="0.45">
      <c r="B5562" s="1" t="s">
        <v>4000</v>
      </c>
      <c r="C5562" s="1" t="s">
        <v>5508</v>
      </c>
      <c r="D5562" s="7">
        <v>45172</v>
      </c>
      <c r="E5562" s="7">
        <v>45186</v>
      </c>
      <c r="G5562" s="1" t="s">
        <v>13</v>
      </c>
      <c r="H5562" s="8">
        <v>390756.95</v>
      </c>
      <c r="I5562" s="8">
        <v>330549.03999999998</v>
      </c>
      <c r="J5562" s="1">
        <f>IF(COUNTIF($C$4:C5562,C5562)=1,1,0)</f>
        <v>1</v>
      </c>
      <c r="K5562" s="1">
        <f t="shared" si="86"/>
        <v>2023</v>
      </c>
    </row>
    <row r="5563" spans="2:11" x14ac:dyDescent="0.45">
      <c r="B5563" s="1" t="s">
        <v>4000</v>
      </c>
      <c r="C5563" s="1" t="s">
        <v>5509</v>
      </c>
      <c r="D5563" s="7">
        <v>44694</v>
      </c>
      <c r="E5563" s="7">
        <v>44710</v>
      </c>
      <c r="G5563" s="1" t="s">
        <v>44</v>
      </c>
      <c r="H5563" s="8">
        <v>153027085.78999999</v>
      </c>
      <c r="I5563" s="8">
        <v>67941790.790000007</v>
      </c>
      <c r="J5563" s="1">
        <f>IF(COUNTIF($C$4:C5563,C5563)=1,1,0)</f>
        <v>1</v>
      </c>
      <c r="K5563" s="1">
        <f t="shared" si="86"/>
        <v>2022</v>
      </c>
    </row>
    <row r="5564" spans="2:11" x14ac:dyDescent="0.45">
      <c r="B5564" s="1" t="s">
        <v>4000</v>
      </c>
      <c r="C5564" s="1" t="s">
        <v>5510</v>
      </c>
      <c r="D5564" s="7">
        <v>45857</v>
      </c>
      <c r="E5564" s="7">
        <v>45877</v>
      </c>
      <c r="G5564" s="1" t="s">
        <v>212</v>
      </c>
      <c r="H5564" s="8">
        <v>5695243.0599999996</v>
      </c>
      <c r="I5564" s="8">
        <v>3124376.43</v>
      </c>
      <c r="J5564" s="1">
        <f>IF(COUNTIF($C$4:C5564,C5564)=1,1,0)</f>
        <v>1</v>
      </c>
      <c r="K5564" s="1">
        <f t="shared" si="86"/>
        <v>2025</v>
      </c>
    </row>
    <row r="5565" spans="2:11" x14ac:dyDescent="0.45">
      <c r="B5565" s="1" t="s">
        <v>4000</v>
      </c>
      <c r="C5565" s="1" t="s">
        <v>5511</v>
      </c>
      <c r="D5565" s="7">
        <v>44430</v>
      </c>
      <c r="E5565" s="7">
        <v>44437</v>
      </c>
      <c r="G5565" s="1" t="s">
        <v>22</v>
      </c>
      <c r="H5565" s="8">
        <v>4219028.22</v>
      </c>
      <c r="I5565" s="8">
        <v>1855536.12</v>
      </c>
      <c r="J5565" s="1">
        <f>IF(COUNTIF($C$4:C5565,C5565)=1,1,0)</f>
        <v>1</v>
      </c>
      <c r="K5565" s="1">
        <f t="shared" si="86"/>
        <v>2021</v>
      </c>
    </row>
    <row r="5566" spans="2:11" x14ac:dyDescent="0.45">
      <c r="B5566" s="1" t="s">
        <v>4000</v>
      </c>
      <c r="C5566" s="1" t="s">
        <v>5512</v>
      </c>
      <c r="D5566" s="7">
        <v>45673</v>
      </c>
      <c r="E5566" s="7">
        <v>45700</v>
      </c>
      <c r="G5566" s="1" t="s">
        <v>38</v>
      </c>
      <c r="H5566" s="8">
        <v>333966.53000000003</v>
      </c>
      <c r="I5566" s="8">
        <v>260025.4</v>
      </c>
      <c r="J5566" s="1">
        <f>IF(COUNTIF($C$4:C5566,C5566)=1,1,0)</f>
        <v>1</v>
      </c>
      <c r="K5566" s="1">
        <f t="shared" si="86"/>
        <v>2025</v>
      </c>
    </row>
    <row r="5567" spans="2:11" x14ac:dyDescent="0.45">
      <c r="B5567" s="1" t="s">
        <v>4000</v>
      </c>
      <c r="C5567" s="1" t="s">
        <v>5513</v>
      </c>
      <c r="D5567" s="7">
        <v>44861</v>
      </c>
      <c r="E5567" s="7">
        <v>44861</v>
      </c>
      <c r="G5567" s="1" t="s">
        <v>38</v>
      </c>
      <c r="H5567" s="8">
        <v>403143.69</v>
      </c>
      <c r="I5567" s="8">
        <v>327318.77</v>
      </c>
      <c r="J5567" s="1">
        <f>IF(COUNTIF($C$4:C5567,C5567)=1,1,0)</f>
        <v>1</v>
      </c>
      <c r="K5567" s="1">
        <f t="shared" si="86"/>
        <v>2022</v>
      </c>
    </row>
    <row r="5568" spans="2:11" x14ac:dyDescent="0.45">
      <c r="B5568" s="1" t="s">
        <v>4000</v>
      </c>
      <c r="C5568" s="1" t="s">
        <v>5514</v>
      </c>
      <c r="D5568" s="7">
        <v>43535</v>
      </c>
      <c r="E5568" s="7">
        <v>43537</v>
      </c>
      <c r="G5568" s="1" t="s">
        <v>212</v>
      </c>
      <c r="H5568" s="8">
        <v>30782175.399999999</v>
      </c>
      <c r="I5568" s="8">
        <v>22862792.789999999</v>
      </c>
      <c r="J5568" s="1">
        <f>IF(COUNTIF($C$4:C5568,C5568)=1,1,0)</f>
        <v>1</v>
      </c>
      <c r="K5568" s="1">
        <f t="shared" si="86"/>
        <v>2019</v>
      </c>
    </row>
    <row r="5569" spans="2:11" x14ac:dyDescent="0.45">
      <c r="B5569" s="1" t="s">
        <v>4000</v>
      </c>
      <c r="C5569" s="1" t="s">
        <v>5515</v>
      </c>
      <c r="D5569" s="7">
        <v>45987</v>
      </c>
      <c r="E5569" s="7">
        <v>46000</v>
      </c>
      <c r="G5569" s="1" t="s">
        <v>212</v>
      </c>
      <c r="H5569" s="8">
        <v>7320261.4400000004</v>
      </c>
      <c r="I5569" s="8">
        <v>3451570.98</v>
      </c>
      <c r="J5569" s="1">
        <f>IF(COUNTIF($C$4:C5569,C5569)=1,1,0)</f>
        <v>1</v>
      </c>
      <c r="K5569" s="1">
        <f t="shared" si="86"/>
        <v>2025</v>
      </c>
    </row>
    <row r="5570" spans="2:11" x14ac:dyDescent="0.45">
      <c r="B5570" s="1" t="s">
        <v>4000</v>
      </c>
      <c r="C5570" s="1" t="s">
        <v>5516</v>
      </c>
      <c r="D5570" s="7">
        <v>43443</v>
      </c>
      <c r="E5570" s="7">
        <v>43462</v>
      </c>
      <c r="G5570" s="1" t="s">
        <v>212</v>
      </c>
      <c r="H5570" s="8">
        <v>1518988.59</v>
      </c>
      <c r="I5570" s="8">
        <v>1096006.1000000001</v>
      </c>
      <c r="J5570" s="1">
        <f>IF(COUNTIF($C$4:C5570,C5570)=1,1,0)</f>
        <v>1</v>
      </c>
      <c r="K5570" s="1">
        <f t="shared" si="86"/>
        <v>2018</v>
      </c>
    </row>
    <row r="5571" spans="2:11" x14ac:dyDescent="0.45">
      <c r="B5571" s="1" t="s">
        <v>4000</v>
      </c>
      <c r="C5571" s="1" t="s">
        <v>5517</v>
      </c>
      <c r="D5571" s="7">
        <v>45648</v>
      </c>
      <c r="E5571" s="7">
        <v>45653</v>
      </c>
      <c r="G5571" s="1" t="s">
        <v>44</v>
      </c>
      <c r="H5571" s="8">
        <v>125777652.61</v>
      </c>
      <c r="I5571" s="8">
        <v>95462874.549999997</v>
      </c>
      <c r="J5571" s="1">
        <f>IF(COUNTIF($C$4:C5571,C5571)=1,1,0)</f>
        <v>1</v>
      </c>
      <c r="K5571" s="1">
        <f t="shared" si="86"/>
        <v>2024</v>
      </c>
    </row>
    <row r="5572" spans="2:11" x14ac:dyDescent="0.45">
      <c r="B5572" s="1" t="s">
        <v>4000</v>
      </c>
      <c r="C5572" s="1" t="s">
        <v>5518</v>
      </c>
      <c r="D5572" s="7">
        <v>44439</v>
      </c>
      <c r="E5572" s="7">
        <v>44463</v>
      </c>
      <c r="G5572" s="1" t="s">
        <v>16</v>
      </c>
      <c r="H5572" s="8">
        <v>652020.18000000005</v>
      </c>
      <c r="I5572" s="8">
        <v>428072.9</v>
      </c>
      <c r="J5572" s="1">
        <f>IF(COUNTIF($C$4:C5572,C5572)=1,1,0)</f>
        <v>1</v>
      </c>
      <c r="K5572" s="1">
        <f t="shared" si="86"/>
        <v>2021</v>
      </c>
    </row>
    <row r="5573" spans="2:11" x14ac:dyDescent="0.45">
      <c r="B5573" s="1" t="s">
        <v>4000</v>
      </c>
      <c r="C5573" s="1" t="s">
        <v>5519</v>
      </c>
      <c r="D5573" s="7">
        <v>43483</v>
      </c>
      <c r="E5573" s="7">
        <v>43496</v>
      </c>
      <c r="G5573" s="1" t="s">
        <v>38</v>
      </c>
      <c r="H5573" s="8">
        <v>1315543.48</v>
      </c>
      <c r="I5573" s="8">
        <v>1183956.07</v>
      </c>
      <c r="J5573" s="1">
        <f>IF(COUNTIF($C$4:C5573,C5573)=1,1,0)</f>
        <v>1</v>
      </c>
      <c r="K5573" s="1">
        <f t="shared" ref="K5573:K5636" si="87">YEAR(D5573)</f>
        <v>2019</v>
      </c>
    </row>
    <row r="5574" spans="2:11" x14ac:dyDescent="0.45">
      <c r="B5574" s="1" t="s">
        <v>4000</v>
      </c>
      <c r="C5574" s="1" t="s">
        <v>5520</v>
      </c>
      <c r="D5574" s="7">
        <v>43978</v>
      </c>
      <c r="E5574" s="7">
        <v>43987</v>
      </c>
      <c r="G5574" s="1" t="s">
        <v>20</v>
      </c>
      <c r="H5574" s="8">
        <v>81473034.969999999</v>
      </c>
      <c r="I5574" s="8">
        <v>48870877.07</v>
      </c>
      <c r="J5574" s="1">
        <f>IF(COUNTIF($C$4:C5574,C5574)=1,1,0)</f>
        <v>1</v>
      </c>
      <c r="K5574" s="1">
        <f t="shared" si="87"/>
        <v>2020</v>
      </c>
    </row>
    <row r="5575" spans="2:11" x14ac:dyDescent="0.45">
      <c r="B5575" s="1" t="s">
        <v>4000</v>
      </c>
      <c r="C5575" s="1" t="s">
        <v>5521</v>
      </c>
      <c r="D5575" s="7">
        <v>46123</v>
      </c>
      <c r="E5575" s="7">
        <v>46145</v>
      </c>
      <c r="G5575" s="1" t="s">
        <v>13</v>
      </c>
      <c r="H5575" s="8">
        <v>211952.11</v>
      </c>
      <c r="I5575" s="8">
        <v>143987.32999999999</v>
      </c>
      <c r="J5575" s="1">
        <f>IF(COUNTIF($C$4:C5575,C5575)=1,1,0)</f>
        <v>1</v>
      </c>
      <c r="K5575" s="1">
        <f t="shared" si="87"/>
        <v>2026</v>
      </c>
    </row>
    <row r="5576" spans="2:11" x14ac:dyDescent="0.45">
      <c r="B5576" s="1" t="s">
        <v>4000</v>
      </c>
      <c r="C5576" s="1" t="s">
        <v>5522</v>
      </c>
      <c r="D5576" s="7">
        <v>45413</v>
      </c>
      <c r="E5576" s="7">
        <v>45416</v>
      </c>
      <c r="G5576" s="1" t="s">
        <v>212</v>
      </c>
      <c r="H5576" s="8">
        <v>27229443.960000001</v>
      </c>
      <c r="I5576" s="8">
        <v>20455314.420000002</v>
      </c>
      <c r="J5576" s="1">
        <f>IF(COUNTIF($C$4:C5576,C5576)=1,1,0)</f>
        <v>1</v>
      </c>
      <c r="K5576" s="1">
        <f t="shared" si="87"/>
        <v>2024</v>
      </c>
    </row>
    <row r="5577" spans="2:11" x14ac:dyDescent="0.45">
      <c r="B5577" s="1" t="s">
        <v>4000</v>
      </c>
      <c r="C5577" s="1" t="s">
        <v>5523</v>
      </c>
      <c r="D5577" s="7">
        <v>43332</v>
      </c>
      <c r="E5577" s="7">
        <v>43340</v>
      </c>
      <c r="G5577" s="1" t="s">
        <v>38</v>
      </c>
      <c r="H5577" s="8">
        <v>142636.75</v>
      </c>
      <c r="I5577" s="8">
        <v>123648.16</v>
      </c>
      <c r="J5577" s="1">
        <f>IF(COUNTIF($C$4:C5577,C5577)=1,1,0)</f>
        <v>1</v>
      </c>
      <c r="K5577" s="1">
        <f t="shared" si="87"/>
        <v>2018</v>
      </c>
    </row>
    <row r="5578" spans="2:11" x14ac:dyDescent="0.45">
      <c r="B5578" s="1" t="s">
        <v>4000</v>
      </c>
      <c r="C5578" s="1" t="s">
        <v>5524</v>
      </c>
      <c r="D5578" s="7">
        <v>45938</v>
      </c>
      <c r="E5578" s="7">
        <v>45955</v>
      </c>
      <c r="G5578" s="1" t="s">
        <v>38</v>
      </c>
      <c r="H5578" s="8">
        <v>184503.52</v>
      </c>
      <c r="I5578" s="8">
        <v>157646.68</v>
      </c>
      <c r="J5578" s="1">
        <f>IF(COUNTIF($C$4:C5578,C5578)=1,1,0)</f>
        <v>1</v>
      </c>
      <c r="K5578" s="1">
        <f t="shared" si="87"/>
        <v>2025</v>
      </c>
    </row>
    <row r="5579" spans="2:11" x14ac:dyDescent="0.45">
      <c r="B5579" s="1" t="s">
        <v>4000</v>
      </c>
      <c r="C5579" s="1" t="s">
        <v>5525</v>
      </c>
      <c r="D5579" s="7">
        <v>44509</v>
      </c>
      <c r="E5579" s="7">
        <v>44534</v>
      </c>
      <c r="G5579" s="1" t="s">
        <v>20</v>
      </c>
      <c r="H5579" s="8">
        <v>56284.39</v>
      </c>
      <c r="I5579" s="8">
        <v>34556.230000000003</v>
      </c>
      <c r="J5579" s="1">
        <f>IF(COUNTIF($C$4:C5579,C5579)=1,1,0)</f>
        <v>1</v>
      </c>
      <c r="K5579" s="1">
        <f t="shared" si="87"/>
        <v>2021</v>
      </c>
    </row>
    <row r="5580" spans="2:11" x14ac:dyDescent="0.45">
      <c r="B5580" s="1" t="s">
        <v>4000</v>
      </c>
      <c r="C5580" s="1" t="s">
        <v>5526</v>
      </c>
      <c r="D5580" s="7">
        <v>44006</v>
      </c>
      <c r="E5580" s="7">
        <v>44032</v>
      </c>
      <c r="G5580" s="1" t="s">
        <v>20</v>
      </c>
      <c r="H5580" s="8">
        <v>424876.4</v>
      </c>
      <c r="I5580" s="8">
        <v>339169.41</v>
      </c>
      <c r="J5580" s="1">
        <f>IF(COUNTIF($C$4:C5580,C5580)=1,1,0)</f>
        <v>1</v>
      </c>
      <c r="K5580" s="1">
        <f t="shared" si="87"/>
        <v>2020</v>
      </c>
    </row>
    <row r="5581" spans="2:11" x14ac:dyDescent="0.45">
      <c r="B5581" s="1" t="s">
        <v>4000</v>
      </c>
      <c r="C5581" s="1" t="s">
        <v>5527</v>
      </c>
      <c r="D5581" s="7">
        <v>43724</v>
      </c>
      <c r="E5581" s="7">
        <v>43752</v>
      </c>
      <c r="G5581" s="1" t="s">
        <v>41</v>
      </c>
      <c r="H5581" s="8">
        <v>679221.8</v>
      </c>
      <c r="I5581" s="8">
        <v>452162.83</v>
      </c>
      <c r="J5581" s="1">
        <f>IF(COUNTIF($C$4:C5581,C5581)=1,1,0)</f>
        <v>1</v>
      </c>
      <c r="K5581" s="1">
        <f t="shared" si="87"/>
        <v>2019</v>
      </c>
    </row>
    <row r="5582" spans="2:11" x14ac:dyDescent="0.45">
      <c r="B5582" s="1" t="s">
        <v>4000</v>
      </c>
      <c r="C5582" s="1" t="s">
        <v>5528</v>
      </c>
      <c r="D5582" s="7">
        <v>45444</v>
      </c>
      <c r="E5582" s="7">
        <v>45463</v>
      </c>
      <c r="G5582" s="1" t="s">
        <v>22</v>
      </c>
      <c r="H5582" s="8">
        <v>21625863.859999999</v>
      </c>
      <c r="I5582" s="8">
        <v>12281183.85</v>
      </c>
      <c r="J5582" s="1">
        <f>IF(COUNTIF($C$4:C5582,C5582)=1,1,0)</f>
        <v>1</v>
      </c>
      <c r="K5582" s="1">
        <f t="shared" si="87"/>
        <v>2024</v>
      </c>
    </row>
    <row r="5583" spans="2:11" x14ac:dyDescent="0.45">
      <c r="B5583" s="1" t="s">
        <v>4000</v>
      </c>
      <c r="C5583" s="1" t="s">
        <v>5529</v>
      </c>
      <c r="D5583" s="7">
        <v>43494</v>
      </c>
      <c r="E5583" s="7">
        <v>43499</v>
      </c>
      <c r="G5583" s="1" t="s">
        <v>22</v>
      </c>
      <c r="H5583" s="8">
        <v>98754837.359999999</v>
      </c>
      <c r="I5583" s="8">
        <v>65226092.409999996</v>
      </c>
      <c r="J5583" s="1">
        <f>IF(COUNTIF($C$4:C5583,C5583)=1,1,0)</f>
        <v>1</v>
      </c>
      <c r="K5583" s="1">
        <f t="shared" si="87"/>
        <v>2019</v>
      </c>
    </row>
    <row r="5584" spans="2:11" x14ac:dyDescent="0.45">
      <c r="B5584" s="1" t="s">
        <v>4000</v>
      </c>
      <c r="C5584" s="1" t="s">
        <v>5530</v>
      </c>
      <c r="D5584" s="7">
        <v>46095</v>
      </c>
      <c r="E5584" s="7">
        <v>46116</v>
      </c>
      <c r="G5584" s="1" t="s">
        <v>13</v>
      </c>
      <c r="H5584" s="8">
        <v>267469.15999999997</v>
      </c>
      <c r="I5584" s="8">
        <v>220071.66</v>
      </c>
      <c r="J5584" s="1">
        <f>IF(COUNTIF($C$4:C5584,C5584)=1,1,0)</f>
        <v>1</v>
      </c>
      <c r="K5584" s="1">
        <f t="shared" si="87"/>
        <v>2026</v>
      </c>
    </row>
    <row r="5585" spans="2:11" x14ac:dyDescent="0.45">
      <c r="B5585" s="1" t="s">
        <v>4000</v>
      </c>
      <c r="C5585" s="1" t="s">
        <v>5531</v>
      </c>
      <c r="D5585" s="7">
        <v>45032</v>
      </c>
      <c r="E5585" s="7">
        <v>45038</v>
      </c>
      <c r="G5585" s="1" t="s">
        <v>41</v>
      </c>
      <c r="H5585" s="8">
        <v>256726.46</v>
      </c>
      <c r="I5585" s="8">
        <v>229325.3</v>
      </c>
      <c r="J5585" s="1">
        <f>IF(COUNTIF($C$4:C5585,C5585)=1,1,0)</f>
        <v>1</v>
      </c>
      <c r="K5585" s="1">
        <f t="shared" si="87"/>
        <v>2023</v>
      </c>
    </row>
    <row r="5586" spans="2:11" x14ac:dyDescent="0.45">
      <c r="B5586" s="1" t="s">
        <v>4000</v>
      </c>
      <c r="C5586" s="1" t="s">
        <v>5532</v>
      </c>
      <c r="D5586" s="7">
        <v>45160</v>
      </c>
      <c r="E5586" s="7">
        <v>45185</v>
      </c>
      <c r="G5586" s="1" t="s">
        <v>44</v>
      </c>
      <c r="H5586" s="8">
        <v>55921754.950000003</v>
      </c>
      <c r="I5586" s="8">
        <v>35255393.840000004</v>
      </c>
      <c r="J5586" s="1">
        <f>IF(COUNTIF($C$4:C5586,C5586)=1,1,0)</f>
        <v>1</v>
      </c>
      <c r="K5586" s="1">
        <f t="shared" si="87"/>
        <v>2023</v>
      </c>
    </row>
    <row r="5587" spans="2:11" x14ac:dyDescent="0.45">
      <c r="B5587" s="1" t="s">
        <v>4000</v>
      </c>
      <c r="C5587" s="1" t="s">
        <v>5533</v>
      </c>
      <c r="D5587" s="7">
        <v>46168</v>
      </c>
      <c r="E5587" s="7">
        <v>46186</v>
      </c>
      <c r="G5587" s="1" t="s">
        <v>41</v>
      </c>
      <c r="H5587" s="8">
        <v>215206.78</v>
      </c>
      <c r="I5587" s="8">
        <v>157665.29</v>
      </c>
      <c r="J5587" s="1">
        <f>IF(COUNTIF($C$4:C5587,C5587)=1,1,0)</f>
        <v>1</v>
      </c>
      <c r="K5587" s="1">
        <f t="shared" si="87"/>
        <v>2026</v>
      </c>
    </row>
    <row r="5588" spans="2:11" x14ac:dyDescent="0.45">
      <c r="B5588" s="1" t="s">
        <v>4000</v>
      </c>
      <c r="C5588" s="1" t="s">
        <v>5534</v>
      </c>
      <c r="D5588" s="7">
        <v>46164</v>
      </c>
      <c r="E5588" s="7">
        <v>46164</v>
      </c>
      <c r="G5588" s="1" t="s">
        <v>41</v>
      </c>
      <c r="H5588" s="8">
        <v>30429.98</v>
      </c>
      <c r="I5588" s="8">
        <v>21691.27</v>
      </c>
      <c r="J5588" s="1">
        <f>IF(COUNTIF($C$4:C5588,C5588)=1,1,0)</f>
        <v>1</v>
      </c>
      <c r="K5588" s="1">
        <f t="shared" si="87"/>
        <v>2026</v>
      </c>
    </row>
    <row r="5589" spans="2:11" x14ac:dyDescent="0.45">
      <c r="B5589" s="1" t="s">
        <v>4000</v>
      </c>
      <c r="C5589" s="1" t="s">
        <v>5535</v>
      </c>
      <c r="D5589" s="7">
        <v>45463</v>
      </c>
      <c r="E5589" s="7">
        <v>45472</v>
      </c>
      <c r="G5589" s="1" t="s">
        <v>16</v>
      </c>
      <c r="H5589" s="8">
        <v>687923.33</v>
      </c>
      <c r="I5589" s="8">
        <v>484136.84</v>
      </c>
      <c r="J5589" s="1">
        <f>IF(COUNTIF($C$4:C5589,C5589)=1,1,0)</f>
        <v>1</v>
      </c>
      <c r="K5589" s="1">
        <f t="shared" si="87"/>
        <v>2024</v>
      </c>
    </row>
    <row r="5590" spans="2:11" x14ac:dyDescent="0.45">
      <c r="B5590" s="1" t="s">
        <v>4000</v>
      </c>
      <c r="C5590" s="1" t="s">
        <v>5536</v>
      </c>
      <c r="D5590" s="7">
        <v>44597</v>
      </c>
      <c r="E5590" s="7">
        <v>44609</v>
      </c>
      <c r="G5590" s="1" t="s">
        <v>16</v>
      </c>
      <c r="H5590" s="8">
        <v>4269010.0199999996</v>
      </c>
      <c r="I5590" s="8">
        <v>3379342.39</v>
      </c>
      <c r="J5590" s="1">
        <f>IF(COUNTIF($C$4:C5590,C5590)=1,1,0)</f>
        <v>1</v>
      </c>
      <c r="K5590" s="1">
        <f t="shared" si="87"/>
        <v>2022</v>
      </c>
    </row>
    <row r="5591" spans="2:11" x14ac:dyDescent="0.45">
      <c r="B5591" s="1" t="s">
        <v>4000</v>
      </c>
      <c r="C5591" s="1" t="s">
        <v>5537</v>
      </c>
      <c r="D5591" s="7">
        <v>45026</v>
      </c>
      <c r="E5591" s="7">
        <v>45043</v>
      </c>
      <c r="G5591" s="1" t="s">
        <v>44</v>
      </c>
      <c r="H5591" s="8">
        <v>65520115.25</v>
      </c>
      <c r="I5591" s="8">
        <v>44739902.25</v>
      </c>
      <c r="J5591" s="1">
        <f>IF(COUNTIF($C$4:C5591,C5591)=1,1,0)</f>
        <v>1</v>
      </c>
      <c r="K5591" s="1">
        <f t="shared" si="87"/>
        <v>2023</v>
      </c>
    </row>
    <row r="5592" spans="2:11" x14ac:dyDescent="0.45">
      <c r="B5592" s="1" t="s">
        <v>4000</v>
      </c>
      <c r="C5592" s="1" t="s">
        <v>5538</v>
      </c>
      <c r="D5592" s="7">
        <v>45594</v>
      </c>
      <c r="E5592" s="7">
        <v>45603</v>
      </c>
      <c r="G5592" s="1" t="s">
        <v>44</v>
      </c>
      <c r="H5592" s="8">
        <v>43704425.939999998</v>
      </c>
      <c r="I5592" s="8">
        <v>21129351.34</v>
      </c>
      <c r="J5592" s="1">
        <f>IF(COUNTIF($C$4:C5592,C5592)=1,1,0)</f>
        <v>1</v>
      </c>
      <c r="K5592" s="1">
        <f t="shared" si="87"/>
        <v>2024</v>
      </c>
    </row>
    <row r="5593" spans="2:11" x14ac:dyDescent="0.45">
      <c r="B5593" s="1" t="s">
        <v>4000</v>
      </c>
      <c r="C5593" s="1" t="s">
        <v>5539</v>
      </c>
      <c r="D5593" s="7">
        <v>45721</v>
      </c>
      <c r="E5593" s="7">
        <v>45751</v>
      </c>
      <c r="G5593" s="1" t="s">
        <v>41</v>
      </c>
      <c r="H5593" s="8">
        <v>850916.7</v>
      </c>
      <c r="I5593" s="8">
        <v>659761.80000000005</v>
      </c>
      <c r="J5593" s="1">
        <f>IF(COUNTIF($C$4:C5593,C5593)=1,1,0)</f>
        <v>1</v>
      </c>
      <c r="K5593" s="1">
        <f t="shared" si="87"/>
        <v>2025</v>
      </c>
    </row>
    <row r="5594" spans="2:11" x14ac:dyDescent="0.45">
      <c r="B5594" s="1" t="s">
        <v>4000</v>
      </c>
      <c r="C5594" s="1" t="s">
        <v>5540</v>
      </c>
      <c r="D5594" s="7">
        <v>45863</v>
      </c>
      <c r="E5594" s="7">
        <v>45887</v>
      </c>
      <c r="G5594" s="1" t="s">
        <v>13</v>
      </c>
      <c r="H5594" s="8">
        <v>1873372.44</v>
      </c>
      <c r="I5594" s="8">
        <v>1259002.3999999999</v>
      </c>
      <c r="J5594" s="1">
        <f>IF(COUNTIF($C$4:C5594,C5594)=1,1,0)</f>
        <v>1</v>
      </c>
      <c r="K5594" s="1">
        <f t="shared" si="87"/>
        <v>2025</v>
      </c>
    </row>
    <row r="5595" spans="2:11" x14ac:dyDescent="0.45">
      <c r="B5595" s="1" t="s">
        <v>4000</v>
      </c>
      <c r="C5595" s="1" t="s">
        <v>5541</v>
      </c>
      <c r="D5595" s="7">
        <v>45586</v>
      </c>
      <c r="E5595" s="7">
        <v>45591</v>
      </c>
      <c r="G5595" s="1" t="s">
        <v>212</v>
      </c>
      <c r="H5595" s="8">
        <v>57544643.810000002</v>
      </c>
      <c r="I5595" s="8">
        <v>37720213.32</v>
      </c>
      <c r="J5595" s="1">
        <f>IF(COUNTIF($C$4:C5595,C5595)=1,1,0)</f>
        <v>1</v>
      </c>
      <c r="K5595" s="1">
        <f t="shared" si="87"/>
        <v>2024</v>
      </c>
    </row>
    <row r="5596" spans="2:11" x14ac:dyDescent="0.45">
      <c r="B5596" s="1" t="s">
        <v>4000</v>
      </c>
      <c r="C5596" s="1" t="s">
        <v>5542</v>
      </c>
      <c r="D5596" s="7">
        <v>43332</v>
      </c>
      <c r="E5596" s="7">
        <v>43362</v>
      </c>
      <c r="G5596" s="1" t="s">
        <v>20</v>
      </c>
      <c r="H5596" s="8">
        <v>26430820.760000002</v>
      </c>
      <c r="I5596" s="8">
        <v>16061823.26</v>
      </c>
      <c r="J5596" s="1">
        <f>IF(COUNTIF($C$4:C5596,C5596)=1,1,0)</f>
        <v>1</v>
      </c>
      <c r="K5596" s="1">
        <f t="shared" si="87"/>
        <v>2018</v>
      </c>
    </row>
    <row r="5597" spans="2:11" x14ac:dyDescent="0.45">
      <c r="B5597" s="1" t="s">
        <v>4000</v>
      </c>
      <c r="C5597" s="1" t="s">
        <v>5543</v>
      </c>
      <c r="D5597" s="7">
        <v>44379</v>
      </c>
      <c r="E5597" s="7">
        <v>44386</v>
      </c>
      <c r="G5597" s="1" t="s">
        <v>22</v>
      </c>
      <c r="H5597" s="8">
        <v>26570897.960000001</v>
      </c>
      <c r="I5597" s="8">
        <v>11685355.01</v>
      </c>
      <c r="J5597" s="1">
        <f>IF(COUNTIF($C$4:C5597,C5597)=1,1,0)</f>
        <v>1</v>
      </c>
      <c r="K5597" s="1">
        <f t="shared" si="87"/>
        <v>2021</v>
      </c>
    </row>
    <row r="5598" spans="2:11" x14ac:dyDescent="0.45">
      <c r="B5598" s="1" t="s">
        <v>4000</v>
      </c>
      <c r="C5598" s="1" t="s">
        <v>5544</v>
      </c>
      <c r="D5598" s="7">
        <v>44277</v>
      </c>
      <c r="E5598" s="7">
        <v>44306</v>
      </c>
      <c r="G5598" s="1" t="s">
        <v>16</v>
      </c>
      <c r="H5598" s="8">
        <v>3586172.2</v>
      </c>
      <c r="I5598" s="8">
        <v>2070420.69</v>
      </c>
      <c r="J5598" s="1">
        <f>IF(COUNTIF($C$4:C5598,C5598)=1,1,0)</f>
        <v>1</v>
      </c>
      <c r="K5598" s="1">
        <f t="shared" si="87"/>
        <v>2021</v>
      </c>
    </row>
    <row r="5599" spans="2:11" x14ac:dyDescent="0.45">
      <c r="B5599" s="1" t="s">
        <v>4000</v>
      </c>
      <c r="C5599" s="1" t="s">
        <v>5545</v>
      </c>
      <c r="D5599" s="7">
        <v>45756</v>
      </c>
      <c r="E5599" s="7">
        <v>45767</v>
      </c>
      <c r="G5599" s="1" t="s">
        <v>44</v>
      </c>
      <c r="H5599" s="8">
        <v>359209800.60000002</v>
      </c>
      <c r="I5599" s="8">
        <v>136065735.66999999</v>
      </c>
      <c r="J5599" s="1">
        <f>IF(COUNTIF($C$4:C5599,C5599)=1,1,0)</f>
        <v>1</v>
      </c>
      <c r="K5599" s="1">
        <f t="shared" si="87"/>
        <v>2025</v>
      </c>
    </row>
    <row r="5600" spans="2:11" x14ac:dyDescent="0.45">
      <c r="B5600" s="1" t="s">
        <v>4000</v>
      </c>
      <c r="C5600" s="1" t="s">
        <v>5546</v>
      </c>
      <c r="D5600" s="7">
        <v>44491</v>
      </c>
      <c r="E5600" s="7">
        <v>44519</v>
      </c>
      <c r="G5600" s="1" t="s">
        <v>41</v>
      </c>
      <c r="H5600" s="8">
        <v>114764.95</v>
      </c>
      <c r="I5600" s="8">
        <v>94399.48</v>
      </c>
      <c r="J5600" s="1">
        <f>IF(COUNTIF($C$4:C5600,C5600)=1,1,0)</f>
        <v>1</v>
      </c>
      <c r="K5600" s="1">
        <f t="shared" si="87"/>
        <v>2021</v>
      </c>
    </row>
    <row r="5601" spans="2:11" x14ac:dyDescent="0.45">
      <c r="B5601" s="1" t="s">
        <v>4000</v>
      </c>
      <c r="C5601" s="1" t="s">
        <v>5547</v>
      </c>
      <c r="D5601" s="7">
        <v>45089</v>
      </c>
      <c r="E5601" s="7">
        <v>45119</v>
      </c>
      <c r="G5601" s="1" t="s">
        <v>20</v>
      </c>
      <c r="H5601" s="8">
        <v>829559.21</v>
      </c>
      <c r="I5601" s="8">
        <v>656702.86</v>
      </c>
      <c r="J5601" s="1">
        <f>IF(COUNTIF($C$4:C5601,C5601)=1,1,0)</f>
        <v>1</v>
      </c>
      <c r="K5601" s="1">
        <f t="shared" si="87"/>
        <v>2023</v>
      </c>
    </row>
    <row r="5602" spans="2:11" x14ac:dyDescent="0.45">
      <c r="B5602" s="1" t="s">
        <v>4000</v>
      </c>
      <c r="C5602" s="1" t="s">
        <v>5548</v>
      </c>
      <c r="D5602" s="7">
        <v>44130</v>
      </c>
      <c r="E5602" s="7">
        <v>44157</v>
      </c>
      <c r="G5602" s="1" t="s">
        <v>212</v>
      </c>
      <c r="H5602" s="8">
        <v>17208124.239999998</v>
      </c>
      <c r="I5602" s="8">
        <v>7390298.1399999997</v>
      </c>
      <c r="J5602" s="1">
        <f>IF(COUNTIF($C$4:C5602,C5602)=1,1,0)</f>
        <v>1</v>
      </c>
      <c r="K5602" s="1">
        <f t="shared" si="87"/>
        <v>2020</v>
      </c>
    </row>
    <row r="5603" spans="2:11" x14ac:dyDescent="0.45">
      <c r="B5603" s="1" t="s">
        <v>4000</v>
      </c>
      <c r="C5603" s="1" t="s">
        <v>5549</v>
      </c>
      <c r="D5603" s="7">
        <v>44113</v>
      </c>
      <c r="E5603" s="7">
        <v>44138</v>
      </c>
      <c r="G5603" s="1" t="s">
        <v>212</v>
      </c>
      <c r="H5603" s="8">
        <v>41078088.93</v>
      </c>
      <c r="I5603" s="8">
        <v>27749050.84</v>
      </c>
      <c r="J5603" s="1">
        <f>IF(COUNTIF($C$4:C5603,C5603)=1,1,0)</f>
        <v>1</v>
      </c>
      <c r="K5603" s="1">
        <f t="shared" si="87"/>
        <v>2020</v>
      </c>
    </row>
    <row r="5604" spans="2:11" x14ac:dyDescent="0.45">
      <c r="B5604" s="1" t="s">
        <v>4000</v>
      </c>
      <c r="C5604" s="1" t="s">
        <v>5550</v>
      </c>
      <c r="D5604" s="7">
        <v>45497</v>
      </c>
      <c r="E5604" s="7">
        <v>45520</v>
      </c>
      <c r="G5604" s="1" t="s">
        <v>20</v>
      </c>
      <c r="H5604" s="8">
        <v>10622872.58</v>
      </c>
      <c r="I5604" s="8">
        <v>6372820.0499999998</v>
      </c>
      <c r="J5604" s="1">
        <f>IF(COUNTIF($C$4:C5604,C5604)=1,1,0)</f>
        <v>1</v>
      </c>
      <c r="K5604" s="1">
        <f t="shared" si="87"/>
        <v>2024</v>
      </c>
    </row>
    <row r="5605" spans="2:11" x14ac:dyDescent="0.45">
      <c r="B5605" s="1" t="s">
        <v>4000</v>
      </c>
      <c r="C5605" s="1" t="s">
        <v>5551</v>
      </c>
      <c r="D5605" s="7">
        <v>43689</v>
      </c>
      <c r="E5605" s="7">
        <v>43694</v>
      </c>
      <c r="G5605" s="1" t="s">
        <v>20</v>
      </c>
      <c r="H5605" s="8">
        <v>20555858.100000001</v>
      </c>
      <c r="I5605" s="8">
        <v>15352989.880000001</v>
      </c>
      <c r="J5605" s="1">
        <f>IF(COUNTIF($C$4:C5605,C5605)=1,1,0)</f>
        <v>1</v>
      </c>
      <c r="K5605" s="1">
        <f t="shared" si="87"/>
        <v>2019</v>
      </c>
    </row>
    <row r="5606" spans="2:11" x14ac:dyDescent="0.45">
      <c r="B5606" s="1" t="s">
        <v>4000</v>
      </c>
      <c r="C5606" s="1" t="s">
        <v>5552</v>
      </c>
      <c r="D5606" s="7">
        <v>43573</v>
      </c>
      <c r="E5606" s="7">
        <v>43600</v>
      </c>
      <c r="G5606" s="1" t="s">
        <v>38</v>
      </c>
      <c r="H5606" s="8">
        <v>820601.18</v>
      </c>
      <c r="I5606" s="8">
        <v>737741.86</v>
      </c>
      <c r="J5606" s="1">
        <f>IF(COUNTIF($C$4:C5606,C5606)=1,1,0)</f>
        <v>1</v>
      </c>
      <c r="K5606" s="1">
        <f t="shared" si="87"/>
        <v>2019</v>
      </c>
    </row>
    <row r="5607" spans="2:11" x14ac:dyDescent="0.45">
      <c r="B5607" s="1" t="s">
        <v>4000</v>
      </c>
      <c r="C5607" s="1" t="s">
        <v>5553</v>
      </c>
      <c r="D5607" s="7">
        <v>44197</v>
      </c>
      <c r="E5607" s="7">
        <v>44202</v>
      </c>
      <c r="G5607" s="1" t="s">
        <v>20</v>
      </c>
      <c r="H5607" s="8">
        <v>789389.4</v>
      </c>
      <c r="I5607" s="8">
        <v>441886.45</v>
      </c>
      <c r="J5607" s="1">
        <f>IF(COUNTIF($C$4:C5607,C5607)=1,1,0)</f>
        <v>1</v>
      </c>
      <c r="K5607" s="1">
        <f t="shared" si="87"/>
        <v>2021</v>
      </c>
    </row>
    <row r="5608" spans="2:11" x14ac:dyDescent="0.45">
      <c r="B5608" s="1" t="s">
        <v>4000</v>
      </c>
      <c r="C5608" s="1" t="s">
        <v>5554</v>
      </c>
      <c r="D5608" s="7">
        <v>44552</v>
      </c>
      <c r="E5608" s="7">
        <v>44560</v>
      </c>
      <c r="G5608" s="1" t="s">
        <v>38</v>
      </c>
      <c r="H5608" s="8">
        <v>375840.22</v>
      </c>
      <c r="I5608" s="8">
        <v>283522.81</v>
      </c>
      <c r="J5608" s="1">
        <f>IF(COUNTIF($C$4:C5608,C5608)=1,1,0)</f>
        <v>1</v>
      </c>
      <c r="K5608" s="1">
        <f t="shared" si="87"/>
        <v>2021</v>
      </c>
    </row>
    <row r="5609" spans="2:11" x14ac:dyDescent="0.45">
      <c r="B5609" s="1" t="s">
        <v>4000</v>
      </c>
      <c r="C5609" s="1" t="s">
        <v>5555</v>
      </c>
      <c r="D5609" s="7">
        <v>44553</v>
      </c>
      <c r="E5609" s="7">
        <v>44562</v>
      </c>
      <c r="G5609" s="1" t="s">
        <v>41</v>
      </c>
      <c r="H5609" s="8">
        <v>73735.58</v>
      </c>
      <c r="I5609" s="8">
        <v>60031</v>
      </c>
      <c r="J5609" s="1">
        <f>IF(COUNTIF($C$4:C5609,C5609)=1,1,0)</f>
        <v>1</v>
      </c>
      <c r="K5609" s="1">
        <f t="shared" si="87"/>
        <v>2021</v>
      </c>
    </row>
    <row r="5610" spans="2:11" x14ac:dyDescent="0.45">
      <c r="B5610" s="1" t="s">
        <v>4000</v>
      </c>
      <c r="C5610" s="1" t="s">
        <v>5556</v>
      </c>
      <c r="D5610" s="7">
        <v>45696</v>
      </c>
      <c r="E5610" s="7">
        <v>45705</v>
      </c>
      <c r="G5610" s="1" t="s">
        <v>22</v>
      </c>
      <c r="H5610" s="8">
        <v>1526807.5</v>
      </c>
      <c r="I5610" s="8">
        <v>1091311.1299999999</v>
      </c>
      <c r="J5610" s="1">
        <f>IF(COUNTIF($C$4:C5610,C5610)=1,1,0)</f>
        <v>1</v>
      </c>
      <c r="K5610" s="1">
        <f t="shared" si="87"/>
        <v>2025</v>
      </c>
    </row>
    <row r="5611" spans="2:11" x14ac:dyDescent="0.45">
      <c r="B5611" s="1" t="s">
        <v>4000</v>
      </c>
      <c r="C5611" s="1" t="s">
        <v>5557</v>
      </c>
      <c r="D5611" s="7">
        <v>45574</v>
      </c>
      <c r="E5611" s="7">
        <v>45574</v>
      </c>
      <c r="G5611" s="1" t="s">
        <v>16</v>
      </c>
      <c r="H5611" s="8">
        <v>835364.29</v>
      </c>
      <c r="I5611" s="8">
        <v>612987.73</v>
      </c>
      <c r="J5611" s="1">
        <f>IF(COUNTIF($C$4:C5611,C5611)=1,1,0)</f>
        <v>1</v>
      </c>
      <c r="K5611" s="1">
        <f t="shared" si="87"/>
        <v>2024</v>
      </c>
    </row>
    <row r="5612" spans="2:11" x14ac:dyDescent="0.45">
      <c r="B5612" s="1" t="s">
        <v>4000</v>
      </c>
      <c r="C5612" s="1" t="s">
        <v>5558</v>
      </c>
      <c r="D5612" s="7">
        <v>43372</v>
      </c>
      <c r="E5612" s="7">
        <v>43387</v>
      </c>
      <c r="G5612" s="1" t="s">
        <v>20</v>
      </c>
      <c r="H5612" s="8">
        <v>52348944.07</v>
      </c>
      <c r="I5612" s="8">
        <v>42425902.799999997</v>
      </c>
      <c r="J5612" s="1">
        <f>IF(COUNTIF($C$4:C5612,C5612)=1,1,0)</f>
        <v>1</v>
      </c>
      <c r="K5612" s="1">
        <f t="shared" si="87"/>
        <v>2018</v>
      </c>
    </row>
    <row r="5613" spans="2:11" x14ac:dyDescent="0.45">
      <c r="B5613" s="1" t="s">
        <v>4000</v>
      </c>
      <c r="C5613" s="1" t="s">
        <v>5559</v>
      </c>
      <c r="D5613" s="7">
        <v>44543</v>
      </c>
      <c r="E5613" s="7">
        <v>44573</v>
      </c>
      <c r="G5613" s="1" t="s">
        <v>13</v>
      </c>
      <c r="H5613" s="8">
        <v>338432.18</v>
      </c>
      <c r="I5613" s="8">
        <v>305393.40999999997</v>
      </c>
      <c r="J5613" s="1">
        <f>IF(COUNTIF($C$4:C5613,C5613)=1,1,0)</f>
        <v>1</v>
      </c>
      <c r="K5613" s="1">
        <f t="shared" si="87"/>
        <v>2021</v>
      </c>
    </row>
    <row r="5614" spans="2:11" x14ac:dyDescent="0.45">
      <c r="B5614" s="1" t="s">
        <v>4000</v>
      </c>
      <c r="C5614" s="1" t="s">
        <v>5560</v>
      </c>
      <c r="D5614" s="7">
        <v>44146</v>
      </c>
      <c r="E5614" s="7">
        <v>44147</v>
      </c>
      <c r="G5614" s="1" t="s">
        <v>13</v>
      </c>
      <c r="H5614" s="8">
        <v>337502.51</v>
      </c>
      <c r="I5614" s="8">
        <v>286988.77</v>
      </c>
      <c r="J5614" s="1">
        <f>IF(COUNTIF($C$4:C5614,C5614)=1,1,0)</f>
        <v>1</v>
      </c>
      <c r="K5614" s="1">
        <f t="shared" si="87"/>
        <v>2020</v>
      </c>
    </row>
    <row r="5615" spans="2:11" x14ac:dyDescent="0.45">
      <c r="B5615" s="1" t="s">
        <v>4000</v>
      </c>
      <c r="C5615" s="1" t="s">
        <v>5561</v>
      </c>
      <c r="D5615" s="7">
        <v>45174</v>
      </c>
      <c r="E5615" s="7">
        <v>45191</v>
      </c>
      <c r="G5615" s="1" t="s">
        <v>13</v>
      </c>
      <c r="H5615" s="8">
        <v>793095.88</v>
      </c>
      <c r="I5615" s="8">
        <v>560930.54</v>
      </c>
      <c r="J5615" s="1">
        <f>IF(COUNTIF($C$4:C5615,C5615)=1,1,0)</f>
        <v>1</v>
      </c>
      <c r="K5615" s="1">
        <f t="shared" si="87"/>
        <v>2023</v>
      </c>
    </row>
    <row r="5616" spans="2:11" x14ac:dyDescent="0.45">
      <c r="B5616" s="1" t="s">
        <v>4000</v>
      </c>
      <c r="C5616" s="1" t="s">
        <v>5562</v>
      </c>
      <c r="D5616" s="7">
        <v>45313</v>
      </c>
      <c r="E5616" s="7">
        <v>45335</v>
      </c>
      <c r="G5616" s="1" t="s">
        <v>20</v>
      </c>
      <c r="H5616" s="8">
        <v>8878312.4900000002</v>
      </c>
      <c r="I5616" s="8">
        <v>5950912.7300000004</v>
      </c>
      <c r="J5616" s="1">
        <f>IF(COUNTIF($C$4:C5616,C5616)=1,1,0)</f>
        <v>1</v>
      </c>
      <c r="K5616" s="1">
        <f t="shared" si="87"/>
        <v>2024</v>
      </c>
    </row>
    <row r="5617" spans="2:11" x14ac:dyDescent="0.45">
      <c r="B5617" s="1" t="s">
        <v>4000</v>
      </c>
      <c r="C5617" s="1" t="s">
        <v>5563</v>
      </c>
      <c r="D5617" s="7">
        <v>43785</v>
      </c>
      <c r="E5617" s="7">
        <v>43797</v>
      </c>
      <c r="G5617" s="1" t="s">
        <v>38</v>
      </c>
      <c r="H5617" s="8">
        <v>530915.68999999994</v>
      </c>
      <c r="I5617" s="8">
        <v>408661.19</v>
      </c>
      <c r="J5617" s="1">
        <f>IF(COUNTIF($C$4:C5617,C5617)=1,1,0)</f>
        <v>1</v>
      </c>
      <c r="K5617" s="1">
        <f t="shared" si="87"/>
        <v>2019</v>
      </c>
    </row>
    <row r="5618" spans="2:11" x14ac:dyDescent="0.45">
      <c r="B5618" s="1" t="s">
        <v>4000</v>
      </c>
      <c r="C5618" s="1" t="s">
        <v>5564</v>
      </c>
      <c r="D5618" s="7">
        <v>44881</v>
      </c>
      <c r="E5618" s="7">
        <v>44895</v>
      </c>
      <c r="G5618" s="1" t="s">
        <v>212</v>
      </c>
      <c r="H5618" s="8">
        <v>878443.5</v>
      </c>
      <c r="I5618" s="8">
        <v>389091.41</v>
      </c>
      <c r="J5618" s="1">
        <f>IF(COUNTIF($C$4:C5618,C5618)=1,1,0)</f>
        <v>1</v>
      </c>
      <c r="K5618" s="1">
        <f t="shared" si="87"/>
        <v>2022</v>
      </c>
    </row>
    <row r="5619" spans="2:11" x14ac:dyDescent="0.45">
      <c r="B5619" s="1" t="s">
        <v>4000</v>
      </c>
      <c r="C5619" s="1" t="s">
        <v>5565</v>
      </c>
      <c r="D5619" s="7">
        <v>45151</v>
      </c>
      <c r="E5619" s="7">
        <v>45162</v>
      </c>
      <c r="G5619" s="1" t="s">
        <v>22</v>
      </c>
      <c r="H5619" s="8">
        <v>6789997.1200000001</v>
      </c>
      <c r="I5619" s="8">
        <v>4005548.18</v>
      </c>
      <c r="J5619" s="1">
        <f>IF(COUNTIF($C$4:C5619,C5619)=1,1,0)</f>
        <v>1</v>
      </c>
      <c r="K5619" s="1">
        <f t="shared" si="87"/>
        <v>2023</v>
      </c>
    </row>
    <row r="5620" spans="2:11" x14ac:dyDescent="0.45">
      <c r="B5620" s="1" t="s">
        <v>4000</v>
      </c>
      <c r="C5620" s="1" t="s">
        <v>5566</v>
      </c>
      <c r="D5620" s="7">
        <v>44857</v>
      </c>
      <c r="E5620" s="7">
        <v>44858</v>
      </c>
      <c r="G5620" s="1" t="s">
        <v>20</v>
      </c>
      <c r="H5620" s="8">
        <v>193449.2</v>
      </c>
      <c r="I5620" s="8">
        <v>141113.69</v>
      </c>
      <c r="J5620" s="1">
        <f>IF(COUNTIF($C$4:C5620,C5620)=1,1,0)</f>
        <v>1</v>
      </c>
      <c r="K5620" s="1">
        <f t="shared" si="87"/>
        <v>2022</v>
      </c>
    </row>
    <row r="5621" spans="2:11" x14ac:dyDescent="0.45">
      <c r="B5621" s="1" t="s">
        <v>4000</v>
      </c>
      <c r="C5621" s="1" t="s">
        <v>5567</v>
      </c>
      <c r="D5621" s="7">
        <v>45251</v>
      </c>
      <c r="E5621" s="7">
        <v>45258</v>
      </c>
      <c r="G5621" s="1" t="s">
        <v>16</v>
      </c>
      <c r="H5621" s="8">
        <v>12627410.1</v>
      </c>
      <c r="I5621" s="8">
        <v>8779461.0299999993</v>
      </c>
      <c r="J5621" s="1">
        <f>IF(COUNTIF($C$4:C5621,C5621)=1,1,0)</f>
        <v>1</v>
      </c>
      <c r="K5621" s="1">
        <f t="shared" si="87"/>
        <v>2023</v>
      </c>
    </row>
    <row r="5622" spans="2:11" x14ac:dyDescent="0.45">
      <c r="B5622" s="1" t="s">
        <v>4000</v>
      </c>
      <c r="C5622" s="1" t="s">
        <v>5568</v>
      </c>
      <c r="D5622" s="7">
        <v>44560</v>
      </c>
      <c r="E5622" s="7">
        <v>44585</v>
      </c>
      <c r="G5622" s="1" t="s">
        <v>41</v>
      </c>
      <c r="H5622" s="8">
        <v>213789.06</v>
      </c>
      <c r="I5622" s="8">
        <v>160994.72</v>
      </c>
      <c r="J5622" s="1">
        <f>IF(COUNTIF($C$4:C5622,C5622)=1,1,0)</f>
        <v>1</v>
      </c>
      <c r="K5622" s="1">
        <f t="shared" si="87"/>
        <v>2021</v>
      </c>
    </row>
    <row r="5623" spans="2:11" x14ac:dyDescent="0.45">
      <c r="B5623" s="1" t="s">
        <v>4000</v>
      </c>
      <c r="C5623" s="1" t="s">
        <v>5569</v>
      </c>
      <c r="D5623" s="7">
        <v>44929</v>
      </c>
      <c r="E5623" s="7">
        <v>44955</v>
      </c>
      <c r="G5623" s="1" t="s">
        <v>1348</v>
      </c>
      <c r="H5623" s="8">
        <v>2185078.56</v>
      </c>
      <c r="I5623" s="8">
        <v>1562186.91</v>
      </c>
      <c r="J5623" s="1">
        <f>IF(COUNTIF($C$4:C5623,C5623)=1,1,0)</f>
        <v>1</v>
      </c>
      <c r="K5623" s="1">
        <f t="shared" si="87"/>
        <v>2023</v>
      </c>
    </row>
    <row r="5624" spans="2:11" x14ac:dyDescent="0.45">
      <c r="B5624" s="1" t="s">
        <v>4000</v>
      </c>
      <c r="C5624" s="1" t="s">
        <v>5570</v>
      </c>
      <c r="D5624" s="7">
        <v>46071</v>
      </c>
      <c r="E5624" s="7">
        <v>46084</v>
      </c>
      <c r="G5624" s="1" t="s">
        <v>41</v>
      </c>
      <c r="H5624" s="8">
        <v>312576.03000000003</v>
      </c>
      <c r="I5624" s="8">
        <v>261638.29</v>
      </c>
      <c r="J5624" s="1">
        <f>IF(COUNTIF($C$4:C5624,C5624)=1,1,0)</f>
        <v>1</v>
      </c>
      <c r="K5624" s="1">
        <f t="shared" si="87"/>
        <v>2026</v>
      </c>
    </row>
    <row r="5625" spans="2:11" x14ac:dyDescent="0.45">
      <c r="B5625" s="1" t="s">
        <v>4000</v>
      </c>
      <c r="C5625" s="1" t="s">
        <v>5571</v>
      </c>
      <c r="D5625" s="7">
        <v>45124</v>
      </c>
      <c r="E5625" s="7">
        <v>45136</v>
      </c>
      <c r="G5625" s="1" t="s">
        <v>212</v>
      </c>
      <c r="H5625" s="8">
        <v>6550684.1299999999</v>
      </c>
      <c r="I5625" s="8">
        <v>5324800.88</v>
      </c>
      <c r="J5625" s="1">
        <f>IF(COUNTIF($C$4:C5625,C5625)=1,1,0)</f>
        <v>1</v>
      </c>
      <c r="K5625" s="1">
        <f t="shared" si="87"/>
        <v>2023</v>
      </c>
    </row>
    <row r="5626" spans="2:11" x14ac:dyDescent="0.45">
      <c r="B5626" s="1" t="s">
        <v>4000</v>
      </c>
      <c r="C5626" s="1" t="s">
        <v>5572</v>
      </c>
      <c r="D5626" s="7">
        <v>44903</v>
      </c>
      <c r="E5626" s="7">
        <v>44917</v>
      </c>
      <c r="G5626" s="1" t="s">
        <v>13</v>
      </c>
      <c r="H5626" s="8">
        <v>468947.06</v>
      </c>
      <c r="I5626" s="8">
        <v>384172.19</v>
      </c>
      <c r="J5626" s="1">
        <f>IF(COUNTIF($C$4:C5626,C5626)=1,1,0)</f>
        <v>1</v>
      </c>
      <c r="K5626" s="1">
        <f t="shared" si="87"/>
        <v>2022</v>
      </c>
    </row>
    <row r="5627" spans="2:11" x14ac:dyDescent="0.45">
      <c r="B5627" s="1" t="s">
        <v>4000</v>
      </c>
      <c r="C5627" s="1" t="s">
        <v>5573</v>
      </c>
      <c r="D5627" s="7">
        <v>43859</v>
      </c>
      <c r="E5627" s="7">
        <v>43878</v>
      </c>
      <c r="G5627" s="1" t="s">
        <v>13</v>
      </c>
      <c r="H5627" s="8">
        <v>152809.88</v>
      </c>
      <c r="I5627" s="8">
        <v>138851.62</v>
      </c>
      <c r="J5627" s="1">
        <f>IF(COUNTIF($C$4:C5627,C5627)=1,1,0)</f>
        <v>1</v>
      </c>
      <c r="K5627" s="1">
        <f t="shared" si="87"/>
        <v>2020</v>
      </c>
    </row>
    <row r="5628" spans="2:11" x14ac:dyDescent="0.45">
      <c r="B5628" s="1" t="s">
        <v>4000</v>
      </c>
      <c r="C5628" s="1" t="s">
        <v>5574</v>
      </c>
      <c r="D5628" s="7">
        <v>44304</v>
      </c>
      <c r="E5628" s="7">
        <v>44324</v>
      </c>
      <c r="G5628" s="1" t="s">
        <v>38</v>
      </c>
      <c r="H5628" s="8">
        <v>156419.85999999999</v>
      </c>
      <c r="I5628" s="8">
        <v>133899.16</v>
      </c>
      <c r="J5628" s="1">
        <f>IF(COUNTIF($C$4:C5628,C5628)=1,1,0)</f>
        <v>1</v>
      </c>
      <c r="K5628" s="1">
        <f t="shared" si="87"/>
        <v>2021</v>
      </c>
    </row>
    <row r="5629" spans="2:11" x14ac:dyDescent="0.45">
      <c r="B5629" s="1" t="s">
        <v>4000</v>
      </c>
      <c r="C5629" s="1" t="s">
        <v>5575</v>
      </c>
      <c r="D5629" s="7">
        <v>44266</v>
      </c>
      <c r="E5629" s="7">
        <v>44277</v>
      </c>
      <c r="G5629" s="1" t="s">
        <v>16</v>
      </c>
      <c r="H5629" s="8">
        <v>1329308.79</v>
      </c>
      <c r="I5629" s="8">
        <v>947049.46</v>
      </c>
      <c r="J5629" s="1">
        <f>IF(COUNTIF($C$4:C5629,C5629)=1,1,0)</f>
        <v>1</v>
      </c>
      <c r="K5629" s="1">
        <f t="shared" si="87"/>
        <v>2021</v>
      </c>
    </row>
    <row r="5630" spans="2:11" x14ac:dyDescent="0.45">
      <c r="B5630" s="1" t="s">
        <v>4000</v>
      </c>
      <c r="C5630" s="1" t="s">
        <v>5576</v>
      </c>
      <c r="D5630" s="7">
        <v>45605</v>
      </c>
      <c r="E5630" s="7">
        <v>45627</v>
      </c>
      <c r="G5630" s="1" t="s">
        <v>44</v>
      </c>
      <c r="H5630" s="8">
        <v>8583481.0800000001</v>
      </c>
      <c r="I5630" s="8">
        <v>5871358.8300000001</v>
      </c>
      <c r="J5630" s="1">
        <f>IF(COUNTIF($C$4:C5630,C5630)=1,1,0)</f>
        <v>1</v>
      </c>
      <c r="K5630" s="1">
        <f t="shared" si="87"/>
        <v>2024</v>
      </c>
    </row>
    <row r="5631" spans="2:11" x14ac:dyDescent="0.45">
      <c r="B5631" s="1" t="s">
        <v>4000</v>
      </c>
      <c r="C5631" s="1" t="s">
        <v>5577</v>
      </c>
      <c r="D5631" s="7">
        <v>45580</v>
      </c>
      <c r="E5631" s="7">
        <v>45599</v>
      </c>
      <c r="G5631" s="1" t="s">
        <v>212</v>
      </c>
      <c r="H5631" s="8">
        <v>4301031.57</v>
      </c>
      <c r="I5631" s="8">
        <v>2323242.7200000002</v>
      </c>
      <c r="J5631" s="1">
        <f>IF(COUNTIF($C$4:C5631,C5631)=1,1,0)</f>
        <v>1</v>
      </c>
      <c r="K5631" s="1">
        <f t="shared" si="87"/>
        <v>2024</v>
      </c>
    </row>
    <row r="5632" spans="2:11" x14ac:dyDescent="0.45">
      <c r="B5632" s="1" t="s">
        <v>4000</v>
      </c>
      <c r="C5632" s="1" t="s">
        <v>5578</v>
      </c>
      <c r="D5632" s="7">
        <v>44265</v>
      </c>
      <c r="E5632" s="7">
        <v>44268</v>
      </c>
      <c r="G5632" s="1" t="s">
        <v>38</v>
      </c>
      <c r="H5632" s="8">
        <v>639434.29</v>
      </c>
      <c r="I5632" s="8">
        <v>577256.42000000004</v>
      </c>
      <c r="J5632" s="1">
        <f>IF(COUNTIF($C$4:C5632,C5632)=1,1,0)</f>
        <v>1</v>
      </c>
      <c r="K5632" s="1">
        <f t="shared" si="87"/>
        <v>2021</v>
      </c>
    </row>
    <row r="5633" spans="2:11" x14ac:dyDescent="0.45">
      <c r="B5633" s="1" t="s">
        <v>4000</v>
      </c>
      <c r="C5633" s="1" t="s">
        <v>5579</v>
      </c>
      <c r="D5633" s="7">
        <v>45800</v>
      </c>
      <c r="E5633" s="7">
        <v>45802</v>
      </c>
      <c r="G5633" s="1" t="s">
        <v>41</v>
      </c>
      <c r="H5633" s="8">
        <v>1456891.2</v>
      </c>
      <c r="I5633" s="8">
        <v>1246815.97</v>
      </c>
      <c r="J5633" s="1">
        <f>IF(COUNTIF($C$4:C5633,C5633)=1,1,0)</f>
        <v>1</v>
      </c>
      <c r="K5633" s="1">
        <f t="shared" si="87"/>
        <v>2025</v>
      </c>
    </row>
    <row r="5634" spans="2:11" x14ac:dyDescent="0.45">
      <c r="B5634" s="1" t="s">
        <v>4000</v>
      </c>
      <c r="C5634" s="1" t="s">
        <v>5580</v>
      </c>
      <c r="D5634" s="7">
        <v>45447</v>
      </c>
      <c r="E5634" s="7">
        <v>45464</v>
      </c>
      <c r="G5634" s="1" t="s">
        <v>16</v>
      </c>
      <c r="H5634" s="8">
        <v>131705.71</v>
      </c>
      <c r="I5634" s="8">
        <v>88967.56</v>
      </c>
      <c r="J5634" s="1">
        <f>IF(COUNTIF($C$4:C5634,C5634)=1,1,0)</f>
        <v>1</v>
      </c>
      <c r="K5634" s="1">
        <f t="shared" si="87"/>
        <v>2024</v>
      </c>
    </row>
    <row r="5635" spans="2:11" x14ac:dyDescent="0.45">
      <c r="B5635" s="1" t="s">
        <v>4000</v>
      </c>
      <c r="C5635" s="1" t="s">
        <v>5581</v>
      </c>
      <c r="D5635" s="7">
        <v>46145</v>
      </c>
      <c r="E5635" s="7">
        <v>46150</v>
      </c>
      <c r="G5635" s="1" t="s">
        <v>13</v>
      </c>
      <c r="H5635" s="8">
        <v>306851.69</v>
      </c>
      <c r="I5635" s="8">
        <v>239761.63</v>
      </c>
      <c r="J5635" s="1">
        <f>IF(COUNTIF($C$4:C5635,C5635)=1,1,0)</f>
        <v>1</v>
      </c>
      <c r="K5635" s="1">
        <f t="shared" si="87"/>
        <v>2026</v>
      </c>
    </row>
    <row r="5636" spans="2:11" x14ac:dyDescent="0.45">
      <c r="B5636" s="1" t="s">
        <v>4000</v>
      </c>
      <c r="C5636" s="1" t="s">
        <v>5582</v>
      </c>
      <c r="D5636" s="7">
        <v>44752</v>
      </c>
      <c r="E5636" s="7">
        <v>44776</v>
      </c>
      <c r="G5636" s="1" t="s">
        <v>13</v>
      </c>
      <c r="H5636" s="8">
        <v>1121964.6000000001</v>
      </c>
      <c r="I5636" s="8">
        <v>999475.21</v>
      </c>
      <c r="J5636" s="1">
        <f>IF(COUNTIF($C$4:C5636,C5636)=1,1,0)</f>
        <v>1</v>
      </c>
      <c r="K5636" s="1">
        <f t="shared" si="87"/>
        <v>2022</v>
      </c>
    </row>
    <row r="5637" spans="2:11" x14ac:dyDescent="0.45">
      <c r="B5637" s="1" t="s">
        <v>4000</v>
      </c>
      <c r="C5637" s="1" t="s">
        <v>4140</v>
      </c>
      <c r="D5637" s="7">
        <v>43844</v>
      </c>
      <c r="E5637" s="7">
        <v>43859</v>
      </c>
      <c r="G5637" s="1" t="s">
        <v>16</v>
      </c>
      <c r="H5637" s="8">
        <v>4059645.19</v>
      </c>
      <c r="I5637" s="8">
        <v>3179679.39</v>
      </c>
      <c r="J5637" s="1">
        <f>IF(COUNTIF($C$4:C5637,C5637)=1,1,0)</f>
        <v>0</v>
      </c>
      <c r="K5637" s="1">
        <f t="shared" ref="K5637:K5700" si="88">YEAR(D5637)</f>
        <v>2020</v>
      </c>
    </row>
    <row r="5638" spans="2:11" x14ac:dyDescent="0.45">
      <c r="B5638" s="1" t="s">
        <v>4000</v>
      </c>
      <c r="C5638" s="1" t="s">
        <v>5583</v>
      </c>
      <c r="D5638" s="7">
        <v>45762</v>
      </c>
      <c r="E5638" s="7">
        <v>45774</v>
      </c>
      <c r="G5638" s="1" t="s">
        <v>38</v>
      </c>
      <c r="H5638" s="8">
        <v>633987.93999999994</v>
      </c>
      <c r="I5638" s="8">
        <v>491428.36</v>
      </c>
      <c r="J5638" s="1">
        <f>IF(COUNTIF($C$4:C5638,C5638)=1,1,0)</f>
        <v>1</v>
      </c>
      <c r="K5638" s="1">
        <f t="shared" si="88"/>
        <v>2025</v>
      </c>
    </row>
    <row r="5639" spans="2:11" x14ac:dyDescent="0.45">
      <c r="B5639" s="1" t="s">
        <v>4000</v>
      </c>
      <c r="C5639" s="1" t="s">
        <v>5584</v>
      </c>
      <c r="D5639" s="7">
        <v>43411</v>
      </c>
      <c r="E5639" s="7">
        <v>43416</v>
      </c>
      <c r="G5639" s="1" t="s">
        <v>212</v>
      </c>
      <c r="H5639" s="8">
        <v>6166022.1699999999</v>
      </c>
      <c r="I5639" s="8">
        <v>3667872.65</v>
      </c>
      <c r="J5639" s="1">
        <f>IF(COUNTIF($C$4:C5639,C5639)=1,1,0)</f>
        <v>1</v>
      </c>
      <c r="K5639" s="1">
        <f t="shared" si="88"/>
        <v>2018</v>
      </c>
    </row>
    <row r="5640" spans="2:11" x14ac:dyDescent="0.45">
      <c r="B5640" s="1" t="s">
        <v>4000</v>
      </c>
      <c r="C5640" s="1" t="s">
        <v>5585</v>
      </c>
      <c r="D5640" s="7">
        <v>45915</v>
      </c>
      <c r="E5640" s="7">
        <v>45943</v>
      </c>
      <c r="G5640" s="1" t="s">
        <v>1348</v>
      </c>
      <c r="H5640" s="8">
        <v>56126207.549999997</v>
      </c>
      <c r="I5640" s="8">
        <v>28266942.140000001</v>
      </c>
      <c r="J5640" s="1">
        <f>IF(COUNTIF($C$4:C5640,C5640)=1,1,0)</f>
        <v>1</v>
      </c>
      <c r="K5640" s="1">
        <f t="shared" si="88"/>
        <v>2025</v>
      </c>
    </row>
    <row r="5641" spans="2:11" x14ac:dyDescent="0.45">
      <c r="B5641" s="1" t="s">
        <v>4000</v>
      </c>
      <c r="C5641" s="1" t="s">
        <v>5586</v>
      </c>
      <c r="D5641" s="7">
        <v>43888</v>
      </c>
      <c r="E5641" s="7">
        <v>43914</v>
      </c>
      <c r="G5641" s="1" t="s">
        <v>13</v>
      </c>
      <c r="H5641" s="8">
        <v>288801.46000000002</v>
      </c>
      <c r="I5641" s="8">
        <v>227255.83</v>
      </c>
      <c r="J5641" s="1">
        <f>IF(COUNTIF($C$4:C5641,C5641)=1,1,0)</f>
        <v>1</v>
      </c>
      <c r="K5641" s="1">
        <f t="shared" si="88"/>
        <v>2020</v>
      </c>
    </row>
    <row r="5642" spans="2:11" x14ac:dyDescent="0.45">
      <c r="B5642" s="1" t="s">
        <v>4000</v>
      </c>
      <c r="C5642" s="1" t="s">
        <v>5587</v>
      </c>
      <c r="D5642" s="7">
        <v>44679</v>
      </c>
      <c r="E5642" s="7">
        <v>44691</v>
      </c>
      <c r="G5642" s="1" t="s">
        <v>44</v>
      </c>
      <c r="H5642" s="8">
        <v>97406051.370000005</v>
      </c>
      <c r="I5642" s="8">
        <v>44624797.039999999</v>
      </c>
      <c r="J5642" s="1">
        <f>IF(COUNTIF($C$4:C5642,C5642)=1,1,0)</f>
        <v>1</v>
      </c>
      <c r="K5642" s="1">
        <f t="shared" si="88"/>
        <v>2022</v>
      </c>
    </row>
    <row r="5643" spans="2:11" x14ac:dyDescent="0.45">
      <c r="B5643" s="1" t="s">
        <v>4000</v>
      </c>
      <c r="C5643" s="1" t="s">
        <v>5588</v>
      </c>
      <c r="D5643" s="7">
        <v>45220</v>
      </c>
      <c r="E5643" s="7">
        <v>45241</v>
      </c>
      <c r="G5643" s="1" t="s">
        <v>38</v>
      </c>
      <c r="H5643" s="8">
        <v>242171.23</v>
      </c>
      <c r="I5643" s="8">
        <v>206174.97</v>
      </c>
      <c r="J5643" s="1">
        <f>IF(COUNTIF($C$4:C5643,C5643)=1,1,0)</f>
        <v>1</v>
      </c>
      <c r="K5643" s="1">
        <f t="shared" si="88"/>
        <v>2023</v>
      </c>
    </row>
    <row r="5644" spans="2:11" x14ac:dyDescent="0.45">
      <c r="B5644" s="1" t="s">
        <v>4000</v>
      </c>
      <c r="C5644" s="1" t="s">
        <v>5589</v>
      </c>
      <c r="D5644" s="7">
        <v>45796</v>
      </c>
      <c r="E5644" s="7">
        <v>45796</v>
      </c>
      <c r="G5644" s="1" t="s">
        <v>38</v>
      </c>
      <c r="H5644" s="8">
        <v>324051.20000000001</v>
      </c>
      <c r="I5644" s="8">
        <v>243040.78</v>
      </c>
      <c r="J5644" s="1">
        <f>IF(COUNTIF($C$4:C5644,C5644)=1,1,0)</f>
        <v>1</v>
      </c>
      <c r="K5644" s="1">
        <f t="shared" si="88"/>
        <v>2025</v>
      </c>
    </row>
    <row r="5645" spans="2:11" x14ac:dyDescent="0.45">
      <c r="B5645" s="1" t="s">
        <v>4000</v>
      </c>
      <c r="C5645" s="1" t="s">
        <v>5590</v>
      </c>
      <c r="D5645" s="7">
        <v>44164</v>
      </c>
      <c r="E5645" s="7">
        <v>44194</v>
      </c>
      <c r="G5645" s="1" t="s">
        <v>16</v>
      </c>
      <c r="H5645" s="8">
        <v>202749.17</v>
      </c>
      <c r="I5645" s="8">
        <v>134432.25</v>
      </c>
      <c r="J5645" s="1">
        <f>IF(COUNTIF($C$4:C5645,C5645)=1,1,0)</f>
        <v>1</v>
      </c>
      <c r="K5645" s="1">
        <f t="shared" si="88"/>
        <v>2020</v>
      </c>
    </row>
    <row r="5646" spans="2:11" x14ac:dyDescent="0.45">
      <c r="B5646" s="1" t="s">
        <v>4000</v>
      </c>
      <c r="C5646" s="1" t="s">
        <v>5591</v>
      </c>
      <c r="D5646" s="7">
        <v>43985</v>
      </c>
      <c r="E5646" s="7">
        <v>43989</v>
      </c>
      <c r="G5646" s="1" t="s">
        <v>41</v>
      </c>
      <c r="H5646" s="8">
        <v>260476.48</v>
      </c>
      <c r="I5646" s="8">
        <v>206337.85</v>
      </c>
      <c r="J5646" s="1">
        <f>IF(COUNTIF($C$4:C5646,C5646)=1,1,0)</f>
        <v>1</v>
      </c>
      <c r="K5646" s="1">
        <f t="shared" si="88"/>
        <v>2020</v>
      </c>
    </row>
    <row r="5647" spans="2:11" x14ac:dyDescent="0.45">
      <c r="B5647" s="1" t="s">
        <v>4000</v>
      </c>
      <c r="C5647" s="1" t="s">
        <v>5592</v>
      </c>
      <c r="D5647" s="7">
        <v>46071</v>
      </c>
      <c r="E5647" s="7">
        <v>46089</v>
      </c>
      <c r="G5647" s="1" t="s">
        <v>20</v>
      </c>
      <c r="H5647" s="8">
        <v>133288.69</v>
      </c>
      <c r="I5647" s="8">
        <v>90801.72</v>
      </c>
      <c r="J5647" s="1">
        <f>IF(COUNTIF($C$4:C5647,C5647)=1,1,0)</f>
        <v>1</v>
      </c>
      <c r="K5647" s="1">
        <f t="shared" si="88"/>
        <v>2026</v>
      </c>
    </row>
    <row r="5648" spans="2:11" x14ac:dyDescent="0.45">
      <c r="B5648" s="1" t="s">
        <v>4000</v>
      </c>
      <c r="C5648" s="1" t="s">
        <v>5593</v>
      </c>
      <c r="D5648" s="7">
        <v>44001</v>
      </c>
      <c r="E5648" s="7">
        <v>44014</v>
      </c>
      <c r="G5648" s="1" t="s">
        <v>16</v>
      </c>
      <c r="H5648" s="8">
        <v>922232.74</v>
      </c>
      <c r="I5648" s="8">
        <v>563190.76</v>
      </c>
      <c r="J5648" s="1">
        <f>IF(COUNTIF($C$4:C5648,C5648)=1,1,0)</f>
        <v>1</v>
      </c>
      <c r="K5648" s="1">
        <f t="shared" si="88"/>
        <v>2020</v>
      </c>
    </row>
    <row r="5649" spans="2:11" x14ac:dyDescent="0.45">
      <c r="B5649" s="1" t="s">
        <v>4000</v>
      </c>
      <c r="C5649" s="1" t="s">
        <v>5594</v>
      </c>
      <c r="D5649" s="7">
        <v>45741</v>
      </c>
      <c r="E5649" s="7">
        <v>45771</v>
      </c>
      <c r="G5649" s="1" t="s">
        <v>16</v>
      </c>
      <c r="H5649" s="8">
        <v>7098296.1399999997</v>
      </c>
      <c r="I5649" s="8">
        <v>5723732.9000000004</v>
      </c>
      <c r="J5649" s="1">
        <f>IF(COUNTIF($C$4:C5649,C5649)=1,1,0)</f>
        <v>1</v>
      </c>
      <c r="K5649" s="1">
        <f t="shared" si="88"/>
        <v>2025</v>
      </c>
    </row>
    <row r="5650" spans="2:11" x14ac:dyDescent="0.45">
      <c r="B5650" s="1" t="s">
        <v>4000</v>
      </c>
      <c r="C5650" s="1" t="s">
        <v>5595</v>
      </c>
      <c r="D5650" s="7">
        <v>45138</v>
      </c>
      <c r="E5650" s="7">
        <v>45152</v>
      </c>
      <c r="G5650" s="1" t="s">
        <v>16</v>
      </c>
      <c r="H5650" s="8">
        <v>1681442.97</v>
      </c>
      <c r="I5650" s="8">
        <v>1362677.34</v>
      </c>
      <c r="J5650" s="1">
        <f>IF(COUNTIF($C$4:C5650,C5650)=1,1,0)</f>
        <v>1</v>
      </c>
      <c r="K5650" s="1">
        <f t="shared" si="88"/>
        <v>2023</v>
      </c>
    </row>
    <row r="5651" spans="2:11" x14ac:dyDescent="0.45">
      <c r="B5651" s="1" t="s">
        <v>4000</v>
      </c>
      <c r="C5651" s="1" t="s">
        <v>5596</v>
      </c>
      <c r="D5651" s="7">
        <v>46197</v>
      </c>
      <c r="E5651" s="7">
        <v>46221</v>
      </c>
      <c r="G5651" s="1" t="s">
        <v>38</v>
      </c>
      <c r="H5651" s="8">
        <v>974121</v>
      </c>
      <c r="I5651" s="8">
        <v>652865.71</v>
      </c>
      <c r="J5651" s="1">
        <f>IF(COUNTIF($C$4:C5651,C5651)=1,1,0)</f>
        <v>1</v>
      </c>
      <c r="K5651" s="1">
        <f t="shared" si="88"/>
        <v>2026</v>
      </c>
    </row>
    <row r="5652" spans="2:11" x14ac:dyDescent="0.45">
      <c r="B5652" s="1" t="s">
        <v>4000</v>
      </c>
      <c r="C5652" s="1" t="s">
        <v>5597</v>
      </c>
      <c r="D5652" s="7">
        <v>43704</v>
      </c>
      <c r="E5652" s="7">
        <v>43709</v>
      </c>
      <c r="G5652" s="1" t="s">
        <v>22</v>
      </c>
      <c r="H5652" s="8">
        <v>11502970.369999999</v>
      </c>
      <c r="I5652" s="8">
        <v>6533980.4800000004</v>
      </c>
      <c r="J5652" s="1">
        <f>IF(COUNTIF($C$4:C5652,C5652)=1,1,0)</f>
        <v>1</v>
      </c>
      <c r="K5652" s="1">
        <f t="shared" si="88"/>
        <v>2019</v>
      </c>
    </row>
    <row r="5653" spans="2:11" x14ac:dyDescent="0.45">
      <c r="B5653" s="1" t="s">
        <v>4000</v>
      </c>
      <c r="C5653" s="1" t="s">
        <v>5598</v>
      </c>
      <c r="D5653" s="7">
        <v>45580</v>
      </c>
      <c r="E5653" s="7">
        <v>45602</v>
      </c>
      <c r="G5653" s="1" t="s">
        <v>22</v>
      </c>
      <c r="H5653" s="8">
        <v>6201350.4699999997</v>
      </c>
      <c r="I5653" s="8">
        <v>4783295.8899999997</v>
      </c>
      <c r="J5653" s="1">
        <f>IF(COUNTIF($C$4:C5653,C5653)=1,1,0)</f>
        <v>1</v>
      </c>
      <c r="K5653" s="1">
        <f t="shared" si="88"/>
        <v>2024</v>
      </c>
    </row>
    <row r="5654" spans="2:11" x14ac:dyDescent="0.45">
      <c r="B5654" s="1" t="s">
        <v>4000</v>
      </c>
      <c r="C5654" s="1" t="s">
        <v>5599</v>
      </c>
      <c r="D5654" s="7">
        <v>44925</v>
      </c>
      <c r="E5654" s="7">
        <v>44931</v>
      </c>
      <c r="G5654" s="1" t="s">
        <v>16</v>
      </c>
      <c r="H5654" s="8">
        <v>291414.28999999998</v>
      </c>
      <c r="I5654" s="8">
        <v>195820.91</v>
      </c>
      <c r="J5654" s="1">
        <f>IF(COUNTIF($C$4:C5654,C5654)=1,1,0)</f>
        <v>1</v>
      </c>
      <c r="K5654" s="1">
        <f t="shared" si="88"/>
        <v>2022</v>
      </c>
    </row>
    <row r="5655" spans="2:11" x14ac:dyDescent="0.45">
      <c r="B5655" s="1" t="s">
        <v>4000</v>
      </c>
      <c r="C5655" s="1" t="s">
        <v>5600</v>
      </c>
      <c r="D5655" s="7">
        <v>45863</v>
      </c>
      <c r="E5655" s="7">
        <v>45864</v>
      </c>
      <c r="G5655" s="1" t="s">
        <v>13</v>
      </c>
      <c r="H5655" s="8">
        <v>109868.48</v>
      </c>
      <c r="I5655" s="8">
        <v>87297.97</v>
      </c>
      <c r="J5655" s="1">
        <f>IF(COUNTIF($C$4:C5655,C5655)=1,1,0)</f>
        <v>1</v>
      </c>
      <c r="K5655" s="1">
        <f t="shared" si="88"/>
        <v>2025</v>
      </c>
    </row>
    <row r="5656" spans="2:11" x14ac:dyDescent="0.45">
      <c r="B5656" s="1" t="s">
        <v>4000</v>
      </c>
      <c r="C5656" s="1" t="s">
        <v>5601</v>
      </c>
      <c r="D5656" s="7">
        <v>45248</v>
      </c>
      <c r="E5656" s="7">
        <v>45270</v>
      </c>
      <c r="G5656" s="1" t="s">
        <v>38</v>
      </c>
      <c r="H5656" s="8">
        <v>153647.45000000001</v>
      </c>
      <c r="I5656" s="8">
        <v>125131.11</v>
      </c>
      <c r="J5656" s="1">
        <f>IF(COUNTIF($C$4:C5656,C5656)=1,1,0)</f>
        <v>1</v>
      </c>
      <c r="K5656" s="1">
        <f t="shared" si="88"/>
        <v>2023</v>
      </c>
    </row>
    <row r="5657" spans="2:11" x14ac:dyDescent="0.45">
      <c r="B5657" s="1" t="s">
        <v>4000</v>
      </c>
      <c r="C5657" s="1" t="s">
        <v>5602</v>
      </c>
      <c r="D5657" s="7">
        <v>45463</v>
      </c>
      <c r="E5657" s="7">
        <v>45473</v>
      </c>
      <c r="G5657" s="1" t="s">
        <v>41</v>
      </c>
      <c r="H5657" s="8">
        <v>69586.37</v>
      </c>
      <c r="I5657" s="8">
        <v>54910.73</v>
      </c>
      <c r="J5657" s="1">
        <f>IF(COUNTIF($C$4:C5657,C5657)=1,1,0)</f>
        <v>1</v>
      </c>
      <c r="K5657" s="1">
        <f t="shared" si="88"/>
        <v>2024</v>
      </c>
    </row>
    <row r="5658" spans="2:11" x14ac:dyDescent="0.45">
      <c r="B5658" s="1" t="s">
        <v>4000</v>
      </c>
      <c r="C5658" s="1" t="s">
        <v>5603</v>
      </c>
      <c r="D5658" s="7">
        <v>44765</v>
      </c>
      <c r="E5658" s="7">
        <v>44788</v>
      </c>
      <c r="G5658" s="1" t="s">
        <v>44</v>
      </c>
      <c r="H5658" s="8">
        <v>46123917.649999999</v>
      </c>
      <c r="I5658" s="8">
        <v>24102831.77</v>
      </c>
      <c r="J5658" s="1">
        <f>IF(COUNTIF($C$4:C5658,C5658)=1,1,0)</f>
        <v>1</v>
      </c>
      <c r="K5658" s="1">
        <f t="shared" si="88"/>
        <v>2022</v>
      </c>
    </row>
    <row r="5659" spans="2:11" x14ac:dyDescent="0.45">
      <c r="B5659" s="1" t="s">
        <v>4000</v>
      </c>
      <c r="C5659" s="1" t="s">
        <v>5604</v>
      </c>
      <c r="D5659" s="7">
        <v>45311</v>
      </c>
      <c r="E5659" s="7">
        <v>45320</v>
      </c>
      <c r="G5659" s="1" t="s">
        <v>22</v>
      </c>
      <c r="H5659" s="8">
        <v>13674204.449999999</v>
      </c>
      <c r="I5659" s="8">
        <v>5870285.3700000001</v>
      </c>
      <c r="J5659" s="1">
        <f>IF(COUNTIF($C$4:C5659,C5659)=1,1,0)</f>
        <v>1</v>
      </c>
      <c r="K5659" s="1">
        <f t="shared" si="88"/>
        <v>2024</v>
      </c>
    </row>
    <row r="5660" spans="2:11" x14ac:dyDescent="0.45">
      <c r="B5660" s="1" t="s">
        <v>4000</v>
      </c>
      <c r="C5660" s="1" t="s">
        <v>5605</v>
      </c>
      <c r="D5660" s="7">
        <v>44421</v>
      </c>
      <c r="E5660" s="7">
        <v>44441</v>
      </c>
      <c r="G5660" s="1" t="s">
        <v>13</v>
      </c>
      <c r="H5660" s="8">
        <v>133735.16</v>
      </c>
      <c r="I5660" s="8">
        <v>116304.24</v>
      </c>
      <c r="J5660" s="1">
        <f>IF(COUNTIF($C$4:C5660,C5660)=1,1,0)</f>
        <v>1</v>
      </c>
      <c r="K5660" s="1">
        <f t="shared" si="88"/>
        <v>2021</v>
      </c>
    </row>
    <row r="5661" spans="2:11" x14ac:dyDescent="0.45">
      <c r="B5661" s="1" t="s">
        <v>4000</v>
      </c>
      <c r="C5661" s="1" t="s">
        <v>5606</v>
      </c>
      <c r="D5661" s="7">
        <v>45198</v>
      </c>
      <c r="E5661" s="7">
        <v>45228</v>
      </c>
      <c r="G5661" s="1" t="s">
        <v>38</v>
      </c>
      <c r="H5661" s="8">
        <v>768914.96</v>
      </c>
      <c r="I5661" s="8">
        <v>604542.19999999995</v>
      </c>
      <c r="J5661" s="1">
        <f>IF(COUNTIF($C$4:C5661,C5661)=1,1,0)</f>
        <v>1</v>
      </c>
      <c r="K5661" s="1">
        <f t="shared" si="88"/>
        <v>2023</v>
      </c>
    </row>
    <row r="5662" spans="2:11" x14ac:dyDescent="0.45">
      <c r="B5662" s="1" t="s">
        <v>4000</v>
      </c>
      <c r="C5662" s="1" t="s">
        <v>5607</v>
      </c>
      <c r="D5662" s="7">
        <v>44634</v>
      </c>
      <c r="E5662" s="7">
        <v>44649</v>
      </c>
      <c r="G5662" s="1" t="s">
        <v>38</v>
      </c>
      <c r="H5662" s="8">
        <v>53355.14</v>
      </c>
      <c r="I5662" s="8">
        <v>47062.25</v>
      </c>
      <c r="J5662" s="1">
        <f>IF(COUNTIF($C$4:C5662,C5662)=1,1,0)</f>
        <v>1</v>
      </c>
      <c r="K5662" s="1">
        <f t="shared" si="88"/>
        <v>2022</v>
      </c>
    </row>
    <row r="5663" spans="2:11" x14ac:dyDescent="0.45">
      <c r="B5663" s="1" t="s">
        <v>4000</v>
      </c>
      <c r="C5663" s="1" t="s">
        <v>5608</v>
      </c>
      <c r="D5663" s="7">
        <v>45713</v>
      </c>
      <c r="E5663" s="7">
        <v>45727</v>
      </c>
      <c r="G5663" s="1" t="s">
        <v>41</v>
      </c>
      <c r="H5663" s="8">
        <v>231198.87</v>
      </c>
      <c r="I5663" s="8">
        <v>200229.79</v>
      </c>
      <c r="J5663" s="1">
        <f>IF(COUNTIF($C$4:C5663,C5663)=1,1,0)</f>
        <v>1</v>
      </c>
      <c r="K5663" s="1">
        <f t="shared" si="88"/>
        <v>2025</v>
      </c>
    </row>
    <row r="5664" spans="2:11" x14ac:dyDescent="0.45">
      <c r="B5664" s="1" t="s">
        <v>4000</v>
      </c>
      <c r="C5664" s="1" t="s">
        <v>5609</v>
      </c>
      <c r="D5664" s="7">
        <v>45023</v>
      </c>
      <c r="E5664" s="7">
        <v>45051</v>
      </c>
      <c r="G5664" s="1" t="s">
        <v>212</v>
      </c>
      <c r="H5664" s="8">
        <v>51579329.579999998</v>
      </c>
      <c r="I5664" s="8">
        <v>18366836.920000002</v>
      </c>
      <c r="J5664" s="1">
        <f>IF(COUNTIF($C$4:C5664,C5664)=1,1,0)</f>
        <v>1</v>
      </c>
      <c r="K5664" s="1">
        <f t="shared" si="88"/>
        <v>2023</v>
      </c>
    </row>
    <row r="5665" spans="2:11" x14ac:dyDescent="0.45">
      <c r="B5665" s="1" t="s">
        <v>4000</v>
      </c>
      <c r="C5665" s="1" t="s">
        <v>5610</v>
      </c>
      <c r="D5665" s="7">
        <v>45767</v>
      </c>
      <c r="E5665" s="7">
        <v>45783</v>
      </c>
      <c r="G5665" s="1" t="s">
        <v>38</v>
      </c>
      <c r="H5665" s="8">
        <v>55420.480000000003</v>
      </c>
      <c r="I5665" s="8">
        <v>47916.46</v>
      </c>
      <c r="J5665" s="1">
        <f>IF(COUNTIF($C$4:C5665,C5665)=1,1,0)</f>
        <v>1</v>
      </c>
      <c r="K5665" s="1">
        <f t="shared" si="88"/>
        <v>2025</v>
      </c>
    </row>
    <row r="5666" spans="2:11" x14ac:dyDescent="0.45">
      <c r="B5666" s="1" t="s">
        <v>4000</v>
      </c>
      <c r="C5666" s="1" t="s">
        <v>5611</v>
      </c>
      <c r="D5666" s="7">
        <v>44225</v>
      </c>
      <c r="E5666" s="7">
        <v>44254</v>
      </c>
      <c r="G5666" s="1" t="s">
        <v>16</v>
      </c>
      <c r="H5666" s="8">
        <v>1305664.6200000001</v>
      </c>
      <c r="I5666" s="8">
        <v>757286.77</v>
      </c>
      <c r="J5666" s="1">
        <f>IF(COUNTIF($C$4:C5666,C5666)=1,1,0)</f>
        <v>1</v>
      </c>
      <c r="K5666" s="1">
        <f t="shared" si="88"/>
        <v>2021</v>
      </c>
    </row>
    <row r="5667" spans="2:11" x14ac:dyDescent="0.45">
      <c r="B5667" s="1" t="s">
        <v>4000</v>
      </c>
      <c r="C5667" s="1" t="s">
        <v>5612</v>
      </c>
      <c r="D5667" s="7">
        <v>45893</v>
      </c>
      <c r="E5667" s="7">
        <v>45898</v>
      </c>
      <c r="G5667" s="1" t="s">
        <v>16</v>
      </c>
      <c r="H5667" s="8">
        <v>3697578.14</v>
      </c>
      <c r="I5667" s="8">
        <v>2681685.4</v>
      </c>
      <c r="J5667" s="1">
        <f>IF(COUNTIF($C$4:C5667,C5667)=1,1,0)</f>
        <v>1</v>
      </c>
      <c r="K5667" s="1">
        <f t="shared" si="88"/>
        <v>2025</v>
      </c>
    </row>
    <row r="5668" spans="2:11" x14ac:dyDescent="0.45">
      <c r="B5668" s="1" t="s">
        <v>4000</v>
      </c>
      <c r="C5668" s="1" t="s">
        <v>5613</v>
      </c>
      <c r="D5668" s="7">
        <v>44588</v>
      </c>
      <c r="E5668" s="7">
        <v>44602</v>
      </c>
      <c r="G5668" s="1" t="s">
        <v>13</v>
      </c>
      <c r="H5668" s="8">
        <v>177181.35</v>
      </c>
      <c r="I5668" s="8">
        <v>151566.87</v>
      </c>
      <c r="J5668" s="1">
        <f>IF(COUNTIF($C$4:C5668,C5668)=1,1,0)</f>
        <v>1</v>
      </c>
      <c r="K5668" s="1">
        <f t="shared" si="88"/>
        <v>2022</v>
      </c>
    </row>
    <row r="5669" spans="2:11" x14ac:dyDescent="0.45">
      <c r="B5669" s="1" t="s">
        <v>4000</v>
      </c>
      <c r="C5669" s="1" t="s">
        <v>5614</v>
      </c>
      <c r="D5669" s="7">
        <v>44517</v>
      </c>
      <c r="E5669" s="7">
        <v>44520</v>
      </c>
      <c r="G5669" s="1" t="s">
        <v>1348</v>
      </c>
      <c r="H5669" s="8">
        <v>56001668.57</v>
      </c>
      <c r="I5669" s="8">
        <v>35107928.460000001</v>
      </c>
      <c r="J5669" s="1">
        <f>IF(COUNTIF($C$4:C5669,C5669)=1,1,0)</f>
        <v>1</v>
      </c>
      <c r="K5669" s="1">
        <f t="shared" si="88"/>
        <v>2021</v>
      </c>
    </row>
    <row r="5670" spans="2:11" x14ac:dyDescent="0.45">
      <c r="B5670" s="1" t="s">
        <v>4000</v>
      </c>
      <c r="C5670" s="1" t="s">
        <v>5615</v>
      </c>
      <c r="D5670" s="7">
        <v>44039</v>
      </c>
      <c r="E5670" s="7">
        <v>44057</v>
      </c>
      <c r="G5670" s="1" t="s">
        <v>20</v>
      </c>
      <c r="H5670" s="8">
        <v>2024306.38</v>
      </c>
      <c r="I5670" s="8">
        <v>1683744.23</v>
      </c>
      <c r="J5670" s="1">
        <f>IF(COUNTIF($C$4:C5670,C5670)=1,1,0)</f>
        <v>1</v>
      </c>
      <c r="K5670" s="1">
        <f t="shared" si="88"/>
        <v>2020</v>
      </c>
    </row>
    <row r="5671" spans="2:11" x14ac:dyDescent="0.45">
      <c r="B5671" s="1" t="s">
        <v>4000</v>
      </c>
      <c r="C5671" s="1" t="s">
        <v>5616</v>
      </c>
      <c r="D5671" s="7">
        <v>43954</v>
      </c>
      <c r="E5671" s="7">
        <v>43975</v>
      </c>
      <c r="G5671" s="1" t="s">
        <v>44</v>
      </c>
      <c r="H5671" s="8">
        <v>39734866.18</v>
      </c>
      <c r="I5671" s="8">
        <v>20240283.010000002</v>
      </c>
      <c r="J5671" s="1">
        <f>IF(COUNTIF($C$4:C5671,C5671)=1,1,0)</f>
        <v>1</v>
      </c>
      <c r="K5671" s="1">
        <f t="shared" si="88"/>
        <v>2020</v>
      </c>
    </row>
    <row r="5672" spans="2:11" x14ac:dyDescent="0.45">
      <c r="B5672" s="1" t="s">
        <v>4000</v>
      </c>
      <c r="C5672" s="1" t="s">
        <v>5617</v>
      </c>
      <c r="D5672" s="7">
        <v>44055</v>
      </c>
      <c r="E5672" s="7">
        <v>44077</v>
      </c>
      <c r="G5672" s="1" t="s">
        <v>44</v>
      </c>
      <c r="H5672" s="8">
        <v>119155653.16</v>
      </c>
      <c r="I5672" s="8">
        <v>70684420.650000006</v>
      </c>
      <c r="J5672" s="1">
        <f>IF(COUNTIF($C$4:C5672,C5672)=1,1,0)</f>
        <v>1</v>
      </c>
      <c r="K5672" s="1">
        <f t="shared" si="88"/>
        <v>2020</v>
      </c>
    </row>
    <row r="5673" spans="2:11" x14ac:dyDescent="0.45">
      <c r="B5673" s="1" t="s">
        <v>4000</v>
      </c>
      <c r="C5673" s="1" t="s">
        <v>5618</v>
      </c>
      <c r="D5673" s="7">
        <v>43793</v>
      </c>
      <c r="E5673" s="7">
        <v>43813</v>
      </c>
      <c r="G5673" s="1" t="s">
        <v>22</v>
      </c>
      <c r="H5673" s="8">
        <v>37381911.409999996</v>
      </c>
      <c r="I5673" s="8">
        <v>20511951.91</v>
      </c>
      <c r="J5673" s="1">
        <f>IF(COUNTIF($C$4:C5673,C5673)=1,1,0)</f>
        <v>1</v>
      </c>
      <c r="K5673" s="1">
        <f t="shared" si="88"/>
        <v>2019</v>
      </c>
    </row>
    <row r="5674" spans="2:11" x14ac:dyDescent="0.45">
      <c r="B5674" s="1" t="s">
        <v>4000</v>
      </c>
      <c r="C5674" s="1" t="s">
        <v>5619</v>
      </c>
      <c r="D5674" s="7">
        <v>44541</v>
      </c>
      <c r="E5674" s="7">
        <v>44569</v>
      </c>
      <c r="G5674" s="1" t="s">
        <v>13</v>
      </c>
      <c r="H5674" s="8">
        <v>628978.51</v>
      </c>
      <c r="I5674" s="8">
        <v>474465</v>
      </c>
      <c r="J5674" s="1">
        <f>IF(COUNTIF($C$4:C5674,C5674)=1,1,0)</f>
        <v>1</v>
      </c>
      <c r="K5674" s="1">
        <f t="shared" si="88"/>
        <v>2021</v>
      </c>
    </row>
    <row r="5675" spans="2:11" x14ac:dyDescent="0.45">
      <c r="B5675" s="1" t="s">
        <v>4000</v>
      </c>
      <c r="C5675" s="1" t="s">
        <v>5620</v>
      </c>
      <c r="D5675" s="7">
        <v>45706</v>
      </c>
      <c r="E5675" s="7">
        <v>45719</v>
      </c>
      <c r="G5675" s="1" t="s">
        <v>44</v>
      </c>
      <c r="H5675" s="8">
        <v>37964475.009999998</v>
      </c>
      <c r="I5675" s="8">
        <v>26184073.02</v>
      </c>
      <c r="J5675" s="1">
        <f>IF(COUNTIF($C$4:C5675,C5675)=1,1,0)</f>
        <v>1</v>
      </c>
      <c r="K5675" s="1">
        <f t="shared" si="88"/>
        <v>2025</v>
      </c>
    </row>
    <row r="5676" spans="2:11" x14ac:dyDescent="0.45">
      <c r="B5676" s="1" t="s">
        <v>4000</v>
      </c>
      <c r="C5676" s="1" t="s">
        <v>5621</v>
      </c>
      <c r="D5676" s="7">
        <v>44907</v>
      </c>
      <c r="E5676" s="7">
        <v>44933</v>
      </c>
      <c r="G5676" s="1" t="s">
        <v>1348</v>
      </c>
      <c r="H5676" s="8">
        <v>17745149.210000001</v>
      </c>
      <c r="I5676" s="8">
        <v>10597209.439999999</v>
      </c>
      <c r="J5676" s="1">
        <f>IF(COUNTIF($C$4:C5676,C5676)=1,1,0)</f>
        <v>1</v>
      </c>
      <c r="K5676" s="1">
        <f t="shared" si="88"/>
        <v>2022</v>
      </c>
    </row>
    <row r="5677" spans="2:11" x14ac:dyDescent="0.45">
      <c r="B5677" s="1" t="s">
        <v>4000</v>
      </c>
      <c r="C5677" s="1" t="s">
        <v>5622</v>
      </c>
      <c r="D5677" s="7">
        <v>45491</v>
      </c>
      <c r="E5677" s="7">
        <v>45514</v>
      </c>
      <c r="G5677" s="1" t="s">
        <v>38</v>
      </c>
      <c r="H5677" s="8">
        <v>112626.8</v>
      </c>
      <c r="I5677" s="8">
        <v>98244</v>
      </c>
      <c r="J5677" s="1">
        <f>IF(COUNTIF($C$4:C5677,C5677)=1,1,0)</f>
        <v>1</v>
      </c>
      <c r="K5677" s="1">
        <f t="shared" si="88"/>
        <v>2024</v>
      </c>
    </row>
    <row r="5678" spans="2:11" x14ac:dyDescent="0.45">
      <c r="B5678" s="1" t="s">
        <v>4000</v>
      </c>
      <c r="C5678" s="1" t="s">
        <v>5623</v>
      </c>
      <c r="D5678" s="7">
        <v>44001</v>
      </c>
      <c r="E5678" s="7">
        <v>44005</v>
      </c>
      <c r="G5678" s="1" t="s">
        <v>22</v>
      </c>
      <c r="H5678" s="8">
        <v>79537979.310000002</v>
      </c>
      <c r="I5678" s="8">
        <v>32141699.489999998</v>
      </c>
      <c r="J5678" s="1">
        <f>IF(COUNTIF($C$4:C5678,C5678)=1,1,0)</f>
        <v>1</v>
      </c>
      <c r="K5678" s="1">
        <f t="shared" si="88"/>
        <v>2020</v>
      </c>
    </row>
    <row r="5679" spans="2:11" x14ac:dyDescent="0.45">
      <c r="B5679" s="1" t="s">
        <v>4000</v>
      </c>
      <c r="C5679" s="1" t="s">
        <v>5624</v>
      </c>
      <c r="D5679" s="7">
        <v>45720</v>
      </c>
      <c r="E5679" s="7">
        <v>45726</v>
      </c>
      <c r="G5679" s="1" t="s">
        <v>1348</v>
      </c>
      <c r="H5679" s="8">
        <v>251122017</v>
      </c>
      <c r="I5679" s="8">
        <v>122478556.40000001</v>
      </c>
      <c r="J5679" s="1">
        <f>IF(COUNTIF($C$4:C5679,C5679)=1,1,0)</f>
        <v>1</v>
      </c>
      <c r="K5679" s="1">
        <f t="shared" si="88"/>
        <v>2025</v>
      </c>
    </row>
    <row r="5680" spans="2:11" x14ac:dyDescent="0.45">
      <c r="B5680" s="1" t="s">
        <v>4000</v>
      </c>
      <c r="C5680" s="1" t="s">
        <v>5625</v>
      </c>
      <c r="D5680" s="7">
        <v>44591</v>
      </c>
      <c r="E5680" s="7">
        <v>44617</v>
      </c>
      <c r="G5680" s="1" t="s">
        <v>212</v>
      </c>
      <c r="H5680" s="8">
        <v>11412860.84</v>
      </c>
      <c r="I5680" s="8">
        <v>5813465.3799999999</v>
      </c>
      <c r="J5680" s="1">
        <f>IF(COUNTIF($C$4:C5680,C5680)=1,1,0)</f>
        <v>1</v>
      </c>
      <c r="K5680" s="1">
        <f t="shared" si="88"/>
        <v>2022</v>
      </c>
    </row>
    <row r="5681" spans="2:11" x14ac:dyDescent="0.45">
      <c r="B5681" s="1" t="s">
        <v>4000</v>
      </c>
      <c r="C5681" s="1" t="s">
        <v>5626</v>
      </c>
      <c r="D5681" s="7">
        <v>45538</v>
      </c>
      <c r="E5681" s="7">
        <v>45557</v>
      </c>
      <c r="G5681" s="1" t="s">
        <v>212</v>
      </c>
      <c r="H5681" s="8">
        <v>10419038.76</v>
      </c>
      <c r="I5681" s="8">
        <v>6382993.2000000002</v>
      </c>
      <c r="J5681" s="1">
        <f>IF(COUNTIF($C$4:C5681,C5681)=1,1,0)</f>
        <v>1</v>
      </c>
      <c r="K5681" s="1">
        <f t="shared" si="88"/>
        <v>2024</v>
      </c>
    </row>
    <row r="5682" spans="2:11" x14ac:dyDescent="0.45">
      <c r="B5682" s="1" t="s">
        <v>4000</v>
      </c>
      <c r="C5682" s="1" t="s">
        <v>5627</v>
      </c>
      <c r="D5682" s="7">
        <v>45637</v>
      </c>
      <c r="E5682" s="7">
        <v>45641</v>
      </c>
      <c r="G5682" s="1" t="s">
        <v>20</v>
      </c>
      <c r="H5682" s="8">
        <v>922015.23</v>
      </c>
      <c r="I5682" s="8">
        <v>740483.56</v>
      </c>
      <c r="J5682" s="1">
        <f>IF(COUNTIF($C$4:C5682,C5682)=1,1,0)</f>
        <v>1</v>
      </c>
      <c r="K5682" s="1">
        <f t="shared" si="88"/>
        <v>2024</v>
      </c>
    </row>
    <row r="5683" spans="2:11" x14ac:dyDescent="0.45">
      <c r="B5683" s="1" t="s">
        <v>4000</v>
      </c>
      <c r="C5683" s="1" t="s">
        <v>5628</v>
      </c>
      <c r="D5683" s="7">
        <v>44008</v>
      </c>
      <c r="E5683" s="7">
        <v>44038</v>
      </c>
      <c r="G5683" s="1" t="s">
        <v>41</v>
      </c>
      <c r="H5683" s="8">
        <v>85548.32</v>
      </c>
      <c r="I5683" s="8">
        <v>59119.88</v>
      </c>
      <c r="J5683" s="1">
        <f>IF(COUNTIF($C$4:C5683,C5683)=1,1,0)</f>
        <v>1</v>
      </c>
      <c r="K5683" s="1">
        <f t="shared" si="88"/>
        <v>2020</v>
      </c>
    </row>
    <row r="5684" spans="2:11" x14ac:dyDescent="0.45">
      <c r="B5684" s="1" t="s">
        <v>4000</v>
      </c>
      <c r="C5684" s="1" t="s">
        <v>5629</v>
      </c>
      <c r="D5684" s="7">
        <v>45569</v>
      </c>
      <c r="E5684" s="7">
        <v>45571</v>
      </c>
      <c r="G5684" s="1" t="s">
        <v>44</v>
      </c>
      <c r="H5684" s="8">
        <v>311635635.83999997</v>
      </c>
      <c r="I5684" s="8">
        <v>142164867.83000001</v>
      </c>
      <c r="J5684" s="1">
        <f>IF(COUNTIF($C$4:C5684,C5684)=1,1,0)</f>
        <v>1</v>
      </c>
      <c r="K5684" s="1">
        <f t="shared" si="88"/>
        <v>2024</v>
      </c>
    </row>
    <row r="5685" spans="2:11" x14ac:dyDescent="0.45">
      <c r="B5685" s="1" t="s">
        <v>4000</v>
      </c>
      <c r="C5685" s="1" t="s">
        <v>5630</v>
      </c>
      <c r="D5685" s="7">
        <v>44454</v>
      </c>
      <c r="E5685" s="7">
        <v>44476</v>
      </c>
      <c r="G5685" s="1" t="s">
        <v>212</v>
      </c>
      <c r="H5685" s="8">
        <v>22682837.059999999</v>
      </c>
      <c r="I5685" s="8">
        <v>14649281.85</v>
      </c>
      <c r="J5685" s="1">
        <f>IF(COUNTIF($C$4:C5685,C5685)=1,1,0)</f>
        <v>1</v>
      </c>
      <c r="K5685" s="1">
        <f t="shared" si="88"/>
        <v>2021</v>
      </c>
    </row>
    <row r="5686" spans="2:11" x14ac:dyDescent="0.45">
      <c r="B5686" s="1" t="s">
        <v>4000</v>
      </c>
      <c r="C5686" s="1" t="s">
        <v>5631</v>
      </c>
      <c r="D5686" s="7">
        <v>44549</v>
      </c>
      <c r="E5686" s="7">
        <v>44557</v>
      </c>
      <c r="G5686" s="1" t="s">
        <v>44</v>
      </c>
      <c r="H5686" s="8">
        <v>76758597.980000004</v>
      </c>
      <c r="I5686" s="8">
        <v>42057634.640000001</v>
      </c>
      <c r="J5686" s="1">
        <f>IF(COUNTIF($C$4:C5686,C5686)=1,1,0)</f>
        <v>1</v>
      </c>
      <c r="K5686" s="1">
        <f t="shared" si="88"/>
        <v>2021</v>
      </c>
    </row>
    <row r="5687" spans="2:11" x14ac:dyDescent="0.45">
      <c r="B5687" s="1" t="s">
        <v>4000</v>
      </c>
      <c r="C5687" s="1" t="s">
        <v>5632</v>
      </c>
      <c r="D5687" s="7">
        <v>46009</v>
      </c>
      <c r="E5687" s="7">
        <v>46015</v>
      </c>
      <c r="G5687" s="1" t="s">
        <v>1348</v>
      </c>
      <c r="H5687" s="8">
        <v>26451216.5</v>
      </c>
      <c r="I5687" s="8">
        <v>19049315.399999999</v>
      </c>
      <c r="J5687" s="1">
        <f>IF(COUNTIF($C$4:C5687,C5687)=1,1,0)</f>
        <v>1</v>
      </c>
      <c r="K5687" s="1">
        <f t="shared" si="88"/>
        <v>2025</v>
      </c>
    </row>
    <row r="5688" spans="2:11" x14ac:dyDescent="0.45">
      <c r="B5688" s="1" t="s">
        <v>4000</v>
      </c>
      <c r="C5688" s="1" t="s">
        <v>5633</v>
      </c>
      <c r="D5688" s="7">
        <v>45578</v>
      </c>
      <c r="E5688" s="7">
        <v>45608</v>
      </c>
      <c r="G5688" s="1" t="s">
        <v>20</v>
      </c>
      <c r="H5688" s="8">
        <v>237434.46</v>
      </c>
      <c r="I5688" s="8">
        <v>175655.53</v>
      </c>
      <c r="J5688" s="1">
        <f>IF(COUNTIF($C$4:C5688,C5688)=1,1,0)</f>
        <v>1</v>
      </c>
      <c r="K5688" s="1">
        <f t="shared" si="88"/>
        <v>2024</v>
      </c>
    </row>
    <row r="5689" spans="2:11" x14ac:dyDescent="0.45">
      <c r="B5689" s="1" t="s">
        <v>4000</v>
      </c>
      <c r="C5689" s="1" t="s">
        <v>5634</v>
      </c>
      <c r="D5689" s="7">
        <v>43899</v>
      </c>
      <c r="E5689" s="7">
        <v>43927</v>
      </c>
      <c r="G5689" s="1" t="s">
        <v>1348</v>
      </c>
      <c r="H5689" s="8">
        <v>20425061.440000001</v>
      </c>
      <c r="I5689" s="8">
        <v>9270111.75</v>
      </c>
      <c r="J5689" s="1">
        <f>IF(COUNTIF($C$4:C5689,C5689)=1,1,0)</f>
        <v>1</v>
      </c>
      <c r="K5689" s="1">
        <f t="shared" si="88"/>
        <v>2020</v>
      </c>
    </row>
    <row r="5690" spans="2:11" x14ac:dyDescent="0.45">
      <c r="B5690" s="1" t="s">
        <v>4000</v>
      </c>
      <c r="C5690" s="1" t="s">
        <v>5635</v>
      </c>
      <c r="D5690" s="7">
        <v>43581</v>
      </c>
      <c r="E5690" s="7">
        <v>43600</v>
      </c>
      <c r="G5690" s="1" t="s">
        <v>41</v>
      </c>
      <c r="H5690" s="8">
        <v>64012.81</v>
      </c>
      <c r="I5690" s="8">
        <v>49396.52</v>
      </c>
      <c r="J5690" s="1">
        <f>IF(COUNTIF($C$4:C5690,C5690)=1,1,0)</f>
        <v>1</v>
      </c>
      <c r="K5690" s="1">
        <f t="shared" si="88"/>
        <v>2019</v>
      </c>
    </row>
    <row r="5691" spans="2:11" x14ac:dyDescent="0.45">
      <c r="B5691" s="1" t="s">
        <v>4000</v>
      </c>
      <c r="C5691" s="1" t="s">
        <v>5636</v>
      </c>
      <c r="D5691" s="7">
        <v>45907</v>
      </c>
      <c r="E5691" s="7">
        <v>45926</v>
      </c>
      <c r="G5691" s="1" t="s">
        <v>38</v>
      </c>
      <c r="H5691" s="8">
        <v>292613.26</v>
      </c>
      <c r="I5691" s="8">
        <v>252138.83</v>
      </c>
      <c r="J5691" s="1">
        <f>IF(COUNTIF($C$4:C5691,C5691)=1,1,0)</f>
        <v>1</v>
      </c>
      <c r="K5691" s="1">
        <f t="shared" si="88"/>
        <v>2025</v>
      </c>
    </row>
    <row r="5692" spans="2:11" x14ac:dyDescent="0.45">
      <c r="B5692" s="1" t="s">
        <v>4000</v>
      </c>
      <c r="C5692" s="1" t="s">
        <v>5637</v>
      </c>
      <c r="D5692" s="7">
        <v>46259</v>
      </c>
      <c r="E5692" s="7">
        <v>46261</v>
      </c>
      <c r="G5692" s="1" t="s">
        <v>16</v>
      </c>
      <c r="H5692" s="8">
        <v>1010723.69</v>
      </c>
      <c r="I5692" s="8">
        <v>815204.03</v>
      </c>
      <c r="J5692" s="1">
        <f>IF(COUNTIF($C$4:C5692,C5692)=1,1,0)</f>
        <v>1</v>
      </c>
      <c r="K5692" s="1">
        <f t="shared" si="88"/>
        <v>2026</v>
      </c>
    </row>
    <row r="5693" spans="2:11" x14ac:dyDescent="0.45">
      <c r="B5693" s="1" t="s">
        <v>4000</v>
      </c>
      <c r="C5693" s="1" t="s">
        <v>5638</v>
      </c>
      <c r="D5693" s="7">
        <v>45541</v>
      </c>
      <c r="E5693" s="7">
        <v>45551</v>
      </c>
      <c r="G5693" s="1" t="s">
        <v>13</v>
      </c>
      <c r="H5693" s="8">
        <v>490893.39</v>
      </c>
      <c r="I5693" s="8">
        <v>340912.77</v>
      </c>
      <c r="J5693" s="1">
        <f>IF(COUNTIF($C$4:C5693,C5693)=1,1,0)</f>
        <v>1</v>
      </c>
      <c r="K5693" s="1">
        <f t="shared" si="88"/>
        <v>2024</v>
      </c>
    </row>
    <row r="5694" spans="2:11" x14ac:dyDescent="0.45">
      <c r="B5694" s="1" t="s">
        <v>4000</v>
      </c>
      <c r="C5694" s="1" t="s">
        <v>5639</v>
      </c>
      <c r="D5694" s="7">
        <v>45982</v>
      </c>
      <c r="E5694" s="7">
        <v>45983</v>
      </c>
      <c r="G5694" s="1" t="s">
        <v>41</v>
      </c>
      <c r="H5694" s="8">
        <v>361222.94</v>
      </c>
      <c r="I5694" s="8">
        <v>280985.25</v>
      </c>
      <c r="J5694" s="1">
        <f>IF(COUNTIF($C$4:C5694,C5694)=1,1,0)</f>
        <v>1</v>
      </c>
      <c r="K5694" s="1">
        <f t="shared" si="88"/>
        <v>2025</v>
      </c>
    </row>
    <row r="5695" spans="2:11" x14ac:dyDescent="0.45">
      <c r="B5695" s="1" t="s">
        <v>4000</v>
      </c>
      <c r="C5695" s="1" t="s">
        <v>4455</v>
      </c>
      <c r="D5695" s="7">
        <v>45268</v>
      </c>
      <c r="E5695" s="7">
        <v>45296</v>
      </c>
      <c r="G5695" s="1" t="s">
        <v>38</v>
      </c>
      <c r="H5695" s="8">
        <v>86342.79</v>
      </c>
      <c r="I5695" s="8">
        <v>62860.76</v>
      </c>
      <c r="J5695" s="1">
        <f>IF(COUNTIF($C$4:C5695,C5695)=1,1,0)</f>
        <v>0</v>
      </c>
      <c r="K5695" s="1">
        <f t="shared" si="88"/>
        <v>2023</v>
      </c>
    </row>
    <row r="5696" spans="2:11" x14ac:dyDescent="0.45">
      <c r="B5696" s="1" t="s">
        <v>4000</v>
      </c>
      <c r="C5696" s="1" t="s">
        <v>5640</v>
      </c>
      <c r="D5696" s="7">
        <v>45723</v>
      </c>
      <c r="E5696" s="7">
        <v>45726</v>
      </c>
      <c r="G5696" s="1" t="s">
        <v>20</v>
      </c>
      <c r="H5696" s="8">
        <v>684060.4</v>
      </c>
      <c r="I5696" s="8">
        <v>470699.52000000002</v>
      </c>
      <c r="J5696" s="1">
        <f>IF(COUNTIF($C$4:C5696,C5696)=1,1,0)</f>
        <v>1</v>
      </c>
      <c r="K5696" s="1">
        <f t="shared" si="88"/>
        <v>2025</v>
      </c>
    </row>
    <row r="5697" spans="2:11" x14ac:dyDescent="0.45">
      <c r="B5697" s="1" t="s">
        <v>4000</v>
      </c>
      <c r="C5697" s="1" t="s">
        <v>5641</v>
      </c>
      <c r="D5697" s="7">
        <v>46061</v>
      </c>
      <c r="E5697" s="7">
        <v>46075</v>
      </c>
      <c r="G5697" s="1" t="s">
        <v>212</v>
      </c>
      <c r="H5697" s="8">
        <v>95099857.239999995</v>
      </c>
      <c r="I5697" s="8">
        <v>54026689.189999998</v>
      </c>
      <c r="J5697" s="1">
        <f>IF(COUNTIF($C$4:C5697,C5697)=1,1,0)</f>
        <v>1</v>
      </c>
      <c r="K5697" s="1">
        <f t="shared" si="88"/>
        <v>2026</v>
      </c>
    </row>
    <row r="5698" spans="2:11" x14ac:dyDescent="0.45">
      <c r="B5698" s="1" t="s">
        <v>4000</v>
      </c>
      <c r="C5698" s="1" t="s">
        <v>5175</v>
      </c>
      <c r="D5698" s="7">
        <v>46077</v>
      </c>
      <c r="E5698" s="7">
        <v>46092</v>
      </c>
      <c r="G5698" s="1" t="s">
        <v>1348</v>
      </c>
      <c r="H5698" s="8">
        <v>48158521.340000004</v>
      </c>
      <c r="I5698" s="8">
        <v>29030184.239999998</v>
      </c>
      <c r="J5698" s="1">
        <f>IF(COUNTIF($C$4:C5698,C5698)=1,1,0)</f>
        <v>0</v>
      </c>
      <c r="K5698" s="1">
        <f t="shared" si="88"/>
        <v>2026</v>
      </c>
    </row>
    <row r="5699" spans="2:11" x14ac:dyDescent="0.45">
      <c r="B5699" s="1" t="s">
        <v>4000</v>
      </c>
      <c r="C5699" s="1" t="s">
        <v>5642</v>
      </c>
      <c r="D5699" s="7">
        <v>44516</v>
      </c>
      <c r="E5699" s="7">
        <v>44525</v>
      </c>
      <c r="G5699" s="1" t="s">
        <v>20</v>
      </c>
      <c r="H5699" s="8">
        <v>949008.21</v>
      </c>
      <c r="I5699" s="8">
        <v>565946.5</v>
      </c>
      <c r="J5699" s="1">
        <f>IF(COUNTIF($C$4:C5699,C5699)=1,1,0)</f>
        <v>1</v>
      </c>
      <c r="K5699" s="1">
        <f t="shared" si="88"/>
        <v>2021</v>
      </c>
    </row>
    <row r="5700" spans="2:11" x14ac:dyDescent="0.45">
      <c r="B5700" s="1" t="s">
        <v>4000</v>
      </c>
      <c r="C5700" s="1" t="s">
        <v>5643</v>
      </c>
      <c r="D5700" s="7">
        <v>43454</v>
      </c>
      <c r="E5700" s="7">
        <v>43474</v>
      </c>
      <c r="G5700" s="1" t="s">
        <v>22</v>
      </c>
      <c r="H5700" s="8">
        <v>77429634.019999996</v>
      </c>
      <c r="I5700" s="8">
        <v>39854211.039999999</v>
      </c>
      <c r="J5700" s="1">
        <f>IF(COUNTIF($C$4:C5700,C5700)=1,1,0)</f>
        <v>1</v>
      </c>
      <c r="K5700" s="1">
        <f t="shared" si="88"/>
        <v>2018</v>
      </c>
    </row>
    <row r="5701" spans="2:11" x14ac:dyDescent="0.45">
      <c r="B5701" s="1" t="s">
        <v>4000</v>
      </c>
      <c r="C5701" s="1" t="s">
        <v>5644</v>
      </c>
      <c r="D5701" s="7">
        <v>45854</v>
      </c>
      <c r="E5701" s="7">
        <v>45862</v>
      </c>
      <c r="G5701" s="1" t="s">
        <v>22</v>
      </c>
      <c r="H5701" s="8">
        <v>11554675.24</v>
      </c>
      <c r="I5701" s="8">
        <v>7832348.1799999997</v>
      </c>
      <c r="J5701" s="1">
        <f>IF(COUNTIF($C$4:C5701,C5701)=1,1,0)</f>
        <v>1</v>
      </c>
      <c r="K5701" s="1">
        <f t="shared" ref="K5701:K5764" si="89">YEAR(D5701)</f>
        <v>2025</v>
      </c>
    </row>
    <row r="5702" spans="2:11" x14ac:dyDescent="0.45">
      <c r="B5702" s="1" t="s">
        <v>4000</v>
      </c>
      <c r="C5702" s="1" t="s">
        <v>5645</v>
      </c>
      <c r="D5702" s="7">
        <v>44956</v>
      </c>
      <c r="E5702" s="7">
        <v>44961</v>
      </c>
      <c r="G5702" s="1" t="s">
        <v>41</v>
      </c>
      <c r="H5702" s="8">
        <v>244170</v>
      </c>
      <c r="I5702" s="8">
        <v>194863.31</v>
      </c>
      <c r="J5702" s="1">
        <f>IF(COUNTIF($C$4:C5702,C5702)=1,1,0)</f>
        <v>1</v>
      </c>
      <c r="K5702" s="1">
        <f t="shared" si="89"/>
        <v>2023</v>
      </c>
    </row>
    <row r="5703" spans="2:11" x14ac:dyDescent="0.45">
      <c r="B5703" s="1" t="s">
        <v>4000</v>
      </c>
      <c r="C5703" s="1" t="s">
        <v>5646</v>
      </c>
      <c r="D5703" s="7">
        <v>44820</v>
      </c>
      <c r="E5703" s="7">
        <v>44822</v>
      </c>
      <c r="G5703" s="1" t="s">
        <v>16</v>
      </c>
      <c r="H5703" s="8">
        <v>2262011.69</v>
      </c>
      <c r="I5703" s="8">
        <v>1436269.17</v>
      </c>
      <c r="J5703" s="1">
        <f>IF(COUNTIF($C$4:C5703,C5703)=1,1,0)</f>
        <v>1</v>
      </c>
      <c r="K5703" s="1">
        <f t="shared" si="89"/>
        <v>2022</v>
      </c>
    </row>
    <row r="5704" spans="2:11" x14ac:dyDescent="0.45">
      <c r="B5704" s="1" t="s">
        <v>4000</v>
      </c>
      <c r="C5704" s="1" t="s">
        <v>5647</v>
      </c>
      <c r="D5704" s="7">
        <v>43558</v>
      </c>
      <c r="E5704" s="7">
        <v>43583</v>
      </c>
      <c r="G5704" s="1" t="s">
        <v>16</v>
      </c>
      <c r="H5704" s="8">
        <v>962325.13</v>
      </c>
      <c r="I5704" s="8">
        <v>794890.29</v>
      </c>
      <c r="J5704" s="1">
        <f>IF(COUNTIF($C$4:C5704,C5704)=1,1,0)</f>
        <v>1</v>
      </c>
      <c r="K5704" s="1">
        <f t="shared" si="89"/>
        <v>2019</v>
      </c>
    </row>
    <row r="5705" spans="2:11" x14ac:dyDescent="0.45">
      <c r="B5705" s="1" t="s">
        <v>4000</v>
      </c>
      <c r="C5705" s="1" t="s">
        <v>5648</v>
      </c>
      <c r="D5705" s="7">
        <v>43782</v>
      </c>
      <c r="E5705" s="7">
        <v>43812</v>
      </c>
      <c r="G5705" s="1" t="s">
        <v>1348</v>
      </c>
      <c r="H5705" s="8">
        <v>6943681.0099999998</v>
      </c>
      <c r="I5705" s="8">
        <v>3875061.26</v>
      </c>
      <c r="J5705" s="1">
        <f>IF(COUNTIF($C$4:C5705,C5705)=1,1,0)</f>
        <v>1</v>
      </c>
      <c r="K5705" s="1">
        <f t="shared" si="89"/>
        <v>2019</v>
      </c>
    </row>
    <row r="5706" spans="2:11" x14ac:dyDescent="0.45">
      <c r="B5706" s="1" t="s">
        <v>4000</v>
      </c>
      <c r="C5706" s="1" t="s">
        <v>5649</v>
      </c>
      <c r="D5706" s="7">
        <v>44555</v>
      </c>
      <c r="E5706" s="7">
        <v>44573</v>
      </c>
      <c r="G5706" s="1" t="s">
        <v>20</v>
      </c>
      <c r="H5706" s="8">
        <v>805505.18</v>
      </c>
      <c r="I5706" s="8">
        <v>650363.06999999995</v>
      </c>
      <c r="J5706" s="1">
        <f>IF(COUNTIF($C$4:C5706,C5706)=1,1,0)</f>
        <v>1</v>
      </c>
      <c r="K5706" s="1">
        <f t="shared" si="89"/>
        <v>2021</v>
      </c>
    </row>
    <row r="5707" spans="2:11" x14ac:dyDescent="0.45">
      <c r="B5707" s="1" t="s">
        <v>4000</v>
      </c>
      <c r="C5707" s="1" t="s">
        <v>5650</v>
      </c>
      <c r="D5707" s="7">
        <v>43599</v>
      </c>
      <c r="E5707" s="7">
        <v>43614</v>
      </c>
      <c r="G5707" s="1" t="s">
        <v>22</v>
      </c>
      <c r="H5707" s="8">
        <v>17059721.079999998</v>
      </c>
      <c r="I5707" s="8">
        <v>11092469.640000001</v>
      </c>
      <c r="J5707" s="1">
        <f>IF(COUNTIF($C$4:C5707,C5707)=1,1,0)</f>
        <v>1</v>
      </c>
      <c r="K5707" s="1">
        <f t="shared" si="89"/>
        <v>2019</v>
      </c>
    </row>
    <row r="5708" spans="2:11" x14ac:dyDescent="0.45">
      <c r="B5708" s="1" t="s">
        <v>4000</v>
      </c>
      <c r="C5708" s="1" t="s">
        <v>5651</v>
      </c>
      <c r="D5708" s="7">
        <v>43628</v>
      </c>
      <c r="E5708" s="7">
        <v>43629</v>
      </c>
      <c r="G5708" s="1" t="s">
        <v>16</v>
      </c>
      <c r="H5708" s="8">
        <v>1203785.92</v>
      </c>
      <c r="I5708" s="8">
        <v>945470.88</v>
      </c>
      <c r="J5708" s="1">
        <f>IF(COUNTIF($C$4:C5708,C5708)=1,1,0)</f>
        <v>1</v>
      </c>
      <c r="K5708" s="1">
        <f t="shared" si="89"/>
        <v>2019</v>
      </c>
    </row>
    <row r="5709" spans="2:11" x14ac:dyDescent="0.45">
      <c r="B5709" s="1" t="s">
        <v>4000</v>
      </c>
      <c r="C5709" s="1" t="s">
        <v>5652</v>
      </c>
      <c r="D5709" s="7">
        <v>45098</v>
      </c>
      <c r="E5709" s="7">
        <v>45107</v>
      </c>
      <c r="G5709" s="1" t="s">
        <v>20</v>
      </c>
      <c r="H5709" s="8">
        <v>627879.34</v>
      </c>
      <c r="I5709" s="8">
        <v>372270.94</v>
      </c>
      <c r="J5709" s="1">
        <f>IF(COUNTIF($C$4:C5709,C5709)=1,1,0)</f>
        <v>1</v>
      </c>
      <c r="K5709" s="1">
        <f t="shared" si="89"/>
        <v>2023</v>
      </c>
    </row>
    <row r="5710" spans="2:11" x14ac:dyDescent="0.45">
      <c r="B5710" s="1" t="s">
        <v>4000</v>
      </c>
      <c r="C5710" s="1" t="s">
        <v>5653</v>
      </c>
      <c r="D5710" s="7">
        <v>45259</v>
      </c>
      <c r="E5710" s="7">
        <v>45262</v>
      </c>
      <c r="G5710" s="1" t="s">
        <v>16</v>
      </c>
      <c r="H5710" s="8">
        <v>607019.19999999995</v>
      </c>
      <c r="I5710" s="8">
        <v>474105.69</v>
      </c>
      <c r="J5710" s="1">
        <f>IF(COUNTIF($C$4:C5710,C5710)=1,1,0)</f>
        <v>1</v>
      </c>
      <c r="K5710" s="1">
        <f t="shared" si="89"/>
        <v>2023</v>
      </c>
    </row>
    <row r="5711" spans="2:11" x14ac:dyDescent="0.45">
      <c r="B5711" s="1" t="s">
        <v>4000</v>
      </c>
      <c r="C5711" s="1" t="s">
        <v>5654</v>
      </c>
      <c r="D5711" s="7">
        <v>45677</v>
      </c>
      <c r="E5711" s="7">
        <v>45690</v>
      </c>
      <c r="G5711" s="1" t="s">
        <v>41</v>
      </c>
      <c r="H5711" s="8">
        <v>47793.5</v>
      </c>
      <c r="I5711" s="8">
        <v>37165.83</v>
      </c>
      <c r="J5711" s="1">
        <f>IF(COUNTIF($C$4:C5711,C5711)=1,1,0)</f>
        <v>1</v>
      </c>
      <c r="K5711" s="1">
        <f t="shared" si="89"/>
        <v>2025</v>
      </c>
    </row>
    <row r="5712" spans="2:11" x14ac:dyDescent="0.45">
      <c r="B5712" s="1" t="s">
        <v>4000</v>
      </c>
      <c r="C5712" s="1" t="s">
        <v>5655</v>
      </c>
      <c r="D5712" s="7">
        <v>45561</v>
      </c>
      <c r="E5712" s="7">
        <v>45582</v>
      </c>
      <c r="G5712" s="1" t="s">
        <v>212</v>
      </c>
      <c r="H5712" s="8">
        <v>19456262.800000001</v>
      </c>
      <c r="I5712" s="8">
        <v>10365131.35</v>
      </c>
      <c r="J5712" s="1">
        <f>IF(COUNTIF($C$4:C5712,C5712)=1,1,0)</f>
        <v>1</v>
      </c>
      <c r="K5712" s="1">
        <f t="shared" si="89"/>
        <v>2024</v>
      </c>
    </row>
    <row r="5713" spans="2:11" x14ac:dyDescent="0.45">
      <c r="B5713" s="1" t="s">
        <v>4000</v>
      </c>
      <c r="C5713" s="1" t="s">
        <v>5234</v>
      </c>
      <c r="D5713" s="7">
        <v>45769</v>
      </c>
      <c r="E5713" s="7">
        <v>45793</v>
      </c>
      <c r="G5713" s="1" t="s">
        <v>1348</v>
      </c>
      <c r="H5713" s="8">
        <v>73278135.819999993</v>
      </c>
      <c r="I5713" s="8">
        <v>49448150.590000004</v>
      </c>
      <c r="J5713" s="1">
        <f>IF(COUNTIF($C$4:C5713,C5713)=1,1,0)</f>
        <v>0</v>
      </c>
      <c r="K5713" s="1">
        <f t="shared" si="89"/>
        <v>2025</v>
      </c>
    </row>
    <row r="5714" spans="2:11" x14ac:dyDescent="0.45">
      <c r="B5714" s="1" t="s">
        <v>4000</v>
      </c>
      <c r="C5714" s="1" t="s">
        <v>5656</v>
      </c>
      <c r="D5714" s="7">
        <v>45060</v>
      </c>
      <c r="E5714" s="7">
        <v>45082</v>
      </c>
      <c r="G5714" s="1" t="s">
        <v>1348</v>
      </c>
      <c r="H5714" s="8">
        <v>48350761.390000001</v>
      </c>
      <c r="I5714" s="8">
        <v>32659761.710000001</v>
      </c>
      <c r="J5714" s="1">
        <f>IF(COUNTIF($C$4:C5714,C5714)=1,1,0)</f>
        <v>1</v>
      </c>
      <c r="K5714" s="1">
        <f t="shared" si="89"/>
        <v>2023</v>
      </c>
    </row>
    <row r="5715" spans="2:11" x14ac:dyDescent="0.45">
      <c r="B5715" s="1" t="s">
        <v>4000</v>
      </c>
      <c r="C5715" s="1" t="s">
        <v>5657</v>
      </c>
      <c r="D5715" s="7">
        <v>46144</v>
      </c>
      <c r="E5715" s="7">
        <v>46156</v>
      </c>
      <c r="G5715" s="1" t="s">
        <v>1348</v>
      </c>
      <c r="H5715" s="8">
        <v>16816994.59</v>
      </c>
      <c r="I5715" s="8">
        <v>13033207.050000001</v>
      </c>
      <c r="J5715" s="1">
        <f>IF(COUNTIF($C$4:C5715,C5715)=1,1,0)</f>
        <v>1</v>
      </c>
      <c r="K5715" s="1">
        <f t="shared" si="89"/>
        <v>2026</v>
      </c>
    </row>
    <row r="5716" spans="2:11" x14ac:dyDescent="0.45">
      <c r="B5716" s="1" t="s">
        <v>4000</v>
      </c>
      <c r="C5716" s="1" t="s">
        <v>5658</v>
      </c>
      <c r="D5716" s="7">
        <v>45827</v>
      </c>
      <c r="E5716" s="7">
        <v>45834</v>
      </c>
      <c r="G5716" s="1" t="s">
        <v>16</v>
      </c>
      <c r="H5716" s="8">
        <v>2346862.9500000002</v>
      </c>
      <c r="I5716" s="8">
        <v>1855837.34</v>
      </c>
      <c r="J5716" s="1">
        <f>IF(COUNTIF($C$4:C5716,C5716)=1,1,0)</f>
        <v>1</v>
      </c>
      <c r="K5716" s="1">
        <f t="shared" si="89"/>
        <v>2025</v>
      </c>
    </row>
    <row r="5717" spans="2:11" x14ac:dyDescent="0.45">
      <c r="B5717" s="1" t="s">
        <v>4000</v>
      </c>
      <c r="C5717" s="1" t="s">
        <v>4846</v>
      </c>
      <c r="D5717" s="7">
        <v>45634</v>
      </c>
      <c r="E5717" s="7">
        <v>45635</v>
      </c>
      <c r="G5717" s="1" t="s">
        <v>41</v>
      </c>
      <c r="H5717" s="8">
        <v>64452.9</v>
      </c>
      <c r="I5717" s="8">
        <v>50003.39</v>
      </c>
      <c r="J5717" s="1">
        <f>IF(COUNTIF($C$4:C5717,C5717)=1,1,0)</f>
        <v>0</v>
      </c>
      <c r="K5717" s="1">
        <f t="shared" si="89"/>
        <v>2024</v>
      </c>
    </row>
    <row r="5718" spans="2:11" x14ac:dyDescent="0.45">
      <c r="B5718" s="1" t="s">
        <v>4000</v>
      </c>
      <c r="C5718" s="1" t="s">
        <v>5659</v>
      </c>
      <c r="D5718" s="7">
        <v>45682</v>
      </c>
      <c r="E5718" s="7">
        <v>45690</v>
      </c>
      <c r="G5718" s="1" t="s">
        <v>212</v>
      </c>
      <c r="H5718" s="8">
        <v>9081024.7799999993</v>
      </c>
      <c r="I5718" s="8">
        <v>4781430.3600000003</v>
      </c>
      <c r="J5718" s="1">
        <f>IF(COUNTIF($C$4:C5718,C5718)=1,1,0)</f>
        <v>1</v>
      </c>
      <c r="K5718" s="1">
        <f t="shared" si="89"/>
        <v>2025</v>
      </c>
    </row>
    <row r="5719" spans="2:11" x14ac:dyDescent="0.45">
      <c r="B5719" s="1" t="s">
        <v>4000</v>
      </c>
      <c r="C5719" s="1" t="s">
        <v>5660</v>
      </c>
      <c r="D5719" s="7">
        <v>43351</v>
      </c>
      <c r="E5719" s="7">
        <v>43375</v>
      </c>
      <c r="G5719" s="1" t="s">
        <v>1348</v>
      </c>
      <c r="H5719" s="8">
        <v>12807446.210000001</v>
      </c>
      <c r="I5719" s="8">
        <v>4873756.5</v>
      </c>
      <c r="J5719" s="1">
        <f>IF(COUNTIF($C$4:C5719,C5719)=1,1,0)</f>
        <v>1</v>
      </c>
      <c r="K5719" s="1">
        <f t="shared" si="89"/>
        <v>2018</v>
      </c>
    </row>
    <row r="5720" spans="2:11" x14ac:dyDescent="0.45">
      <c r="B5720" s="1" t="s">
        <v>4000</v>
      </c>
      <c r="C5720" s="1" t="s">
        <v>5661</v>
      </c>
      <c r="D5720" s="7">
        <v>44085</v>
      </c>
      <c r="E5720" s="7">
        <v>44089</v>
      </c>
      <c r="G5720" s="1" t="s">
        <v>38</v>
      </c>
      <c r="H5720" s="8">
        <v>40143.57</v>
      </c>
      <c r="I5720" s="8">
        <v>31815.26</v>
      </c>
      <c r="J5720" s="1">
        <f>IF(COUNTIF($C$4:C5720,C5720)=1,1,0)</f>
        <v>1</v>
      </c>
      <c r="K5720" s="1">
        <f t="shared" si="89"/>
        <v>2020</v>
      </c>
    </row>
    <row r="5721" spans="2:11" x14ac:dyDescent="0.45">
      <c r="B5721" s="1" t="s">
        <v>4000</v>
      </c>
      <c r="C5721" s="1" t="s">
        <v>5662</v>
      </c>
      <c r="D5721" s="7">
        <v>44215</v>
      </c>
      <c r="E5721" s="7">
        <v>44232</v>
      </c>
      <c r="G5721" s="1" t="s">
        <v>18</v>
      </c>
      <c r="H5721" s="8">
        <v>2137516.7000000002</v>
      </c>
      <c r="I5721" s="8">
        <v>1808535.9</v>
      </c>
      <c r="J5721" s="1">
        <f>IF(COUNTIF($C$4:C5721,C5721)=1,1,0)</f>
        <v>1</v>
      </c>
      <c r="K5721" s="1">
        <f t="shared" si="89"/>
        <v>2021</v>
      </c>
    </row>
    <row r="5722" spans="2:11" x14ac:dyDescent="0.45">
      <c r="B5722" s="1" t="s">
        <v>4000</v>
      </c>
      <c r="C5722" s="1" t="s">
        <v>5663</v>
      </c>
      <c r="D5722" s="7">
        <v>45365</v>
      </c>
      <c r="E5722" s="7">
        <v>45392</v>
      </c>
      <c r="G5722" s="1" t="s">
        <v>18</v>
      </c>
      <c r="H5722" s="8">
        <v>5379434.96</v>
      </c>
      <c r="I5722" s="8">
        <v>4862749.4800000004</v>
      </c>
      <c r="J5722" s="1">
        <f>IF(COUNTIF($C$4:C5722,C5722)=1,1,0)</f>
        <v>1</v>
      </c>
      <c r="K5722" s="1">
        <f t="shared" si="89"/>
        <v>2024</v>
      </c>
    </row>
    <row r="5723" spans="2:11" x14ac:dyDescent="0.45">
      <c r="B5723" s="1" t="s">
        <v>4000</v>
      </c>
      <c r="C5723" s="1" t="s">
        <v>4613</v>
      </c>
      <c r="D5723" s="7">
        <v>44416</v>
      </c>
      <c r="E5723" s="7">
        <v>44421</v>
      </c>
      <c r="G5723" s="1" t="s">
        <v>18</v>
      </c>
      <c r="H5723" s="8">
        <v>2338134.2000000002</v>
      </c>
      <c r="I5723" s="8">
        <v>1699100.24</v>
      </c>
      <c r="J5723" s="1">
        <f>IF(COUNTIF($C$4:C5723,C5723)=1,1,0)</f>
        <v>0</v>
      </c>
      <c r="K5723" s="1">
        <f t="shared" si="89"/>
        <v>2021</v>
      </c>
    </row>
    <row r="5724" spans="2:11" x14ac:dyDescent="0.45">
      <c r="B5724" s="1" t="s">
        <v>4000</v>
      </c>
      <c r="C5724" s="1" t="s">
        <v>5664</v>
      </c>
      <c r="D5724" s="7">
        <v>45449</v>
      </c>
      <c r="E5724" s="7">
        <v>45462</v>
      </c>
      <c r="G5724" s="1" t="s">
        <v>1348</v>
      </c>
      <c r="H5724" s="8">
        <v>97474051.849999994</v>
      </c>
      <c r="I5724" s="8">
        <v>46421281.689999998</v>
      </c>
      <c r="J5724" s="1">
        <f>IF(COUNTIF($C$4:C5724,C5724)=1,1,0)</f>
        <v>1</v>
      </c>
      <c r="K5724" s="1">
        <f t="shared" si="89"/>
        <v>2024</v>
      </c>
    </row>
    <row r="5725" spans="2:11" x14ac:dyDescent="0.45">
      <c r="B5725" s="1" t="s">
        <v>4000</v>
      </c>
      <c r="C5725" s="1" t="s">
        <v>5665</v>
      </c>
      <c r="D5725" s="7">
        <v>45217</v>
      </c>
      <c r="E5725" s="7">
        <v>45227</v>
      </c>
      <c r="G5725" s="1" t="s">
        <v>212</v>
      </c>
      <c r="H5725" s="8">
        <v>5929002.6900000004</v>
      </c>
      <c r="I5725" s="8">
        <v>2764492.39</v>
      </c>
      <c r="J5725" s="1">
        <f>IF(COUNTIF($C$4:C5725,C5725)=1,1,0)</f>
        <v>1</v>
      </c>
      <c r="K5725" s="1">
        <f t="shared" si="89"/>
        <v>2023</v>
      </c>
    </row>
    <row r="5726" spans="2:11" x14ac:dyDescent="0.45">
      <c r="B5726" s="1" t="s">
        <v>4000</v>
      </c>
      <c r="C5726" s="1" t="s">
        <v>5666</v>
      </c>
      <c r="D5726" s="7">
        <v>44563</v>
      </c>
      <c r="E5726" s="7">
        <v>44591</v>
      </c>
      <c r="G5726" s="1" t="s">
        <v>212</v>
      </c>
      <c r="H5726" s="8">
        <v>36259369.259999998</v>
      </c>
      <c r="I5726" s="8">
        <v>23372497.280000001</v>
      </c>
      <c r="J5726" s="1">
        <f>IF(COUNTIF($C$4:C5726,C5726)=1,1,0)</f>
        <v>1</v>
      </c>
      <c r="K5726" s="1">
        <f t="shared" si="89"/>
        <v>2022</v>
      </c>
    </row>
    <row r="5727" spans="2:11" x14ac:dyDescent="0.45">
      <c r="B5727" s="1" t="s">
        <v>4000</v>
      </c>
      <c r="C5727" s="1" t="s">
        <v>5667</v>
      </c>
      <c r="D5727" s="7">
        <v>44099</v>
      </c>
      <c r="E5727" s="7">
        <v>44118</v>
      </c>
      <c r="G5727" s="1" t="s">
        <v>22</v>
      </c>
      <c r="H5727" s="8">
        <v>1920857.62</v>
      </c>
      <c r="I5727" s="8">
        <v>1078509.71</v>
      </c>
      <c r="J5727" s="1">
        <f>IF(COUNTIF($C$4:C5727,C5727)=1,1,0)</f>
        <v>1</v>
      </c>
      <c r="K5727" s="1">
        <f t="shared" si="89"/>
        <v>2020</v>
      </c>
    </row>
    <row r="5728" spans="2:11" x14ac:dyDescent="0.45">
      <c r="B5728" s="1" t="s">
        <v>4000</v>
      </c>
      <c r="C5728" s="1" t="s">
        <v>5668</v>
      </c>
      <c r="D5728" s="7">
        <v>45700</v>
      </c>
      <c r="E5728" s="7">
        <v>45730</v>
      </c>
      <c r="G5728" s="1" t="s">
        <v>16</v>
      </c>
      <c r="H5728" s="8">
        <v>4059321.36</v>
      </c>
      <c r="I5728" s="8">
        <v>3054934.32</v>
      </c>
      <c r="J5728" s="1">
        <f>IF(COUNTIF($C$4:C5728,C5728)=1,1,0)</f>
        <v>1</v>
      </c>
      <c r="K5728" s="1">
        <f t="shared" si="89"/>
        <v>2025</v>
      </c>
    </row>
    <row r="5729" spans="2:11" x14ac:dyDescent="0.45">
      <c r="B5729" s="1" t="s">
        <v>4000</v>
      </c>
      <c r="C5729" s="1" t="s">
        <v>5669</v>
      </c>
      <c r="D5729" s="7">
        <v>44167</v>
      </c>
      <c r="E5729" s="7">
        <v>44177</v>
      </c>
      <c r="G5729" s="1" t="s">
        <v>1348</v>
      </c>
      <c r="H5729" s="8">
        <v>132292586.43000001</v>
      </c>
      <c r="I5729" s="8">
        <v>92134281.579999998</v>
      </c>
      <c r="J5729" s="1">
        <f>IF(COUNTIF($C$4:C5729,C5729)=1,1,0)</f>
        <v>1</v>
      </c>
      <c r="K5729" s="1">
        <f t="shared" si="89"/>
        <v>2020</v>
      </c>
    </row>
    <row r="5730" spans="2:11" x14ac:dyDescent="0.45">
      <c r="B5730" s="1" t="s">
        <v>4000</v>
      </c>
      <c r="C5730" s="1" t="s">
        <v>5670</v>
      </c>
      <c r="D5730" s="7">
        <v>44968</v>
      </c>
      <c r="E5730" s="7">
        <v>44985</v>
      </c>
      <c r="G5730" s="1" t="s">
        <v>38</v>
      </c>
      <c r="H5730" s="8">
        <v>275282.96000000002</v>
      </c>
      <c r="I5730" s="8">
        <v>238077.93</v>
      </c>
      <c r="J5730" s="1">
        <f>IF(COUNTIF($C$4:C5730,C5730)=1,1,0)</f>
        <v>1</v>
      </c>
      <c r="K5730" s="1">
        <f t="shared" si="89"/>
        <v>2023</v>
      </c>
    </row>
    <row r="5731" spans="2:11" x14ac:dyDescent="0.45">
      <c r="B5731" s="1" t="s">
        <v>4000</v>
      </c>
      <c r="C5731" s="1" t="s">
        <v>5671</v>
      </c>
      <c r="D5731" s="7">
        <v>44765</v>
      </c>
      <c r="E5731" s="7">
        <v>44789</v>
      </c>
      <c r="G5731" s="1" t="s">
        <v>20</v>
      </c>
      <c r="H5731" s="8">
        <v>345453.63</v>
      </c>
      <c r="I5731" s="8">
        <v>273079.95</v>
      </c>
      <c r="J5731" s="1">
        <f>IF(COUNTIF($C$4:C5731,C5731)=1,1,0)</f>
        <v>1</v>
      </c>
      <c r="K5731" s="1">
        <f t="shared" si="89"/>
        <v>2022</v>
      </c>
    </row>
    <row r="5732" spans="2:11" x14ac:dyDescent="0.45">
      <c r="B5732" s="1" t="s">
        <v>4000</v>
      </c>
      <c r="C5732" s="1" t="s">
        <v>5672</v>
      </c>
      <c r="D5732" s="7">
        <v>44019</v>
      </c>
      <c r="E5732" s="7">
        <v>44025</v>
      </c>
      <c r="G5732" s="1" t="s">
        <v>38</v>
      </c>
      <c r="H5732" s="8">
        <v>837050.8</v>
      </c>
      <c r="I5732" s="8">
        <v>752664.03</v>
      </c>
      <c r="J5732" s="1">
        <f>IF(COUNTIF($C$4:C5732,C5732)=1,1,0)</f>
        <v>1</v>
      </c>
      <c r="K5732" s="1">
        <f t="shared" si="89"/>
        <v>2020</v>
      </c>
    </row>
    <row r="5733" spans="2:11" x14ac:dyDescent="0.45">
      <c r="B5733" s="1" t="s">
        <v>4000</v>
      </c>
      <c r="C5733" s="1" t="s">
        <v>5673</v>
      </c>
      <c r="D5733" s="7">
        <v>43255</v>
      </c>
      <c r="E5733" s="7">
        <v>43271</v>
      </c>
      <c r="G5733" s="1" t="s">
        <v>212</v>
      </c>
      <c r="H5733" s="8">
        <v>11881467.439999999</v>
      </c>
      <c r="I5733" s="8">
        <v>5656793.0499999998</v>
      </c>
      <c r="J5733" s="1">
        <f>IF(COUNTIF($C$4:C5733,C5733)=1,1,0)</f>
        <v>1</v>
      </c>
      <c r="K5733" s="1">
        <f t="shared" si="89"/>
        <v>2018</v>
      </c>
    </row>
    <row r="5734" spans="2:11" x14ac:dyDescent="0.45">
      <c r="B5734" s="1" t="s">
        <v>4000</v>
      </c>
      <c r="C5734" s="1" t="s">
        <v>5674</v>
      </c>
      <c r="D5734" s="7">
        <v>43778</v>
      </c>
      <c r="E5734" s="7">
        <v>43783</v>
      </c>
      <c r="G5734" s="1" t="s">
        <v>38</v>
      </c>
      <c r="H5734" s="8">
        <v>407900.89</v>
      </c>
      <c r="I5734" s="8">
        <v>319121.31</v>
      </c>
      <c r="J5734" s="1">
        <f>IF(COUNTIF($C$4:C5734,C5734)=1,1,0)</f>
        <v>1</v>
      </c>
      <c r="K5734" s="1">
        <f t="shared" si="89"/>
        <v>2019</v>
      </c>
    </row>
    <row r="5735" spans="2:11" x14ac:dyDescent="0.45">
      <c r="B5735" s="1" t="s">
        <v>4000</v>
      </c>
      <c r="C5735" s="1" t="s">
        <v>5675</v>
      </c>
      <c r="D5735" s="7">
        <v>44469</v>
      </c>
      <c r="E5735" s="7">
        <v>44472</v>
      </c>
      <c r="G5735" s="1" t="s">
        <v>18</v>
      </c>
      <c r="H5735" s="8">
        <v>5018699.5</v>
      </c>
      <c r="I5735" s="8">
        <v>3390266.97</v>
      </c>
      <c r="J5735" s="1">
        <f>IF(COUNTIF($C$4:C5735,C5735)=1,1,0)</f>
        <v>1</v>
      </c>
      <c r="K5735" s="1">
        <f t="shared" si="89"/>
        <v>2021</v>
      </c>
    </row>
    <row r="5736" spans="2:11" x14ac:dyDescent="0.45">
      <c r="B5736" s="1" t="s">
        <v>4000</v>
      </c>
      <c r="C5736" s="1" t="s">
        <v>5676</v>
      </c>
      <c r="D5736" s="7">
        <v>45945</v>
      </c>
      <c r="E5736" s="7">
        <v>45956</v>
      </c>
      <c r="G5736" s="1" t="s">
        <v>212</v>
      </c>
      <c r="H5736" s="8">
        <v>26782363.030000001</v>
      </c>
      <c r="I5736" s="8">
        <v>19369333.5</v>
      </c>
      <c r="J5736" s="1">
        <f>IF(COUNTIF($C$4:C5736,C5736)=1,1,0)</f>
        <v>1</v>
      </c>
      <c r="K5736" s="1">
        <f t="shared" si="89"/>
        <v>2025</v>
      </c>
    </row>
    <row r="5737" spans="2:11" x14ac:dyDescent="0.45">
      <c r="B5737" s="1" t="s">
        <v>4000</v>
      </c>
      <c r="C5737" s="1" t="s">
        <v>5677</v>
      </c>
      <c r="D5737" s="7">
        <v>43918</v>
      </c>
      <c r="E5737" s="7">
        <v>43941</v>
      </c>
      <c r="G5737" s="1" t="s">
        <v>212</v>
      </c>
      <c r="H5737" s="8">
        <v>27466399.989999998</v>
      </c>
      <c r="I5737" s="8">
        <v>16801665.699999999</v>
      </c>
      <c r="J5737" s="1">
        <f>IF(COUNTIF($C$4:C5737,C5737)=1,1,0)</f>
        <v>1</v>
      </c>
      <c r="K5737" s="1">
        <f t="shared" si="89"/>
        <v>2020</v>
      </c>
    </row>
    <row r="5738" spans="2:11" x14ac:dyDescent="0.45">
      <c r="B5738" s="1" t="s">
        <v>4000</v>
      </c>
      <c r="C5738" s="1" t="s">
        <v>5678</v>
      </c>
      <c r="D5738" s="7">
        <v>45903</v>
      </c>
      <c r="E5738" s="7">
        <v>45904</v>
      </c>
      <c r="G5738" s="1" t="s">
        <v>212</v>
      </c>
      <c r="H5738" s="8">
        <v>4360421.45</v>
      </c>
      <c r="I5738" s="8">
        <v>3399926.57</v>
      </c>
      <c r="J5738" s="1">
        <f>IF(COUNTIF($C$4:C5738,C5738)=1,1,0)</f>
        <v>1</v>
      </c>
      <c r="K5738" s="1">
        <f t="shared" si="89"/>
        <v>2025</v>
      </c>
    </row>
    <row r="5739" spans="2:11" x14ac:dyDescent="0.45">
      <c r="B5739" s="1" t="s">
        <v>4000</v>
      </c>
      <c r="C5739" s="1" t="s">
        <v>5679</v>
      </c>
      <c r="D5739" s="7">
        <v>44104</v>
      </c>
      <c r="E5739" s="7">
        <v>44132</v>
      </c>
      <c r="G5739" s="1" t="s">
        <v>22</v>
      </c>
      <c r="H5739" s="8">
        <v>15237665.369999999</v>
      </c>
      <c r="I5739" s="8">
        <v>12326912.210000001</v>
      </c>
      <c r="J5739" s="1">
        <f>IF(COUNTIF($C$4:C5739,C5739)=1,1,0)</f>
        <v>1</v>
      </c>
      <c r="K5739" s="1">
        <f t="shared" si="89"/>
        <v>2020</v>
      </c>
    </row>
    <row r="5740" spans="2:11" x14ac:dyDescent="0.45">
      <c r="B5740" s="1" t="s">
        <v>4000</v>
      </c>
      <c r="C5740" s="1" t="s">
        <v>5680</v>
      </c>
      <c r="D5740" s="7">
        <v>45924</v>
      </c>
      <c r="E5740" s="7">
        <v>45946</v>
      </c>
      <c r="G5740" s="1" t="s">
        <v>20</v>
      </c>
      <c r="H5740" s="8">
        <v>619190.69999999995</v>
      </c>
      <c r="I5740" s="8">
        <v>456462.75</v>
      </c>
      <c r="J5740" s="1">
        <f>IF(COUNTIF($C$4:C5740,C5740)=1,1,0)</f>
        <v>1</v>
      </c>
      <c r="K5740" s="1">
        <f t="shared" si="89"/>
        <v>2025</v>
      </c>
    </row>
    <row r="5741" spans="2:11" x14ac:dyDescent="0.45">
      <c r="B5741" s="1" t="s">
        <v>4000</v>
      </c>
      <c r="C5741" s="1" t="s">
        <v>5681</v>
      </c>
      <c r="D5741" s="7">
        <v>45556</v>
      </c>
      <c r="E5741" s="7">
        <v>45566</v>
      </c>
      <c r="G5741" s="1" t="s">
        <v>22</v>
      </c>
      <c r="H5741" s="8">
        <v>1234338.74</v>
      </c>
      <c r="I5741" s="8">
        <v>543202.74</v>
      </c>
      <c r="J5741" s="1">
        <f>IF(COUNTIF($C$4:C5741,C5741)=1,1,0)</f>
        <v>1</v>
      </c>
      <c r="K5741" s="1">
        <f t="shared" si="89"/>
        <v>2024</v>
      </c>
    </row>
    <row r="5742" spans="2:11" x14ac:dyDescent="0.45">
      <c r="B5742" s="1" t="s">
        <v>4000</v>
      </c>
      <c r="C5742" s="1" t="s">
        <v>5682</v>
      </c>
      <c r="D5742" s="7">
        <v>45680</v>
      </c>
      <c r="E5742" s="7">
        <v>45692</v>
      </c>
      <c r="G5742" s="1" t="s">
        <v>18</v>
      </c>
      <c r="H5742" s="8">
        <v>4623978.24</v>
      </c>
      <c r="I5742" s="8">
        <v>4062926.93</v>
      </c>
      <c r="J5742" s="1">
        <f>IF(COUNTIF($C$4:C5742,C5742)=1,1,0)</f>
        <v>1</v>
      </c>
      <c r="K5742" s="1">
        <f t="shared" si="89"/>
        <v>2025</v>
      </c>
    </row>
    <row r="5743" spans="2:11" x14ac:dyDescent="0.45">
      <c r="B5743" s="1" t="s">
        <v>4000</v>
      </c>
      <c r="C5743" s="1" t="s">
        <v>5683</v>
      </c>
      <c r="D5743" s="7">
        <v>44700</v>
      </c>
      <c r="E5743" s="7">
        <v>44727</v>
      </c>
      <c r="G5743" s="1" t="s">
        <v>41</v>
      </c>
      <c r="H5743" s="8">
        <v>78106.75</v>
      </c>
      <c r="I5743" s="8">
        <v>55885.2</v>
      </c>
      <c r="J5743" s="1">
        <f>IF(COUNTIF($C$4:C5743,C5743)=1,1,0)</f>
        <v>1</v>
      </c>
      <c r="K5743" s="1">
        <f t="shared" si="89"/>
        <v>2022</v>
      </c>
    </row>
    <row r="5744" spans="2:11" x14ac:dyDescent="0.45">
      <c r="B5744" s="1" t="s">
        <v>4000</v>
      </c>
      <c r="C5744" s="1" t="s">
        <v>5684</v>
      </c>
      <c r="D5744" s="7">
        <v>44706</v>
      </c>
      <c r="E5744" s="7">
        <v>44717</v>
      </c>
      <c r="G5744" s="1" t="s">
        <v>16</v>
      </c>
      <c r="H5744" s="8">
        <v>3710911.04</v>
      </c>
      <c r="I5744" s="8">
        <v>2802878.5</v>
      </c>
      <c r="J5744" s="1">
        <f>IF(COUNTIF($C$4:C5744,C5744)=1,1,0)</f>
        <v>1</v>
      </c>
      <c r="K5744" s="1">
        <f t="shared" si="89"/>
        <v>2022</v>
      </c>
    </row>
    <row r="5745" spans="2:11" x14ac:dyDescent="0.45">
      <c r="B5745" s="1" t="s">
        <v>4000</v>
      </c>
      <c r="C5745" s="1" t="s">
        <v>5685</v>
      </c>
      <c r="D5745" s="7">
        <v>45389</v>
      </c>
      <c r="E5745" s="7">
        <v>45412</v>
      </c>
      <c r="G5745" s="1" t="s">
        <v>18</v>
      </c>
      <c r="H5745" s="8">
        <v>2948957.63</v>
      </c>
      <c r="I5745" s="8">
        <v>2252962.65</v>
      </c>
      <c r="J5745" s="1">
        <f>IF(COUNTIF($C$4:C5745,C5745)=1,1,0)</f>
        <v>1</v>
      </c>
      <c r="K5745" s="1">
        <f t="shared" si="89"/>
        <v>2024</v>
      </c>
    </row>
    <row r="5746" spans="2:11" x14ac:dyDescent="0.45">
      <c r="B5746" s="1" t="s">
        <v>4000</v>
      </c>
      <c r="C5746" s="1" t="s">
        <v>5686</v>
      </c>
      <c r="D5746" s="7">
        <v>45625</v>
      </c>
      <c r="E5746" s="7">
        <v>45647</v>
      </c>
      <c r="G5746" s="1" t="s">
        <v>1348</v>
      </c>
      <c r="H5746" s="8">
        <v>47752297.950000003</v>
      </c>
      <c r="I5746" s="8">
        <v>25663017.870000001</v>
      </c>
      <c r="J5746" s="1">
        <f>IF(COUNTIF($C$4:C5746,C5746)=1,1,0)</f>
        <v>1</v>
      </c>
      <c r="K5746" s="1">
        <f t="shared" si="89"/>
        <v>2024</v>
      </c>
    </row>
    <row r="5747" spans="2:11" x14ac:dyDescent="0.45">
      <c r="B5747" s="1" t="s">
        <v>4000</v>
      </c>
      <c r="C5747" s="1" t="s">
        <v>5687</v>
      </c>
      <c r="D5747" s="7">
        <v>45082</v>
      </c>
      <c r="E5747" s="7">
        <v>45088</v>
      </c>
      <c r="G5747" s="1" t="s">
        <v>20</v>
      </c>
      <c r="H5747" s="8">
        <v>1104177.6000000001</v>
      </c>
      <c r="I5747" s="8">
        <v>738408.99</v>
      </c>
      <c r="J5747" s="1">
        <f>IF(COUNTIF($C$4:C5747,C5747)=1,1,0)</f>
        <v>1</v>
      </c>
      <c r="K5747" s="1">
        <f t="shared" si="89"/>
        <v>2023</v>
      </c>
    </row>
    <row r="5748" spans="2:11" x14ac:dyDescent="0.45">
      <c r="B5748" s="1" t="s">
        <v>4000</v>
      </c>
      <c r="C5748" s="1" t="s">
        <v>5688</v>
      </c>
      <c r="D5748" s="7">
        <v>43486</v>
      </c>
      <c r="E5748" s="7">
        <v>43498</v>
      </c>
      <c r="G5748" s="1" t="s">
        <v>13</v>
      </c>
      <c r="H5748" s="8">
        <v>693757.57</v>
      </c>
      <c r="I5748" s="8">
        <v>618027.52000000002</v>
      </c>
      <c r="J5748" s="1">
        <f>IF(COUNTIF($C$4:C5748,C5748)=1,1,0)</f>
        <v>1</v>
      </c>
      <c r="K5748" s="1">
        <f t="shared" si="89"/>
        <v>2019</v>
      </c>
    </row>
    <row r="5749" spans="2:11" x14ac:dyDescent="0.45">
      <c r="B5749" s="1" t="s">
        <v>4000</v>
      </c>
      <c r="C5749" s="1" t="s">
        <v>5689</v>
      </c>
      <c r="D5749" s="7">
        <v>44757</v>
      </c>
      <c r="E5749" s="7">
        <v>44780</v>
      </c>
      <c r="G5749" s="1" t="s">
        <v>38</v>
      </c>
      <c r="H5749" s="8">
        <v>76530.69</v>
      </c>
      <c r="I5749" s="8">
        <v>59831.73</v>
      </c>
      <c r="J5749" s="1">
        <f>IF(COUNTIF($C$4:C5749,C5749)=1,1,0)</f>
        <v>1</v>
      </c>
      <c r="K5749" s="1">
        <f t="shared" si="89"/>
        <v>2022</v>
      </c>
    </row>
    <row r="5750" spans="2:11" x14ac:dyDescent="0.45">
      <c r="B5750" s="1" t="s">
        <v>4000</v>
      </c>
      <c r="C5750" s="1" t="s">
        <v>5690</v>
      </c>
      <c r="D5750" s="7">
        <v>44227</v>
      </c>
      <c r="E5750" s="7">
        <v>44254</v>
      </c>
      <c r="G5750" s="1" t="s">
        <v>1348</v>
      </c>
      <c r="H5750" s="8">
        <v>26579191.579999998</v>
      </c>
      <c r="I5750" s="8">
        <v>20816084.52</v>
      </c>
      <c r="J5750" s="1">
        <f>IF(COUNTIF($C$4:C5750,C5750)=1,1,0)</f>
        <v>1</v>
      </c>
      <c r="K5750" s="1">
        <f t="shared" si="89"/>
        <v>2021</v>
      </c>
    </row>
    <row r="5751" spans="2:11" x14ac:dyDescent="0.45">
      <c r="B5751" s="1" t="s">
        <v>4000</v>
      </c>
      <c r="C5751" s="1" t="s">
        <v>5691</v>
      </c>
      <c r="D5751" s="7">
        <v>44064</v>
      </c>
      <c r="E5751" s="7">
        <v>44084</v>
      </c>
      <c r="G5751" s="1" t="s">
        <v>22</v>
      </c>
      <c r="H5751" s="8">
        <v>25366810.109999999</v>
      </c>
      <c r="I5751" s="8">
        <v>12206938.210000001</v>
      </c>
      <c r="J5751" s="1">
        <f>IF(COUNTIF($C$4:C5751,C5751)=1,1,0)</f>
        <v>1</v>
      </c>
      <c r="K5751" s="1">
        <f t="shared" si="89"/>
        <v>2020</v>
      </c>
    </row>
    <row r="5752" spans="2:11" x14ac:dyDescent="0.45">
      <c r="B5752" s="1" t="s">
        <v>4000</v>
      </c>
      <c r="C5752" s="1" t="s">
        <v>5692</v>
      </c>
      <c r="D5752" s="7">
        <v>43756</v>
      </c>
      <c r="E5752" s="7">
        <v>43775</v>
      </c>
      <c r="G5752" s="1" t="s">
        <v>18</v>
      </c>
      <c r="H5752" s="8">
        <v>1928071.9</v>
      </c>
      <c r="I5752" s="8">
        <v>1687640.73</v>
      </c>
      <c r="J5752" s="1">
        <f>IF(COUNTIF($C$4:C5752,C5752)=1,1,0)</f>
        <v>1</v>
      </c>
      <c r="K5752" s="1">
        <f t="shared" si="89"/>
        <v>2019</v>
      </c>
    </row>
    <row r="5753" spans="2:11" x14ac:dyDescent="0.45">
      <c r="B5753" s="1" t="s">
        <v>4000</v>
      </c>
      <c r="C5753" s="1" t="s">
        <v>5693</v>
      </c>
      <c r="D5753" s="7">
        <v>44449</v>
      </c>
      <c r="E5753" s="7">
        <v>44463</v>
      </c>
      <c r="G5753" s="1" t="s">
        <v>22</v>
      </c>
      <c r="H5753" s="8">
        <v>19815777.780000001</v>
      </c>
      <c r="I5753" s="8">
        <v>8894651.8100000005</v>
      </c>
      <c r="J5753" s="1">
        <f>IF(COUNTIF($C$4:C5753,C5753)=1,1,0)</f>
        <v>1</v>
      </c>
      <c r="K5753" s="1">
        <f t="shared" si="89"/>
        <v>2021</v>
      </c>
    </row>
    <row r="5754" spans="2:11" x14ac:dyDescent="0.45">
      <c r="B5754" s="1" t="s">
        <v>4000</v>
      </c>
      <c r="C5754" s="1" t="s">
        <v>5694</v>
      </c>
      <c r="D5754" s="7">
        <v>45028</v>
      </c>
      <c r="E5754" s="7">
        <v>45036</v>
      </c>
      <c r="G5754" s="1" t="s">
        <v>18</v>
      </c>
      <c r="H5754" s="8">
        <v>2812496.61</v>
      </c>
      <c r="I5754" s="8">
        <v>2055016.3</v>
      </c>
      <c r="J5754" s="1">
        <f>IF(COUNTIF($C$4:C5754,C5754)=1,1,0)</f>
        <v>1</v>
      </c>
      <c r="K5754" s="1">
        <f t="shared" si="89"/>
        <v>2023</v>
      </c>
    </row>
    <row r="5755" spans="2:11" x14ac:dyDescent="0.45">
      <c r="B5755" s="1" t="s">
        <v>4000</v>
      </c>
      <c r="C5755" s="1" t="s">
        <v>5695</v>
      </c>
      <c r="D5755" s="7">
        <v>45447</v>
      </c>
      <c r="E5755" s="7">
        <v>45455</v>
      </c>
      <c r="G5755" s="1" t="s">
        <v>38</v>
      </c>
      <c r="H5755" s="8">
        <v>164527.04999999999</v>
      </c>
      <c r="I5755" s="8">
        <v>139046.29</v>
      </c>
      <c r="J5755" s="1">
        <f>IF(COUNTIF($C$4:C5755,C5755)=1,1,0)</f>
        <v>1</v>
      </c>
      <c r="K5755" s="1">
        <f t="shared" si="89"/>
        <v>2024</v>
      </c>
    </row>
    <row r="5756" spans="2:11" x14ac:dyDescent="0.45">
      <c r="B5756" s="1" t="s">
        <v>4000</v>
      </c>
      <c r="C5756" s="1" t="s">
        <v>5696</v>
      </c>
      <c r="D5756" s="7">
        <v>44626</v>
      </c>
      <c r="E5756" s="7">
        <v>44653</v>
      </c>
      <c r="G5756" s="1" t="s">
        <v>16</v>
      </c>
      <c r="H5756" s="8">
        <v>1762718.75</v>
      </c>
      <c r="I5756" s="8">
        <v>1154276.78</v>
      </c>
      <c r="J5756" s="1">
        <f>IF(COUNTIF($C$4:C5756,C5756)=1,1,0)</f>
        <v>1</v>
      </c>
      <c r="K5756" s="1">
        <f t="shared" si="89"/>
        <v>2022</v>
      </c>
    </row>
    <row r="5757" spans="2:11" x14ac:dyDescent="0.45">
      <c r="B5757" s="1" t="s">
        <v>4000</v>
      </c>
      <c r="C5757" s="1" t="s">
        <v>5697</v>
      </c>
      <c r="D5757" s="7">
        <v>43887</v>
      </c>
      <c r="E5757" s="7">
        <v>43913</v>
      </c>
      <c r="G5757" s="1" t="s">
        <v>13</v>
      </c>
      <c r="H5757" s="8">
        <v>236052.52</v>
      </c>
      <c r="I5757" s="8">
        <v>165556.70000000001</v>
      </c>
      <c r="J5757" s="1">
        <f>IF(COUNTIF($C$4:C5757,C5757)=1,1,0)</f>
        <v>1</v>
      </c>
      <c r="K5757" s="1">
        <f t="shared" si="89"/>
        <v>2020</v>
      </c>
    </row>
    <row r="5758" spans="2:11" x14ac:dyDescent="0.45">
      <c r="B5758" s="1" t="s">
        <v>4000</v>
      </c>
      <c r="C5758" s="1" t="s">
        <v>5698</v>
      </c>
      <c r="D5758" s="7">
        <v>43627</v>
      </c>
      <c r="E5758" s="7">
        <v>43649</v>
      </c>
      <c r="G5758" s="1" t="s">
        <v>13</v>
      </c>
      <c r="H5758" s="8">
        <v>1755587.81</v>
      </c>
      <c r="I5758" s="8">
        <v>903095.89</v>
      </c>
      <c r="J5758" s="1">
        <f>IF(COUNTIF($C$4:C5758,C5758)=1,1,0)</f>
        <v>1</v>
      </c>
      <c r="K5758" s="1">
        <f t="shared" si="89"/>
        <v>2019</v>
      </c>
    </row>
    <row r="5759" spans="2:11" x14ac:dyDescent="0.45">
      <c r="B5759" s="1" t="s">
        <v>4000</v>
      </c>
      <c r="C5759" s="1" t="s">
        <v>5699</v>
      </c>
      <c r="D5759" s="7">
        <v>44391</v>
      </c>
      <c r="E5759" s="7">
        <v>44411</v>
      </c>
      <c r="G5759" s="1" t="s">
        <v>13</v>
      </c>
      <c r="H5759" s="8">
        <v>389634.26</v>
      </c>
      <c r="I5759" s="8">
        <v>354181.09</v>
      </c>
      <c r="J5759" s="1">
        <f>IF(COUNTIF($C$4:C5759,C5759)=1,1,0)</f>
        <v>1</v>
      </c>
      <c r="K5759" s="1">
        <f t="shared" si="89"/>
        <v>2021</v>
      </c>
    </row>
    <row r="5760" spans="2:11" x14ac:dyDescent="0.45">
      <c r="B5760" s="1" t="s">
        <v>4000</v>
      </c>
      <c r="C5760" s="1" t="s">
        <v>5669</v>
      </c>
      <c r="D5760" s="7">
        <v>45436</v>
      </c>
      <c r="E5760" s="7">
        <v>45450</v>
      </c>
      <c r="G5760" s="1" t="s">
        <v>1348</v>
      </c>
      <c r="H5760" s="8">
        <v>9521428</v>
      </c>
      <c r="I5760" s="8">
        <v>5136857.49</v>
      </c>
      <c r="J5760" s="1">
        <f>IF(COUNTIF($C$4:C5760,C5760)=1,1,0)</f>
        <v>0</v>
      </c>
      <c r="K5760" s="1">
        <f t="shared" si="89"/>
        <v>2024</v>
      </c>
    </row>
    <row r="5761" spans="2:11" x14ac:dyDescent="0.45">
      <c r="B5761" s="1" t="s">
        <v>4000</v>
      </c>
      <c r="C5761" s="1" t="s">
        <v>5700</v>
      </c>
      <c r="D5761" s="7">
        <v>44112</v>
      </c>
      <c r="E5761" s="7">
        <v>44121</v>
      </c>
      <c r="G5761" s="1" t="s">
        <v>38</v>
      </c>
      <c r="H5761" s="8">
        <v>355922.72</v>
      </c>
      <c r="I5761" s="8">
        <v>283284.7</v>
      </c>
      <c r="J5761" s="1">
        <f>IF(COUNTIF($C$4:C5761,C5761)=1,1,0)</f>
        <v>1</v>
      </c>
      <c r="K5761" s="1">
        <f t="shared" si="89"/>
        <v>2020</v>
      </c>
    </row>
    <row r="5762" spans="2:11" x14ac:dyDescent="0.45">
      <c r="B5762" s="1" t="s">
        <v>4000</v>
      </c>
      <c r="C5762" s="1" t="s">
        <v>5701</v>
      </c>
      <c r="D5762" s="7">
        <v>43720</v>
      </c>
      <c r="E5762" s="7">
        <v>43750</v>
      </c>
      <c r="G5762" s="1" t="s">
        <v>18</v>
      </c>
      <c r="H5762" s="8">
        <v>5220107.68</v>
      </c>
      <c r="I5762" s="8">
        <v>3475518.33</v>
      </c>
      <c r="J5762" s="1">
        <f>IF(COUNTIF($C$4:C5762,C5762)=1,1,0)</f>
        <v>1</v>
      </c>
      <c r="K5762" s="1">
        <f t="shared" si="89"/>
        <v>2019</v>
      </c>
    </row>
    <row r="5763" spans="2:11" x14ac:dyDescent="0.45">
      <c r="B5763" s="1" t="s">
        <v>4000</v>
      </c>
      <c r="C5763" s="1" t="s">
        <v>5702</v>
      </c>
      <c r="D5763" s="7">
        <v>45363</v>
      </c>
      <c r="E5763" s="7">
        <v>45369</v>
      </c>
      <c r="G5763" s="1" t="s">
        <v>13</v>
      </c>
      <c r="H5763" s="8">
        <v>1288651.99</v>
      </c>
      <c r="I5763" s="8">
        <v>536236.52</v>
      </c>
      <c r="J5763" s="1">
        <f>IF(COUNTIF($C$4:C5763,C5763)=1,1,0)</f>
        <v>1</v>
      </c>
      <c r="K5763" s="1">
        <f t="shared" si="89"/>
        <v>2024</v>
      </c>
    </row>
    <row r="5764" spans="2:11" x14ac:dyDescent="0.45">
      <c r="B5764" s="1" t="s">
        <v>4000</v>
      </c>
      <c r="C5764" s="1" t="s">
        <v>5703</v>
      </c>
      <c r="D5764" s="7">
        <v>44327</v>
      </c>
      <c r="E5764" s="7">
        <v>44345</v>
      </c>
      <c r="G5764" s="1" t="s">
        <v>22</v>
      </c>
      <c r="H5764" s="8">
        <v>2174920.23</v>
      </c>
      <c r="I5764" s="8">
        <v>1286147.08</v>
      </c>
      <c r="J5764" s="1">
        <f>IF(COUNTIF($C$4:C5764,C5764)=1,1,0)</f>
        <v>1</v>
      </c>
      <c r="K5764" s="1">
        <f t="shared" si="89"/>
        <v>2021</v>
      </c>
    </row>
    <row r="5765" spans="2:11" x14ac:dyDescent="0.45">
      <c r="B5765" s="1" t="s">
        <v>4000</v>
      </c>
      <c r="C5765" s="1" t="s">
        <v>5704</v>
      </c>
      <c r="D5765" s="7">
        <v>43211</v>
      </c>
      <c r="E5765" s="7">
        <v>43227</v>
      </c>
      <c r="G5765" s="1" t="s">
        <v>13</v>
      </c>
      <c r="H5765" s="8">
        <v>6398761.9500000002</v>
      </c>
      <c r="I5765" s="8">
        <v>3332213.39</v>
      </c>
      <c r="J5765" s="1">
        <f>IF(COUNTIF($C$4:C5765,C5765)=1,1,0)</f>
        <v>1</v>
      </c>
      <c r="K5765" s="1">
        <f t="shared" ref="K5765:K5823" si="90">YEAR(D5765)</f>
        <v>2018</v>
      </c>
    </row>
    <row r="5766" spans="2:11" x14ac:dyDescent="0.45">
      <c r="B5766" s="1" t="s">
        <v>4000</v>
      </c>
      <c r="C5766" s="1" t="s">
        <v>5705</v>
      </c>
      <c r="D5766" s="7">
        <v>45581</v>
      </c>
      <c r="E5766" s="7">
        <v>45603</v>
      </c>
      <c r="G5766" s="1" t="s">
        <v>20</v>
      </c>
      <c r="H5766" s="8">
        <v>1474323.95</v>
      </c>
      <c r="I5766" s="8">
        <v>810739.76</v>
      </c>
      <c r="J5766" s="1">
        <f>IF(COUNTIF($C$4:C5766,C5766)=1,1,0)</f>
        <v>1</v>
      </c>
      <c r="K5766" s="1">
        <f t="shared" si="90"/>
        <v>2024</v>
      </c>
    </row>
    <row r="5767" spans="2:11" x14ac:dyDescent="0.45">
      <c r="B5767" s="1" t="s">
        <v>4000</v>
      </c>
      <c r="C5767" s="1" t="s">
        <v>5706</v>
      </c>
      <c r="D5767" s="7">
        <v>45771</v>
      </c>
      <c r="E5767" s="7">
        <v>45790</v>
      </c>
      <c r="G5767" s="1" t="s">
        <v>44</v>
      </c>
      <c r="H5767" s="8">
        <v>74326119.5</v>
      </c>
      <c r="I5767" s="8">
        <v>47197902.859999999</v>
      </c>
      <c r="J5767" s="1">
        <f>IF(COUNTIF($C$4:C5767,C5767)=1,1,0)</f>
        <v>1</v>
      </c>
      <c r="K5767" s="1">
        <f t="shared" si="90"/>
        <v>2025</v>
      </c>
    </row>
    <row r="5768" spans="2:11" x14ac:dyDescent="0.45">
      <c r="B5768" s="1" t="s">
        <v>4000</v>
      </c>
      <c r="C5768" s="1" t="s">
        <v>5707</v>
      </c>
      <c r="D5768" s="7">
        <v>44760</v>
      </c>
      <c r="E5768" s="7">
        <v>44762</v>
      </c>
      <c r="G5768" s="1" t="s">
        <v>1348</v>
      </c>
      <c r="H5768" s="8">
        <v>24371415.600000001</v>
      </c>
      <c r="I5768" s="8">
        <v>8429260.5299999993</v>
      </c>
      <c r="J5768" s="1">
        <f>IF(COUNTIF($C$4:C5768,C5768)=1,1,0)</f>
        <v>1</v>
      </c>
      <c r="K5768" s="1">
        <f t="shared" si="90"/>
        <v>2022</v>
      </c>
    </row>
    <row r="5769" spans="2:11" x14ac:dyDescent="0.45">
      <c r="B5769" s="1" t="s">
        <v>4000</v>
      </c>
      <c r="C5769" s="1" t="s">
        <v>5708</v>
      </c>
      <c r="D5769" s="7">
        <v>43448</v>
      </c>
      <c r="E5769" s="7">
        <v>43470</v>
      </c>
      <c r="G5769" s="1" t="s">
        <v>13</v>
      </c>
      <c r="H5769" s="8">
        <v>91230.29</v>
      </c>
      <c r="I5769" s="8">
        <v>77636.600000000006</v>
      </c>
      <c r="J5769" s="1">
        <f>IF(COUNTIF($C$4:C5769,C5769)=1,1,0)</f>
        <v>1</v>
      </c>
      <c r="K5769" s="1">
        <f t="shared" si="90"/>
        <v>2018</v>
      </c>
    </row>
    <row r="5770" spans="2:11" x14ac:dyDescent="0.45">
      <c r="B5770" s="1" t="s">
        <v>4000</v>
      </c>
      <c r="C5770" s="1" t="s">
        <v>5709</v>
      </c>
      <c r="D5770" s="7">
        <v>44067</v>
      </c>
      <c r="E5770" s="7">
        <v>44097</v>
      </c>
      <c r="G5770" s="1" t="s">
        <v>18</v>
      </c>
      <c r="H5770" s="8">
        <v>3363772.13</v>
      </c>
      <c r="I5770" s="8">
        <v>2665981.37</v>
      </c>
      <c r="J5770" s="1">
        <f>IF(COUNTIF($C$4:C5770,C5770)=1,1,0)</f>
        <v>1</v>
      </c>
      <c r="K5770" s="1">
        <f t="shared" si="90"/>
        <v>2020</v>
      </c>
    </row>
    <row r="5771" spans="2:11" x14ac:dyDescent="0.45">
      <c r="B5771" s="1" t="s">
        <v>4000</v>
      </c>
      <c r="C5771" s="1" t="s">
        <v>5710</v>
      </c>
      <c r="D5771" s="7">
        <v>45532</v>
      </c>
      <c r="E5771" s="7">
        <v>45543</v>
      </c>
      <c r="G5771" s="1" t="s">
        <v>16</v>
      </c>
      <c r="H5771" s="8">
        <v>2862208.27</v>
      </c>
      <c r="I5771" s="8">
        <v>2392392.58</v>
      </c>
      <c r="J5771" s="1">
        <f>IF(COUNTIF($C$4:C5771,C5771)=1,1,0)</f>
        <v>1</v>
      </c>
      <c r="K5771" s="1">
        <f t="shared" si="90"/>
        <v>2024</v>
      </c>
    </row>
    <row r="5772" spans="2:11" x14ac:dyDescent="0.45">
      <c r="B5772" s="1" t="s">
        <v>4000</v>
      </c>
      <c r="C5772" s="1" t="s">
        <v>5553</v>
      </c>
      <c r="D5772" s="7">
        <v>44175</v>
      </c>
      <c r="E5772" s="7">
        <v>44200</v>
      </c>
      <c r="G5772" s="1" t="s">
        <v>20</v>
      </c>
      <c r="H5772" s="8">
        <v>1471815.6</v>
      </c>
      <c r="I5772" s="8">
        <v>875764.13</v>
      </c>
      <c r="J5772" s="1">
        <f>IF(COUNTIF($C$4:C5772,C5772)=1,1,0)</f>
        <v>0</v>
      </c>
      <c r="K5772" s="1">
        <f t="shared" si="90"/>
        <v>2020</v>
      </c>
    </row>
    <row r="5773" spans="2:11" x14ac:dyDescent="0.45">
      <c r="B5773" s="1" t="s">
        <v>4000</v>
      </c>
      <c r="C5773" s="1" t="s">
        <v>5711</v>
      </c>
      <c r="D5773" s="7">
        <v>43660</v>
      </c>
      <c r="E5773" s="7">
        <v>43676</v>
      </c>
      <c r="G5773" s="1" t="s">
        <v>18</v>
      </c>
      <c r="H5773" s="8">
        <v>448288.66</v>
      </c>
      <c r="I5773" s="8">
        <v>395056.65</v>
      </c>
      <c r="J5773" s="1">
        <f>IF(COUNTIF($C$4:C5773,C5773)=1,1,0)</f>
        <v>1</v>
      </c>
      <c r="K5773" s="1">
        <f t="shared" si="90"/>
        <v>2019</v>
      </c>
    </row>
    <row r="5774" spans="2:11" x14ac:dyDescent="0.45">
      <c r="B5774" s="1" t="s">
        <v>4000</v>
      </c>
      <c r="C5774" s="1" t="s">
        <v>5712</v>
      </c>
      <c r="D5774" s="7">
        <v>45459</v>
      </c>
      <c r="E5774" s="7">
        <v>45466</v>
      </c>
      <c r="G5774" s="1" t="s">
        <v>38</v>
      </c>
      <c r="H5774" s="8">
        <v>181768.26</v>
      </c>
      <c r="I5774" s="8">
        <v>155203.87</v>
      </c>
      <c r="J5774" s="1">
        <f>IF(COUNTIF($C$4:C5774,C5774)=1,1,0)</f>
        <v>1</v>
      </c>
      <c r="K5774" s="1">
        <f t="shared" si="90"/>
        <v>2024</v>
      </c>
    </row>
    <row r="5775" spans="2:11" x14ac:dyDescent="0.45">
      <c r="B5775" s="1" t="s">
        <v>4000</v>
      </c>
      <c r="C5775" s="1" t="s">
        <v>5713</v>
      </c>
      <c r="D5775" s="7">
        <v>45280</v>
      </c>
      <c r="E5775" s="7">
        <v>45280</v>
      </c>
      <c r="G5775" s="1" t="s">
        <v>41</v>
      </c>
      <c r="H5775" s="8">
        <v>155793.06</v>
      </c>
      <c r="I5775" s="8">
        <v>132157.32</v>
      </c>
      <c r="J5775" s="1">
        <f>IF(COUNTIF($C$4:C5775,C5775)=1,1,0)</f>
        <v>1</v>
      </c>
      <c r="K5775" s="1">
        <f t="shared" si="90"/>
        <v>2023</v>
      </c>
    </row>
    <row r="5776" spans="2:11" x14ac:dyDescent="0.45">
      <c r="B5776" s="1" t="s">
        <v>4000</v>
      </c>
      <c r="C5776" s="1" t="s">
        <v>5714</v>
      </c>
      <c r="D5776" s="7">
        <v>44508</v>
      </c>
      <c r="E5776" s="7">
        <v>44517</v>
      </c>
      <c r="G5776" s="1" t="s">
        <v>22</v>
      </c>
      <c r="H5776" s="8">
        <v>16916493.32</v>
      </c>
      <c r="I5776" s="8">
        <v>7798886.8200000003</v>
      </c>
      <c r="J5776" s="1">
        <f>IF(COUNTIF($C$4:C5776,C5776)=1,1,0)</f>
        <v>1</v>
      </c>
      <c r="K5776" s="1">
        <f t="shared" si="90"/>
        <v>2021</v>
      </c>
    </row>
    <row r="5777" spans="1:11" x14ac:dyDescent="0.45">
      <c r="B5777" s="1" t="s">
        <v>4000</v>
      </c>
      <c r="C5777" s="1" t="s">
        <v>5715</v>
      </c>
      <c r="D5777" s="7">
        <v>44601</v>
      </c>
      <c r="E5777" s="7">
        <v>44609</v>
      </c>
      <c r="G5777" s="1" t="s">
        <v>44</v>
      </c>
      <c r="H5777" s="8">
        <v>14302877.460000001</v>
      </c>
      <c r="I5777" s="8">
        <v>9085725.3100000005</v>
      </c>
      <c r="J5777" s="1">
        <f>IF(COUNTIF($C$4:C5777,C5777)=1,1,0)</f>
        <v>1</v>
      </c>
      <c r="K5777" s="1">
        <f t="shared" si="90"/>
        <v>2022</v>
      </c>
    </row>
    <row r="5778" spans="1:11" x14ac:dyDescent="0.45">
      <c r="B5778" s="1" t="s">
        <v>4000</v>
      </c>
      <c r="C5778" s="1" t="s">
        <v>5716</v>
      </c>
      <c r="D5778" s="7">
        <v>44876</v>
      </c>
      <c r="E5778" s="7">
        <v>44904</v>
      </c>
      <c r="G5778" s="1" t="s">
        <v>16</v>
      </c>
      <c r="H5778" s="8">
        <v>823503.1</v>
      </c>
      <c r="I5778" s="8">
        <v>573971.18999999994</v>
      </c>
      <c r="J5778" s="1">
        <f>IF(COUNTIF($C$4:C5778,C5778)=1,1,0)</f>
        <v>1</v>
      </c>
      <c r="K5778" s="1">
        <f t="shared" si="90"/>
        <v>2022</v>
      </c>
    </row>
    <row r="5779" spans="1:11" x14ac:dyDescent="0.45">
      <c r="B5779" s="1" t="s">
        <v>4000</v>
      </c>
      <c r="C5779" s="1" t="s">
        <v>5692</v>
      </c>
      <c r="D5779" s="7">
        <v>43986</v>
      </c>
      <c r="E5779" s="7">
        <v>43987</v>
      </c>
      <c r="G5779" s="1" t="s">
        <v>18</v>
      </c>
      <c r="H5779" s="8">
        <v>4634943.97</v>
      </c>
      <c r="I5779" s="8">
        <v>3248835</v>
      </c>
      <c r="J5779" s="1">
        <f>IF(COUNTIF($C$4:C5779,C5779)=1,1,0)</f>
        <v>0</v>
      </c>
      <c r="K5779" s="1">
        <f t="shared" si="90"/>
        <v>2020</v>
      </c>
    </row>
    <row r="5780" spans="1:11" x14ac:dyDescent="0.45">
      <c r="B5780" s="1" t="s">
        <v>4000</v>
      </c>
      <c r="C5780" s="1" t="s">
        <v>5717</v>
      </c>
      <c r="D5780" s="7">
        <v>45689</v>
      </c>
      <c r="E5780" s="7">
        <v>45709</v>
      </c>
      <c r="G5780" s="1" t="s">
        <v>13</v>
      </c>
      <c r="H5780" s="8">
        <v>675090.97</v>
      </c>
      <c r="I5780" s="8">
        <v>613836.18999999994</v>
      </c>
      <c r="J5780" s="1">
        <f>IF(COUNTIF($C$4:C5780,C5780)=1,1,0)</f>
        <v>1</v>
      </c>
      <c r="K5780" s="1">
        <f t="shared" si="90"/>
        <v>2025</v>
      </c>
    </row>
    <row r="5781" spans="1:11" x14ac:dyDescent="0.45">
      <c r="B5781" s="1" t="s">
        <v>4000</v>
      </c>
      <c r="C5781" s="1" t="s">
        <v>5669</v>
      </c>
      <c r="D5781" s="7">
        <v>43767</v>
      </c>
      <c r="E5781" s="7">
        <v>43797</v>
      </c>
      <c r="G5781" s="1" t="s">
        <v>1348</v>
      </c>
      <c r="H5781" s="8">
        <v>27358657.77</v>
      </c>
      <c r="I5781" s="8">
        <v>16849016.02</v>
      </c>
      <c r="J5781" s="1">
        <f>IF(COUNTIF($C$4:C5781,C5781)=1,1,0)</f>
        <v>0</v>
      </c>
      <c r="K5781" s="1">
        <f t="shared" si="90"/>
        <v>2019</v>
      </c>
    </row>
    <row r="5782" spans="1:11" x14ac:dyDescent="0.45">
      <c r="B5782" s="1" t="s">
        <v>4000</v>
      </c>
      <c r="C5782" s="1" t="s">
        <v>5718</v>
      </c>
      <c r="D5782" s="7">
        <v>43598</v>
      </c>
      <c r="E5782" s="7">
        <v>43612</v>
      </c>
      <c r="G5782" s="1" t="s">
        <v>20</v>
      </c>
      <c r="H5782" s="8">
        <v>441093.88</v>
      </c>
      <c r="I5782" s="8">
        <v>321506.31</v>
      </c>
      <c r="J5782" s="1">
        <f>IF(COUNTIF($C$4:C5782,C5782)=1,1,0)</f>
        <v>1</v>
      </c>
      <c r="K5782" s="1">
        <f t="shared" si="90"/>
        <v>2019</v>
      </c>
    </row>
    <row r="5783" spans="1:11" x14ac:dyDescent="0.45">
      <c r="B5783" s="1" t="s">
        <v>4000</v>
      </c>
      <c r="C5783" s="1" t="s">
        <v>5719</v>
      </c>
      <c r="D5783" s="7">
        <v>44752</v>
      </c>
      <c r="E5783" s="7">
        <v>44759</v>
      </c>
      <c r="G5783" s="1" t="s">
        <v>22</v>
      </c>
      <c r="H5783" s="8">
        <v>12743081.66</v>
      </c>
      <c r="I5783" s="8">
        <v>8213588.0199999996</v>
      </c>
      <c r="J5783" s="1">
        <f>IF(COUNTIF($C$4:C5783,C5783)=1,1,0)</f>
        <v>1</v>
      </c>
      <c r="K5783" s="1">
        <f t="shared" si="90"/>
        <v>2022</v>
      </c>
    </row>
    <row r="5784" spans="1:11" x14ac:dyDescent="0.45">
      <c r="B5784" s="1" t="s">
        <v>4000</v>
      </c>
      <c r="C5784" s="1" t="s">
        <v>5692</v>
      </c>
      <c r="D5784" s="7">
        <v>45742</v>
      </c>
      <c r="E5784" s="7">
        <v>45760</v>
      </c>
      <c r="G5784" s="1" t="s">
        <v>18</v>
      </c>
      <c r="H5784" s="8">
        <v>1675841.59</v>
      </c>
      <c r="I5784" s="8">
        <v>1320547.78</v>
      </c>
      <c r="J5784" s="1">
        <f>IF(COUNTIF($C$4:C5784,C5784)=1,1,0)</f>
        <v>0</v>
      </c>
      <c r="K5784" s="1">
        <f t="shared" si="90"/>
        <v>2025</v>
      </c>
    </row>
    <row r="5785" spans="1:11" x14ac:dyDescent="0.45">
      <c r="B5785" s="1" t="s">
        <v>4000</v>
      </c>
      <c r="C5785" s="1" t="s">
        <v>5720</v>
      </c>
      <c r="D5785" s="7">
        <v>43315</v>
      </c>
      <c r="E5785" s="7">
        <v>43320</v>
      </c>
      <c r="G5785" s="1" t="s">
        <v>44</v>
      </c>
      <c r="H5785" s="8">
        <v>82715409.730000004</v>
      </c>
      <c r="I5785" s="8">
        <v>53830634.299999997</v>
      </c>
      <c r="J5785" s="1">
        <f>IF(COUNTIF($C$4:C5785,C5785)=1,1,0)</f>
        <v>1</v>
      </c>
      <c r="K5785" s="1">
        <f t="shared" si="90"/>
        <v>2018</v>
      </c>
    </row>
    <row r="5786" spans="1:11" x14ac:dyDescent="0.45">
      <c r="B5786" s="1" t="s">
        <v>4000</v>
      </c>
      <c r="C5786" s="1" t="s">
        <v>5721</v>
      </c>
      <c r="D5786" s="7">
        <v>45032</v>
      </c>
      <c r="E5786" s="7">
        <v>45053</v>
      </c>
      <c r="G5786" s="1" t="s">
        <v>22</v>
      </c>
      <c r="H5786" s="8">
        <v>3040884.99</v>
      </c>
      <c r="I5786" s="8">
        <v>1573538.62</v>
      </c>
      <c r="J5786" s="1">
        <f>IF(COUNTIF($C$4:C5786,C5786)=1,1,0)</f>
        <v>1</v>
      </c>
      <c r="K5786" s="1">
        <f t="shared" si="90"/>
        <v>2023</v>
      </c>
    </row>
    <row r="5787" spans="1:11" x14ac:dyDescent="0.45">
      <c r="B5787" s="1" t="s">
        <v>4000</v>
      </c>
      <c r="C5787" s="1" t="s">
        <v>5722</v>
      </c>
      <c r="D5787" s="7">
        <v>44670</v>
      </c>
      <c r="E5787" s="7">
        <v>44675</v>
      </c>
      <c r="G5787" s="1" t="s">
        <v>44</v>
      </c>
      <c r="H5787" s="8">
        <v>141375567.03</v>
      </c>
      <c r="I5787" s="8">
        <v>77591049.849999994</v>
      </c>
      <c r="J5787" s="1">
        <f>IF(COUNTIF($C$4:C5787,C5787)=1,1,0)</f>
        <v>1</v>
      </c>
      <c r="K5787" s="1">
        <f t="shared" si="90"/>
        <v>2022</v>
      </c>
    </row>
    <row r="5788" spans="1:11" x14ac:dyDescent="0.45">
      <c r="B5788" s="1" t="s">
        <v>4000</v>
      </c>
      <c r="C5788" s="1" t="s">
        <v>4846</v>
      </c>
      <c r="D5788" s="7">
        <v>45781</v>
      </c>
      <c r="E5788" s="7">
        <v>45801</v>
      </c>
      <c r="G5788" s="1" t="s">
        <v>41</v>
      </c>
      <c r="H5788" s="8">
        <v>93906.15</v>
      </c>
      <c r="I5788" s="8">
        <v>84381.52</v>
      </c>
      <c r="J5788" s="1">
        <f>IF(COUNTIF($C$4:C5788,C5788)=1,1,0)</f>
        <v>0</v>
      </c>
      <c r="K5788" s="1">
        <f t="shared" si="90"/>
        <v>2025</v>
      </c>
    </row>
    <row r="5789" spans="1:11" x14ac:dyDescent="0.45">
      <c r="B5789" s="1" t="s">
        <v>4000</v>
      </c>
      <c r="C5789" s="1" t="s">
        <v>4455</v>
      </c>
      <c r="D5789" s="7">
        <v>44642</v>
      </c>
      <c r="E5789" s="7">
        <v>44643</v>
      </c>
      <c r="G5789" s="1" t="s">
        <v>38</v>
      </c>
      <c r="H5789" s="8">
        <v>285719.43</v>
      </c>
      <c r="I5789" s="8">
        <v>224762.19</v>
      </c>
      <c r="J5789" s="1">
        <f>IF(COUNTIF($C$4:C5789,C5789)=1,1,0)</f>
        <v>0</v>
      </c>
      <c r="K5789" s="1">
        <f t="shared" si="90"/>
        <v>2022</v>
      </c>
    </row>
    <row r="5790" spans="1:11" x14ac:dyDescent="0.45">
      <c r="A5790" s="1" t="s">
        <v>5723</v>
      </c>
      <c r="B5790" s="1" t="s">
        <v>4000</v>
      </c>
      <c r="C5790" s="1" t="s">
        <v>5593</v>
      </c>
      <c r="D5790" s="7">
        <v>45333</v>
      </c>
      <c r="E5790" s="7">
        <v>45357</v>
      </c>
      <c r="G5790" s="1" t="s">
        <v>16</v>
      </c>
      <c r="H5790" s="8">
        <v>79239.77</v>
      </c>
      <c r="I5790" s="8">
        <v>46429.55</v>
      </c>
      <c r="J5790" s="1">
        <f>IF(COUNTIF($C$4:C5790,C5790)=1,1,0)</f>
        <v>0</v>
      </c>
      <c r="K5790" s="1">
        <f t="shared" si="90"/>
        <v>2024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D285A39-FBEC-4884-B443-A5B782187EF5}"/>
</file>

<file path=customXml/itemProps2.xml><?xml version="1.0" encoding="utf-8"?>
<ds:datastoreItem xmlns:ds="http://schemas.openxmlformats.org/officeDocument/2006/customXml" ds:itemID="{66EA465E-7D0F-4FB1-A6CD-F8D6DEEAE69C}"/>
</file>

<file path=customXml/itemProps3.xml><?xml version="1.0" encoding="utf-8"?>
<ds:datastoreItem xmlns:ds="http://schemas.openxmlformats.org/officeDocument/2006/customXml" ds:itemID="{7201302D-A62E-445D-84B0-FFE26A87B6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Kerubo</dc:creator>
  <cp:lastModifiedBy>Monica Kerubo</cp:lastModifiedBy>
  <dcterms:created xsi:type="dcterms:W3CDTF">2025-09-26T08:08:24Z</dcterms:created>
  <dcterms:modified xsi:type="dcterms:W3CDTF">2025-09-26T08:08:56Z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