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4"/>
  <workbookPr/>
  <mc:AlternateContent xmlns:mc="http://schemas.openxmlformats.org/markup-compatibility/2006">
    <mc:Choice Requires="x15">
      <x15ac:absPath xmlns:x15ac="http://schemas.microsoft.com/office/spreadsheetml/2010/11/ac" url="https://kenbright.sharepoint.com/sites/KENBRIGHTAI317-Automation/Shared Documents/Automation/New Joiners Training Module/Training Modules/Module 15_DB Valuation/Course Content/"/>
    </mc:Choice>
  </mc:AlternateContent>
  <xr:revisionPtr revIDLastSave="0" documentId="8_{22D7BAD2-3A03-49A5-A484-9683FFAE1776}" xr6:coauthVersionLast="47" xr6:coauthVersionMax="47" xr10:uidLastSave="{00000000-0000-0000-0000-000000000000}"/>
  <bookViews>
    <workbookView xWindow="-98" yWindow="-98" windowWidth="21795" windowHeight="13875" firstSheet="2" activeTab="2" xr2:uid="{83F1E0C2-D1A6-4D16-8B95-2B7CFC8D6A69}"/>
  </bookViews>
  <sheets>
    <sheet name="Intro" sheetId="4" r:id="rId1"/>
    <sheet name="Data &amp; Checks" sheetId="1" r:id="rId2"/>
    <sheet name="Model" sheetId="2" r:id="rId3"/>
    <sheet name="Results" sheetId="3" r:id="rId4"/>
  </sheets>
  <definedNames>
    <definedName name="Analysis_Date">Intro!$F$22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4" l="1"/>
  <c r="D10" i="2"/>
  <c r="U20" i="1" l="1"/>
  <c r="U21" i="1"/>
  <c r="U22" i="1"/>
  <c r="U23" i="1"/>
  <c r="U24" i="1"/>
  <c r="U25" i="1"/>
  <c r="U26" i="1"/>
  <c r="U27" i="1"/>
  <c r="U28" i="1"/>
  <c r="U19" i="1"/>
  <c r="U5" i="1"/>
  <c r="U6" i="1"/>
  <c r="U7" i="1"/>
  <c r="U8" i="1"/>
  <c r="U9" i="1"/>
  <c r="U10" i="1"/>
  <c r="U11" i="1"/>
  <c r="U12" i="1"/>
  <c r="U13" i="1"/>
  <c r="U4" i="1"/>
  <c r="I12" i="2" l="1"/>
  <c r="K19" i="2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l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L46" i="2"/>
  <c r="L47" i="2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L60" i="2" s="1"/>
  <c r="L61" i="2" s="1"/>
  <c r="L62" i="2" s="1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L74" i="2" s="1"/>
  <c r="L75" i="2" s="1"/>
  <c r="L76" i="2" s="1"/>
  <c r="L77" i="2" s="1"/>
  <c r="L78" i="2" s="1"/>
  <c r="L79" i="2" s="1"/>
  <c r="L80" i="2" s="1"/>
  <c r="L81" i="2" s="1"/>
  <c r="L82" i="2" s="1"/>
  <c r="L83" i="2" s="1"/>
  <c r="L84" i="2" s="1"/>
  <c r="L85" i="2" s="1"/>
  <c r="L86" i="2" s="1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9" i="2"/>
  <c r="F19" i="2"/>
  <c r="A20" i="2"/>
  <c r="O20" i="2" s="1"/>
  <c r="J19" i="2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P99" i="2" l="1"/>
  <c r="P96" i="2"/>
  <c r="P98" i="2"/>
  <c r="P97" i="2"/>
  <c r="P95" i="2"/>
  <c r="P94" i="2"/>
  <c r="P93" i="2"/>
  <c r="P92" i="2"/>
  <c r="P91" i="2"/>
  <c r="P90" i="2"/>
  <c r="P89" i="2"/>
  <c r="P81" i="2"/>
  <c r="P88" i="2"/>
  <c r="P87" i="2"/>
  <c r="P106" i="2"/>
  <c r="P86" i="2"/>
  <c r="P105" i="2"/>
  <c r="P85" i="2"/>
  <c r="P104" i="2"/>
  <c r="P84" i="2"/>
  <c r="P103" i="2"/>
  <c r="P83" i="2"/>
  <c r="P102" i="2"/>
  <c r="P82" i="2"/>
  <c r="P101" i="2"/>
  <c r="P100" i="2"/>
  <c r="P80" i="2"/>
  <c r="A21" i="2"/>
  <c r="O21" i="2" s="1"/>
  <c r="F20" i="2"/>
  <c r="C19" i="2"/>
  <c r="B19" i="2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T5" i="1"/>
  <c r="L5" i="1" s="1"/>
  <c r="T6" i="1"/>
  <c r="L6" i="1" s="1"/>
  <c r="T7" i="1"/>
  <c r="L7" i="1" s="1"/>
  <c r="T8" i="1"/>
  <c r="L8" i="1" s="1"/>
  <c r="T9" i="1"/>
  <c r="L9" i="1" s="1"/>
  <c r="T10" i="1"/>
  <c r="L10" i="1" s="1"/>
  <c r="T11" i="1"/>
  <c r="T12" i="1"/>
  <c r="L12" i="1" s="1"/>
  <c r="T13" i="1"/>
  <c r="L13" i="1" s="1"/>
  <c r="T19" i="1"/>
  <c r="L19" i="1" s="1"/>
  <c r="T20" i="1"/>
  <c r="L20" i="1" s="1"/>
  <c r="T21" i="1"/>
  <c r="L21" i="1" s="1"/>
  <c r="T22" i="1"/>
  <c r="L22" i="1" s="1"/>
  <c r="T23" i="1"/>
  <c r="L23" i="1" s="1"/>
  <c r="T24" i="1"/>
  <c r="L24" i="1" s="1"/>
  <c r="T25" i="1"/>
  <c r="L25" i="1" s="1"/>
  <c r="T26" i="1"/>
  <c r="L26" i="1" s="1"/>
  <c r="T27" i="1"/>
  <c r="L27" i="1" s="1"/>
  <c r="T28" i="1"/>
  <c r="T4" i="1"/>
  <c r="L4" i="1" s="1"/>
  <c r="N5" i="1"/>
  <c r="N6" i="1"/>
  <c r="N7" i="1"/>
  <c r="N8" i="1"/>
  <c r="N9" i="1"/>
  <c r="N10" i="1"/>
  <c r="N11" i="1"/>
  <c r="N12" i="1"/>
  <c r="N13" i="1"/>
  <c r="N19" i="1"/>
  <c r="N20" i="1"/>
  <c r="N21" i="1"/>
  <c r="N22" i="1"/>
  <c r="N23" i="1"/>
  <c r="N24" i="1"/>
  <c r="N25" i="1"/>
  <c r="N26" i="1"/>
  <c r="N27" i="1"/>
  <c r="N28" i="1"/>
  <c r="N4" i="1"/>
  <c r="O5" i="1"/>
  <c r="O6" i="1"/>
  <c r="O7" i="1"/>
  <c r="O8" i="1"/>
  <c r="O9" i="1"/>
  <c r="O10" i="1"/>
  <c r="O11" i="1"/>
  <c r="O12" i="1"/>
  <c r="O13" i="1"/>
  <c r="O19" i="1"/>
  <c r="O20" i="1"/>
  <c r="O21" i="1"/>
  <c r="O22" i="1"/>
  <c r="O23" i="1"/>
  <c r="O24" i="1"/>
  <c r="O25" i="1"/>
  <c r="O26" i="1"/>
  <c r="O27" i="1"/>
  <c r="O28" i="1"/>
  <c r="O4" i="1"/>
  <c r="S5" i="1"/>
  <c r="S6" i="1"/>
  <c r="S7" i="1"/>
  <c r="S8" i="1"/>
  <c r="S9" i="1"/>
  <c r="S10" i="1"/>
  <c r="S11" i="1"/>
  <c r="S12" i="1"/>
  <c r="S13" i="1"/>
  <c r="S19" i="1"/>
  <c r="S20" i="1"/>
  <c r="S21" i="1"/>
  <c r="S22" i="1"/>
  <c r="S23" i="1"/>
  <c r="S24" i="1"/>
  <c r="S25" i="1"/>
  <c r="S26" i="1"/>
  <c r="S27" i="1"/>
  <c r="S28" i="1"/>
  <c r="S4" i="1"/>
  <c r="R5" i="1"/>
  <c r="R6" i="1"/>
  <c r="R7" i="1"/>
  <c r="R8" i="1"/>
  <c r="R9" i="1"/>
  <c r="R10" i="1"/>
  <c r="R11" i="1"/>
  <c r="R12" i="1"/>
  <c r="R13" i="1"/>
  <c r="R19" i="1"/>
  <c r="R20" i="1"/>
  <c r="R21" i="1"/>
  <c r="R22" i="1"/>
  <c r="R23" i="1"/>
  <c r="R24" i="1"/>
  <c r="R25" i="1"/>
  <c r="R26" i="1"/>
  <c r="R27" i="1"/>
  <c r="R28" i="1"/>
  <c r="R4" i="1"/>
  <c r="M19" i="1"/>
  <c r="P19" i="1"/>
  <c r="M20" i="1"/>
  <c r="P20" i="1"/>
  <c r="M21" i="1"/>
  <c r="P21" i="1"/>
  <c r="M22" i="1"/>
  <c r="P22" i="1"/>
  <c r="M23" i="1"/>
  <c r="P23" i="1"/>
  <c r="M24" i="1"/>
  <c r="P24" i="1"/>
  <c r="M25" i="1"/>
  <c r="P25" i="1"/>
  <c r="M26" i="1"/>
  <c r="P26" i="1"/>
  <c r="M27" i="1"/>
  <c r="P27" i="1"/>
  <c r="M28" i="1"/>
  <c r="P28" i="1"/>
  <c r="Q5" i="1"/>
  <c r="Q6" i="1"/>
  <c r="Q7" i="1"/>
  <c r="Q8" i="1"/>
  <c r="Q9" i="1"/>
  <c r="Q10" i="1"/>
  <c r="Q11" i="1"/>
  <c r="Q12" i="1"/>
  <c r="Q13" i="1"/>
  <c r="Q19" i="1"/>
  <c r="Q20" i="1"/>
  <c r="Q21" i="1"/>
  <c r="Q22" i="1"/>
  <c r="Q23" i="1"/>
  <c r="Q24" i="1"/>
  <c r="Q25" i="1"/>
  <c r="Q26" i="1"/>
  <c r="Q27" i="1"/>
  <c r="Q28" i="1"/>
  <c r="Q4" i="1"/>
  <c r="P5" i="1"/>
  <c r="P6" i="1"/>
  <c r="P7" i="1"/>
  <c r="P8" i="1"/>
  <c r="P9" i="1"/>
  <c r="P10" i="1"/>
  <c r="P11" i="1"/>
  <c r="P12" i="1"/>
  <c r="P13" i="1"/>
  <c r="P4" i="1"/>
  <c r="M5" i="1"/>
  <c r="M6" i="1"/>
  <c r="M7" i="1"/>
  <c r="M8" i="1"/>
  <c r="M9" i="1"/>
  <c r="M10" i="1"/>
  <c r="M11" i="1"/>
  <c r="M12" i="1"/>
  <c r="M13" i="1"/>
  <c r="K5" i="1"/>
  <c r="K6" i="1"/>
  <c r="K7" i="1"/>
  <c r="K8" i="1"/>
  <c r="K9" i="1"/>
  <c r="K10" i="1"/>
  <c r="K11" i="1"/>
  <c r="K12" i="1"/>
  <c r="K13" i="1"/>
  <c r="K19" i="1"/>
  <c r="K20" i="1"/>
  <c r="K21" i="1"/>
  <c r="K22" i="1"/>
  <c r="K23" i="1"/>
  <c r="K24" i="1"/>
  <c r="K25" i="1"/>
  <c r="K26" i="1"/>
  <c r="K27" i="1"/>
  <c r="K28" i="1"/>
  <c r="L28" i="1"/>
  <c r="K4" i="1"/>
  <c r="M4" i="1"/>
  <c r="F21" i="2" l="1"/>
  <c r="A22" i="2"/>
  <c r="L11" i="1"/>
  <c r="M19" i="2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A23" i="2"/>
  <c r="O22" i="2"/>
  <c r="F22" i="2"/>
  <c r="C20" i="2"/>
  <c r="G19" i="2"/>
  <c r="D19" i="2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O23" i="2" l="1"/>
  <c r="F23" i="2"/>
  <c r="A24" i="2"/>
  <c r="C21" i="2"/>
  <c r="G20" i="2"/>
  <c r="O24" i="2" l="1"/>
  <c r="F24" i="2"/>
  <c r="A25" i="2"/>
  <c r="C22" i="2"/>
  <c r="G21" i="2"/>
  <c r="O25" i="2" l="1"/>
  <c r="F25" i="2"/>
  <c r="A26" i="2"/>
  <c r="C23" i="2"/>
  <c r="G22" i="2"/>
  <c r="O26" i="2" l="1"/>
  <c r="F26" i="2"/>
  <c r="A27" i="2"/>
  <c r="C24" i="2"/>
  <c r="G23" i="2"/>
  <c r="O27" i="2" l="1"/>
  <c r="F27" i="2"/>
  <c r="A28" i="2"/>
  <c r="C25" i="2"/>
  <c r="G24" i="2"/>
  <c r="O28" i="2" l="1"/>
  <c r="F28" i="2"/>
  <c r="A29" i="2"/>
  <c r="C26" i="2"/>
  <c r="G25" i="2"/>
  <c r="O29" i="2" l="1"/>
  <c r="F29" i="2"/>
  <c r="A30" i="2"/>
  <c r="C27" i="2"/>
  <c r="G26" i="2"/>
  <c r="O30" i="2" l="1"/>
  <c r="F30" i="2"/>
  <c r="A31" i="2"/>
  <c r="C28" i="2"/>
  <c r="G27" i="2"/>
  <c r="F31" i="2" l="1"/>
  <c r="O31" i="2"/>
  <c r="A32" i="2"/>
  <c r="C29" i="2"/>
  <c r="G28" i="2"/>
  <c r="F32" i="2" l="1"/>
  <c r="O32" i="2"/>
  <c r="A33" i="2"/>
  <c r="C30" i="2"/>
  <c r="G29" i="2"/>
  <c r="F33" i="2" l="1"/>
  <c r="O33" i="2"/>
  <c r="A34" i="2"/>
  <c r="C31" i="2"/>
  <c r="G30" i="2"/>
  <c r="F34" i="2" l="1"/>
  <c r="O34" i="2"/>
  <c r="A35" i="2"/>
  <c r="C32" i="2"/>
  <c r="G31" i="2"/>
  <c r="F35" i="2" l="1"/>
  <c r="O35" i="2"/>
  <c r="A36" i="2"/>
  <c r="C33" i="2"/>
  <c r="G32" i="2"/>
  <c r="F36" i="2" l="1"/>
  <c r="O36" i="2"/>
  <c r="A37" i="2"/>
  <c r="C34" i="2"/>
  <c r="G33" i="2"/>
  <c r="F37" i="2" l="1"/>
  <c r="O37" i="2"/>
  <c r="A38" i="2"/>
  <c r="C35" i="2"/>
  <c r="G34" i="2"/>
  <c r="F38" i="2" l="1"/>
  <c r="O38" i="2"/>
  <c r="A39" i="2"/>
  <c r="C36" i="2"/>
  <c r="G35" i="2"/>
  <c r="F39" i="2" l="1"/>
  <c r="O39" i="2"/>
  <c r="A40" i="2"/>
  <c r="C37" i="2"/>
  <c r="G36" i="2"/>
  <c r="O40" i="2" l="1"/>
  <c r="F40" i="2"/>
  <c r="A41" i="2"/>
  <c r="C38" i="2"/>
  <c r="G37" i="2"/>
  <c r="O41" i="2" l="1"/>
  <c r="F41" i="2"/>
  <c r="A42" i="2"/>
  <c r="C39" i="2"/>
  <c r="G38" i="2"/>
  <c r="O42" i="2" l="1"/>
  <c r="F42" i="2"/>
  <c r="A43" i="2"/>
  <c r="C40" i="2"/>
  <c r="G39" i="2"/>
  <c r="O43" i="2" l="1"/>
  <c r="F43" i="2"/>
  <c r="A44" i="2"/>
  <c r="C41" i="2"/>
  <c r="G40" i="2"/>
  <c r="O44" i="2" l="1"/>
  <c r="F44" i="2"/>
  <c r="A45" i="2"/>
  <c r="C42" i="2"/>
  <c r="G41" i="2"/>
  <c r="O45" i="2" l="1"/>
  <c r="F45" i="2"/>
  <c r="A46" i="2"/>
  <c r="C43" i="2"/>
  <c r="G42" i="2"/>
  <c r="O46" i="2" l="1"/>
  <c r="P46" i="2" s="1"/>
  <c r="F46" i="2"/>
  <c r="A47" i="2"/>
  <c r="C44" i="2"/>
  <c r="G43" i="2"/>
  <c r="O47" i="2" l="1"/>
  <c r="P47" i="2" s="1"/>
  <c r="F47" i="2"/>
  <c r="A48" i="2"/>
  <c r="C45" i="2"/>
  <c r="G44" i="2"/>
  <c r="O48" i="2" l="1"/>
  <c r="P48" i="2" s="1"/>
  <c r="F48" i="2"/>
  <c r="A49" i="2"/>
  <c r="C46" i="2"/>
  <c r="G45" i="2"/>
  <c r="O49" i="2" l="1"/>
  <c r="P49" i="2" s="1"/>
  <c r="F49" i="2"/>
  <c r="A50" i="2"/>
  <c r="C47" i="2"/>
  <c r="G46" i="2"/>
  <c r="F50" i="2" l="1"/>
  <c r="O50" i="2"/>
  <c r="P50" i="2" s="1"/>
  <c r="A51" i="2"/>
  <c r="C48" i="2"/>
  <c r="G47" i="2"/>
  <c r="O51" i="2" l="1"/>
  <c r="P51" i="2" s="1"/>
  <c r="F51" i="2"/>
  <c r="A52" i="2"/>
  <c r="C49" i="2"/>
  <c r="G48" i="2"/>
  <c r="F52" i="2" l="1"/>
  <c r="O52" i="2"/>
  <c r="P52" i="2" s="1"/>
  <c r="A53" i="2"/>
  <c r="C50" i="2"/>
  <c r="G49" i="2"/>
  <c r="F53" i="2" l="1"/>
  <c r="O53" i="2"/>
  <c r="P53" i="2" s="1"/>
  <c r="A54" i="2"/>
  <c r="C51" i="2"/>
  <c r="G50" i="2"/>
  <c r="F54" i="2" l="1"/>
  <c r="O54" i="2"/>
  <c r="P54" i="2" s="1"/>
  <c r="A55" i="2"/>
  <c r="C52" i="2"/>
  <c r="G51" i="2"/>
  <c r="F55" i="2" l="1"/>
  <c r="O55" i="2"/>
  <c r="P55" i="2" s="1"/>
  <c r="A56" i="2"/>
  <c r="C53" i="2"/>
  <c r="G52" i="2"/>
  <c r="F56" i="2" l="1"/>
  <c r="O56" i="2"/>
  <c r="P56" i="2" s="1"/>
  <c r="A57" i="2"/>
  <c r="C54" i="2"/>
  <c r="G53" i="2"/>
  <c r="F57" i="2" l="1"/>
  <c r="O57" i="2"/>
  <c r="P57" i="2" s="1"/>
  <c r="A58" i="2"/>
  <c r="C55" i="2"/>
  <c r="G54" i="2"/>
  <c r="F58" i="2" l="1"/>
  <c r="O58" i="2"/>
  <c r="P58" i="2" s="1"/>
  <c r="A59" i="2"/>
  <c r="C56" i="2"/>
  <c r="G55" i="2"/>
  <c r="F59" i="2" l="1"/>
  <c r="O59" i="2"/>
  <c r="P59" i="2" s="1"/>
  <c r="A60" i="2"/>
  <c r="C57" i="2"/>
  <c r="G56" i="2"/>
  <c r="O60" i="2" l="1"/>
  <c r="P60" i="2" s="1"/>
  <c r="F60" i="2"/>
  <c r="A61" i="2"/>
  <c r="C58" i="2"/>
  <c r="G57" i="2"/>
  <c r="O61" i="2" l="1"/>
  <c r="P61" i="2" s="1"/>
  <c r="F61" i="2"/>
  <c r="A62" i="2"/>
  <c r="C59" i="2"/>
  <c r="G58" i="2"/>
  <c r="O62" i="2" l="1"/>
  <c r="P62" i="2" s="1"/>
  <c r="F62" i="2"/>
  <c r="A63" i="2"/>
  <c r="C60" i="2"/>
  <c r="G59" i="2"/>
  <c r="O63" i="2" l="1"/>
  <c r="P63" i="2" s="1"/>
  <c r="F63" i="2"/>
  <c r="A64" i="2"/>
  <c r="C61" i="2"/>
  <c r="G60" i="2"/>
  <c r="O64" i="2" l="1"/>
  <c r="P64" i="2" s="1"/>
  <c r="F64" i="2"/>
  <c r="A65" i="2"/>
  <c r="C62" i="2"/>
  <c r="G61" i="2"/>
  <c r="O65" i="2" l="1"/>
  <c r="P65" i="2" s="1"/>
  <c r="F65" i="2"/>
  <c r="A66" i="2"/>
  <c r="C63" i="2"/>
  <c r="G62" i="2"/>
  <c r="O66" i="2" l="1"/>
  <c r="P66" i="2" s="1"/>
  <c r="F66" i="2"/>
  <c r="A67" i="2"/>
  <c r="C64" i="2"/>
  <c r="G63" i="2"/>
  <c r="O67" i="2" l="1"/>
  <c r="P67" i="2" s="1"/>
  <c r="F67" i="2"/>
  <c r="A68" i="2"/>
  <c r="C65" i="2"/>
  <c r="G64" i="2"/>
  <c r="O68" i="2" l="1"/>
  <c r="P68" i="2" s="1"/>
  <c r="F68" i="2"/>
  <c r="A69" i="2"/>
  <c r="C66" i="2"/>
  <c r="G65" i="2"/>
  <c r="O69" i="2" l="1"/>
  <c r="P69" i="2" s="1"/>
  <c r="F69" i="2"/>
  <c r="A70" i="2"/>
  <c r="C67" i="2"/>
  <c r="G66" i="2"/>
  <c r="O70" i="2" l="1"/>
  <c r="P70" i="2" s="1"/>
  <c r="F70" i="2"/>
  <c r="A71" i="2"/>
  <c r="C68" i="2"/>
  <c r="G67" i="2"/>
  <c r="F71" i="2" l="1"/>
  <c r="O71" i="2"/>
  <c r="P71" i="2" s="1"/>
  <c r="A72" i="2"/>
  <c r="C69" i="2"/>
  <c r="G68" i="2"/>
  <c r="F72" i="2" l="1"/>
  <c r="O72" i="2"/>
  <c r="P72" i="2" s="1"/>
  <c r="A73" i="2"/>
  <c r="C70" i="2"/>
  <c r="G69" i="2"/>
  <c r="F73" i="2" l="1"/>
  <c r="O73" i="2"/>
  <c r="P73" i="2" s="1"/>
  <c r="A74" i="2"/>
  <c r="G70" i="2"/>
  <c r="C71" i="2"/>
  <c r="F74" i="2" l="1"/>
  <c r="O74" i="2"/>
  <c r="P74" i="2" s="1"/>
  <c r="A75" i="2"/>
  <c r="C72" i="2"/>
  <c r="G71" i="2"/>
  <c r="F75" i="2" l="1"/>
  <c r="O75" i="2"/>
  <c r="P75" i="2" s="1"/>
  <c r="A76" i="2"/>
  <c r="G72" i="2"/>
  <c r="C73" i="2"/>
  <c r="F76" i="2" l="1"/>
  <c r="O76" i="2"/>
  <c r="P76" i="2" s="1"/>
  <c r="A77" i="2"/>
  <c r="C74" i="2"/>
  <c r="G73" i="2"/>
  <c r="F77" i="2" l="1"/>
  <c r="O77" i="2"/>
  <c r="P77" i="2" s="1"/>
  <c r="A78" i="2"/>
  <c r="C75" i="2"/>
  <c r="G74" i="2"/>
  <c r="F78" i="2" l="1"/>
  <c r="O78" i="2"/>
  <c r="P78" i="2" s="1"/>
  <c r="A79" i="2"/>
  <c r="G75" i="2"/>
  <c r="C76" i="2"/>
  <c r="F79" i="2" l="1"/>
  <c r="O79" i="2"/>
  <c r="P79" i="2" s="1"/>
  <c r="P17" i="2" s="1"/>
  <c r="D8" i="3" s="1"/>
  <c r="G76" i="2"/>
  <c r="C77" i="2"/>
  <c r="G77" i="2" l="1"/>
  <c r="C78" i="2"/>
  <c r="C79" i="2" l="1"/>
  <c r="G79" i="2" s="1"/>
  <c r="G78" i="2"/>
  <c r="G17" i="2" l="1"/>
  <c r="D7" i="3" s="1"/>
  <c r="D9" i="3" s="1"/>
  <c r="D13" i="3" l="1"/>
  <c r="D14" i="3"/>
</calcChain>
</file>

<file path=xl/sharedStrings.xml><?xml version="1.0" encoding="utf-8"?>
<sst xmlns="http://schemas.openxmlformats.org/spreadsheetml/2006/main" count="155" uniqueCount="81">
  <si>
    <t>KENBRIGHT SRBS</t>
  </si>
  <si>
    <t>STAFF RETIREMENT BENEFITS SCHEME</t>
  </si>
  <si>
    <t>Actuarial Valuation</t>
  </si>
  <si>
    <t>Scheme Commencement Date</t>
  </si>
  <si>
    <t>Scheme Closure Date</t>
  </si>
  <si>
    <t>Previous Analysis Date</t>
  </si>
  <si>
    <t>Valuation Date</t>
  </si>
  <si>
    <t>Active Membership Data</t>
  </si>
  <si>
    <t>DATA CHECKS</t>
  </si>
  <si>
    <t>M/No.</t>
  </si>
  <si>
    <t>Member Name</t>
  </si>
  <si>
    <t>Gender</t>
  </si>
  <si>
    <t>Category</t>
  </si>
  <si>
    <t>Date of Birth</t>
  </si>
  <si>
    <t>Date of Employment</t>
  </si>
  <si>
    <t>Date of Joining Scheme</t>
  </si>
  <si>
    <t>Date of Retirement</t>
  </si>
  <si>
    <t>Monthly Salary (KES)</t>
  </si>
  <si>
    <t>Check for Duplicates in ID</t>
  </si>
  <si>
    <t>Unusual Ages</t>
  </si>
  <si>
    <t>DOJS&gt;DOB</t>
  </si>
  <si>
    <t>DOJS before Val date</t>
  </si>
  <si>
    <t>DOJS after commence date</t>
  </si>
  <si>
    <t>DOJS after DOE</t>
  </si>
  <si>
    <t>DOE&gt;DOB</t>
  </si>
  <si>
    <t>Age at Employment</t>
  </si>
  <si>
    <t>Age at Retirement</t>
  </si>
  <si>
    <t>Age Last Birthday</t>
  </si>
  <si>
    <t>Years of Service</t>
  </si>
  <si>
    <t>Evelyn A. Kamau</t>
  </si>
  <si>
    <t>F</t>
  </si>
  <si>
    <t>Active</t>
  </si>
  <si>
    <t>N/A</t>
  </si>
  <si>
    <t>Brian O. Nyakundi</t>
  </si>
  <si>
    <t>M</t>
  </si>
  <si>
    <t>Judith M. Wanjiru</t>
  </si>
  <si>
    <t>Collins K. Kiprotich</t>
  </si>
  <si>
    <t>Mercy N. Achieng</t>
  </si>
  <si>
    <t>George M. Mwangi</t>
  </si>
  <si>
    <t>Sheila W. Chebet</t>
  </si>
  <si>
    <t>Eric O. Mutua</t>
  </si>
  <si>
    <t>Nancy K. Oduor</t>
  </si>
  <si>
    <t>Felix N. Njuguna</t>
  </si>
  <si>
    <t xml:space="preserve">Pensioners Data </t>
  </si>
  <si>
    <t>Monthly Pension (KES)</t>
  </si>
  <si>
    <t>Margaret N. Wambua</t>
  </si>
  <si>
    <t>Pensioner</t>
  </si>
  <si>
    <t>James O. Ochieng</t>
  </si>
  <si>
    <t>Rose A. Chebet</t>
  </si>
  <si>
    <t>David M. Kiprono</t>
  </si>
  <si>
    <t>Esther K. Njeri</t>
  </si>
  <si>
    <t>Michael O. Mutua</t>
  </si>
  <si>
    <t>Florence W. Mwangi</t>
  </si>
  <si>
    <t>Patrick N. Otieno</t>
  </si>
  <si>
    <t>Lucy M. Oduor</t>
  </si>
  <si>
    <t>Bernard K. Njuguna</t>
  </si>
  <si>
    <t>Asumptions</t>
  </si>
  <si>
    <t>Discount Rate</t>
  </si>
  <si>
    <t>Salary Inflation</t>
  </si>
  <si>
    <t>Mortality Tables</t>
  </si>
  <si>
    <t>KE 2007-2010</t>
  </si>
  <si>
    <t xml:space="preserve">Defined Member Benefit </t>
  </si>
  <si>
    <t>1/500 * Years of Service * Salary at Retirement</t>
  </si>
  <si>
    <t>Max Age</t>
  </si>
  <si>
    <t>Calculation of Expected Present Value of Future and Current Service Obligation</t>
  </si>
  <si>
    <t>PENSIONER</t>
  </si>
  <si>
    <t>ACTIVE MEMBER</t>
  </si>
  <si>
    <t>Member No</t>
  </si>
  <si>
    <t>Annuity</t>
  </si>
  <si>
    <t>Age</t>
  </si>
  <si>
    <t>Mortality Rate</t>
  </si>
  <si>
    <t>PV Annuity</t>
  </si>
  <si>
    <t>Salary</t>
  </si>
  <si>
    <t>Summary of Results</t>
  </si>
  <si>
    <t>Value of accrued liabilities</t>
  </si>
  <si>
    <t>Pensioners</t>
  </si>
  <si>
    <t>Active members</t>
  </si>
  <si>
    <t>Total Liability</t>
  </si>
  <si>
    <t>Assets</t>
  </si>
  <si>
    <t>Surplus/Deficit</t>
  </si>
  <si>
    <t>Funding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</si>
</sst>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-* #,##0_-;\-* #,##0_-;_-* &quot;-&quot;??_-;_-@_-"/>
    <numFmt numFmtId="166" formatCode="_-* #,##0.0000_-;\-* #,##0.0000_-;_-* &quot;-&quot;??_-;_-@_-"/>
    <numFmt numFmtId="167" formatCode="dd\.mm\.yyyy;@"/>
  </numFmts>
  <fonts count="23">
    <font>
      <sz val="9"/>
      <color theme="1"/>
      <name val="Nunito"/>
      <family val="2"/>
    </font>
    <font>
      <sz val="9"/>
      <color theme="1"/>
      <name val="Nunito"/>
      <family val="2"/>
    </font>
    <font>
      <b/>
      <sz val="9"/>
      <color theme="1"/>
      <name val="Nunito"/>
      <family val="2"/>
    </font>
    <font>
      <sz val="9"/>
      <color theme="0"/>
      <name val="Nunito"/>
      <family val="2"/>
    </font>
    <font>
      <b/>
      <sz val="9"/>
      <color theme="1"/>
      <name val="Nunito"/>
    </font>
    <font>
      <sz val="11"/>
      <color theme="1"/>
      <name val="Aptos Narrow"/>
      <family val="2"/>
      <scheme val="minor"/>
    </font>
    <font>
      <b/>
      <sz val="9"/>
      <color rgb="FFFFFFFF"/>
      <name val="Nunito Sans"/>
    </font>
    <font>
      <sz val="9"/>
      <color rgb="FF000000"/>
      <name val="Nunito Sans"/>
    </font>
    <font>
      <sz val="9"/>
      <color theme="1"/>
      <name val="Nunito Sans"/>
    </font>
    <font>
      <b/>
      <sz val="9"/>
      <color theme="0"/>
      <name val="Nunito"/>
    </font>
    <font>
      <b/>
      <sz val="9"/>
      <color theme="7" tint="-0.499984740745262"/>
      <name val="Nunito"/>
    </font>
    <font>
      <sz val="9"/>
      <color theme="1"/>
      <name val="Nunito"/>
    </font>
    <font>
      <i/>
      <sz val="9"/>
      <color theme="1"/>
      <name val="Nunito"/>
    </font>
    <font>
      <b/>
      <sz val="9"/>
      <color rgb="FF0137A6"/>
      <name val="Nunito"/>
    </font>
    <font>
      <sz val="8"/>
      <color rgb="FF000000"/>
      <name val="Nunito Sans"/>
    </font>
    <font>
      <sz val="11"/>
      <color rgb="FF000000"/>
      <name val="Nunito Sans"/>
    </font>
    <font>
      <sz val="16"/>
      <color rgb="FF0137A6"/>
      <name val="Nunito Sans"/>
    </font>
    <font>
      <b/>
      <sz val="12"/>
      <color rgb="FF203764"/>
      <name val="Nunito Sans"/>
    </font>
    <font>
      <b/>
      <sz val="11"/>
      <color rgb="FF0137A6"/>
      <name val="Nunito Sans"/>
    </font>
    <font>
      <b/>
      <sz val="12"/>
      <color rgb="FF2F5BA6"/>
      <name val="Nunito Sans"/>
    </font>
    <font>
      <b/>
      <sz val="9"/>
      <color rgb="FF0137A6"/>
      <name val="Nunito Sans"/>
    </font>
    <font>
      <sz val="9"/>
      <color rgb="FF0137A6"/>
      <name val="Nunito Sans"/>
    </font>
    <font>
      <b/>
      <sz val="20"/>
      <color rgb="FF0137A6"/>
      <name val="Nunito Sans Black"/>
    </font>
  </fonts>
  <fills count="12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137A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137A6"/>
      </bottom>
      <diagonal/>
    </border>
    <border>
      <left style="thin">
        <color rgb="FF0137A6"/>
      </left>
      <right style="thin">
        <color rgb="FF0137A6"/>
      </right>
      <top style="thin">
        <color rgb="FF0137A6"/>
      </top>
      <bottom style="thin">
        <color rgb="FF0137A6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</cellStyleXfs>
  <cellXfs count="63">
    <xf numFmtId="0" fontId="0" fillId="0" borderId="0" xfId="0"/>
    <xf numFmtId="165" fontId="0" fillId="0" borderId="0" xfId="1" applyNumberFormat="1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164" fontId="0" fillId="0" borderId="0" xfId="1" applyFont="1" applyAlignment="1">
      <alignment vertical="center"/>
    </xf>
    <xf numFmtId="165" fontId="0" fillId="0" borderId="0" xfId="1" applyNumberFormat="1" applyFont="1" applyAlignment="1">
      <alignment vertical="center"/>
    </xf>
    <xf numFmtId="0" fontId="4" fillId="0" borderId="0" xfId="0" applyFont="1"/>
    <xf numFmtId="165" fontId="0" fillId="0" borderId="0" xfId="1" applyNumberFormat="1" applyFont="1" applyAlignment="1">
      <alignment vertical="center" wrapText="1"/>
    </xf>
    <xf numFmtId="0" fontId="7" fillId="2" borderId="0" xfId="3" applyFont="1" applyFill="1" applyAlignment="1">
      <alignment vertical="center"/>
    </xf>
    <xf numFmtId="1" fontId="7" fillId="2" borderId="0" xfId="3" applyNumberFormat="1" applyFont="1" applyFill="1" applyAlignment="1">
      <alignment vertical="center"/>
    </xf>
    <xf numFmtId="0" fontId="6" fillId="3" borderId="0" xfId="3" applyFont="1" applyFill="1" applyAlignment="1">
      <alignment vertical="center" wrapText="1"/>
    </xf>
    <xf numFmtId="1" fontId="8" fillId="4" borderId="0" xfId="0" applyNumberFormat="1" applyFont="1" applyFill="1" applyAlignment="1">
      <alignment horizontal="right" vertical="center"/>
    </xf>
    <xf numFmtId="0" fontId="0" fillId="0" borderId="0" xfId="0" applyAlignment="1">
      <alignment horizontal="right"/>
    </xf>
    <xf numFmtId="0" fontId="4" fillId="0" borderId="0" xfId="0" applyFont="1" applyAlignment="1">
      <alignment vertical="center"/>
    </xf>
    <xf numFmtId="9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right" vertical="center" wrapText="1"/>
    </xf>
    <xf numFmtId="0" fontId="0" fillId="6" borderId="0" xfId="0" applyFill="1" applyAlignment="1">
      <alignment vertical="center"/>
    </xf>
    <xf numFmtId="165" fontId="0" fillId="6" borderId="0" xfId="1" applyNumberFormat="1" applyFont="1" applyFill="1" applyAlignment="1">
      <alignment vertical="center"/>
    </xf>
    <xf numFmtId="166" fontId="0" fillId="0" borderId="0" xfId="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64" fontId="4" fillId="0" borderId="0" xfId="1" applyFont="1" applyAlignment="1">
      <alignment vertical="center" wrapText="1"/>
    </xf>
    <xf numFmtId="165" fontId="0" fillId="4" borderId="0" xfId="0" applyNumberFormat="1" applyFill="1" applyAlignment="1">
      <alignment vertical="center"/>
    </xf>
    <xf numFmtId="165" fontId="3" fillId="7" borderId="0" xfId="0" applyNumberFormat="1" applyFont="1" applyFill="1" applyAlignment="1">
      <alignment vertical="center"/>
    </xf>
    <xf numFmtId="0" fontId="10" fillId="0" borderId="2" xfId="0" applyFont="1" applyBorder="1"/>
    <xf numFmtId="165" fontId="10" fillId="0" borderId="2" xfId="1" applyNumberFormat="1" applyFont="1" applyBorder="1"/>
    <xf numFmtId="0" fontId="10" fillId="0" borderId="1" xfId="0" applyFont="1" applyBorder="1"/>
    <xf numFmtId="165" fontId="10" fillId="0" borderId="1" xfId="1" applyNumberFormat="1" applyFont="1" applyBorder="1"/>
    <xf numFmtId="9" fontId="10" fillId="0" borderId="2" xfId="2" applyFont="1" applyBorder="1"/>
    <xf numFmtId="0" fontId="11" fillId="0" borderId="0" xfId="0" applyFont="1"/>
    <xf numFmtId="165" fontId="11" fillId="0" borderId="0" xfId="1" applyNumberFormat="1" applyFont="1"/>
    <xf numFmtId="0" fontId="9" fillId="5" borderId="0" xfId="0" applyFont="1" applyFill="1"/>
    <xf numFmtId="165" fontId="9" fillId="5" borderId="0" xfId="1" applyNumberFormat="1" applyFont="1" applyFill="1"/>
    <xf numFmtId="0" fontId="12" fillId="0" borderId="0" xfId="0" applyFont="1" applyAlignment="1">
      <alignment horizontal="left" vertical="center"/>
    </xf>
    <xf numFmtId="14" fontId="0" fillId="4" borderId="0" xfId="0" applyNumberFormat="1" applyFill="1" applyAlignment="1">
      <alignment vertical="center"/>
    </xf>
    <xf numFmtId="9" fontId="0" fillId="4" borderId="0" xfId="0" applyNumberFormat="1" applyFill="1" applyAlignment="1">
      <alignment vertical="center"/>
    </xf>
    <xf numFmtId="0" fontId="0" fillId="4" borderId="0" xfId="0" applyFill="1" applyAlignment="1">
      <alignment vertical="center"/>
    </xf>
    <xf numFmtId="0" fontId="4" fillId="0" borderId="0" xfId="0" applyFont="1" applyAlignment="1">
      <alignment horizontal="right" vertical="center"/>
    </xf>
    <xf numFmtId="165" fontId="0" fillId="4" borderId="0" xfId="1" applyNumberFormat="1" applyFont="1" applyFill="1" applyAlignment="1">
      <alignment vertical="center"/>
    </xf>
    <xf numFmtId="0" fontId="0" fillId="4" borderId="0" xfId="0" applyFill="1" applyAlignment="1">
      <alignment horizontal="left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8" borderId="0" xfId="0" applyFont="1" applyFill="1" applyAlignment="1">
      <alignment vertical="center"/>
    </xf>
    <xf numFmtId="0" fontId="7" fillId="11" borderId="0" xfId="0" applyFont="1" applyFill="1" applyAlignment="1">
      <alignment vertical="center"/>
    </xf>
    <xf numFmtId="0" fontId="14" fillId="8" borderId="0" xfId="0" applyFont="1" applyFill="1"/>
    <xf numFmtId="0" fontId="14" fillId="11" borderId="0" xfId="0" applyFont="1" applyFill="1"/>
    <xf numFmtId="0" fontId="15" fillId="11" borderId="0" xfId="0" applyFont="1" applyFill="1"/>
    <xf numFmtId="0" fontId="16" fillId="11" borderId="0" xfId="0" applyFont="1" applyFill="1" applyAlignment="1">
      <alignment horizontal="center"/>
    </xf>
    <xf numFmtId="0" fontId="17" fillId="11" borderId="0" xfId="0" applyFont="1" applyFill="1" applyAlignment="1">
      <alignment vertical="center"/>
    </xf>
    <xf numFmtId="0" fontId="19" fillId="11" borderId="0" xfId="0" applyFont="1" applyFill="1" applyAlignment="1">
      <alignment vertical="center"/>
    </xf>
    <xf numFmtId="0" fontId="20" fillId="11" borderId="4" xfId="0" applyFont="1" applyFill="1" applyBorder="1" applyAlignment="1">
      <alignment horizontal="right" vertical="center"/>
    </xf>
    <xf numFmtId="14" fontId="21" fillId="11" borderId="4" xfId="0" applyNumberFormat="1" applyFont="1" applyFill="1" applyBorder="1" applyAlignment="1">
      <alignment horizontal="right" vertical="center"/>
    </xf>
    <xf numFmtId="167" fontId="7" fillId="0" borderId="0" xfId="0" applyNumberFormat="1" applyFont="1" applyAlignment="1">
      <alignment vertical="center"/>
    </xf>
    <xf numFmtId="0" fontId="8" fillId="0" borderId="0" xfId="0" quotePrefix="1" applyFont="1" applyAlignment="1">
      <alignment vertical="center"/>
    </xf>
    <xf numFmtId="0" fontId="8" fillId="9" borderId="0" xfId="0" applyFont="1" applyFill="1"/>
    <xf numFmtId="0" fontId="22" fillId="11" borderId="0" xfId="0" applyFont="1" applyFill="1" applyAlignment="1">
      <alignment horizontal="center" vertical="center" wrapText="1"/>
    </xf>
    <xf numFmtId="0" fontId="18" fillId="11" borderId="3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3" fillId="10" borderId="0" xfId="0" applyFont="1" applyFill="1" applyAlignment="1">
      <alignment horizontal="center" vertical="center"/>
    </xf>
  </cellXfs>
  <cellStyles count="4">
    <cellStyle name="Comma" xfId="1" builtinId="3"/>
    <cellStyle name="Normal" xfId="0" builtinId="0"/>
    <cellStyle name="Normal 2 2" xfId="3" xr:uid="{AE738A56-37DB-46DB-A1C4-DABC9EDA206C}"/>
    <cellStyle name="Percent" xfId="2" builtinId="5"/>
  </cellStyles>
  <dxfs count="0"/>
  <tableStyles count="0" defaultTableStyle="TableStyleMedium2" defaultPivotStyle="PivotStyleLight16"/>
  <colors>
    <mruColors>
      <color rgb="FF0137A6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6166-F3E4-47AD-B573-7ABF0DC7A039}">
  <sheetPr>
    <tabColor rgb="FF0070C0"/>
  </sheetPr>
  <dimension ref="A1:I27"/>
  <sheetViews>
    <sheetView showGridLines="0" workbookViewId="0">
      <selection activeCell="K12" sqref="K12"/>
    </sheetView>
  </sheetViews>
  <sheetFormatPr defaultColWidth="9.140625" defaultRowHeight="13.9"/>
  <cols>
    <col min="1" max="1" width="9.140625" style="45"/>
    <col min="2" max="2" width="9.42578125" style="45" customWidth="1"/>
    <col min="3" max="4" width="9.140625" style="45"/>
    <col min="5" max="5" width="31.7109375" style="45" customWidth="1"/>
    <col min="6" max="6" width="17.42578125" style="45" customWidth="1"/>
    <col min="7" max="7" width="22.42578125" style="45" customWidth="1"/>
    <col min="8" max="16384" width="9.140625" style="45"/>
  </cols>
  <sheetData>
    <row r="1" spans="1:9">
      <c r="A1" s="44"/>
      <c r="B1" s="44"/>
      <c r="C1" s="44"/>
      <c r="D1" s="44"/>
      <c r="E1" s="44"/>
      <c r="F1" s="44"/>
      <c r="G1" s="44"/>
      <c r="H1" s="44"/>
      <c r="I1" s="44"/>
    </row>
    <row r="2" spans="1:9">
      <c r="A2" s="44"/>
      <c r="B2" s="44"/>
      <c r="C2" s="44"/>
      <c r="D2" s="44"/>
      <c r="E2" s="44"/>
      <c r="F2" s="44"/>
      <c r="G2" s="44"/>
      <c r="H2" s="44"/>
      <c r="I2" s="44"/>
    </row>
    <row r="3" spans="1:9">
      <c r="A3" s="44"/>
      <c r="B3" s="44"/>
      <c r="C3" s="44"/>
      <c r="D3" s="44"/>
      <c r="E3" s="44"/>
      <c r="F3" s="44"/>
      <c r="G3" s="44"/>
      <c r="H3" s="44"/>
      <c r="I3" s="44"/>
    </row>
    <row r="4" spans="1:9">
      <c r="A4" s="44"/>
      <c r="B4" s="44"/>
      <c r="C4" s="44"/>
      <c r="D4" s="44"/>
      <c r="E4" s="44"/>
      <c r="F4" s="44"/>
      <c r="G4" s="44"/>
      <c r="H4" s="44"/>
      <c r="I4" s="44"/>
    </row>
    <row r="5" spans="1:9">
      <c r="A5" s="44"/>
      <c r="B5" s="46"/>
      <c r="C5" s="46"/>
      <c r="D5" s="46"/>
      <c r="E5" s="46"/>
      <c r="F5" s="46"/>
      <c r="G5" s="46"/>
      <c r="H5" s="46"/>
      <c r="I5" s="44"/>
    </row>
    <row r="6" spans="1:9">
      <c r="A6" s="44"/>
      <c r="B6" s="46"/>
      <c r="C6" s="47"/>
      <c r="D6" s="47"/>
      <c r="E6" s="47"/>
      <c r="F6" s="47"/>
      <c r="G6" s="47"/>
      <c r="H6" s="46"/>
      <c r="I6" s="44"/>
    </row>
    <row r="7" spans="1:9">
      <c r="A7" s="44"/>
      <c r="B7" s="48"/>
      <c r="C7" s="49"/>
      <c r="D7" s="49"/>
      <c r="E7" s="49"/>
      <c r="F7" s="49"/>
      <c r="G7" s="49"/>
      <c r="H7" s="46"/>
      <c r="I7" s="44"/>
    </row>
    <row r="8" spans="1:9">
      <c r="A8" s="44"/>
      <c r="B8" s="48"/>
      <c r="C8" s="49"/>
      <c r="D8" s="49"/>
      <c r="E8" s="49"/>
      <c r="F8" s="49"/>
      <c r="G8" s="49"/>
      <c r="H8" s="46"/>
      <c r="I8" s="44"/>
    </row>
    <row r="9" spans="1:9" ht="16.899999999999999">
      <c r="A9" s="44"/>
      <c r="B9" s="48"/>
      <c r="C9" s="49"/>
      <c r="D9" s="49"/>
      <c r="E9" s="49"/>
      <c r="F9" s="50"/>
      <c r="G9" s="49"/>
      <c r="H9" s="46"/>
      <c r="I9" s="44"/>
    </row>
    <row r="10" spans="1:9">
      <c r="A10" s="44"/>
      <c r="B10" s="48"/>
      <c r="C10" s="49"/>
      <c r="D10" s="49"/>
      <c r="E10" s="49"/>
      <c r="F10" s="49"/>
      <c r="G10" s="49"/>
      <c r="H10" s="46"/>
      <c r="I10" s="44"/>
    </row>
    <row r="11" spans="1:9">
      <c r="A11" s="44"/>
      <c r="B11" s="48"/>
      <c r="C11" s="49"/>
      <c r="D11" s="49"/>
      <c r="E11" s="49"/>
      <c r="F11" s="49"/>
      <c r="G11" s="49"/>
      <c r="H11" s="46"/>
      <c r="I11" s="44"/>
    </row>
    <row r="12" spans="1:9" ht="30.4">
      <c r="A12" s="44"/>
      <c r="B12" s="48"/>
      <c r="C12" s="49"/>
      <c r="D12" s="59" t="s">
        <v>0</v>
      </c>
      <c r="E12" s="59"/>
      <c r="F12" s="59"/>
      <c r="G12" s="59"/>
      <c r="H12" s="46"/>
      <c r="I12" s="44"/>
    </row>
    <row r="13" spans="1:9" ht="30.4">
      <c r="A13" s="44"/>
      <c r="B13" s="48"/>
      <c r="C13" s="49"/>
      <c r="D13" s="59" t="s">
        <v>1</v>
      </c>
      <c r="E13" s="59"/>
      <c r="F13" s="59"/>
      <c r="G13" s="59"/>
      <c r="H13" s="46"/>
      <c r="I13" s="44"/>
    </row>
    <row r="14" spans="1:9" ht="24.75">
      <c r="A14" s="44"/>
      <c r="B14" s="48"/>
      <c r="C14" s="49"/>
      <c r="D14" s="49"/>
      <c r="E14" s="49"/>
      <c r="F14" s="51"/>
      <c r="G14" s="49"/>
      <c r="H14" s="46"/>
      <c r="I14" s="44"/>
    </row>
    <row r="15" spans="1:9">
      <c r="A15" s="44"/>
      <c r="B15" s="48"/>
      <c r="C15" s="49"/>
      <c r="D15" s="49"/>
      <c r="E15" s="49"/>
      <c r="F15" s="49"/>
      <c r="G15" s="49"/>
      <c r="H15" s="46"/>
      <c r="I15" s="44"/>
    </row>
    <row r="16" spans="1:9" ht="18.75" thickBot="1">
      <c r="A16" s="44"/>
      <c r="B16" s="48"/>
      <c r="C16" s="52"/>
      <c r="D16" s="52"/>
      <c r="E16" s="60" t="s">
        <v>2</v>
      </c>
      <c r="F16" s="60"/>
      <c r="G16" s="53"/>
      <c r="H16" s="46"/>
      <c r="I16" s="44"/>
    </row>
    <row r="17" spans="1:9">
      <c r="A17" s="44"/>
      <c r="B17" s="46"/>
      <c r="C17" s="47"/>
      <c r="D17" s="47"/>
      <c r="E17" s="47"/>
      <c r="F17" s="47"/>
      <c r="G17" s="47"/>
      <c r="H17" s="46"/>
      <c r="I17" s="44"/>
    </row>
    <row r="18" spans="1:9">
      <c r="A18" s="44"/>
      <c r="B18" s="48"/>
      <c r="C18" s="49"/>
      <c r="D18" s="49"/>
      <c r="E18" s="49"/>
      <c r="F18" s="49"/>
      <c r="G18" s="49"/>
      <c r="H18" s="46"/>
      <c r="I18" s="44"/>
    </row>
    <row r="19" spans="1:9">
      <c r="A19" s="44"/>
      <c r="B19" s="46"/>
      <c r="C19" s="47"/>
      <c r="D19" s="47"/>
      <c r="E19" s="54" t="s">
        <v>3</v>
      </c>
      <c r="F19" s="55">
        <v>34151</v>
      </c>
      <c r="G19" s="47"/>
      <c r="H19" s="46"/>
      <c r="I19" s="44"/>
    </row>
    <row r="20" spans="1:9">
      <c r="A20" s="44"/>
      <c r="B20" s="46"/>
      <c r="C20" s="47"/>
      <c r="D20" s="47"/>
      <c r="E20" s="54" t="s">
        <v>4</v>
      </c>
      <c r="F20" s="55">
        <v>39294</v>
      </c>
      <c r="G20" s="47"/>
      <c r="H20" s="46"/>
      <c r="I20" s="44"/>
    </row>
    <row r="21" spans="1:9">
      <c r="A21" s="44"/>
      <c r="B21" s="46"/>
      <c r="C21" s="47"/>
      <c r="D21" s="47"/>
      <c r="E21" s="54" t="s">
        <v>5</v>
      </c>
      <c r="F21" s="55">
        <f>EOMONTH(Analysis_Date,-12)</f>
        <v>45291</v>
      </c>
      <c r="G21" s="47"/>
      <c r="H21" s="46"/>
      <c r="I21" s="44"/>
    </row>
    <row r="22" spans="1:9">
      <c r="A22" s="44"/>
      <c r="B22" s="46"/>
      <c r="C22" s="47"/>
      <c r="D22" s="47"/>
      <c r="E22" s="54" t="s">
        <v>6</v>
      </c>
      <c r="F22" s="55">
        <v>45657</v>
      </c>
      <c r="G22" s="47"/>
      <c r="H22" s="46"/>
      <c r="I22" s="44"/>
    </row>
    <row r="23" spans="1:9">
      <c r="A23" s="44"/>
      <c r="B23" s="46"/>
      <c r="C23" s="47"/>
      <c r="D23" s="47"/>
      <c r="E23" s="47"/>
      <c r="F23" s="47"/>
      <c r="G23" s="47"/>
      <c r="H23" s="46"/>
      <c r="I23" s="44"/>
    </row>
    <row r="24" spans="1:9">
      <c r="A24" s="44"/>
      <c r="B24" s="46"/>
      <c r="C24" s="46"/>
      <c r="D24" s="46"/>
      <c r="E24" s="46"/>
      <c r="F24" s="46"/>
      <c r="G24" s="46"/>
      <c r="H24" s="46"/>
      <c r="I24" s="44"/>
    </row>
    <row r="25" spans="1:9">
      <c r="A25" s="44"/>
      <c r="B25" s="44"/>
      <c r="C25" s="44"/>
      <c r="D25" s="44"/>
      <c r="E25" s="44"/>
      <c r="F25" s="56"/>
      <c r="G25" s="44"/>
      <c r="H25" s="44"/>
      <c r="I25" s="44"/>
    </row>
    <row r="26" spans="1:9">
      <c r="C26" s="57"/>
      <c r="D26" s="57"/>
    </row>
    <row r="27" spans="1:9">
      <c r="B27" s="58"/>
    </row>
  </sheetData>
  <mergeCells count="3">
    <mergeCell ref="D12:G12"/>
    <mergeCell ref="D13:G13"/>
    <mergeCell ref="E16:F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B12D3-B3C4-429F-B230-0802F8D4E72F}">
  <sheetPr>
    <tabColor theme="1"/>
  </sheetPr>
  <dimension ref="B2:U31"/>
  <sheetViews>
    <sheetView showGridLines="0" topLeftCell="C2" workbookViewId="0">
      <selection activeCell="I4" sqref="I4"/>
    </sheetView>
  </sheetViews>
  <sheetFormatPr defaultColWidth="9.140625" defaultRowHeight="13.5"/>
  <cols>
    <col min="1" max="1" width="9.140625" style="5"/>
    <col min="2" max="2" width="7.5703125" style="5" customWidth="1"/>
    <col min="3" max="3" width="16.5703125" style="5" bestFit="1" customWidth="1"/>
    <col min="4" max="4" width="6.140625" style="5" bestFit="1" customWidth="1"/>
    <col min="5" max="5" width="9.28515625" style="5" customWidth="1"/>
    <col min="6" max="6" width="9.7109375" style="5" bestFit="1" customWidth="1"/>
    <col min="7" max="7" width="12.85546875" style="5" customWidth="1"/>
    <col min="8" max="8" width="12.42578125" style="5" customWidth="1"/>
    <col min="9" max="9" width="12.85546875" style="7" customWidth="1"/>
    <col min="10" max="10" width="11.5703125" style="5" customWidth="1"/>
    <col min="11" max="19" width="9.140625" style="5"/>
    <col min="20" max="21" width="9.7109375" style="5" bestFit="1" customWidth="1"/>
    <col min="22" max="16384" width="9.140625" style="5"/>
  </cols>
  <sheetData>
    <row r="2" spans="2:21" ht="32.25" customHeight="1">
      <c r="B2" s="62" t="s">
        <v>7</v>
      </c>
      <c r="C2" s="62"/>
      <c r="D2" s="62"/>
      <c r="E2" s="62"/>
      <c r="F2" s="62"/>
      <c r="G2" s="62"/>
      <c r="H2" s="62"/>
      <c r="I2" s="62"/>
      <c r="J2" s="62"/>
      <c r="K2" s="61" t="s">
        <v>8</v>
      </c>
      <c r="L2" s="61"/>
      <c r="M2" s="61"/>
      <c r="N2" s="61"/>
      <c r="O2" s="61"/>
      <c r="P2" s="61"/>
      <c r="Q2" s="61"/>
      <c r="R2" s="61"/>
      <c r="S2" s="61"/>
      <c r="T2" s="61"/>
    </row>
    <row r="3" spans="2:21" ht="55.5">
      <c r="B3" s="2" t="s">
        <v>9</v>
      </c>
      <c r="C3" s="2" t="s">
        <v>10</v>
      </c>
      <c r="D3" s="2" t="s">
        <v>11</v>
      </c>
      <c r="E3" s="2" t="s">
        <v>12</v>
      </c>
      <c r="F3" s="2" t="s">
        <v>13</v>
      </c>
      <c r="G3" s="2" t="s">
        <v>14</v>
      </c>
      <c r="H3" s="2" t="s">
        <v>15</v>
      </c>
      <c r="I3" s="2" t="s">
        <v>16</v>
      </c>
      <c r="J3" s="2" t="s">
        <v>17</v>
      </c>
      <c r="K3" s="12" t="s">
        <v>18</v>
      </c>
      <c r="L3" s="12" t="s">
        <v>19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26</v>
      </c>
      <c r="T3" s="12" t="s">
        <v>27</v>
      </c>
      <c r="U3" s="12" t="s">
        <v>28</v>
      </c>
    </row>
    <row r="4" spans="2:21" ht="13.9">
      <c r="B4" s="3">
        <v>3011</v>
      </c>
      <c r="C4" s="3" t="s">
        <v>29</v>
      </c>
      <c r="D4" s="3" t="s">
        <v>30</v>
      </c>
      <c r="E4" s="5" t="s">
        <v>31</v>
      </c>
      <c r="F4" s="4">
        <v>31638</v>
      </c>
      <c r="G4" s="4">
        <v>40575</v>
      </c>
      <c r="H4" s="4">
        <v>40603</v>
      </c>
      <c r="I4" s="4" t="s">
        <v>32</v>
      </c>
      <c r="J4" s="9">
        <v>2220000</v>
      </c>
      <c r="K4" s="10">
        <f>IF( COUNTIF($B4:$B$4,B4)=1,0,1)</f>
        <v>0</v>
      </c>
      <c r="L4" s="10" t="str">
        <f t="shared" ref="L4:L13" si="0">IF(T4&lt;=18,"WHAT!!!",IF(T4&gt;100,"EERM","Okay"))</f>
        <v>Okay</v>
      </c>
      <c r="M4" s="10" t="b">
        <f t="shared" ref="M4:M28" si="1">$J4&gt;=$H4</f>
        <v>1</v>
      </c>
      <c r="N4" s="10" t="b">
        <f>$H4&lt;=Model!$C$6</f>
        <v>1</v>
      </c>
      <c r="O4" s="10" t="b">
        <f>$H4&gt;=Model!$C$5</f>
        <v>1</v>
      </c>
      <c r="P4" s="10" t="b">
        <f>$H4&gt;=$G4</f>
        <v>1</v>
      </c>
      <c r="Q4" s="10" t="b">
        <f>$G4&gt;$F4</f>
        <v>1</v>
      </c>
      <c r="R4" s="11">
        <f>YEARFRAC(F4,G4,3)</f>
        <v>24.484931506849314</v>
      </c>
      <c r="S4" s="13">
        <f>IFERROR(YEARFRAC($F4,$I4,3),0)</f>
        <v>0</v>
      </c>
      <c r="T4" s="11">
        <f>ROUNDDOWN(YEARFRAC($F4,Model!$C$6,3),0)</f>
        <v>29</v>
      </c>
      <c r="U4" s="11">
        <f>ROUNDDOWN(YEARFRAC($H4,Model!$C$6,3),0)</f>
        <v>4</v>
      </c>
    </row>
    <row r="5" spans="2:21" ht="13.9">
      <c r="B5" s="3">
        <v>3012</v>
      </c>
      <c r="C5" s="3" t="s">
        <v>33</v>
      </c>
      <c r="D5" s="3" t="s">
        <v>34</v>
      </c>
      <c r="E5" s="5" t="s">
        <v>31</v>
      </c>
      <c r="F5" s="4">
        <v>30824</v>
      </c>
      <c r="G5" s="4">
        <v>40009</v>
      </c>
      <c r="H5" s="4">
        <v>40026</v>
      </c>
      <c r="I5" s="4" t="s">
        <v>32</v>
      </c>
      <c r="J5" s="9">
        <v>2070000</v>
      </c>
      <c r="K5" s="10">
        <f>IF( COUNTIF($B$4:$B5,B5)=1,0,1)</f>
        <v>0</v>
      </c>
      <c r="L5" s="10" t="str">
        <f t="shared" si="0"/>
        <v>Okay</v>
      </c>
      <c r="M5" s="10" t="b">
        <f t="shared" si="1"/>
        <v>1</v>
      </c>
      <c r="N5" s="10" t="b">
        <f>$H5&lt;=Model!$C$6</f>
        <v>1</v>
      </c>
      <c r="O5" s="10" t="b">
        <f>$H5&gt;=Model!$C$5</f>
        <v>1</v>
      </c>
      <c r="P5" s="10" t="b">
        <f t="shared" ref="P5:P28" si="2">$H5&gt;=$G5</f>
        <v>1</v>
      </c>
      <c r="Q5" s="10" t="b">
        <f t="shared" ref="Q5:Q28" si="3">$G5&gt;$F5</f>
        <v>1</v>
      </c>
      <c r="R5" s="11">
        <f t="shared" ref="R5:R28" si="4">YEARFRAC(F5,G5,3)</f>
        <v>25.164383561643834</v>
      </c>
      <c r="S5" s="13">
        <f t="shared" ref="S5:S28" si="5">IFERROR(YEARFRAC($F5,$I5,3),0)</f>
        <v>0</v>
      </c>
      <c r="T5" s="11">
        <f>ROUNDDOWN(YEARFRAC($F5,Model!$C$6,3),0)</f>
        <v>31</v>
      </c>
      <c r="U5" s="11">
        <f>ROUNDDOWN(YEARFRAC($H5,Model!$C$6,3),0)</f>
        <v>6</v>
      </c>
    </row>
    <row r="6" spans="2:21" ht="13.9">
      <c r="B6" s="3">
        <v>3013</v>
      </c>
      <c r="C6" s="3" t="s">
        <v>35</v>
      </c>
      <c r="D6" s="3" t="s">
        <v>30</v>
      </c>
      <c r="E6" s="5" t="s">
        <v>31</v>
      </c>
      <c r="F6" s="4">
        <v>32084</v>
      </c>
      <c r="G6" s="4">
        <v>40918</v>
      </c>
      <c r="H6" s="4">
        <v>40940</v>
      </c>
      <c r="I6" s="4" t="s">
        <v>32</v>
      </c>
      <c r="J6" s="9">
        <v>2280000</v>
      </c>
      <c r="K6" s="10">
        <f>IF( COUNTIF($B$4:$B6,B6)=1,0,1)</f>
        <v>0</v>
      </c>
      <c r="L6" s="10" t="str">
        <f t="shared" si="0"/>
        <v>Okay</v>
      </c>
      <c r="M6" s="10" t="b">
        <f t="shared" si="1"/>
        <v>1</v>
      </c>
      <c r="N6" s="10" t="b">
        <f>$H6&lt;=Model!$C$6</f>
        <v>1</v>
      </c>
      <c r="O6" s="10" t="b">
        <f>$H6&gt;=Model!$C$5</f>
        <v>1</v>
      </c>
      <c r="P6" s="10" t="b">
        <f t="shared" si="2"/>
        <v>1</v>
      </c>
      <c r="Q6" s="10" t="b">
        <f t="shared" si="3"/>
        <v>1</v>
      </c>
      <c r="R6" s="11">
        <f t="shared" si="4"/>
        <v>24.202739726027396</v>
      </c>
      <c r="S6" s="13">
        <f t="shared" si="5"/>
        <v>0</v>
      </c>
      <c r="T6" s="11">
        <f>ROUNDDOWN(YEARFRAC($F6,Model!$C$6,3),0)</f>
        <v>28</v>
      </c>
      <c r="U6" s="11">
        <f>ROUNDDOWN(YEARFRAC($H6,Model!$C$6,3),0)</f>
        <v>3</v>
      </c>
    </row>
    <row r="7" spans="2:21" ht="13.9">
      <c r="B7" s="3">
        <v>3014</v>
      </c>
      <c r="C7" s="3" t="s">
        <v>36</v>
      </c>
      <c r="D7" s="3" t="s">
        <v>34</v>
      </c>
      <c r="E7" s="5" t="s">
        <v>31</v>
      </c>
      <c r="F7" s="4">
        <v>31124</v>
      </c>
      <c r="G7" s="4">
        <v>40330</v>
      </c>
      <c r="H7" s="4">
        <v>40360</v>
      </c>
      <c r="I7" s="4" t="s">
        <v>32</v>
      </c>
      <c r="J7" s="9">
        <v>2136000</v>
      </c>
      <c r="K7" s="10">
        <f>IF( COUNTIF($B$4:$B7,B7)=1,0,1)</f>
        <v>0</v>
      </c>
      <c r="L7" s="10" t="str">
        <f t="shared" si="0"/>
        <v>Okay</v>
      </c>
      <c r="M7" s="10" t="b">
        <f t="shared" si="1"/>
        <v>1</v>
      </c>
      <c r="N7" s="10" t="b">
        <f>$H7&lt;=Model!$C$6</f>
        <v>1</v>
      </c>
      <c r="O7" s="10" t="b">
        <f>$H7&gt;=Model!$C$5</f>
        <v>1</v>
      </c>
      <c r="P7" s="10" t="b">
        <f t="shared" si="2"/>
        <v>1</v>
      </c>
      <c r="Q7" s="10" t="b">
        <f t="shared" si="3"/>
        <v>1</v>
      </c>
      <c r="R7" s="11">
        <f t="shared" si="4"/>
        <v>25.221917808219178</v>
      </c>
      <c r="S7" s="13">
        <f t="shared" si="5"/>
        <v>0</v>
      </c>
      <c r="T7" s="11">
        <f>ROUNDDOWN(YEARFRAC($F7,Model!$C$6,3),0)</f>
        <v>30</v>
      </c>
      <c r="U7" s="11">
        <f>ROUNDDOWN(YEARFRAC($H7,Model!$C$6,3),0)</f>
        <v>5</v>
      </c>
    </row>
    <row r="8" spans="2:21" ht="13.9">
      <c r="B8" s="3">
        <v>3015</v>
      </c>
      <c r="C8" s="3" t="s">
        <v>37</v>
      </c>
      <c r="D8" s="3" t="s">
        <v>30</v>
      </c>
      <c r="E8" s="5" t="s">
        <v>31</v>
      </c>
      <c r="F8" s="4">
        <v>32413</v>
      </c>
      <c r="G8" s="4">
        <v>41384</v>
      </c>
      <c r="H8" s="4">
        <v>41395</v>
      </c>
      <c r="I8" s="4" t="s">
        <v>32</v>
      </c>
      <c r="J8" s="9">
        <v>1980000</v>
      </c>
      <c r="K8" s="10">
        <f>IF( COUNTIF($B$4:$B8,B8)=1,0,1)</f>
        <v>0</v>
      </c>
      <c r="L8" s="10" t="str">
        <f t="shared" si="0"/>
        <v>Okay</v>
      </c>
      <c r="M8" s="10" t="b">
        <f t="shared" si="1"/>
        <v>1</v>
      </c>
      <c r="N8" s="10" t="b">
        <f>$H8&lt;=Model!$C$6</f>
        <v>1</v>
      </c>
      <c r="O8" s="10" t="b">
        <f>$H8&gt;=Model!$C$5</f>
        <v>1</v>
      </c>
      <c r="P8" s="10" t="b">
        <f t="shared" si="2"/>
        <v>1</v>
      </c>
      <c r="Q8" s="10" t="b">
        <f t="shared" si="3"/>
        <v>1</v>
      </c>
      <c r="R8" s="11">
        <f t="shared" si="4"/>
        <v>24.578082191780823</v>
      </c>
      <c r="S8" s="13">
        <f t="shared" si="5"/>
        <v>0</v>
      </c>
      <c r="T8" s="11">
        <f>ROUNDDOWN(YEARFRAC($F8,Model!$C$6,3),0)</f>
        <v>27</v>
      </c>
      <c r="U8" s="11">
        <f>ROUNDDOWN(YEARFRAC($H8,Model!$C$6,3),0)</f>
        <v>2</v>
      </c>
    </row>
    <row r="9" spans="2:21" ht="13.9">
      <c r="B9" s="3">
        <v>3016</v>
      </c>
      <c r="C9" s="3" t="s">
        <v>38</v>
      </c>
      <c r="D9" s="3" t="s">
        <v>34</v>
      </c>
      <c r="E9" s="5" t="s">
        <v>31</v>
      </c>
      <c r="F9" s="4">
        <v>30661</v>
      </c>
      <c r="G9" s="4">
        <v>39661</v>
      </c>
      <c r="H9" s="4">
        <v>39692</v>
      </c>
      <c r="I9" s="4" t="s">
        <v>32</v>
      </c>
      <c r="J9" s="9">
        <v>2340000</v>
      </c>
      <c r="K9" s="10">
        <f>IF( COUNTIF($B$4:$B9,B9)=1,0,1)</f>
        <v>0</v>
      </c>
      <c r="L9" s="10" t="str">
        <f t="shared" si="0"/>
        <v>Okay</v>
      </c>
      <c r="M9" s="10" t="b">
        <f t="shared" si="1"/>
        <v>1</v>
      </c>
      <c r="N9" s="10" t="b">
        <f>$H9&lt;=Model!$C$6</f>
        <v>1</v>
      </c>
      <c r="O9" s="10" t="b">
        <f>$H9&gt;=Model!$C$5</f>
        <v>1</v>
      </c>
      <c r="P9" s="10" t="b">
        <f t="shared" si="2"/>
        <v>1</v>
      </c>
      <c r="Q9" s="10" t="b">
        <f t="shared" si="3"/>
        <v>1</v>
      </c>
      <c r="R9" s="11">
        <f t="shared" si="4"/>
        <v>24.657534246575342</v>
      </c>
      <c r="S9" s="13">
        <f t="shared" si="5"/>
        <v>0</v>
      </c>
      <c r="T9" s="11">
        <f>ROUNDDOWN(YEARFRAC($F9,Model!$C$6,3),0)</f>
        <v>32</v>
      </c>
      <c r="U9" s="11">
        <f>ROUNDDOWN(YEARFRAC($H9,Model!$C$6,3),0)</f>
        <v>7</v>
      </c>
    </row>
    <row r="10" spans="2:21" ht="13.9">
      <c r="B10" s="3">
        <v>3017</v>
      </c>
      <c r="C10" s="3" t="s">
        <v>39</v>
      </c>
      <c r="D10" s="3" t="s">
        <v>30</v>
      </c>
      <c r="E10" s="5" t="s">
        <v>31</v>
      </c>
      <c r="F10" s="4">
        <v>31593</v>
      </c>
      <c r="G10" s="4">
        <v>40617</v>
      </c>
      <c r="H10" s="4">
        <v>40634</v>
      </c>
      <c r="I10" s="4" t="s">
        <v>32</v>
      </c>
      <c r="J10" s="9">
        <v>2184000</v>
      </c>
      <c r="K10" s="10">
        <f>IF( COUNTIF($B$4:$B10,B10)=1,0,1)</f>
        <v>0</v>
      </c>
      <c r="L10" s="10" t="str">
        <f t="shared" si="0"/>
        <v>Okay</v>
      </c>
      <c r="M10" s="10" t="b">
        <f t="shared" si="1"/>
        <v>1</v>
      </c>
      <c r="N10" s="10" t="b">
        <f>$H10&lt;=Model!$C$6</f>
        <v>1</v>
      </c>
      <c r="O10" s="10" t="b">
        <f>$H10&gt;=Model!$C$5</f>
        <v>1</v>
      </c>
      <c r="P10" s="10" t="b">
        <f t="shared" si="2"/>
        <v>1</v>
      </c>
      <c r="Q10" s="10" t="b">
        <f t="shared" si="3"/>
        <v>1</v>
      </c>
      <c r="R10" s="11">
        <f t="shared" si="4"/>
        <v>24.723287671232878</v>
      </c>
      <c r="S10" s="13">
        <f t="shared" si="5"/>
        <v>0</v>
      </c>
      <c r="T10" s="11">
        <f>ROUNDDOWN(YEARFRAC($F10,Model!$C$6,3),0)</f>
        <v>29</v>
      </c>
      <c r="U10" s="11">
        <f>ROUNDDOWN(YEARFRAC($H10,Model!$C$6,3),0)</f>
        <v>4</v>
      </c>
    </row>
    <row r="11" spans="2:21" ht="13.9">
      <c r="B11" s="3">
        <v>3018</v>
      </c>
      <c r="C11" s="3" t="s">
        <v>40</v>
      </c>
      <c r="D11" s="3" t="s">
        <v>34</v>
      </c>
      <c r="E11" s="5" t="s">
        <v>31</v>
      </c>
      <c r="F11" s="4">
        <v>30229</v>
      </c>
      <c r="G11" s="4">
        <v>39083</v>
      </c>
      <c r="H11" s="4">
        <v>39114</v>
      </c>
      <c r="I11" s="4" t="s">
        <v>32</v>
      </c>
      <c r="J11" s="9">
        <v>2400000</v>
      </c>
      <c r="K11" s="10">
        <f>IF( COUNTIF($B$4:$B11,B11)=1,0,1)</f>
        <v>0</v>
      </c>
      <c r="L11" s="10" t="str">
        <f t="shared" si="0"/>
        <v>Okay</v>
      </c>
      <c r="M11" s="10" t="b">
        <f t="shared" si="1"/>
        <v>1</v>
      </c>
      <c r="N11" s="10" t="b">
        <f>$H11&lt;=Model!$C$6</f>
        <v>1</v>
      </c>
      <c r="O11" s="10" t="b">
        <f>$H11&gt;=Model!$C$5</f>
        <v>1</v>
      </c>
      <c r="P11" s="10" t="b">
        <f t="shared" si="2"/>
        <v>1</v>
      </c>
      <c r="Q11" s="10" t="b">
        <f t="shared" si="3"/>
        <v>1</v>
      </c>
      <c r="R11" s="11">
        <f t="shared" si="4"/>
        <v>24.257534246575343</v>
      </c>
      <c r="S11" s="13">
        <f t="shared" si="5"/>
        <v>0</v>
      </c>
      <c r="T11" s="11">
        <f>ROUNDDOWN(YEARFRAC($F11,Model!$C$6,3),0)</f>
        <v>33</v>
      </c>
      <c r="U11" s="11">
        <f>ROUNDDOWN(YEARFRAC($H11,Model!$C$6,3),0)</f>
        <v>8</v>
      </c>
    </row>
    <row r="12" spans="2:21" ht="13.9">
      <c r="B12" s="3">
        <v>3019</v>
      </c>
      <c r="C12" s="3" t="s">
        <v>41</v>
      </c>
      <c r="D12" s="3" t="s">
        <v>30</v>
      </c>
      <c r="E12" s="5" t="s">
        <v>31</v>
      </c>
      <c r="F12" s="4">
        <v>31245</v>
      </c>
      <c r="G12" s="4">
        <v>40452</v>
      </c>
      <c r="H12" s="4">
        <v>40483</v>
      </c>
      <c r="I12" s="4" t="s">
        <v>32</v>
      </c>
      <c r="J12" s="9">
        <v>2100000</v>
      </c>
      <c r="K12" s="10">
        <f>IF( COUNTIF($B$4:$B12,B12)=1,0,1)</f>
        <v>0</v>
      </c>
      <c r="L12" s="10" t="str">
        <f t="shared" si="0"/>
        <v>Okay</v>
      </c>
      <c r="M12" s="10" t="b">
        <f t="shared" si="1"/>
        <v>1</v>
      </c>
      <c r="N12" s="10" t="b">
        <f>$H12&lt;=Model!$C$6</f>
        <v>1</v>
      </c>
      <c r="O12" s="10" t="b">
        <f>$H12&gt;=Model!$C$5</f>
        <v>1</v>
      </c>
      <c r="P12" s="10" t="b">
        <f t="shared" si="2"/>
        <v>1</v>
      </c>
      <c r="Q12" s="10" t="b">
        <f t="shared" si="3"/>
        <v>1</v>
      </c>
      <c r="R12" s="11">
        <f t="shared" si="4"/>
        <v>25.224657534246575</v>
      </c>
      <c r="S12" s="13">
        <f t="shared" si="5"/>
        <v>0</v>
      </c>
      <c r="T12" s="11">
        <f>ROUNDDOWN(YEARFRAC($F12,Model!$C$6,3),0)</f>
        <v>30</v>
      </c>
      <c r="U12" s="11">
        <f>ROUNDDOWN(YEARFRAC($H12,Model!$C$6,3),0)</f>
        <v>5</v>
      </c>
    </row>
    <row r="13" spans="2:21" ht="13.9">
      <c r="B13" s="3">
        <v>3020</v>
      </c>
      <c r="C13" s="3" t="s">
        <v>42</v>
      </c>
      <c r="D13" s="3" t="s">
        <v>34</v>
      </c>
      <c r="E13" s="5" t="s">
        <v>31</v>
      </c>
      <c r="F13" s="4">
        <v>31457</v>
      </c>
      <c r="G13" s="4">
        <v>40725</v>
      </c>
      <c r="H13" s="4">
        <v>40756</v>
      </c>
      <c r="I13" s="4" t="s">
        <v>32</v>
      </c>
      <c r="J13" s="9">
        <v>2160000</v>
      </c>
      <c r="K13" s="10">
        <f>IF( COUNTIF($B$4:$B13,B13)=1,0,1)</f>
        <v>0</v>
      </c>
      <c r="L13" s="10" t="str">
        <f t="shared" si="0"/>
        <v>Okay</v>
      </c>
      <c r="M13" s="10" t="b">
        <f t="shared" si="1"/>
        <v>1</v>
      </c>
      <c r="N13" s="10" t="b">
        <f>$H13&lt;=Model!$C$6</f>
        <v>1</v>
      </c>
      <c r="O13" s="10" t="b">
        <f>$H13&gt;=Model!$C$5</f>
        <v>1</v>
      </c>
      <c r="P13" s="10" t="b">
        <f t="shared" si="2"/>
        <v>1</v>
      </c>
      <c r="Q13" s="10" t="b">
        <f t="shared" si="3"/>
        <v>1</v>
      </c>
      <c r="R13" s="11">
        <f t="shared" si="4"/>
        <v>25.391780821917809</v>
      </c>
      <c r="S13" s="13">
        <f t="shared" si="5"/>
        <v>0</v>
      </c>
      <c r="T13" s="11">
        <f>ROUNDDOWN(YEARFRAC($F13,Model!$C$6,3),0)</f>
        <v>29</v>
      </c>
      <c r="U13" s="11">
        <f>ROUNDDOWN(YEARFRAC($H13,Model!$C$6,3),0)</f>
        <v>4</v>
      </c>
    </row>
    <row r="14" spans="2:21">
      <c r="I14" s="5"/>
    </row>
    <row r="15" spans="2:21">
      <c r="I15" s="5"/>
    </row>
    <row r="16" spans="2:21">
      <c r="I16" s="5"/>
    </row>
    <row r="17" spans="2:21" ht="27.75" customHeight="1">
      <c r="B17" s="62" t="s">
        <v>43</v>
      </c>
      <c r="C17" s="62"/>
      <c r="D17" s="62"/>
      <c r="E17" s="62"/>
      <c r="F17" s="62"/>
      <c r="G17" s="62"/>
      <c r="H17" s="62"/>
      <c r="I17" s="62"/>
      <c r="J17" s="62"/>
      <c r="K17" s="61" t="s">
        <v>8</v>
      </c>
      <c r="L17" s="61"/>
      <c r="M17" s="61"/>
      <c r="N17" s="61"/>
      <c r="O17" s="61"/>
      <c r="P17" s="61"/>
      <c r="Q17" s="61"/>
      <c r="R17" s="61"/>
      <c r="S17" s="61"/>
      <c r="T17" s="61"/>
    </row>
    <row r="18" spans="2:21" ht="40.35" customHeight="1">
      <c r="B18" s="2" t="s">
        <v>9</v>
      </c>
      <c r="C18" s="2" t="s">
        <v>10</v>
      </c>
      <c r="D18" s="2" t="s">
        <v>11</v>
      </c>
      <c r="E18" s="2" t="s">
        <v>12</v>
      </c>
      <c r="F18" s="2" t="s">
        <v>13</v>
      </c>
      <c r="G18" s="2" t="s">
        <v>14</v>
      </c>
      <c r="H18" s="2" t="s">
        <v>15</v>
      </c>
      <c r="I18" s="2" t="s">
        <v>16</v>
      </c>
      <c r="J18" s="2" t="s">
        <v>44</v>
      </c>
      <c r="K18" s="12" t="s">
        <v>18</v>
      </c>
      <c r="L18" s="12" t="s">
        <v>19</v>
      </c>
      <c r="M18" s="12" t="s">
        <v>20</v>
      </c>
      <c r="N18" s="12" t="s">
        <v>21</v>
      </c>
      <c r="O18" s="12" t="s">
        <v>22</v>
      </c>
      <c r="P18" s="12" t="s">
        <v>23</v>
      </c>
      <c r="Q18" s="12" t="s">
        <v>24</v>
      </c>
      <c r="R18" s="12" t="s">
        <v>25</v>
      </c>
      <c r="S18" s="12" t="s">
        <v>26</v>
      </c>
      <c r="T18" s="12" t="s">
        <v>27</v>
      </c>
      <c r="U18" s="12" t="s">
        <v>28</v>
      </c>
    </row>
    <row r="19" spans="2:21" ht="13.9">
      <c r="B19" s="3">
        <v>51001</v>
      </c>
      <c r="C19" s="5" t="s">
        <v>45</v>
      </c>
      <c r="D19" s="3" t="s">
        <v>30</v>
      </c>
      <c r="E19" s="3" t="s">
        <v>46</v>
      </c>
      <c r="F19" s="4">
        <v>16508</v>
      </c>
      <c r="G19" s="4">
        <v>25720</v>
      </c>
      <c r="H19" s="4">
        <v>25750</v>
      </c>
      <c r="I19" s="4">
        <v>38442</v>
      </c>
      <c r="J19" s="9">
        <v>510000</v>
      </c>
      <c r="K19" s="10">
        <f>IF( COUNTIF($B$4:$B19,B19)=1,0,1)</f>
        <v>0</v>
      </c>
      <c r="L19" s="10" t="str">
        <f t="shared" ref="L19:L28" si="6">IF(T19&lt;=18,"WHAT!!!",IF(T19&gt;100,"EERM","Okay"))</f>
        <v>Okay</v>
      </c>
      <c r="M19" s="10" t="b">
        <f t="shared" si="1"/>
        <v>1</v>
      </c>
      <c r="N19" s="10" t="b">
        <f>$H19&lt;=Model!$C$6</f>
        <v>1</v>
      </c>
      <c r="O19" s="10" t="b">
        <f>$H19&gt;=Model!$C$5</f>
        <v>1</v>
      </c>
      <c r="P19" s="10" t="b">
        <f t="shared" si="2"/>
        <v>1</v>
      </c>
      <c r="Q19" s="10" t="b">
        <f t="shared" si="3"/>
        <v>1</v>
      </c>
      <c r="R19" s="11">
        <f t="shared" si="4"/>
        <v>25.238356164383561</v>
      </c>
      <c r="S19" s="13">
        <f t="shared" si="5"/>
        <v>60.093150684931508</v>
      </c>
      <c r="T19" s="11">
        <f>ROUNDDOWN(YEARFRAC($F19,Model!$C$6,3),0)</f>
        <v>70</v>
      </c>
      <c r="U19" s="11">
        <f>ROUNDDOWN(YEARFRAC($H19,I19,3),0)</f>
        <v>34</v>
      </c>
    </row>
    <row r="20" spans="2:21" ht="13.9">
      <c r="B20" s="3">
        <v>51002</v>
      </c>
      <c r="C20" s="5" t="s">
        <v>47</v>
      </c>
      <c r="D20" s="3" t="s">
        <v>34</v>
      </c>
      <c r="E20" s="3" t="s">
        <v>46</v>
      </c>
      <c r="F20" s="4">
        <v>16991</v>
      </c>
      <c r="G20" s="4">
        <v>25948</v>
      </c>
      <c r="H20" s="4">
        <v>25965</v>
      </c>
      <c r="I20" s="4">
        <v>38929</v>
      </c>
      <c r="J20" s="9">
        <v>543600</v>
      </c>
      <c r="K20" s="10">
        <f>IF( COUNTIF($B$4:$B20,B20)=1,0,1)</f>
        <v>0</v>
      </c>
      <c r="L20" s="10" t="str">
        <f t="shared" si="6"/>
        <v>Okay</v>
      </c>
      <c r="M20" s="10" t="b">
        <f t="shared" si="1"/>
        <v>1</v>
      </c>
      <c r="N20" s="10" t="b">
        <f>$H20&lt;=Model!$C$6</f>
        <v>1</v>
      </c>
      <c r="O20" s="10" t="b">
        <f>$H20&gt;=Model!$C$5</f>
        <v>1</v>
      </c>
      <c r="P20" s="10" t="b">
        <f t="shared" si="2"/>
        <v>1</v>
      </c>
      <c r="Q20" s="10" t="b">
        <f t="shared" si="3"/>
        <v>1</v>
      </c>
      <c r="R20" s="11">
        <f t="shared" si="4"/>
        <v>24.539726027397261</v>
      </c>
      <c r="S20" s="13">
        <f t="shared" si="5"/>
        <v>60.104109589041094</v>
      </c>
      <c r="T20" s="11">
        <f>ROUNDDOWN(YEARFRAC($F20,Model!$C$6,3),0)</f>
        <v>69</v>
      </c>
      <c r="U20" s="11">
        <f t="shared" ref="U20:U28" si="7">ROUNDDOWN(YEARFRAC($H20,I20,3),0)</f>
        <v>35</v>
      </c>
    </row>
    <row r="21" spans="2:21" ht="13.9">
      <c r="B21" s="3">
        <v>51003</v>
      </c>
      <c r="C21" s="5" t="s">
        <v>48</v>
      </c>
      <c r="D21" s="3" t="s">
        <v>30</v>
      </c>
      <c r="E21" s="3" t="s">
        <v>46</v>
      </c>
      <c r="F21" s="4">
        <v>16398</v>
      </c>
      <c r="G21" s="4">
        <v>25282</v>
      </c>
      <c r="H21" s="4">
        <v>25294</v>
      </c>
      <c r="I21" s="4">
        <v>38321</v>
      </c>
      <c r="J21" s="9">
        <v>573600</v>
      </c>
      <c r="K21" s="10">
        <f>IF( COUNTIF($B$4:$B21,B21)=1,0,1)</f>
        <v>0</v>
      </c>
      <c r="L21" s="10" t="str">
        <f t="shared" si="6"/>
        <v>Okay</v>
      </c>
      <c r="M21" s="10" t="b">
        <f t="shared" si="1"/>
        <v>1</v>
      </c>
      <c r="N21" s="10" t="b">
        <f>$H21&lt;=Model!$C$6</f>
        <v>1</v>
      </c>
      <c r="O21" s="10" t="b">
        <f>$H21&gt;=Model!$C$5</f>
        <v>1</v>
      </c>
      <c r="P21" s="10" t="b">
        <f t="shared" si="2"/>
        <v>1</v>
      </c>
      <c r="Q21" s="10" t="b">
        <f t="shared" si="3"/>
        <v>1</v>
      </c>
      <c r="R21" s="11">
        <f t="shared" si="4"/>
        <v>24.339726027397262</v>
      </c>
      <c r="S21" s="13">
        <f t="shared" si="5"/>
        <v>60.063013698630137</v>
      </c>
      <c r="T21" s="11">
        <f>ROUNDDOWN(YEARFRAC($F21,Model!$C$6,3),0)</f>
        <v>71</v>
      </c>
      <c r="U21" s="11">
        <f t="shared" si="7"/>
        <v>35</v>
      </c>
    </row>
    <row r="22" spans="2:21" ht="13.9">
      <c r="B22" s="3">
        <v>51004</v>
      </c>
      <c r="C22" s="5" t="s">
        <v>49</v>
      </c>
      <c r="D22" s="3" t="s">
        <v>34</v>
      </c>
      <c r="E22" s="3" t="s">
        <v>46</v>
      </c>
      <c r="F22" s="4">
        <v>16593</v>
      </c>
      <c r="G22" s="4">
        <v>25781</v>
      </c>
      <c r="H22" s="4">
        <v>25812</v>
      </c>
      <c r="I22" s="4">
        <v>38533</v>
      </c>
      <c r="J22" s="9">
        <v>523200</v>
      </c>
      <c r="K22" s="10">
        <f>IF( COUNTIF($B$4:$B22,B22)=1,0,1)</f>
        <v>0</v>
      </c>
      <c r="L22" s="10" t="str">
        <f t="shared" si="6"/>
        <v>Okay</v>
      </c>
      <c r="M22" s="10" t="b">
        <f t="shared" si="1"/>
        <v>1</v>
      </c>
      <c r="N22" s="10" t="b">
        <f>$H22&lt;=Model!$C$6</f>
        <v>1</v>
      </c>
      <c r="O22" s="10" t="b">
        <f>$H22&gt;=Model!$C$5</f>
        <v>1</v>
      </c>
      <c r="P22" s="10" t="b">
        <f t="shared" si="2"/>
        <v>1</v>
      </c>
      <c r="Q22" s="10" t="b">
        <f t="shared" si="3"/>
        <v>1</v>
      </c>
      <c r="R22" s="11">
        <f t="shared" si="4"/>
        <v>25.172602739726027</v>
      </c>
      <c r="S22" s="13">
        <f t="shared" si="5"/>
        <v>60.109589041095887</v>
      </c>
      <c r="T22" s="11">
        <f>ROUNDDOWN(YEARFRAC($F22,Model!$C$6,3),0)</f>
        <v>70</v>
      </c>
      <c r="U22" s="11">
        <f t="shared" si="7"/>
        <v>34</v>
      </c>
    </row>
    <row r="23" spans="2:21" ht="13.9">
      <c r="B23" s="3">
        <v>51005</v>
      </c>
      <c r="C23" s="5" t="s">
        <v>50</v>
      </c>
      <c r="D23" s="3" t="s">
        <v>30</v>
      </c>
      <c r="E23" s="3" t="s">
        <v>46</v>
      </c>
      <c r="F23" s="4">
        <v>17139</v>
      </c>
      <c r="G23" s="4">
        <v>26063</v>
      </c>
      <c r="H23" s="4">
        <v>26085</v>
      </c>
      <c r="I23" s="4">
        <v>39082</v>
      </c>
      <c r="J23" s="9">
        <v>502800</v>
      </c>
      <c r="K23" s="10">
        <f>IF( COUNTIF($B$4:$B23,B23)=1,0,1)</f>
        <v>0</v>
      </c>
      <c r="L23" s="10" t="str">
        <f t="shared" si="6"/>
        <v>Okay</v>
      </c>
      <c r="M23" s="10" t="b">
        <f t="shared" si="1"/>
        <v>1</v>
      </c>
      <c r="N23" s="10" t="b">
        <f>$H23&lt;=Model!$C$6</f>
        <v>1</v>
      </c>
      <c r="O23" s="10" t="b">
        <f>$H23&gt;=Model!$C$5</f>
        <v>1</v>
      </c>
      <c r="P23" s="10" t="b">
        <f t="shared" si="2"/>
        <v>1</v>
      </c>
      <c r="Q23" s="10" t="b">
        <f t="shared" si="3"/>
        <v>1</v>
      </c>
      <c r="R23" s="11">
        <f t="shared" si="4"/>
        <v>24.449315068493149</v>
      </c>
      <c r="S23" s="13">
        <f t="shared" si="5"/>
        <v>60.11780821917808</v>
      </c>
      <c r="T23" s="11">
        <f>ROUNDDOWN(YEARFRAC($F23,Model!$C$6,3),0)</f>
        <v>69</v>
      </c>
      <c r="U23" s="11">
        <f t="shared" si="7"/>
        <v>35</v>
      </c>
    </row>
    <row r="24" spans="2:21" ht="13.9">
      <c r="B24" s="3">
        <v>51006</v>
      </c>
      <c r="C24" s="5" t="s">
        <v>51</v>
      </c>
      <c r="D24" s="3" t="s">
        <v>34</v>
      </c>
      <c r="E24" s="3" t="s">
        <v>46</v>
      </c>
      <c r="F24" s="4">
        <v>15823</v>
      </c>
      <c r="G24" s="4">
        <v>24838</v>
      </c>
      <c r="H24" s="4">
        <v>24869</v>
      </c>
      <c r="I24" s="4">
        <v>37741</v>
      </c>
      <c r="J24" s="9">
        <v>590400</v>
      </c>
      <c r="K24" s="10">
        <f>IF( COUNTIF($B$4:$B24,B24)=1,0,1)</f>
        <v>0</v>
      </c>
      <c r="L24" s="10" t="str">
        <f t="shared" si="6"/>
        <v>Okay</v>
      </c>
      <c r="M24" s="10" t="b">
        <f t="shared" si="1"/>
        <v>1</v>
      </c>
      <c r="N24" s="10" t="b">
        <f>$H24&lt;=Model!$C$6</f>
        <v>1</v>
      </c>
      <c r="O24" s="10" t="b">
        <f>$H24&gt;=Model!$C$5</f>
        <v>1</v>
      </c>
      <c r="P24" s="10" t="b">
        <f t="shared" si="2"/>
        <v>1</v>
      </c>
      <c r="Q24" s="10" t="b">
        <f t="shared" si="3"/>
        <v>1</v>
      </c>
      <c r="R24" s="11">
        <f t="shared" si="4"/>
        <v>24.698630136986303</v>
      </c>
      <c r="S24" s="13">
        <f t="shared" si="5"/>
        <v>60.049315068493151</v>
      </c>
      <c r="T24" s="11">
        <f>ROUNDDOWN(YEARFRAC($F24,Model!$C$6,3),0)</f>
        <v>72</v>
      </c>
      <c r="U24" s="11">
        <f t="shared" si="7"/>
        <v>35</v>
      </c>
    </row>
    <row r="25" spans="2:21" ht="13.9">
      <c r="B25" s="3">
        <v>51007</v>
      </c>
      <c r="C25" s="5" t="s">
        <v>52</v>
      </c>
      <c r="D25" s="3" t="s">
        <v>30</v>
      </c>
      <c r="E25" s="3" t="s">
        <v>46</v>
      </c>
      <c r="F25" s="4">
        <v>16699</v>
      </c>
      <c r="G25" s="4">
        <v>25903</v>
      </c>
      <c r="H25" s="4">
        <v>25934</v>
      </c>
      <c r="I25" s="4">
        <v>38625</v>
      </c>
      <c r="J25" s="9">
        <v>536400</v>
      </c>
      <c r="K25" s="10">
        <f>IF( COUNTIF($B$4:$B25,B25)=1,0,1)</f>
        <v>0</v>
      </c>
      <c r="L25" s="10" t="str">
        <f t="shared" si="6"/>
        <v>Okay</v>
      </c>
      <c r="M25" s="10" t="b">
        <f t="shared" si="1"/>
        <v>1</v>
      </c>
      <c r="N25" s="10" t="b">
        <f>$H25&lt;=Model!$C$6</f>
        <v>1</v>
      </c>
      <c r="O25" s="10" t="b">
        <f>$H25&gt;=Model!$C$5</f>
        <v>1</v>
      </c>
      <c r="P25" s="10" t="b">
        <f t="shared" si="2"/>
        <v>1</v>
      </c>
      <c r="Q25" s="10" t="b">
        <f t="shared" si="3"/>
        <v>1</v>
      </c>
      <c r="R25" s="11">
        <f t="shared" si="4"/>
        <v>25.216438356164385</v>
      </c>
      <c r="S25" s="13">
        <f t="shared" si="5"/>
        <v>60.07123287671233</v>
      </c>
      <c r="T25" s="11">
        <f>ROUNDDOWN(YEARFRAC($F25,Model!$C$6,3),0)</f>
        <v>70</v>
      </c>
      <c r="U25" s="11">
        <f t="shared" si="7"/>
        <v>34</v>
      </c>
    </row>
    <row r="26" spans="2:21" ht="13.9">
      <c r="B26" s="3">
        <v>51008</v>
      </c>
      <c r="C26" s="5" t="s">
        <v>53</v>
      </c>
      <c r="D26" s="3" t="s">
        <v>34</v>
      </c>
      <c r="E26" s="3" t="s">
        <v>46</v>
      </c>
      <c r="F26" s="4">
        <v>16927</v>
      </c>
      <c r="G26" s="4">
        <v>26115</v>
      </c>
      <c r="H26" s="4">
        <v>26146</v>
      </c>
      <c r="I26" s="4">
        <v>38868</v>
      </c>
      <c r="J26" s="9">
        <v>552000</v>
      </c>
      <c r="K26" s="10">
        <f>IF( COUNTIF($B$4:$B26,B26)=1,0,1)</f>
        <v>0</v>
      </c>
      <c r="L26" s="10" t="str">
        <f t="shared" si="6"/>
        <v>Okay</v>
      </c>
      <c r="M26" s="10" t="b">
        <f t="shared" si="1"/>
        <v>1</v>
      </c>
      <c r="N26" s="10" t="b">
        <f>$H26&lt;=Model!$C$6</f>
        <v>1</v>
      </c>
      <c r="O26" s="10" t="b">
        <f>$H26&gt;=Model!$C$5</f>
        <v>1</v>
      </c>
      <c r="P26" s="10" t="b">
        <f t="shared" si="2"/>
        <v>1</v>
      </c>
      <c r="Q26" s="10" t="b">
        <f t="shared" si="3"/>
        <v>1</v>
      </c>
      <c r="R26" s="11">
        <f t="shared" si="4"/>
        <v>25.172602739726027</v>
      </c>
      <c r="S26" s="13">
        <f t="shared" si="5"/>
        <v>60.112328767123287</v>
      </c>
      <c r="T26" s="11">
        <f>ROUNDDOWN(YEARFRAC($F26,Model!$C$6,3),0)</f>
        <v>69</v>
      </c>
      <c r="U26" s="11">
        <f t="shared" si="7"/>
        <v>34</v>
      </c>
    </row>
    <row r="27" spans="2:21" ht="13.9">
      <c r="B27" s="3">
        <v>51009</v>
      </c>
      <c r="C27" s="5" t="s">
        <v>54</v>
      </c>
      <c r="D27" s="3" t="s">
        <v>30</v>
      </c>
      <c r="E27" s="3" t="s">
        <v>46</v>
      </c>
      <c r="F27" s="4">
        <v>16294</v>
      </c>
      <c r="G27" s="4">
        <v>25477</v>
      </c>
      <c r="H27" s="4">
        <v>25508</v>
      </c>
      <c r="I27" s="4">
        <v>38230</v>
      </c>
      <c r="J27" s="9">
        <v>579600</v>
      </c>
      <c r="K27" s="10">
        <f>IF( COUNTIF($B$4:$B27,B27)=1,0,1)</f>
        <v>0</v>
      </c>
      <c r="L27" s="10" t="str">
        <f t="shared" si="6"/>
        <v>Okay</v>
      </c>
      <c r="M27" s="10" t="b">
        <f t="shared" si="1"/>
        <v>1</v>
      </c>
      <c r="N27" s="10" t="b">
        <f>$H27&lt;=Model!$C$6</f>
        <v>1</v>
      </c>
      <c r="O27" s="10" t="b">
        <f>$H27&gt;=Model!$C$5</f>
        <v>1</v>
      </c>
      <c r="P27" s="10" t="b">
        <f t="shared" si="2"/>
        <v>1</v>
      </c>
      <c r="Q27" s="10" t="b">
        <f t="shared" si="3"/>
        <v>1</v>
      </c>
      <c r="R27" s="11">
        <f t="shared" si="4"/>
        <v>25.158904109589042</v>
      </c>
      <c r="S27" s="13">
        <f t="shared" si="5"/>
        <v>60.098630136986301</v>
      </c>
      <c r="T27" s="11">
        <f>ROUNDDOWN(YEARFRAC($F27,Model!$C$6,3),0)</f>
        <v>71</v>
      </c>
      <c r="U27" s="11">
        <f t="shared" si="7"/>
        <v>34</v>
      </c>
    </row>
    <row r="28" spans="2:21" ht="13.9">
      <c r="B28" s="3">
        <v>51010</v>
      </c>
      <c r="C28" s="5" t="s">
        <v>55</v>
      </c>
      <c r="D28" s="3" t="s">
        <v>34</v>
      </c>
      <c r="E28" s="3" t="s">
        <v>46</v>
      </c>
      <c r="F28" s="4">
        <v>16451</v>
      </c>
      <c r="G28" s="4">
        <v>25659</v>
      </c>
      <c r="H28" s="4">
        <v>25689</v>
      </c>
      <c r="I28" s="4">
        <v>38383</v>
      </c>
      <c r="J28" s="9">
        <v>550800</v>
      </c>
      <c r="K28" s="10">
        <f>IF( COUNTIF($B$4:$B28,B28)=1,0,1)</f>
        <v>0</v>
      </c>
      <c r="L28" s="10" t="str">
        <f t="shared" si="6"/>
        <v>Okay</v>
      </c>
      <c r="M28" s="10" t="b">
        <f t="shared" si="1"/>
        <v>1</v>
      </c>
      <c r="N28" s="10" t="b">
        <f>$H28&lt;=Model!$C$6</f>
        <v>1</v>
      </c>
      <c r="O28" s="10" t="b">
        <f>$H28&gt;=Model!$C$5</f>
        <v>1</v>
      </c>
      <c r="P28" s="10" t="b">
        <f t="shared" si="2"/>
        <v>1</v>
      </c>
      <c r="Q28" s="10" t="b">
        <f t="shared" si="3"/>
        <v>1</v>
      </c>
      <c r="R28" s="11">
        <f t="shared" si="4"/>
        <v>25.227397260273971</v>
      </c>
      <c r="S28" s="13">
        <f t="shared" si="5"/>
        <v>60.087671232876716</v>
      </c>
      <c r="T28" s="11">
        <f>ROUNDDOWN(YEARFRAC($F28,Model!$C$6,3),0)</f>
        <v>71</v>
      </c>
      <c r="U28" s="11">
        <f t="shared" si="7"/>
        <v>34</v>
      </c>
    </row>
    <row r="29" spans="2:21">
      <c r="I29" s="5"/>
      <c r="J29" s="7"/>
    </row>
    <row r="30" spans="2:21">
      <c r="I30" s="5"/>
    </row>
    <row r="31" spans="2:21">
      <c r="I31" s="5"/>
    </row>
  </sheetData>
  <mergeCells count="4">
    <mergeCell ref="K2:T2"/>
    <mergeCell ref="B2:J2"/>
    <mergeCell ref="B17:J17"/>
    <mergeCell ref="K17:T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3C1EE-5F52-44A0-ACC0-0A98B8B8494F}">
  <sheetPr>
    <tabColor rgb="FF7030A0"/>
  </sheetPr>
  <dimension ref="A3:P111"/>
  <sheetViews>
    <sheetView showGridLines="0" tabSelected="1" workbookViewId="0">
      <selection activeCell="K14" sqref="K14"/>
    </sheetView>
  </sheetViews>
  <sheetFormatPr defaultColWidth="9.140625" defaultRowHeight="13.5"/>
  <cols>
    <col min="1" max="1" width="9.140625" style="5"/>
    <col min="2" max="2" width="22.85546875" style="5" bestFit="1" customWidth="1"/>
    <col min="3" max="3" width="17.7109375" style="5" customWidth="1"/>
    <col min="4" max="4" width="12.5703125" style="5" customWidth="1"/>
    <col min="5" max="5" width="9.140625" style="5"/>
    <col min="6" max="6" width="9.140625" style="6"/>
    <col min="7" max="7" width="10" style="5" bestFit="1" customWidth="1"/>
    <col min="8" max="10" width="9.140625" style="5"/>
    <col min="11" max="11" width="11" style="5" bestFit="1" customWidth="1"/>
    <col min="12" max="14" width="9.140625" style="5"/>
    <col min="15" max="15" width="9.140625" style="6"/>
    <col min="16" max="16384" width="9.140625" style="5"/>
  </cols>
  <sheetData>
    <row r="3" spans="2:10">
      <c r="B3" s="15" t="s">
        <v>56</v>
      </c>
    </row>
    <row r="4" spans="2:10">
      <c r="B4" s="15"/>
    </row>
    <row r="5" spans="2:10">
      <c r="B5" s="41" t="s">
        <v>3</v>
      </c>
      <c r="C5" s="38">
        <v>21916</v>
      </c>
    </row>
    <row r="6" spans="2:10">
      <c r="B6" s="41" t="s">
        <v>6</v>
      </c>
      <c r="C6" s="38">
        <v>42369</v>
      </c>
    </row>
    <row r="7" spans="2:10">
      <c r="B7" s="41" t="s">
        <v>57</v>
      </c>
      <c r="C7" s="39">
        <v>0.1</v>
      </c>
    </row>
    <row r="8" spans="2:10">
      <c r="B8" s="41" t="s">
        <v>58</v>
      </c>
      <c r="C8" s="39">
        <v>0.05</v>
      </c>
    </row>
    <row r="9" spans="2:10">
      <c r="B9" s="41" t="s">
        <v>59</v>
      </c>
      <c r="C9" s="40" t="s">
        <v>60</v>
      </c>
    </row>
    <row r="10" spans="2:10">
      <c r="B10" s="41" t="s">
        <v>61</v>
      </c>
      <c r="C10" s="43" t="s">
        <v>62</v>
      </c>
      <c r="D10" s="5">
        <f>1/500</f>
        <v>2E-3</v>
      </c>
    </row>
    <row r="11" spans="2:10">
      <c r="B11" s="41" t="s">
        <v>63</v>
      </c>
      <c r="C11" s="40">
        <v>120</v>
      </c>
    </row>
    <row r="12" spans="2:10">
      <c r="I12" s="16">
        <f>1+C8</f>
        <v>1.05</v>
      </c>
    </row>
    <row r="13" spans="2:10">
      <c r="I13" s="16"/>
    </row>
    <row r="14" spans="2:10">
      <c r="B14" s="37" t="s">
        <v>64</v>
      </c>
    </row>
    <row r="15" spans="2:10">
      <c r="B15" s="17"/>
    </row>
    <row r="16" spans="2:10">
      <c r="B16" s="18" t="s">
        <v>65</v>
      </c>
      <c r="I16" s="18"/>
      <c r="J16" s="18" t="s">
        <v>66</v>
      </c>
    </row>
    <row r="17" spans="1:16">
      <c r="B17" s="18"/>
      <c r="G17" s="27">
        <f>SUM(G19:G1048576)</f>
        <v>3818331.3114050175</v>
      </c>
      <c r="I17" s="18"/>
      <c r="J17" s="18"/>
      <c r="P17" s="27">
        <f>SUM(P19:P1048576)</f>
        <v>87963.250728776591</v>
      </c>
    </row>
    <row r="18" spans="1:16" s="19" customFormat="1" ht="27">
      <c r="B18" s="20" t="s">
        <v>67</v>
      </c>
      <c r="C18" s="20" t="s">
        <v>68</v>
      </c>
      <c r="D18" s="20" t="s">
        <v>69</v>
      </c>
      <c r="E18" s="19" t="s">
        <v>70</v>
      </c>
      <c r="F18" s="25" t="s">
        <v>57</v>
      </c>
      <c r="G18" s="19" t="s">
        <v>71</v>
      </c>
      <c r="J18" s="20" t="s">
        <v>67</v>
      </c>
      <c r="K18" s="20" t="s">
        <v>72</v>
      </c>
      <c r="L18" s="20" t="s">
        <v>68</v>
      </c>
      <c r="M18" s="20" t="s">
        <v>69</v>
      </c>
      <c r="N18" s="19" t="s">
        <v>70</v>
      </c>
      <c r="O18" s="25" t="s">
        <v>57</v>
      </c>
      <c r="P18" s="19" t="s">
        <v>71</v>
      </c>
    </row>
    <row r="19" spans="1:16">
      <c r="A19" s="5">
        <v>1</v>
      </c>
      <c r="B19" s="21">
        <f>'Data &amp; Checks'!B19</f>
        <v>51001</v>
      </c>
      <c r="C19" s="22">
        <f>'Data &amp; Checks'!J19</f>
        <v>510000</v>
      </c>
      <c r="D19" s="22">
        <f>'Data &amp; Checks'!T19</f>
        <v>70</v>
      </c>
      <c r="E19" s="23">
        <v>1</v>
      </c>
      <c r="F19" s="6">
        <f>(1/(1+$C$7))^(A19-1)</f>
        <v>1</v>
      </c>
      <c r="G19" s="24">
        <f>F19*E19*C19</f>
        <v>510000</v>
      </c>
      <c r="J19" s="21">
        <f>'Data &amp; Checks'!B11</f>
        <v>3018</v>
      </c>
      <c r="K19" s="22">
        <f>'Data &amp; Checks'!J11</f>
        <v>2400000</v>
      </c>
      <c r="L19" s="26"/>
      <c r="M19" s="22">
        <f>'Data &amp; Checks'!T11</f>
        <v>33</v>
      </c>
      <c r="N19" s="23">
        <v>1</v>
      </c>
      <c r="O19" s="6">
        <f t="shared" ref="O19:O50" si="0">(1/(1+$C$7))^(A19-1)</f>
        <v>1</v>
      </c>
      <c r="P19" s="26"/>
    </row>
    <row r="20" spans="1:16">
      <c r="A20" s="5">
        <f>A19+1</f>
        <v>2</v>
      </c>
      <c r="B20" s="5">
        <f>B19</f>
        <v>51001</v>
      </c>
      <c r="C20" s="7">
        <f>C19</f>
        <v>510000</v>
      </c>
      <c r="D20" s="7">
        <f>D19+1</f>
        <v>71</v>
      </c>
      <c r="E20" s="23">
        <v>0.97692999999999997</v>
      </c>
      <c r="F20" s="6">
        <f t="shared" ref="F20:F79" si="1">(1/(1+$C$7))^(A20-1)</f>
        <v>0.90909090909090906</v>
      </c>
      <c r="G20" s="24">
        <f t="shared" ref="G20:G79" si="2">F20*E20*C20</f>
        <v>452940.27272727271</v>
      </c>
      <c r="J20" s="5">
        <f>J19</f>
        <v>3018</v>
      </c>
      <c r="K20" s="7">
        <f>K19*(1+$C$8)</f>
        <v>2520000</v>
      </c>
      <c r="L20" s="26"/>
      <c r="M20" s="7">
        <f>M19+1</f>
        <v>34</v>
      </c>
      <c r="N20" s="23">
        <v>0.99877000000000005</v>
      </c>
      <c r="O20" s="6">
        <f t="shared" si="0"/>
        <v>0.90909090909090906</v>
      </c>
      <c r="P20" s="26"/>
    </row>
    <row r="21" spans="1:16">
      <c r="A21" s="5">
        <f t="shared" ref="A21:A79" si="3">A20+1</f>
        <v>3</v>
      </c>
      <c r="B21" s="5">
        <f t="shared" ref="B21:B69" si="4">B20</f>
        <v>51001</v>
      </c>
      <c r="C21" s="7">
        <f t="shared" ref="C21:C69" si="5">C20</f>
        <v>510000</v>
      </c>
      <c r="D21" s="7">
        <f t="shared" ref="D21:D69" si="6">D20+1</f>
        <v>72</v>
      </c>
      <c r="E21" s="23">
        <v>0.95193036129999997</v>
      </c>
      <c r="F21" s="6">
        <f t="shared" si="1"/>
        <v>0.82644628099173545</v>
      </c>
      <c r="G21" s="24">
        <f t="shared" si="2"/>
        <v>401226.846498347</v>
      </c>
      <c r="J21" s="5">
        <f t="shared" ref="J21:J79" si="7">J20</f>
        <v>3018</v>
      </c>
      <c r="K21" s="7">
        <f t="shared" ref="K21:K46" si="8">K20*(1+$C$8)</f>
        <v>2646000</v>
      </c>
      <c r="L21" s="26"/>
      <c r="M21" s="7">
        <f t="shared" ref="M21:M41" si="9">M20+1</f>
        <v>35</v>
      </c>
      <c r="N21" s="23">
        <v>0.99750156210000007</v>
      </c>
      <c r="O21" s="6">
        <f t="shared" si="0"/>
        <v>0.82644628099173545</v>
      </c>
      <c r="P21" s="26"/>
    </row>
    <row r="22" spans="1:16">
      <c r="A22" s="5">
        <f t="shared" si="3"/>
        <v>4</v>
      </c>
      <c r="B22" s="5">
        <f t="shared" si="4"/>
        <v>51001</v>
      </c>
      <c r="C22" s="7">
        <f t="shared" si="5"/>
        <v>510000</v>
      </c>
      <c r="D22" s="7">
        <f t="shared" si="6"/>
        <v>73</v>
      </c>
      <c r="E22" s="23">
        <v>0.92490505834269299</v>
      </c>
      <c r="F22" s="6">
        <f t="shared" si="1"/>
        <v>0.75131480090157765</v>
      </c>
      <c r="G22" s="24">
        <f t="shared" si="2"/>
        <v>354396.37847841729</v>
      </c>
      <c r="J22" s="5">
        <f t="shared" si="7"/>
        <v>3018</v>
      </c>
      <c r="K22" s="7">
        <f t="shared" si="8"/>
        <v>2778300</v>
      </c>
      <c r="L22" s="26"/>
      <c r="M22" s="7">
        <f t="shared" si="9"/>
        <v>36</v>
      </c>
      <c r="N22" s="23">
        <v>0.99618486003802809</v>
      </c>
      <c r="O22" s="6">
        <f t="shared" si="0"/>
        <v>0.75131480090157765</v>
      </c>
      <c r="P22" s="26"/>
    </row>
    <row r="23" spans="1:16">
      <c r="A23" s="5">
        <f t="shared" si="3"/>
        <v>5</v>
      </c>
      <c r="B23" s="5">
        <f t="shared" si="4"/>
        <v>51001</v>
      </c>
      <c r="C23" s="7">
        <f t="shared" si="5"/>
        <v>510000</v>
      </c>
      <c r="D23" s="7">
        <f t="shared" si="6"/>
        <v>74</v>
      </c>
      <c r="E23" s="23">
        <v>0.89576129995431475</v>
      </c>
      <c r="F23" s="6">
        <f t="shared" si="1"/>
        <v>0.68301345536507052</v>
      </c>
      <c r="G23" s="24">
        <f t="shared" si="2"/>
        <v>312026.68053869298</v>
      </c>
      <c r="J23" s="5">
        <f t="shared" si="7"/>
        <v>3018</v>
      </c>
      <c r="K23" s="7">
        <f t="shared" si="8"/>
        <v>2917215</v>
      </c>
      <c r="L23" s="26"/>
      <c r="M23" s="7">
        <f t="shared" si="9"/>
        <v>37</v>
      </c>
      <c r="N23" s="23">
        <v>0.99480016308257524</v>
      </c>
      <c r="O23" s="6">
        <f t="shared" si="0"/>
        <v>0.68301345536507052</v>
      </c>
      <c r="P23" s="26"/>
    </row>
    <row r="24" spans="1:16">
      <c r="A24" s="5">
        <f t="shared" si="3"/>
        <v>6</v>
      </c>
      <c r="B24" s="5">
        <f t="shared" si="4"/>
        <v>51001</v>
      </c>
      <c r="C24" s="7">
        <f t="shared" si="5"/>
        <v>510000</v>
      </c>
      <c r="D24" s="7">
        <f t="shared" si="6"/>
        <v>75</v>
      </c>
      <c r="E24" s="23">
        <v>0.86442756968191281</v>
      </c>
      <c r="F24" s="6">
        <f t="shared" si="1"/>
        <v>0.62092132305915504</v>
      </c>
      <c r="G24" s="24">
        <f t="shared" si="2"/>
        <v>273738.17023040866</v>
      </c>
      <c r="J24" s="5">
        <f t="shared" si="7"/>
        <v>3018</v>
      </c>
      <c r="K24" s="7">
        <f t="shared" si="8"/>
        <v>3063075.75</v>
      </c>
      <c r="L24" s="26"/>
      <c r="M24" s="7">
        <f t="shared" si="9"/>
        <v>38</v>
      </c>
      <c r="N24" s="23">
        <v>0.9933378068428439</v>
      </c>
      <c r="O24" s="6">
        <f t="shared" si="0"/>
        <v>0.62092132305915504</v>
      </c>
      <c r="P24" s="26"/>
    </row>
    <row r="25" spans="1:16">
      <c r="A25" s="5">
        <f t="shared" si="3"/>
        <v>7</v>
      </c>
      <c r="B25" s="5">
        <f t="shared" si="4"/>
        <v>51001</v>
      </c>
      <c r="C25" s="7">
        <f t="shared" si="5"/>
        <v>510000</v>
      </c>
      <c r="D25" s="7">
        <f t="shared" si="6"/>
        <v>76</v>
      </c>
      <c r="E25" s="23">
        <v>0.83087913570255778</v>
      </c>
      <c r="F25" s="6">
        <f t="shared" si="1"/>
        <v>0.56447393005377722</v>
      </c>
      <c r="G25" s="24">
        <f t="shared" si="2"/>
        <v>239194.90167615132</v>
      </c>
      <c r="J25" s="5">
        <f t="shared" si="7"/>
        <v>3018</v>
      </c>
      <c r="K25" s="7">
        <f t="shared" si="8"/>
        <v>3216229.5375000001</v>
      </c>
      <c r="L25" s="26"/>
      <c r="M25" s="7">
        <f t="shared" si="9"/>
        <v>39</v>
      </c>
      <c r="N25" s="23">
        <v>0.99176833310803214</v>
      </c>
      <c r="O25" s="6">
        <f t="shared" si="0"/>
        <v>0.56447393005377722</v>
      </c>
      <c r="P25" s="26"/>
    </row>
    <row r="26" spans="1:16">
      <c r="A26" s="5">
        <f t="shared" si="3"/>
        <v>8</v>
      </c>
      <c r="B26" s="5">
        <f t="shared" si="4"/>
        <v>51001</v>
      </c>
      <c r="C26" s="7">
        <f t="shared" si="5"/>
        <v>510000</v>
      </c>
      <c r="D26" s="7">
        <f t="shared" si="6"/>
        <v>77</v>
      </c>
      <c r="E26" s="23">
        <v>0.79510148011920567</v>
      </c>
      <c r="F26" s="6">
        <f t="shared" si="1"/>
        <v>0.51315811823070656</v>
      </c>
      <c r="G26" s="24">
        <f t="shared" si="2"/>
        <v>208086.51746361479</v>
      </c>
      <c r="J26" s="5">
        <f t="shared" si="7"/>
        <v>3018</v>
      </c>
      <c r="K26" s="7">
        <f t="shared" si="8"/>
        <v>3377041.0143750003</v>
      </c>
      <c r="L26" s="26"/>
      <c r="M26" s="7">
        <f t="shared" si="9"/>
        <v>40</v>
      </c>
      <c r="N26" s="23">
        <v>0.99007240925841744</v>
      </c>
      <c r="O26" s="6">
        <f t="shared" si="0"/>
        <v>0.51315811823070656</v>
      </c>
      <c r="P26" s="26"/>
    </row>
    <row r="27" spans="1:16">
      <c r="A27" s="5">
        <f t="shared" si="3"/>
        <v>9</v>
      </c>
      <c r="B27" s="5">
        <f t="shared" si="4"/>
        <v>51001</v>
      </c>
      <c r="C27" s="7">
        <f t="shared" si="5"/>
        <v>510000</v>
      </c>
      <c r="D27" s="7">
        <f t="shared" si="6"/>
        <v>78</v>
      </c>
      <c r="E27" s="23">
        <v>0.75712743342871236</v>
      </c>
      <c r="F27" s="6">
        <f t="shared" si="1"/>
        <v>0.4665073802097332</v>
      </c>
      <c r="G27" s="24">
        <f t="shared" si="2"/>
        <v>180134.82308141136</v>
      </c>
      <c r="J27" s="5">
        <f t="shared" si="7"/>
        <v>3018</v>
      </c>
      <c r="K27" s="7">
        <f t="shared" si="8"/>
        <v>3545893.0650937506</v>
      </c>
      <c r="L27" s="26"/>
      <c r="M27" s="7">
        <f t="shared" si="9"/>
        <v>41</v>
      </c>
      <c r="N27" s="23">
        <v>0.98821107312901157</v>
      </c>
      <c r="O27" s="6">
        <f t="shared" si="0"/>
        <v>0.4665073802097332</v>
      </c>
      <c r="P27" s="26"/>
    </row>
    <row r="28" spans="1:16">
      <c r="A28" s="5">
        <f t="shared" si="3"/>
        <v>10</v>
      </c>
      <c r="B28" s="5">
        <f t="shared" si="4"/>
        <v>51001</v>
      </c>
      <c r="C28" s="7">
        <f t="shared" si="5"/>
        <v>510000</v>
      </c>
      <c r="D28" s="7">
        <f t="shared" si="6"/>
        <v>79</v>
      </c>
      <c r="E28" s="23">
        <v>0.71703753582866203</v>
      </c>
      <c r="F28" s="6">
        <f t="shared" si="1"/>
        <v>0.42409761837248472</v>
      </c>
      <c r="G28" s="24">
        <f t="shared" si="2"/>
        <v>155087.89472659148</v>
      </c>
      <c r="J28" s="5">
        <f t="shared" si="7"/>
        <v>3018</v>
      </c>
      <c r="K28" s="7">
        <f t="shared" si="8"/>
        <v>3723187.7183484384</v>
      </c>
      <c r="L28" s="26"/>
      <c r="M28" s="7">
        <f t="shared" si="9"/>
        <v>42</v>
      </c>
      <c r="N28" s="23">
        <v>0.98615559409690323</v>
      </c>
      <c r="O28" s="6">
        <f t="shared" si="0"/>
        <v>0.42409761837248472</v>
      </c>
      <c r="P28" s="26"/>
    </row>
    <row r="29" spans="1:16">
      <c r="A29" s="5">
        <f t="shared" si="3"/>
        <v>11</v>
      </c>
      <c r="B29" s="5">
        <f t="shared" si="4"/>
        <v>51001</v>
      </c>
      <c r="C29" s="7">
        <f t="shared" si="5"/>
        <v>510000</v>
      </c>
      <c r="D29" s="7">
        <f t="shared" si="6"/>
        <v>80</v>
      </c>
      <c r="E29" s="23">
        <v>0.67497611397695267</v>
      </c>
      <c r="F29" s="6">
        <f t="shared" si="1"/>
        <v>0.38554328942953153</v>
      </c>
      <c r="G29" s="24">
        <f t="shared" si="2"/>
        <v>132718.58074720873</v>
      </c>
      <c r="J29" s="5">
        <f t="shared" si="7"/>
        <v>3018</v>
      </c>
      <c r="K29" s="7">
        <f t="shared" si="8"/>
        <v>3909347.1042658603</v>
      </c>
      <c r="L29" s="26"/>
      <c r="M29" s="7">
        <f t="shared" si="9"/>
        <v>43</v>
      </c>
      <c r="N29" s="23">
        <v>0.9838775746745394</v>
      </c>
      <c r="O29" s="6">
        <f t="shared" si="0"/>
        <v>0.38554328942953153</v>
      </c>
      <c r="P29" s="26"/>
    </row>
    <row r="30" spans="1:16">
      <c r="A30" s="5">
        <f t="shared" si="3"/>
        <v>12</v>
      </c>
      <c r="B30" s="5">
        <f t="shared" si="4"/>
        <v>51001</v>
      </c>
      <c r="C30" s="7">
        <f t="shared" si="5"/>
        <v>510000</v>
      </c>
      <c r="D30" s="7">
        <f t="shared" si="6"/>
        <v>81</v>
      </c>
      <c r="E30" s="23">
        <v>0.63113641537414966</v>
      </c>
      <c r="F30" s="6">
        <f t="shared" si="1"/>
        <v>0.35049389948139231</v>
      </c>
      <c r="G30" s="24">
        <f t="shared" si="2"/>
        <v>112816.82629788868</v>
      </c>
      <c r="J30" s="5">
        <f t="shared" si="7"/>
        <v>3018</v>
      </c>
      <c r="K30" s="7">
        <f t="shared" si="8"/>
        <v>4104814.4594791536</v>
      </c>
      <c r="L30" s="26"/>
      <c r="M30" s="7">
        <f t="shared" si="9"/>
        <v>44</v>
      </c>
      <c r="N30" s="23">
        <v>0.98132933175613235</v>
      </c>
      <c r="O30" s="6">
        <f t="shared" si="0"/>
        <v>0.35049389948139231</v>
      </c>
      <c r="P30" s="26"/>
    </row>
    <row r="31" spans="1:16">
      <c r="A31" s="5">
        <f t="shared" si="3"/>
        <v>13</v>
      </c>
      <c r="B31" s="5">
        <f t="shared" si="4"/>
        <v>51001</v>
      </c>
      <c r="C31" s="7">
        <f t="shared" si="5"/>
        <v>510000</v>
      </c>
      <c r="D31" s="7">
        <f t="shared" si="6"/>
        <v>82</v>
      </c>
      <c r="E31" s="23">
        <v>0.58579557529367077</v>
      </c>
      <c r="F31" s="6">
        <f t="shared" si="1"/>
        <v>0.31863081771035662</v>
      </c>
      <c r="G31" s="24">
        <f t="shared" si="2"/>
        <v>95192.786815134852</v>
      </c>
      <c r="J31" s="5">
        <f t="shared" si="7"/>
        <v>3018</v>
      </c>
      <c r="K31" s="7">
        <f t="shared" si="8"/>
        <v>4310055.1824531117</v>
      </c>
      <c r="L31" s="26"/>
      <c r="M31" s="7">
        <f t="shared" si="9"/>
        <v>45</v>
      </c>
      <c r="N31" s="23">
        <v>0.97846385010740444</v>
      </c>
      <c r="O31" s="6">
        <f t="shared" si="0"/>
        <v>0.31863081771035662</v>
      </c>
      <c r="P31" s="26"/>
    </row>
    <row r="32" spans="1:16">
      <c r="A32" s="5">
        <f t="shared" si="3"/>
        <v>14</v>
      </c>
      <c r="B32" s="5">
        <f t="shared" si="4"/>
        <v>51001</v>
      </c>
      <c r="C32" s="7">
        <f t="shared" si="5"/>
        <v>510000</v>
      </c>
      <c r="D32" s="7">
        <f t="shared" si="6"/>
        <v>83</v>
      </c>
      <c r="E32" s="23">
        <v>0.53929512252685918</v>
      </c>
      <c r="F32" s="6">
        <f t="shared" si="1"/>
        <v>0.28966437973668779</v>
      </c>
      <c r="G32" s="24">
        <f t="shared" si="2"/>
        <v>79669.439452499486</v>
      </c>
      <c r="J32" s="5">
        <f t="shared" si="7"/>
        <v>3018</v>
      </c>
      <c r="K32" s="7">
        <f t="shared" si="8"/>
        <v>4525557.9415757675</v>
      </c>
      <c r="L32" s="26"/>
      <c r="M32" s="7">
        <f t="shared" si="9"/>
        <v>46</v>
      </c>
      <c r="N32" s="23">
        <v>0.97523491940204998</v>
      </c>
      <c r="O32" s="6">
        <f t="shared" si="0"/>
        <v>0.28966437973668779</v>
      </c>
      <c r="P32" s="26"/>
    </row>
    <row r="33" spans="1:16">
      <c r="A33" s="5">
        <f t="shared" si="3"/>
        <v>15</v>
      </c>
      <c r="B33" s="5">
        <f t="shared" si="4"/>
        <v>51001</v>
      </c>
      <c r="C33" s="7">
        <f t="shared" si="5"/>
        <v>510000</v>
      </c>
      <c r="D33" s="7">
        <f t="shared" si="6"/>
        <v>84</v>
      </c>
      <c r="E33" s="23">
        <v>0.49205286979350632</v>
      </c>
      <c r="F33" s="6">
        <f t="shared" si="1"/>
        <v>0.26333125430607979</v>
      </c>
      <c r="G33" s="24">
        <f t="shared" si="2"/>
        <v>66082.178687691383</v>
      </c>
      <c r="J33" s="5">
        <f t="shared" si="7"/>
        <v>3018</v>
      </c>
      <c r="K33" s="7">
        <f t="shared" si="8"/>
        <v>4751835.8386545563</v>
      </c>
      <c r="L33" s="26"/>
      <c r="M33" s="7">
        <f t="shared" si="9"/>
        <v>47</v>
      </c>
      <c r="N33" s="23">
        <v>0.97160704550187438</v>
      </c>
      <c r="O33" s="6">
        <f t="shared" si="0"/>
        <v>0.26333125430607979</v>
      </c>
      <c r="P33" s="26"/>
    </row>
    <row r="34" spans="1:16">
      <c r="A34" s="5">
        <f t="shared" si="3"/>
        <v>16</v>
      </c>
      <c r="B34" s="5">
        <f t="shared" si="4"/>
        <v>51001</v>
      </c>
      <c r="C34" s="7">
        <f t="shared" si="5"/>
        <v>510000</v>
      </c>
      <c r="D34" s="7">
        <f t="shared" si="6"/>
        <v>85</v>
      </c>
      <c r="E34" s="23">
        <v>0.44454024468624537</v>
      </c>
      <c r="F34" s="6">
        <f t="shared" si="1"/>
        <v>0.23939204936916345</v>
      </c>
      <c r="G34" s="24">
        <f t="shared" si="2"/>
        <v>54273.894103279919</v>
      </c>
      <c r="J34" s="5">
        <f t="shared" si="7"/>
        <v>3018</v>
      </c>
      <c r="K34" s="7">
        <f t="shared" si="8"/>
        <v>4989427.6305872845</v>
      </c>
      <c r="L34" s="26"/>
      <c r="M34" s="7">
        <f t="shared" si="9"/>
        <v>48</v>
      </c>
      <c r="N34" s="23">
        <v>0.96752629591076655</v>
      </c>
      <c r="O34" s="6">
        <f t="shared" si="0"/>
        <v>0.23939204936916345</v>
      </c>
      <c r="P34" s="26"/>
    </row>
    <row r="35" spans="1:16">
      <c r="A35" s="5">
        <f t="shared" si="3"/>
        <v>17</v>
      </c>
      <c r="B35" s="5">
        <f t="shared" si="4"/>
        <v>51001</v>
      </c>
      <c r="C35" s="7">
        <f t="shared" si="5"/>
        <v>510000</v>
      </c>
      <c r="D35" s="7">
        <f t="shared" si="6"/>
        <v>86</v>
      </c>
      <c r="E35" s="23">
        <v>0.39729450748099121</v>
      </c>
      <c r="F35" s="6">
        <f t="shared" si="1"/>
        <v>0.21762913579014859</v>
      </c>
      <c r="G35" s="24">
        <f t="shared" si="2"/>
        <v>44096.058761803033</v>
      </c>
      <c r="J35" s="5">
        <f t="shared" si="7"/>
        <v>3018</v>
      </c>
      <c r="K35" s="7">
        <f t="shared" si="8"/>
        <v>5238899.0121166492</v>
      </c>
      <c r="L35" s="26"/>
      <c r="M35" s="7">
        <f t="shared" si="9"/>
        <v>49</v>
      </c>
      <c r="N35" s="23">
        <v>0.9629402212681496</v>
      </c>
      <c r="O35" s="6">
        <f t="shared" si="0"/>
        <v>0.21762913579014859</v>
      </c>
      <c r="P35" s="26"/>
    </row>
    <row r="36" spans="1:16">
      <c r="A36" s="5">
        <f t="shared" si="3"/>
        <v>18</v>
      </c>
      <c r="B36" s="5">
        <f t="shared" si="4"/>
        <v>51001</v>
      </c>
      <c r="C36" s="7">
        <f t="shared" si="5"/>
        <v>510000</v>
      </c>
      <c r="D36" s="7">
        <f t="shared" si="6"/>
        <v>87</v>
      </c>
      <c r="E36" s="23">
        <v>0.35089845489736105</v>
      </c>
      <c r="F36" s="6">
        <f t="shared" si="1"/>
        <v>0.19784466890013508</v>
      </c>
      <c r="G36" s="24">
        <f t="shared" si="2"/>
        <v>35405.928199636059</v>
      </c>
      <c r="J36" s="5">
        <f t="shared" si="7"/>
        <v>3018</v>
      </c>
      <c r="K36" s="7">
        <f t="shared" si="8"/>
        <v>5500843.9627224822</v>
      </c>
      <c r="L36" s="26"/>
      <c r="M36" s="7">
        <f t="shared" si="9"/>
        <v>50</v>
      </c>
      <c r="N36" s="23">
        <v>0.95779812048657764</v>
      </c>
      <c r="O36" s="6">
        <f t="shared" si="0"/>
        <v>0.19784466890013508</v>
      </c>
      <c r="P36" s="26"/>
    </row>
    <row r="37" spans="1:16">
      <c r="A37" s="5">
        <f t="shared" si="3"/>
        <v>19</v>
      </c>
      <c r="B37" s="5">
        <f t="shared" si="4"/>
        <v>51001</v>
      </c>
      <c r="C37" s="7">
        <f t="shared" si="5"/>
        <v>510000</v>
      </c>
      <c r="D37" s="7">
        <f t="shared" si="6"/>
        <v>88</v>
      </c>
      <c r="E37" s="23">
        <v>0.30595538079410706</v>
      </c>
      <c r="F37" s="6">
        <f t="shared" si="1"/>
        <v>0.1798587899092137</v>
      </c>
      <c r="G37" s="24">
        <f t="shared" si="2"/>
        <v>28064.669923478796</v>
      </c>
      <c r="J37" s="5">
        <f t="shared" si="7"/>
        <v>3018</v>
      </c>
      <c r="K37" s="7">
        <f t="shared" si="8"/>
        <v>5775886.1608586069</v>
      </c>
      <c r="L37" s="26"/>
      <c r="M37" s="7">
        <f t="shared" si="9"/>
        <v>51</v>
      </c>
      <c r="N37" s="23">
        <v>0.95206090974486302</v>
      </c>
      <c r="O37" s="6">
        <f t="shared" si="0"/>
        <v>0.1798587899092137</v>
      </c>
      <c r="P37" s="26"/>
    </row>
    <row r="38" spans="1:16">
      <c r="A38" s="5">
        <f t="shared" si="3"/>
        <v>20</v>
      </c>
      <c r="B38" s="5">
        <f t="shared" si="4"/>
        <v>51001</v>
      </c>
      <c r="C38" s="7">
        <f t="shared" si="5"/>
        <v>510000</v>
      </c>
      <c r="D38" s="7">
        <f t="shared" si="6"/>
        <v>89</v>
      </c>
      <c r="E38" s="23">
        <v>0.26305737685296532</v>
      </c>
      <c r="F38" s="6">
        <f t="shared" si="1"/>
        <v>0.1635079908265579</v>
      </c>
      <c r="G38" s="24">
        <f t="shared" si="2"/>
        <v>21936.111412279846</v>
      </c>
      <c r="J38" s="5">
        <f t="shared" si="7"/>
        <v>3018</v>
      </c>
      <c r="K38" s="7">
        <f t="shared" si="8"/>
        <v>6064680.4689015374</v>
      </c>
      <c r="L38" s="26"/>
      <c r="M38" s="7">
        <f t="shared" si="9"/>
        <v>52</v>
      </c>
      <c r="N38" s="23">
        <v>0.94567258104047502</v>
      </c>
      <c r="O38" s="6">
        <f t="shared" si="0"/>
        <v>0.1635079908265579</v>
      </c>
      <c r="P38" s="26"/>
    </row>
    <row r="39" spans="1:16">
      <c r="A39" s="5">
        <f t="shared" si="3"/>
        <v>21</v>
      </c>
      <c r="B39" s="5">
        <f t="shared" si="4"/>
        <v>51001</v>
      </c>
      <c r="C39" s="7">
        <f t="shared" si="5"/>
        <v>510000</v>
      </c>
      <c r="D39" s="7">
        <f t="shared" si="6"/>
        <v>90</v>
      </c>
      <c r="E39" s="23">
        <v>0.22276750901416517</v>
      </c>
      <c r="F39" s="6">
        <f t="shared" si="1"/>
        <v>0.14864362802414352</v>
      </c>
      <c r="G39" s="24">
        <f t="shared" si="2"/>
        <v>16887.615080340969</v>
      </c>
      <c r="J39" s="5">
        <f t="shared" si="7"/>
        <v>3018</v>
      </c>
      <c r="K39" s="7">
        <f t="shared" si="8"/>
        <v>6367914.4923466146</v>
      </c>
      <c r="L39" s="26"/>
      <c r="M39" s="7">
        <f t="shared" si="9"/>
        <v>53</v>
      </c>
      <c r="N39" s="23">
        <v>0.93858003668267154</v>
      </c>
      <c r="O39" s="6">
        <f t="shared" si="0"/>
        <v>0.14864362802414352</v>
      </c>
      <c r="P39" s="26"/>
    </row>
    <row r="40" spans="1:16">
      <c r="A40" s="5">
        <f t="shared" si="3"/>
        <v>22</v>
      </c>
      <c r="B40" s="5">
        <f t="shared" si="4"/>
        <v>51001</v>
      </c>
      <c r="C40" s="7">
        <f t="shared" si="5"/>
        <v>510000</v>
      </c>
      <c r="D40" s="7">
        <f t="shared" si="6"/>
        <v>91</v>
      </c>
      <c r="E40" s="23">
        <v>0.18557870105934043</v>
      </c>
      <c r="F40" s="6">
        <f t="shared" si="1"/>
        <v>0.13513057093103958</v>
      </c>
      <c r="G40" s="24">
        <f t="shared" si="2"/>
        <v>12789.451471662591</v>
      </c>
      <c r="J40" s="5">
        <f t="shared" si="7"/>
        <v>3018</v>
      </c>
      <c r="K40" s="7">
        <f t="shared" si="8"/>
        <v>6686310.2169639459</v>
      </c>
      <c r="L40" s="26"/>
      <c r="M40" s="7">
        <f t="shared" si="9"/>
        <v>54</v>
      </c>
      <c r="N40" s="23">
        <v>0.93072412177563757</v>
      </c>
      <c r="O40" s="6">
        <f t="shared" si="0"/>
        <v>0.13513057093103958</v>
      </c>
      <c r="P40" s="26"/>
    </row>
    <row r="41" spans="1:16">
      <c r="A41" s="5">
        <f t="shared" si="3"/>
        <v>23</v>
      </c>
      <c r="B41" s="5">
        <f t="shared" si="4"/>
        <v>51001</v>
      </c>
      <c r="C41" s="7">
        <f t="shared" si="5"/>
        <v>510000</v>
      </c>
      <c r="D41" s="7">
        <f t="shared" si="6"/>
        <v>92</v>
      </c>
      <c r="E41" s="23">
        <v>0.15189431103005954</v>
      </c>
      <c r="F41" s="6">
        <f t="shared" si="1"/>
        <v>0.12284597357367232</v>
      </c>
      <c r="G41" s="24">
        <f t="shared" si="2"/>
        <v>9516.3983045828281</v>
      </c>
      <c r="J41" s="5">
        <f t="shared" si="7"/>
        <v>3018</v>
      </c>
      <c r="K41" s="7">
        <f t="shared" si="8"/>
        <v>7020625.727812143</v>
      </c>
      <c r="L41" s="26"/>
      <c r="M41" s="7">
        <f t="shared" si="9"/>
        <v>55</v>
      </c>
      <c r="N41" s="23">
        <v>0.9220590802019063</v>
      </c>
      <c r="O41" s="6">
        <f t="shared" si="0"/>
        <v>0.12284597357367232</v>
      </c>
      <c r="P41" s="26"/>
    </row>
    <row r="42" spans="1:16">
      <c r="A42" s="5">
        <f t="shared" si="3"/>
        <v>24</v>
      </c>
      <c r="B42" s="5">
        <f t="shared" si="4"/>
        <v>51001</v>
      </c>
      <c r="C42" s="7">
        <f t="shared" si="5"/>
        <v>510000</v>
      </c>
      <c r="D42" s="7">
        <f>D41+1</f>
        <v>93</v>
      </c>
      <c r="E42" s="23">
        <v>0.12199543484690262</v>
      </c>
      <c r="F42" s="6">
        <f t="shared" si="1"/>
        <v>0.11167815779424756</v>
      </c>
      <c r="G42" s="24">
        <f t="shared" si="2"/>
        <v>6948.3549657352214</v>
      </c>
      <c r="J42" s="5">
        <f t="shared" si="7"/>
        <v>3018</v>
      </c>
      <c r="K42" s="7">
        <f t="shared" si="8"/>
        <v>7371657.0142027503</v>
      </c>
      <c r="L42" s="26"/>
      <c r="M42" s="7">
        <f>M41+1</f>
        <v>56</v>
      </c>
      <c r="N42" s="23">
        <v>0.91251576872181661</v>
      </c>
      <c r="O42" s="6">
        <f t="shared" si="0"/>
        <v>0.11167815779424756</v>
      </c>
      <c r="P42" s="26"/>
    </row>
    <row r="43" spans="1:16">
      <c r="A43" s="5">
        <f t="shared" si="3"/>
        <v>25</v>
      </c>
      <c r="B43" s="5">
        <f t="shared" si="4"/>
        <v>51001</v>
      </c>
      <c r="C43" s="7">
        <f t="shared" si="5"/>
        <v>510000</v>
      </c>
      <c r="D43" s="7">
        <f t="shared" si="6"/>
        <v>94</v>
      </c>
      <c r="E43" s="23">
        <v>9.6023826722345509E-2</v>
      </c>
      <c r="F43" s="6">
        <f t="shared" si="1"/>
        <v>0.1015255979947705</v>
      </c>
      <c r="G43" s="24">
        <f t="shared" si="2"/>
        <v>4971.9269791634988</v>
      </c>
      <c r="J43" s="5">
        <f t="shared" si="7"/>
        <v>3018</v>
      </c>
      <c r="K43" s="7">
        <f t="shared" si="8"/>
        <v>7740239.864912888</v>
      </c>
      <c r="L43" s="26"/>
      <c r="M43" s="7">
        <f t="shared" ref="M43:M53" si="10">M42+1</f>
        <v>57</v>
      </c>
      <c r="N43" s="23">
        <v>0.90204008769689015</v>
      </c>
      <c r="O43" s="6">
        <f t="shared" si="0"/>
        <v>0.1015255979947705</v>
      </c>
      <c r="P43" s="26"/>
    </row>
    <row r="44" spans="1:16">
      <c r="A44" s="5">
        <f t="shared" si="3"/>
        <v>26</v>
      </c>
      <c r="B44" s="5">
        <f t="shared" si="4"/>
        <v>51001</v>
      </c>
      <c r="C44" s="7">
        <f t="shared" si="5"/>
        <v>510000</v>
      </c>
      <c r="D44" s="7">
        <f t="shared" si="6"/>
        <v>95</v>
      </c>
      <c r="E44" s="23">
        <v>7.3976756106894984E-2</v>
      </c>
      <c r="F44" s="6">
        <f t="shared" si="1"/>
        <v>9.229599817706409E-2</v>
      </c>
      <c r="G44" s="24">
        <f t="shared" si="2"/>
        <v>3482.1568588614182</v>
      </c>
      <c r="J44" s="5">
        <f t="shared" si="7"/>
        <v>3018</v>
      </c>
      <c r="K44" s="7">
        <f t="shared" si="8"/>
        <v>8127251.8581585325</v>
      </c>
      <c r="L44" s="26"/>
      <c r="M44" s="7">
        <f t="shared" si="10"/>
        <v>58</v>
      </c>
      <c r="N44" s="23">
        <v>0.89056613778138571</v>
      </c>
      <c r="O44" s="6">
        <f t="shared" si="0"/>
        <v>9.229599817706409E-2</v>
      </c>
      <c r="P44" s="26"/>
    </row>
    <row r="45" spans="1:16">
      <c r="A45" s="5">
        <f t="shared" si="3"/>
        <v>27</v>
      </c>
      <c r="B45" s="5">
        <f t="shared" si="4"/>
        <v>51001</v>
      </c>
      <c r="C45" s="7">
        <f t="shared" si="5"/>
        <v>510000</v>
      </c>
      <c r="D45" s="7">
        <f t="shared" si="6"/>
        <v>96</v>
      </c>
      <c r="E45" s="23">
        <v>5.5713374559224753E-2</v>
      </c>
      <c r="F45" s="6">
        <f t="shared" si="1"/>
        <v>8.390545288824007E-2</v>
      </c>
      <c r="G45" s="24">
        <f t="shared" si="2"/>
        <v>2384.0745214051917</v>
      </c>
      <c r="J45" s="5">
        <f t="shared" si="7"/>
        <v>3018</v>
      </c>
      <c r="K45" s="7">
        <f t="shared" si="8"/>
        <v>8533614.4510664586</v>
      </c>
      <c r="L45" s="26"/>
      <c r="M45" s="7">
        <f t="shared" si="10"/>
        <v>59</v>
      </c>
      <c r="N45" s="23">
        <v>0.87802696656142387</v>
      </c>
      <c r="O45" s="6">
        <f t="shared" si="0"/>
        <v>8.390545288824007E-2</v>
      </c>
      <c r="P45" s="26"/>
    </row>
    <row r="46" spans="1:16">
      <c r="A46" s="5">
        <f t="shared" si="3"/>
        <v>28</v>
      </c>
      <c r="B46" s="5">
        <f t="shared" si="4"/>
        <v>51001</v>
      </c>
      <c r="C46" s="7">
        <f t="shared" si="5"/>
        <v>510000</v>
      </c>
      <c r="D46" s="7">
        <f t="shared" si="6"/>
        <v>97</v>
      </c>
      <c r="E46" s="23">
        <v>4.0968829982125921E-2</v>
      </c>
      <c r="F46" s="6">
        <f t="shared" si="1"/>
        <v>7.6277684443854618E-2</v>
      </c>
      <c r="G46" s="24">
        <f t="shared" si="2"/>
        <v>1593.7538175593709</v>
      </c>
      <c r="J46" s="5">
        <f t="shared" si="7"/>
        <v>3018</v>
      </c>
      <c r="K46" s="42">
        <f t="shared" si="8"/>
        <v>8960295.1736197826</v>
      </c>
      <c r="L46" s="7">
        <f>K46*D10*'Data &amp; Checks'!U11</f>
        <v>143364.72277791653</v>
      </c>
      <c r="M46" s="7">
        <f t="shared" si="10"/>
        <v>60</v>
      </c>
      <c r="N46" s="23">
        <v>0.86435608669206254</v>
      </c>
      <c r="O46" s="6">
        <f t="shared" si="0"/>
        <v>7.6277684443854618E-2</v>
      </c>
      <c r="P46" s="24">
        <f>O46*N46*L46</f>
        <v>9452.1911253291346</v>
      </c>
    </row>
    <row r="47" spans="1:16">
      <c r="A47" s="5">
        <f t="shared" si="3"/>
        <v>29</v>
      </c>
      <c r="B47" s="5">
        <f t="shared" si="4"/>
        <v>51001</v>
      </c>
      <c r="C47" s="7">
        <f t="shared" si="5"/>
        <v>510000</v>
      </c>
      <c r="D47" s="7">
        <f t="shared" si="6"/>
        <v>98</v>
      </c>
      <c r="E47" s="23">
        <v>2.9382844863180713E-2</v>
      </c>
      <c r="F47" s="6">
        <f t="shared" si="1"/>
        <v>6.9343349494413287E-2</v>
      </c>
      <c r="G47" s="24">
        <f t="shared" si="2"/>
        <v>1039.1274890487098</v>
      </c>
      <c r="J47" s="5">
        <f t="shared" si="7"/>
        <v>3018</v>
      </c>
      <c r="K47" s="42">
        <f>K46</f>
        <v>8960295.1736197826</v>
      </c>
      <c r="L47" s="7">
        <f>L46</f>
        <v>143364.72277791653</v>
      </c>
      <c r="M47" s="7">
        <f t="shared" si="10"/>
        <v>61</v>
      </c>
      <c r="N47" s="23">
        <v>0.84958508444472602</v>
      </c>
      <c r="O47" s="6">
        <f t="shared" si="0"/>
        <v>6.9343349494413287E-2</v>
      </c>
      <c r="P47" s="24">
        <f t="shared" ref="P47:P106" si="11">O47*N47*L47</f>
        <v>8446.0567278610342</v>
      </c>
    </row>
    <row r="48" spans="1:16">
      <c r="A48" s="5">
        <f t="shared" si="3"/>
        <v>30</v>
      </c>
      <c r="B48" s="5">
        <f t="shared" si="4"/>
        <v>51001</v>
      </c>
      <c r="C48" s="7">
        <f t="shared" si="5"/>
        <v>510000</v>
      </c>
      <c r="D48" s="7">
        <f t="shared" si="6"/>
        <v>99</v>
      </c>
      <c r="E48" s="23">
        <v>2.0531556676596157E-2</v>
      </c>
      <c r="F48" s="6">
        <f t="shared" si="1"/>
        <v>6.3039408631284793E-2</v>
      </c>
      <c r="G48" s="24">
        <f t="shared" si="2"/>
        <v>660.09156749788758</v>
      </c>
      <c r="J48" s="5">
        <f t="shared" si="7"/>
        <v>3018</v>
      </c>
      <c r="K48" s="42">
        <f t="shared" ref="K48:K106" si="12">K47</f>
        <v>8960295.1736197826</v>
      </c>
      <c r="L48" s="7">
        <f t="shared" ref="L48:L106" si="13">L47</f>
        <v>143364.72277791653</v>
      </c>
      <c r="M48" s="7">
        <f t="shared" si="10"/>
        <v>62</v>
      </c>
      <c r="N48" s="23">
        <v>0.83506650421506268</v>
      </c>
      <c r="O48" s="6">
        <f t="shared" si="0"/>
        <v>6.3039408631284793E-2</v>
      </c>
      <c r="P48" s="24">
        <f t="shared" si="11"/>
        <v>7547.0198713065747</v>
      </c>
    </row>
    <row r="49" spans="1:16">
      <c r="A49" s="5">
        <f t="shared" si="3"/>
        <v>31</v>
      </c>
      <c r="B49" s="5">
        <f t="shared" si="4"/>
        <v>51001</v>
      </c>
      <c r="C49" s="7">
        <f t="shared" si="5"/>
        <v>510000</v>
      </c>
      <c r="D49" s="7">
        <f t="shared" si="6"/>
        <v>100</v>
      </c>
      <c r="E49" s="23">
        <v>1.3964948904720408E-2</v>
      </c>
      <c r="F49" s="6">
        <f t="shared" si="1"/>
        <v>5.7308553301167985E-2</v>
      </c>
      <c r="G49" s="24">
        <f t="shared" si="2"/>
        <v>408.158619513671</v>
      </c>
      <c r="J49" s="5">
        <f t="shared" si="7"/>
        <v>3018</v>
      </c>
      <c r="K49" s="42">
        <f t="shared" si="12"/>
        <v>8960295.1736197826</v>
      </c>
      <c r="L49" s="7">
        <f t="shared" si="13"/>
        <v>143364.72277791653</v>
      </c>
      <c r="M49" s="7">
        <f t="shared" si="10"/>
        <v>63</v>
      </c>
      <c r="N49" s="23">
        <v>0.82079603235705567</v>
      </c>
      <c r="O49" s="6">
        <f t="shared" si="0"/>
        <v>5.7308553301167985E-2</v>
      </c>
      <c r="P49" s="24">
        <f t="shared" si="11"/>
        <v>6743.6806042292355</v>
      </c>
    </row>
    <row r="50" spans="1:16">
      <c r="A50" s="5">
        <f t="shared" si="3"/>
        <v>32</v>
      </c>
      <c r="B50" s="5">
        <f t="shared" si="4"/>
        <v>51001</v>
      </c>
      <c r="C50" s="7">
        <f t="shared" si="5"/>
        <v>510000</v>
      </c>
      <c r="D50" s="7">
        <f t="shared" si="6"/>
        <v>101</v>
      </c>
      <c r="E50" s="23">
        <v>9.2383722984287382E-3</v>
      </c>
      <c r="F50" s="6">
        <f t="shared" si="1"/>
        <v>5.2098684819243624E-2</v>
      </c>
      <c r="G50" s="24">
        <f t="shared" si="2"/>
        <v>245.46659377552177</v>
      </c>
      <c r="J50" s="5">
        <f t="shared" si="7"/>
        <v>3018</v>
      </c>
      <c r="K50" s="42">
        <f t="shared" si="12"/>
        <v>8960295.1736197826</v>
      </c>
      <c r="L50" s="7">
        <f t="shared" si="13"/>
        <v>143364.72277791653</v>
      </c>
      <c r="M50" s="7">
        <f t="shared" si="10"/>
        <v>64</v>
      </c>
      <c r="N50" s="23">
        <v>0.80676942894069048</v>
      </c>
      <c r="O50" s="6">
        <f t="shared" si="0"/>
        <v>5.2098684819243624E-2</v>
      </c>
      <c r="P50" s="24">
        <f t="shared" si="11"/>
        <v>6025.8524380941344</v>
      </c>
    </row>
    <row r="51" spans="1:16">
      <c r="A51" s="5">
        <f t="shared" si="3"/>
        <v>33</v>
      </c>
      <c r="B51" s="5">
        <f t="shared" si="4"/>
        <v>51001</v>
      </c>
      <c r="C51" s="7">
        <f t="shared" si="5"/>
        <v>510000</v>
      </c>
      <c r="D51" s="7">
        <f t="shared" si="6"/>
        <v>102</v>
      </c>
      <c r="E51" s="23">
        <v>5.940273387889679E-3</v>
      </c>
      <c r="F51" s="6">
        <f t="shared" si="1"/>
        <v>4.7362440744766934E-2</v>
      </c>
      <c r="G51" s="24">
        <f t="shared" si="2"/>
        <v>143.48638163423681</v>
      </c>
      <c r="J51" s="5">
        <f t="shared" si="7"/>
        <v>3018</v>
      </c>
      <c r="K51" s="42">
        <f t="shared" si="12"/>
        <v>8960295.1736197826</v>
      </c>
      <c r="L51" s="7">
        <f t="shared" si="13"/>
        <v>143364.72277791653</v>
      </c>
      <c r="M51" s="7">
        <f t="shared" si="10"/>
        <v>65</v>
      </c>
      <c r="N51" s="23">
        <v>0.79298252649221979</v>
      </c>
      <c r="O51" s="6">
        <f t="shared" ref="O51:O82" si="14">(1/(1+$C$7))^(A51-1)</f>
        <v>4.7362440744766934E-2</v>
      </c>
      <c r="P51" s="24">
        <f t="shared" si="11"/>
        <v>5384.4331807341205</v>
      </c>
    </row>
    <row r="52" spans="1:16">
      <c r="A52" s="5">
        <f t="shared" si="3"/>
        <v>34</v>
      </c>
      <c r="B52" s="5">
        <f t="shared" si="4"/>
        <v>51001</v>
      </c>
      <c r="C52" s="7">
        <f t="shared" si="5"/>
        <v>510000</v>
      </c>
      <c r="D52" s="7">
        <f t="shared" si="6"/>
        <v>103</v>
      </c>
      <c r="E52" s="23">
        <v>3.7067305940431598E-3</v>
      </c>
      <c r="F52" s="6">
        <f t="shared" si="1"/>
        <v>4.3056764313424485E-2</v>
      </c>
      <c r="G52" s="24">
        <f t="shared" si="2"/>
        <v>81.395911036148902</v>
      </c>
      <c r="J52" s="5">
        <f t="shared" si="7"/>
        <v>3018</v>
      </c>
      <c r="K52" s="42">
        <f t="shared" si="12"/>
        <v>8960295.1736197826</v>
      </c>
      <c r="L52" s="7">
        <f t="shared" si="13"/>
        <v>143364.72277791653</v>
      </c>
      <c r="M52" s="7">
        <f t="shared" si="10"/>
        <v>66</v>
      </c>
      <c r="N52" s="23">
        <v>0.77943122875595694</v>
      </c>
      <c r="O52" s="6">
        <f t="shared" si="14"/>
        <v>4.3056764313424485E-2</v>
      </c>
      <c r="P52" s="24">
        <f t="shared" si="11"/>
        <v>4811.2895188917419</v>
      </c>
    </row>
    <row r="53" spans="1:16">
      <c r="A53" s="5">
        <f t="shared" si="3"/>
        <v>35</v>
      </c>
      <c r="B53" s="5">
        <f t="shared" si="4"/>
        <v>51001</v>
      </c>
      <c r="C53" s="7">
        <f t="shared" si="5"/>
        <v>510000</v>
      </c>
      <c r="D53" s="7">
        <f t="shared" si="6"/>
        <v>104</v>
      </c>
      <c r="E53" s="23">
        <v>2.2388652788020683E-3</v>
      </c>
      <c r="F53" s="6">
        <f t="shared" si="1"/>
        <v>3.9142513012204075E-2</v>
      </c>
      <c r="G53" s="24">
        <f t="shared" si="2"/>
        <v>44.693754787121748</v>
      </c>
      <c r="J53" s="5">
        <f t="shared" si="7"/>
        <v>3018</v>
      </c>
      <c r="K53" s="42">
        <f t="shared" si="12"/>
        <v>8960295.1736197826</v>
      </c>
      <c r="L53" s="7">
        <f t="shared" si="13"/>
        <v>143364.72277791653</v>
      </c>
      <c r="M53" s="7">
        <f t="shared" si="10"/>
        <v>67</v>
      </c>
      <c r="N53" s="23">
        <v>0.76611150947722861</v>
      </c>
      <c r="O53" s="6">
        <f t="shared" si="14"/>
        <v>3.9142513012204075E-2</v>
      </c>
      <c r="P53" s="24">
        <f t="shared" si="11"/>
        <v>4299.1538863226142</v>
      </c>
    </row>
    <row r="54" spans="1:16">
      <c r="A54" s="5">
        <f t="shared" si="3"/>
        <v>36</v>
      </c>
      <c r="B54" s="5">
        <f t="shared" si="4"/>
        <v>51001</v>
      </c>
      <c r="C54" s="7">
        <f t="shared" si="5"/>
        <v>510000</v>
      </c>
      <c r="D54" s="7">
        <f>D53+1</f>
        <v>105</v>
      </c>
      <c r="E54" s="23">
        <v>1.3052584575416056E-3</v>
      </c>
      <c r="F54" s="6">
        <f t="shared" si="1"/>
        <v>3.5584102738367339E-2</v>
      </c>
      <c r="G54" s="24">
        <f t="shared" si="2"/>
        <v>23.687690037174523</v>
      </c>
      <c r="J54" s="5">
        <f t="shared" si="7"/>
        <v>3018</v>
      </c>
      <c r="K54" s="42">
        <f t="shared" si="12"/>
        <v>8960295.1736197826</v>
      </c>
      <c r="L54" s="7">
        <f t="shared" si="13"/>
        <v>143364.72277791653</v>
      </c>
      <c r="M54" s="7">
        <f>M53+1</f>
        <v>68</v>
      </c>
      <c r="N54" s="23">
        <v>0.75301941120612559</v>
      </c>
      <c r="O54" s="6">
        <f t="shared" si="14"/>
        <v>3.5584102738367339E-2</v>
      </c>
      <c r="P54" s="24">
        <f t="shared" si="11"/>
        <v>3841.5323097289402</v>
      </c>
    </row>
    <row r="55" spans="1:16">
      <c r="A55" s="5">
        <f t="shared" si="3"/>
        <v>37</v>
      </c>
      <c r="B55" s="5">
        <f t="shared" si="4"/>
        <v>51001</v>
      </c>
      <c r="C55" s="7">
        <f t="shared" si="5"/>
        <v>510000</v>
      </c>
      <c r="D55" s="7">
        <f t="shared" si="6"/>
        <v>106</v>
      </c>
      <c r="E55" s="23">
        <v>7.309447362232992E-4</v>
      </c>
      <c r="F55" s="6">
        <f t="shared" si="1"/>
        <v>3.2349184307606665E-2</v>
      </c>
      <c r="G55" s="24">
        <f t="shared" si="2"/>
        <v>12.059187655288847</v>
      </c>
      <c r="J55" s="5">
        <f t="shared" si="7"/>
        <v>3018</v>
      </c>
      <c r="K55" s="42">
        <f t="shared" si="12"/>
        <v>8960295.1736197826</v>
      </c>
      <c r="L55" s="7">
        <f t="shared" si="13"/>
        <v>143364.72277791653</v>
      </c>
      <c r="M55" s="7">
        <f t="shared" ref="M55:M61" si="15">M54+1</f>
        <v>69</v>
      </c>
      <c r="N55" s="23">
        <v>0.73888523685778662</v>
      </c>
      <c r="O55" s="6">
        <f t="shared" si="14"/>
        <v>3.2349184307606665E-2</v>
      </c>
      <c r="P55" s="24">
        <f t="shared" si="11"/>
        <v>3426.7515893412065</v>
      </c>
    </row>
    <row r="56" spans="1:16">
      <c r="A56" s="5">
        <f t="shared" si="3"/>
        <v>38</v>
      </c>
      <c r="B56" s="5">
        <f t="shared" si="4"/>
        <v>51001</v>
      </c>
      <c r="C56" s="7">
        <f t="shared" si="5"/>
        <v>510000</v>
      </c>
      <c r="D56" s="7">
        <f t="shared" si="6"/>
        <v>107</v>
      </c>
      <c r="E56" s="23">
        <v>3.9105543387946503E-4</v>
      </c>
      <c r="F56" s="6">
        <f t="shared" si="1"/>
        <v>2.9408349370551517E-2</v>
      </c>
      <c r="G56" s="24">
        <f t="shared" si="2"/>
        <v>5.8651503596177577</v>
      </c>
      <c r="J56" s="5">
        <f t="shared" si="7"/>
        <v>3018</v>
      </c>
      <c r="K56" s="42">
        <f t="shared" si="12"/>
        <v>8960295.1736197826</v>
      </c>
      <c r="L56" s="7">
        <f t="shared" si="13"/>
        <v>143364.72277791653</v>
      </c>
      <c r="M56" s="7">
        <f t="shared" si="15"/>
        <v>70</v>
      </c>
      <c r="N56" s="23">
        <v>0.72351642393114468</v>
      </c>
      <c r="O56" s="6">
        <f t="shared" si="14"/>
        <v>2.9408349370551517E-2</v>
      </c>
      <c r="P56" s="24">
        <f t="shared" si="11"/>
        <v>3050.4319602571909</v>
      </c>
    </row>
    <row r="57" spans="1:16">
      <c r="A57" s="5">
        <f t="shared" si="3"/>
        <v>39</v>
      </c>
      <c r="B57" s="5">
        <f t="shared" si="4"/>
        <v>51001</v>
      </c>
      <c r="C57" s="7">
        <f t="shared" si="5"/>
        <v>510000</v>
      </c>
      <c r="D57" s="7">
        <f t="shared" si="6"/>
        <v>108</v>
      </c>
      <c r="E57" s="23">
        <v>1.9826510497688877E-4</v>
      </c>
      <c r="F57" s="6">
        <f t="shared" si="1"/>
        <v>2.6734863064137738E-2</v>
      </c>
      <c r="G57" s="24">
        <f t="shared" si="2"/>
        <v>2.7033011202965471</v>
      </c>
      <c r="J57" s="5">
        <f t="shared" si="7"/>
        <v>3018</v>
      </c>
      <c r="K57" s="42">
        <f t="shared" si="12"/>
        <v>8960295.1736197826</v>
      </c>
      <c r="L57" s="7">
        <f t="shared" si="13"/>
        <v>143364.72277791653</v>
      </c>
      <c r="M57" s="7">
        <f t="shared" si="15"/>
        <v>71</v>
      </c>
      <c r="N57" s="23">
        <v>0.70682490003105314</v>
      </c>
      <c r="O57" s="6">
        <f t="shared" si="14"/>
        <v>2.6734863064137738E-2</v>
      </c>
      <c r="P57" s="24">
        <f t="shared" si="11"/>
        <v>2709.1440863036883</v>
      </c>
    </row>
    <row r="58" spans="1:16">
      <c r="A58" s="5">
        <f t="shared" si="3"/>
        <v>40</v>
      </c>
      <c r="B58" s="5">
        <f t="shared" si="4"/>
        <v>51001</v>
      </c>
      <c r="C58" s="7">
        <f t="shared" si="5"/>
        <v>510000</v>
      </c>
      <c r="D58" s="7">
        <f t="shared" si="6"/>
        <v>109</v>
      </c>
      <c r="E58" s="23">
        <v>9.4374189968999043E-5</v>
      </c>
      <c r="F58" s="6">
        <f t="shared" si="1"/>
        <v>2.4304420967397943E-2</v>
      </c>
      <c r="G58" s="24">
        <f t="shared" si="2"/>
        <v>1.1697921211465059</v>
      </c>
      <c r="J58" s="5">
        <f t="shared" si="7"/>
        <v>3018</v>
      </c>
      <c r="K58" s="42">
        <f t="shared" si="12"/>
        <v>8960295.1736197826</v>
      </c>
      <c r="L58" s="7">
        <f t="shared" si="13"/>
        <v>143364.72277791653</v>
      </c>
      <c r="M58" s="7">
        <f t="shared" si="15"/>
        <v>72</v>
      </c>
      <c r="N58" s="23">
        <v>0.68873725083925852</v>
      </c>
      <c r="O58" s="6">
        <f t="shared" si="14"/>
        <v>2.4304420967397943E-2</v>
      </c>
      <c r="P58" s="24">
        <f t="shared" si="11"/>
        <v>2399.8337173956152</v>
      </c>
    </row>
    <row r="59" spans="1:16">
      <c r="A59" s="5">
        <f t="shared" si="3"/>
        <v>41</v>
      </c>
      <c r="B59" s="5">
        <f t="shared" si="4"/>
        <v>51001</v>
      </c>
      <c r="C59" s="7">
        <f t="shared" si="5"/>
        <v>510000</v>
      </c>
      <c r="D59" s="7">
        <f t="shared" si="6"/>
        <v>110</v>
      </c>
      <c r="E59" s="23">
        <v>4.1619017776328575E-5</v>
      </c>
      <c r="F59" s="6">
        <f t="shared" si="1"/>
        <v>2.2094928152179949E-2</v>
      </c>
      <c r="G59" s="24">
        <f t="shared" si="2"/>
        <v>0.46898029584146278</v>
      </c>
      <c r="J59" s="5">
        <f t="shared" si="7"/>
        <v>3018</v>
      </c>
      <c r="K59" s="42">
        <f t="shared" si="12"/>
        <v>8960295.1736197826</v>
      </c>
      <c r="L59" s="7">
        <f t="shared" si="13"/>
        <v>143364.72277791653</v>
      </c>
      <c r="M59" s="7">
        <f t="shared" si="15"/>
        <v>73</v>
      </c>
      <c r="N59" s="23">
        <v>0.6691840002879319</v>
      </c>
      <c r="O59" s="6">
        <f t="shared" si="14"/>
        <v>2.2094928152179949E-2</v>
      </c>
      <c r="P59" s="24">
        <f t="shared" si="11"/>
        <v>2119.7294892352306</v>
      </c>
    </row>
    <row r="60" spans="1:16">
      <c r="A60" s="5">
        <f t="shared" si="3"/>
        <v>42</v>
      </c>
      <c r="B60" s="5">
        <f t="shared" si="4"/>
        <v>51001</v>
      </c>
      <c r="C60" s="7">
        <f t="shared" si="5"/>
        <v>510000</v>
      </c>
      <c r="D60" s="7">
        <f t="shared" si="6"/>
        <v>111</v>
      </c>
      <c r="E60" s="23">
        <v>1.6689226128307759E-5</v>
      </c>
      <c r="F60" s="6">
        <f t="shared" si="1"/>
        <v>2.0086298320163589E-2</v>
      </c>
      <c r="G60" s="24">
        <f t="shared" si="2"/>
        <v>0.17096463512038779</v>
      </c>
      <c r="J60" s="5">
        <f t="shared" si="7"/>
        <v>3018</v>
      </c>
      <c r="K60" s="42">
        <f t="shared" si="12"/>
        <v>8960295.1736197826</v>
      </c>
      <c r="L60" s="7">
        <f t="shared" si="13"/>
        <v>143364.72277791653</v>
      </c>
      <c r="M60" s="7">
        <f t="shared" si="15"/>
        <v>74</v>
      </c>
      <c r="N60" s="23">
        <v>0.64809801243885912</v>
      </c>
      <c r="O60" s="6">
        <f t="shared" si="14"/>
        <v>2.0086298320163589E-2</v>
      </c>
      <c r="P60" s="24">
        <f t="shared" si="11"/>
        <v>1866.3061936631166</v>
      </c>
    </row>
    <row r="61" spans="1:16">
      <c r="A61" s="5">
        <f t="shared" si="3"/>
        <v>43</v>
      </c>
      <c r="B61" s="5">
        <f t="shared" si="4"/>
        <v>51001</v>
      </c>
      <c r="C61" s="7">
        <f t="shared" si="5"/>
        <v>510000</v>
      </c>
      <c r="D61" s="7">
        <f t="shared" si="6"/>
        <v>112</v>
      </c>
      <c r="E61" s="23">
        <v>5.9246752755492538E-6</v>
      </c>
      <c r="F61" s="6">
        <f t="shared" si="1"/>
        <v>1.8260271200148715E-2</v>
      </c>
      <c r="G61" s="24">
        <f t="shared" si="2"/>
        <v>5.517495042521605E-2</v>
      </c>
      <c r="J61" s="5">
        <f t="shared" si="7"/>
        <v>3018</v>
      </c>
      <c r="K61" s="42">
        <f t="shared" si="12"/>
        <v>8960295.1736197826</v>
      </c>
      <c r="L61" s="7">
        <f t="shared" si="13"/>
        <v>143364.72277791653</v>
      </c>
      <c r="M61" s="7">
        <f t="shared" si="15"/>
        <v>75</v>
      </c>
      <c r="N61" s="23">
        <v>0.62542754396374778</v>
      </c>
      <c r="O61" s="6">
        <f t="shared" si="14"/>
        <v>1.8260271200148715E-2</v>
      </c>
      <c r="P61" s="24">
        <f t="shared" si="11"/>
        <v>1637.2934572807094</v>
      </c>
    </row>
    <row r="62" spans="1:16">
      <c r="A62" s="5">
        <f t="shared" si="3"/>
        <v>44</v>
      </c>
      <c r="B62" s="5">
        <f t="shared" si="4"/>
        <v>51001</v>
      </c>
      <c r="C62" s="7">
        <f t="shared" si="5"/>
        <v>510000</v>
      </c>
      <c r="D62" s="7">
        <f>D61+1</f>
        <v>113</v>
      </c>
      <c r="E62" s="23">
        <v>1.789251933215875E-6</v>
      </c>
      <c r="F62" s="6">
        <f t="shared" si="1"/>
        <v>1.6600246545589743E-2</v>
      </c>
      <c r="G62" s="24">
        <f t="shared" si="2"/>
        <v>1.5148031844013865E-2</v>
      </c>
      <c r="J62" s="5">
        <f t="shared" si="7"/>
        <v>3018</v>
      </c>
      <c r="K62" s="42">
        <f t="shared" si="12"/>
        <v>8960295.1736197826</v>
      </c>
      <c r="L62" s="7">
        <f t="shared" si="13"/>
        <v>143364.72277791653</v>
      </c>
      <c r="M62" s="7">
        <f>M61+1</f>
        <v>76</v>
      </c>
      <c r="N62" s="23">
        <v>0.60115470098251467</v>
      </c>
      <c r="O62" s="6">
        <f t="shared" si="14"/>
        <v>1.6600246545589743E-2</v>
      </c>
      <c r="P62" s="24">
        <f t="shared" si="11"/>
        <v>1430.6819074578591</v>
      </c>
    </row>
    <row r="63" spans="1:16">
      <c r="A63" s="5">
        <f t="shared" si="3"/>
        <v>45</v>
      </c>
      <c r="B63" s="5">
        <f t="shared" si="4"/>
        <v>51001</v>
      </c>
      <c r="C63" s="7">
        <f t="shared" si="5"/>
        <v>510000</v>
      </c>
      <c r="D63" s="7">
        <f t="shared" si="6"/>
        <v>114</v>
      </c>
      <c r="E63" s="23">
        <v>4.3120971590502588E-7</v>
      </c>
      <c r="F63" s="6">
        <f t="shared" si="1"/>
        <v>1.50911332232634E-2</v>
      </c>
      <c r="G63" s="24">
        <f t="shared" si="2"/>
        <v>3.3187960676430376E-3</v>
      </c>
      <c r="J63" s="5">
        <f t="shared" si="7"/>
        <v>3018</v>
      </c>
      <c r="K63" s="42">
        <f t="shared" si="12"/>
        <v>8960295.1736197826</v>
      </c>
      <c r="L63" s="7">
        <f t="shared" si="13"/>
        <v>143364.72277791653</v>
      </c>
      <c r="M63" s="7">
        <f t="shared" ref="M63" si="16">M62+1</f>
        <v>77</v>
      </c>
      <c r="N63" s="23">
        <v>0.57526897955820755</v>
      </c>
      <c r="O63" s="6">
        <f t="shared" si="14"/>
        <v>1.50911332232634E-2</v>
      </c>
      <c r="P63" s="24">
        <f t="shared" si="11"/>
        <v>1244.6152222933849</v>
      </c>
    </row>
    <row r="64" spans="1:16">
      <c r="A64" s="5">
        <f t="shared" si="3"/>
        <v>46</v>
      </c>
      <c r="B64" s="5">
        <f t="shared" si="4"/>
        <v>51001</v>
      </c>
      <c r="C64" s="7">
        <f t="shared" si="5"/>
        <v>510000</v>
      </c>
      <c r="D64" s="7">
        <f>D63+1</f>
        <v>115</v>
      </c>
      <c r="E64" s="23">
        <v>7.3736861419759438E-8</v>
      </c>
      <c r="F64" s="6">
        <f t="shared" si="1"/>
        <v>1.3719212021148543E-2</v>
      </c>
      <c r="G64" s="24">
        <f t="shared" si="2"/>
        <v>5.1592193415178123E-4</v>
      </c>
      <c r="J64" s="5">
        <f t="shared" si="7"/>
        <v>3018</v>
      </c>
      <c r="K64" s="42">
        <f t="shared" si="12"/>
        <v>8960295.1736197826</v>
      </c>
      <c r="L64" s="7">
        <f t="shared" si="13"/>
        <v>143364.72277791653</v>
      </c>
      <c r="M64" s="7">
        <f>M63+1</f>
        <v>78</v>
      </c>
      <c r="N64" s="23">
        <v>0.54779413309450753</v>
      </c>
      <c r="O64" s="6">
        <f t="shared" si="14"/>
        <v>1.3719212021148543E-2</v>
      </c>
      <c r="P64" s="24">
        <f t="shared" si="11"/>
        <v>1077.429453887866</v>
      </c>
    </row>
    <row r="65" spans="1:16">
      <c r="A65" s="5">
        <f t="shared" si="3"/>
        <v>47</v>
      </c>
      <c r="B65" s="5">
        <f t="shared" si="4"/>
        <v>51001</v>
      </c>
      <c r="C65" s="7">
        <f t="shared" si="5"/>
        <v>510000</v>
      </c>
      <c r="D65" s="7">
        <f t="shared" si="6"/>
        <v>116</v>
      </c>
      <c r="E65" s="23">
        <v>6.7100543891981066E-9</v>
      </c>
      <c r="F65" s="6">
        <f t="shared" si="1"/>
        <v>1.2472010928316856E-2</v>
      </c>
      <c r="G65" s="24">
        <f t="shared" si="2"/>
        <v>4.2680814552556425E-5</v>
      </c>
      <c r="J65" s="5">
        <f t="shared" si="7"/>
        <v>3018</v>
      </c>
      <c r="K65" s="42">
        <f t="shared" si="12"/>
        <v>8960295.1736197826</v>
      </c>
      <c r="L65" s="7">
        <f t="shared" si="13"/>
        <v>143364.72277791653</v>
      </c>
      <c r="M65" s="7">
        <f t="shared" ref="M65:M79" si="17">M64+1</f>
        <v>79</v>
      </c>
      <c r="N65" s="23">
        <v>0.51878843374715333</v>
      </c>
      <c r="O65" s="6">
        <f t="shared" si="14"/>
        <v>1.2472010928316856E-2</v>
      </c>
      <c r="P65" s="24">
        <f t="shared" si="11"/>
        <v>927.61778573136667</v>
      </c>
    </row>
    <row r="66" spans="1:16">
      <c r="A66" s="5">
        <f t="shared" si="3"/>
        <v>48</v>
      </c>
      <c r="B66" s="5">
        <f t="shared" si="4"/>
        <v>51001</v>
      </c>
      <c r="C66" s="7">
        <f t="shared" si="5"/>
        <v>510000</v>
      </c>
      <c r="D66" s="7">
        <f t="shared" si="6"/>
        <v>117</v>
      </c>
      <c r="E66" s="23">
        <v>0</v>
      </c>
      <c r="F66" s="6">
        <f t="shared" si="1"/>
        <v>1.1338191753015325E-2</v>
      </c>
      <c r="G66" s="24">
        <f t="shared" si="2"/>
        <v>0</v>
      </c>
      <c r="J66" s="5">
        <f t="shared" si="7"/>
        <v>3018</v>
      </c>
      <c r="K66" s="42">
        <f t="shared" si="12"/>
        <v>8960295.1736197826</v>
      </c>
      <c r="L66" s="7">
        <f t="shared" si="13"/>
        <v>143364.72277791653</v>
      </c>
      <c r="M66" s="7">
        <f t="shared" si="17"/>
        <v>80</v>
      </c>
      <c r="N66" s="23">
        <v>0.48835630422354531</v>
      </c>
      <c r="O66" s="6">
        <f t="shared" si="14"/>
        <v>1.1338191753015325E-2</v>
      </c>
      <c r="P66" s="24">
        <f t="shared" si="11"/>
        <v>793.82156947305884</v>
      </c>
    </row>
    <row r="67" spans="1:16">
      <c r="A67" s="5">
        <f t="shared" si="3"/>
        <v>49</v>
      </c>
      <c r="B67" s="5">
        <f t="shared" si="4"/>
        <v>51001</v>
      </c>
      <c r="C67" s="7">
        <f t="shared" si="5"/>
        <v>510000</v>
      </c>
      <c r="D67" s="7">
        <f t="shared" si="6"/>
        <v>118</v>
      </c>
      <c r="E67" s="23">
        <v>0</v>
      </c>
      <c r="F67" s="6">
        <f t="shared" si="1"/>
        <v>1.0307447048195749E-2</v>
      </c>
      <c r="G67" s="24">
        <f t="shared" si="2"/>
        <v>0</v>
      </c>
      <c r="J67" s="5">
        <f t="shared" si="7"/>
        <v>3018</v>
      </c>
      <c r="K67" s="42">
        <f t="shared" si="12"/>
        <v>8960295.1736197826</v>
      </c>
      <c r="L67" s="7">
        <f t="shared" si="13"/>
        <v>143364.72277791653</v>
      </c>
      <c r="M67" s="7">
        <f t="shared" si="17"/>
        <v>81</v>
      </c>
      <c r="N67" s="23">
        <v>0.45663756226422608</v>
      </c>
      <c r="O67" s="6">
        <f t="shared" si="14"/>
        <v>1.0307447048195749E-2</v>
      </c>
      <c r="P67" s="24">
        <f t="shared" si="11"/>
        <v>674.78441685071255</v>
      </c>
    </row>
    <row r="68" spans="1:16">
      <c r="A68" s="5">
        <f t="shared" si="3"/>
        <v>50</v>
      </c>
      <c r="B68" s="5">
        <f t="shared" si="4"/>
        <v>51001</v>
      </c>
      <c r="C68" s="7">
        <f t="shared" si="5"/>
        <v>510000</v>
      </c>
      <c r="D68" s="7">
        <f t="shared" si="6"/>
        <v>119</v>
      </c>
      <c r="E68" s="23">
        <v>0</v>
      </c>
      <c r="F68" s="6">
        <f t="shared" si="1"/>
        <v>9.3704064074506804E-3</v>
      </c>
      <c r="G68" s="24">
        <f t="shared" si="2"/>
        <v>0</v>
      </c>
      <c r="J68" s="5">
        <f t="shared" si="7"/>
        <v>3018</v>
      </c>
      <c r="K68" s="42">
        <f t="shared" si="12"/>
        <v>8960295.1736197826</v>
      </c>
      <c r="L68" s="7">
        <f t="shared" si="13"/>
        <v>143364.72277791653</v>
      </c>
      <c r="M68" s="7">
        <f t="shared" si="17"/>
        <v>82</v>
      </c>
      <c r="N68" s="23">
        <v>0.42383271979116405</v>
      </c>
      <c r="O68" s="6">
        <f t="shared" si="14"/>
        <v>9.3704064074506804E-3</v>
      </c>
      <c r="P68" s="24">
        <f t="shared" si="11"/>
        <v>569.37082213105202</v>
      </c>
    </row>
    <row r="69" spans="1:16">
      <c r="A69" s="5">
        <f t="shared" si="3"/>
        <v>51</v>
      </c>
      <c r="B69" s="5">
        <f t="shared" si="4"/>
        <v>51001</v>
      </c>
      <c r="C69" s="7">
        <f t="shared" si="5"/>
        <v>510000</v>
      </c>
      <c r="D69" s="7">
        <f t="shared" si="6"/>
        <v>120</v>
      </c>
      <c r="E69" s="23">
        <v>0</v>
      </c>
      <c r="F69" s="6">
        <f t="shared" si="1"/>
        <v>8.518551279500618E-3</v>
      </c>
      <c r="G69" s="24">
        <f t="shared" si="2"/>
        <v>0</v>
      </c>
      <c r="J69" s="5">
        <f t="shared" si="7"/>
        <v>3018</v>
      </c>
      <c r="K69" s="42">
        <f t="shared" si="12"/>
        <v>8960295.1736197826</v>
      </c>
      <c r="L69" s="7">
        <f t="shared" si="13"/>
        <v>143364.72277791653</v>
      </c>
      <c r="M69" s="7">
        <f t="shared" si="17"/>
        <v>83</v>
      </c>
      <c r="N69" s="23">
        <v>0.39018887849414147</v>
      </c>
      <c r="O69" s="6">
        <f t="shared" si="14"/>
        <v>8.518551279500618E-3</v>
      </c>
      <c r="P69" s="24">
        <f t="shared" si="11"/>
        <v>476.52196933662646</v>
      </c>
    </row>
    <row r="70" spans="1:16">
      <c r="A70" s="5">
        <f t="shared" si="3"/>
        <v>52</v>
      </c>
      <c r="B70" s="5">
        <f t="shared" ref="B70:B79" si="18">B69</f>
        <v>51001</v>
      </c>
      <c r="C70" s="7">
        <f t="shared" ref="C70:C79" si="19">C69</f>
        <v>510000</v>
      </c>
      <c r="D70" s="7">
        <f t="shared" ref="D70:D79" si="20">D69+1</f>
        <v>121</v>
      </c>
      <c r="E70" s="23">
        <v>0</v>
      </c>
      <c r="F70" s="6">
        <f t="shared" si="1"/>
        <v>7.7441375268187439E-3</v>
      </c>
      <c r="G70" s="24">
        <f t="shared" si="2"/>
        <v>0</v>
      </c>
      <c r="J70" s="5">
        <f t="shared" si="7"/>
        <v>3018</v>
      </c>
      <c r="K70" s="42">
        <f t="shared" si="12"/>
        <v>8960295.1736197826</v>
      </c>
      <c r="L70" s="7">
        <f t="shared" si="13"/>
        <v>143364.72277791653</v>
      </c>
      <c r="M70" s="7">
        <f t="shared" si="17"/>
        <v>84</v>
      </c>
      <c r="N70" s="23">
        <v>0.35600833273805466</v>
      </c>
      <c r="O70" s="6">
        <f t="shared" si="14"/>
        <v>7.7441375268187439E-3</v>
      </c>
      <c r="P70" s="24">
        <f t="shared" si="11"/>
        <v>395.25331347521632</v>
      </c>
    </row>
    <row r="71" spans="1:16">
      <c r="A71" s="5">
        <f t="shared" si="3"/>
        <v>53</v>
      </c>
      <c r="B71" s="5">
        <f t="shared" si="18"/>
        <v>51001</v>
      </c>
      <c r="C71" s="7">
        <f t="shared" si="19"/>
        <v>510000</v>
      </c>
      <c r="D71" s="7">
        <f t="shared" si="20"/>
        <v>122</v>
      </c>
      <c r="E71" s="23">
        <v>0</v>
      </c>
      <c r="F71" s="6">
        <f t="shared" si="1"/>
        <v>7.0401250243806749E-3</v>
      </c>
      <c r="G71" s="24">
        <f t="shared" si="2"/>
        <v>0</v>
      </c>
      <c r="J71" s="5">
        <f t="shared" si="7"/>
        <v>3018</v>
      </c>
      <c r="K71" s="42">
        <f t="shared" si="12"/>
        <v>8960295.1736197826</v>
      </c>
      <c r="L71" s="7">
        <f t="shared" si="13"/>
        <v>143364.72277791653</v>
      </c>
      <c r="M71" s="7">
        <f t="shared" si="17"/>
        <v>85</v>
      </c>
      <c r="N71" s="23">
        <v>0.32163216812886808</v>
      </c>
      <c r="O71" s="6">
        <f t="shared" si="14"/>
        <v>7.0401250243806749E-3</v>
      </c>
      <c r="P71" s="24">
        <f t="shared" si="11"/>
        <v>324.6251395691358</v>
      </c>
    </row>
    <row r="72" spans="1:16">
      <c r="A72" s="5">
        <f t="shared" si="3"/>
        <v>54</v>
      </c>
      <c r="B72" s="5">
        <f t="shared" si="18"/>
        <v>51001</v>
      </c>
      <c r="C72" s="7">
        <f t="shared" si="19"/>
        <v>510000</v>
      </c>
      <c r="D72" s="7">
        <f t="shared" si="20"/>
        <v>123</v>
      </c>
      <c r="E72" s="23">
        <v>0</v>
      </c>
      <c r="F72" s="6">
        <f t="shared" si="1"/>
        <v>6.4001136585278874E-3</v>
      </c>
      <c r="G72" s="24">
        <f t="shared" si="2"/>
        <v>0</v>
      </c>
      <c r="J72" s="5">
        <f t="shared" si="7"/>
        <v>3018</v>
      </c>
      <c r="K72" s="42">
        <f t="shared" si="12"/>
        <v>8960295.1736197826</v>
      </c>
      <c r="L72" s="7">
        <f t="shared" si="13"/>
        <v>143364.72277791653</v>
      </c>
      <c r="M72" s="7">
        <f t="shared" si="17"/>
        <v>86</v>
      </c>
      <c r="N72" s="23">
        <v>0.28744910130013196</v>
      </c>
      <c r="O72" s="6">
        <f t="shared" si="14"/>
        <v>6.4001136585278874E-3</v>
      </c>
      <c r="P72" s="24">
        <f t="shared" si="11"/>
        <v>263.7490724870255</v>
      </c>
    </row>
    <row r="73" spans="1:16">
      <c r="A73" s="5">
        <f t="shared" si="3"/>
        <v>55</v>
      </c>
      <c r="B73" s="5">
        <f t="shared" si="18"/>
        <v>51001</v>
      </c>
      <c r="C73" s="7">
        <f t="shared" si="19"/>
        <v>510000</v>
      </c>
      <c r="D73" s="7">
        <f t="shared" si="20"/>
        <v>124</v>
      </c>
      <c r="E73" s="23">
        <v>0</v>
      </c>
      <c r="F73" s="6">
        <f t="shared" si="1"/>
        <v>5.81828514411626E-3</v>
      </c>
      <c r="G73" s="24">
        <f t="shared" si="2"/>
        <v>0</v>
      </c>
      <c r="J73" s="5">
        <f t="shared" si="7"/>
        <v>3018</v>
      </c>
      <c r="K73" s="42">
        <f t="shared" si="12"/>
        <v>8960295.1736197826</v>
      </c>
      <c r="L73" s="7">
        <f t="shared" si="13"/>
        <v>143364.72277791653</v>
      </c>
      <c r="M73" s="7">
        <f t="shared" si="17"/>
        <v>87</v>
      </c>
      <c r="N73" s="23">
        <v>0.25388079525030255</v>
      </c>
      <c r="O73" s="6">
        <f t="shared" si="14"/>
        <v>5.81828514411626E-3</v>
      </c>
      <c r="P73" s="24">
        <f t="shared" si="11"/>
        <v>211.77132345635511</v>
      </c>
    </row>
    <row r="74" spans="1:16">
      <c r="A74" s="5">
        <f t="shared" si="3"/>
        <v>56</v>
      </c>
      <c r="B74" s="5">
        <f t="shared" si="18"/>
        <v>51001</v>
      </c>
      <c r="C74" s="7">
        <f t="shared" si="19"/>
        <v>510000</v>
      </c>
      <c r="D74" s="7">
        <f t="shared" si="20"/>
        <v>125</v>
      </c>
      <c r="E74" s="23">
        <v>0</v>
      </c>
      <c r="F74" s="6">
        <f t="shared" si="1"/>
        <v>5.2893501310147814E-3</v>
      </c>
      <c r="G74" s="24">
        <f t="shared" si="2"/>
        <v>0</v>
      </c>
      <c r="J74" s="5">
        <f t="shared" si="7"/>
        <v>3018</v>
      </c>
      <c r="K74" s="42">
        <f t="shared" si="12"/>
        <v>8960295.1736197826</v>
      </c>
      <c r="L74" s="7">
        <f t="shared" si="13"/>
        <v>143364.72277791653</v>
      </c>
      <c r="M74" s="7">
        <f t="shared" si="17"/>
        <v>88</v>
      </c>
      <c r="N74" s="23">
        <v>0.22136374299464381</v>
      </c>
      <c r="O74" s="6">
        <f t="shared" si="14"/>
        <v>5.2893501310147814E-3</v>
      </c>
      <c r="P74" s="24">
        <f t="shared" si="11"/>
        <v>167.86150213460468</v>
      </c>
    </row>
    <row r="75" spans="1:16">
      <c r="A75" s="5">
        <f t="shared" si="3"/>
        <v>57</v>
      </c>
      <c r="B75" s="5">
        <f t="shared" si="18"/>
        <v>51001</v>
      </c>
      <c r="C75" s="7">
        <f t="shared" si="19"/>
        <v>510000</v>
      </c>
      <c r="D75" s="7">
        <f t="shared" si="20"/>
        <v>126</v>
      </c>
      <c r="E75" s="23">
        <v>0</v>
      </c>
      <c r="F75" s="6">
        <f t="shared" si="1"/>
        <v>4.8085001191043465E-3</v>
      </c>
      <c r="G75" s="24">
        <f t="shared" si="2"/>
        <v>0</v>
      </c>
      <c r="J75" s="5">
        <f t="shared" si="7"/>
        <v>3018</v>
      </c>
      <c r="K75" s="42">
        <f t="shared" si="12"/>
        <v>8960295.1736197826</v>
      </c>
      <c r="L75" s="7">
        <f t="shared" si="13"/>
        <v>143364.72277791653</v>
      </c>
      <c r="M75" s="7">
        <f t="shared" si="17"/>
        <v>89</v>
      </c>
      <c r="N75" s="23">
        <v>0.19032633258936482</v>
      </c>
      <c r="O75" s="6">
        <f t="shared" si="14"/>
        <v>4.8085001191043465E-3</v>
      </c>
      <c r="P75" s="24">
        <f t="shared" si="11"/>
        <v>131.20512810937433</v>
      </c>
    </row>
    <row r="76" spans="1:16">
      <c r="A76" s="5">
        <f t="shared" si="3"/>
        <v>58</v>
      </c>
      <c r="B76" s="5">
        <f t="shared" si="18"/>
        <v>51001</v>
      </c>
      <c r="C76" s="7">
        <f t="shared" si="19"/>
        <v>510000</v>
      </c>
      <c r="D76" s="7">
        <f t="shared" si="20"/>
        <v>127</v>
      </c>
      <c r="E76" s="23">
        <v>0</v>
      </c>
      <c r="F76" s="6">
        <f t="shared" si="1"/>
        <v>4.3713637446403152E-3</v>
      </c>
      <c r="G76" s="24">
        <f t="shared" si="2"/>
        <v>0</v>
      </c>
      <c r="J76" s="5">
        <f t="shared" si="7"/>
        <v>3018</v>
      </c>
      <c r="K76" s="42">
        <f t="shared" si="12"/>
        <v>8960295.1736197826</v>
      </c>
      <c r="L76" s="7">
        <f t="shared" si="13"/>
        <v>143364.72277791653</v>
      </c>
      <c r="M76" s="7">
        <f t="shared" si="17"/>
        <v>90</v>
      </c>
      <c r="N76" s="23">
        <v>0.16117595148997771</v>
      </c>
      <c r="O76" s="6">
        <f t="shared" si="14"/>
        <v>4.3713637446403152E-3</v>
      </c>
      <c r="P76" s="24">
        <f t="shared" si="11"/>
        <v>101.00886426194778</v>
      </c>
    </row>
    <row r="77" spans="1:16">
      <c r="A77" s="5">
        <f t="shared" si="3"/>
        <v>59</v>
      </c>
      <c r="B77" s="5">
        <f t="shared" si="18"/>
        <v>51001</v>
      </c>
      <c r="C77" s="7">
        <f t="shared" si="19"/>
        <v>510000</v>
      </c>
      <c r="D77" s="7">
        <f t="shared" si="20"/>
        <v>128</v>
      </c>
      <c r="E77" s="23">
        <v>0</v>
      </c>
      <c r="F77" s="6">
        <f t="shared" si="1"/>
        <v>3.9739670405821038E-3</v>
      </c>
      <c r="G77" s="24">
        <f t="shared" si="2"/>
        <v>0</v>
      </c>
      <c r="J77" s="5">
        <f t="shared" si="7"/>
        <v>3018</v>
      </c>
      <c r="K77" s="42">
        <f t="shared" si="12"/>
        <v>8960295.1736197826</v>
      </c>
      <c r="L77" s="7">
        <f t="shared" si="13"/>
        <v>143364.72277791653</v>
      </c>
      <c r="M77" s="7">
        <f t="shared" si="17"/>
        <v>91</v>
      </c>
      <c r="N77" s="23">
        <v>0.13426923814824082</v>
      </c>
      <c r="O77" s="6">
        <f t="shared" si="14"/>
        <v>3.9739670405821038E-3</v>
      </c>
      <c r="P77" s="24">
        <f t="shared" si="11"/>
        <v>76.496767692780182</v>
      </c>
    </row>
    <row r="78" spans="1:16">
      <c r="A78" s="5">
        <f t="shared" si="3"/>
        <v>60</v>
      </c>
      <c r="B78" s="5">
        <f t="shared" si="18"/>
        <v>51001</v>
      </c>
      <c r="C78" s="7">
        <f t="shared" si="19"/>
        <v>510000</v>
      </c>
      <c r="D78" s="7">
        <f t="shared" si="20"/>
        <v>129</v>
      </c>
      <c r="E78" s="23">
        <v>0</v>
      </c>
      <c r="F78" s="6">
        <f t="shared" si="1"/>
        <v>3.612697309620095E-3</v>
      </c>
      <c r="G78" s="24">
        <f t="shared" si="2"/>
        <v>0</v>
      </c>
      <c r="J78" s="5">
        <f t="shared" si="7"/>
        <v>3018</v>
      </c>
      <c r="K78" s="42">
        <f t="shared" si="12"/>
        <v>8960295.1736197826</v>
      </c>
      <c r="L78" s="7">
        <f t="shared" si="13"/>
        <v>143364.72277791653</v>
      </c>
      <c r="M78" s="7">
        <f t="shared" si="17"/>
        <v>92</v>
      </c>
      <c r="N78" s="23">
        <v>0.10989802873195362</v>
      </c>
      <c r="O78" s="6">
        <f t="shared" si="14"/>
        <v>3.612697309620095E-3</v>
      </c>
      <c r="P78" s="24">
        <f t="shared" si="11"/>
        <v>56.919853989876046</v>
      </c>
    </row>
    <row r="79" spans="1:16">
      <c r="A79" s="5">
        <f t="shared" si="3"/>
        <v>61</v>
      </c>
      <c r="B79" s="5">
        <f t="shared" si="18"/>
        <v>51001</v>
      </c>
      <c r="C79" s="7">
        <f t="shared" si="19"/>
        <v>510000</v>
      </c>
      <c r="D79" s="7">
        <f t="shared" si="20"/>
        <v>130</v>
      </c>
      <c r="E79" s="23">
        <v>0</v>
      </c>
      <c r="F79" s="6">
        <f t="shared" si="1"/>
        <v>3.2842702814728135E-3</v>
      </c>
      <c r="G79" s="24">
        <f t="shared" si="2"/>
        <v>0</v>
      </c>
      <c r="J79" s="5">
        <f t="shared" si="7"/>
        <v>3018</v>
      </c>
      <c r="K79" s="42">
        <f t="shared" si="12"/>
        <v>8960295.1736197826</v>
      </c>
      <c r="L79" s="7">
        <f t="shared" si="13"/>
        <v>143364.72277791653</v>
      </c>
      <c r="M79" s="7">
        <f t="shared" si="17"/>
        <v>93</v>
      </c>
      <c r="N79" s="23">
        <v>8.8265700756355869E-2</v>
      </c>
      <c r="O79" s="6">
        <f t="shared" si="14"/>
        <v>3.2842702814728135E-3</v>
      </c>
      <c r="P79" s="24">
        <f t="shared" si="11"/>
        <v>41.559772664098951</v>
      </c>
    </row>
    <row r="80" spans="1:16">
      <c r="J80" s="5">
        <f t="shared" ref="J80:J105" si="21">J79</f>
        <v>3018</v>
      </c>
      <c r="K80" s="42">
        <f t="shared" si="12"/>
        <v>8960295.1736197826</v>
      </c>
      <c r="L80" s="7">
        <f t="shared" si="13"/>
        <v>143364.72277791653</v>
      </c>
      <c r="M80" s="7">
        <f t="shared" ref="M80:M105" si="22">M79+1</f>
        <v>94</v>
      </c>
      <c r="N80" s="23">
        <v>1.23E-3</v>
      </c>
      <c r="O80" s="6">
        <f t="shared" si="14"/>
        <v>1.1000000000000001</v>
      </c>
      <c r="P80" s="24">
        <f t="shared" si="11"/>
        <v>193.97246991852106</v>
      </c>
    </row>
    <row r="81" spans="10:16">
      <c r="J81" s="5">
        <f t="shared" si="21"/>
        <v>3018</v>
      </c>
      <c r="K81" s="42">
        <f t="shared" si="12"/>
        <v>8960295.1736197826</v>
      </c>
      <c r="L81" s="7">
        <f t="shared" si="13"/>
        <v>143364.72277791653</v>
      </c>
      <c r="M81" s="7">
        <f t="shared" si="22"/>
        <v>95</v>
      </c>
      <c r="N81" s="23">
        <v>1.23E-3</v>
      </c>
      <c r="O81" s="6">
        <f t="shared" si="14"/>
        <v>1.1000000000000001</v>
      </c>
      <c r="P81" s="24">
        <f t="shared" si="11"/>
        <v>193.97246991852106</v>
      </c>
    </row>
    <row r="82" spans="10:16">
      <c r="J82" s="5">
        <f t="shared" si="21"/>
        <v>3018</v>
      </c>
      <c r="K82" s="42">
        <f t="shared" si="12"/>
        <v>8960295.1736197826</v>
      </c>
      <c r="L82" s="7">
        <f t="shared" si="13"/>
        <v>143364.72277791653</v>
      </c>
      <c r="M82" s="7">
        <f t="shared" si="22"/>
        <v>96</v>
      </c>
      <c r="N82" s="23">
        <v>1.23E-3</v>
      </c>
      <c r="O82" s="6">
        <f t="shared" si="14"/>
        <v>1.1000000000000001</v>
      </c>
      <c r="P82" s="24">
        <f t="shared" si="11"/>
        <v>193.97246991852106</v>
      </c>
    </row>
    <row r="83" spans="10:16">
      <c r="J83" s="5">
        <f t="shared" si="21"/>
        <v>3018</v>
      </c>
      <c r="K83" s="42">
        <f t="shared" si="12"/>
        <v>8960295.1736197826</v>
      </c>
      <c r="L83" s="7">
        <f t="shared" si="13"/>
        <v>143364.72277791653</v>
      </c>
      <c r="M83" s="7">
        <f t="shared" si="22"/>
        <v>97</v>
      </c>
      <c r="N83" s="23">
        <v>1.23E-3</v>
      </c>
      <c r="O83" s="6">
        <f t="shared" ref="O83:O106" si="23">(1/(1+$C$7))^(A83-1)</f>
        <v>1.1000000000000001</v>
      </c>
      <c r="P83" s="24">
        <f t="shared" si="11"/>
        <v>193.97246991852106</v>
      </c>
    </row>
    <row r="84" spans="10:16">
      <c r="J84" s="5">
        <f t="shared" si="21"/>
        <v>3018</v>
      </c>
      <c r="K84" s="42">
        <f t="shared" si="12"/>
        <v>8960295.1736197826</v>
      </c>
      <c r="L84" s="7">
        <f t="shared" si="13"/>
        <v>143364.72277791653</v>
      </c>
      <c r="M84" s="7">
        <f t="shared" si="22"/>
        <v>98</v>
      </c>
      <c r="N84" s="23">
        <v>1.23E-3</v>
      </c>
      <c r="O84" s="6">
        <f t="shared" si="23"/>
        <v>1.1000000000000001</v>
      </c>
      <c r="P84" s="24">
        <f t="shared" si="11"/>
        <v>193.97246991852106</v>
      </c>
    </row>
    <row r="85" spans="10:16">
      <c r="J85" s="5">
        <f t="shared" si="21"/>
        <v>3018</v>
      </c>
      <c r="K85" s="42">
        <f t="shared" si="12"/>
        <v>8960295.1736197826</v>
      </c>
      <c r="L85" s="7">
        <f t="shared" si="13"/>
        <v>143364.72277791653</v>
      </c>
      <c r="M85" s="7">
        <f t="shared" si="22"/>
        <v>99</v>
      </c>
      <c r="N85" s="23">
        <v>1.23E-3</v>
      </c>
      <c r="O85" s="6">
        <f t="shared" si="23"/>
        <v>1.1000000000000001</v>
      </c>
      <c r="P85" s="24">
        <f t="shared" si="11"/>
        <v>193.97246991852106</v>
      </c>
    </row>
    <row r="86" spans="10:16">
      <c r="J86" s="5">
        <f t="shared" si="21"/>
        <v>3018</v>
      </c>
      <c r="K86" s="42">
        <f t="shared" si="12"/>
        <v>8960295.1736197826</v>
      </c>
      <c r="L86" s="7">
        <f t="shared" si="13"/>
        <v>143364.72277791653</v>
      </c>
      <c r="M86" s="7">
        <f t="shared" si="22"/>
        <v>100</v>
      </c>
      <c r="N86" s="23">
        <v>1.23E-3</v>
      </c>
      <c r="O86" s="6">
        <f t="shared" si="23"/>
        <v>1.1000000000000001</v>
      </c>
      <c r="P86" s="24">
        <f t="shared" si="11"/>
        <v>193.97246991852106</v>
      </c>
    </row>
    <row r="87" spans="10:16">
      <c r="J87" s="5">
        <f t="shared" si="21"/>
        <v>3018</v>
      </c>
      <c r="K87" s="42">
        <f t="shared" si="12"/>
        <v>8960295.1736197826</v>
      </c>
      <c r="L87" s="7">
        <f t="shared" si="13"/>
        <v>143364.72277791653</v>
      </c>
      <c r="M87" s="7">
        <f t="shared" si="22"/>
        <v>101</v>
      </c>
      <c r="N87" s="23">
        <v>1.23E-3</v>
      </c>
      <c r="O87" s="6">
        <f t="shared" si="23"/>
        <v>1.1000000000000001</v>
      </c>
      <c r="P87" s="24">
        <f t="shared" si="11"/>
        <v>193.97246991852106</v>
      </c>
    </row>
    <row r="88" spans="10:16">
      <c r="J88" s="5">
        <f t="shared" si="21"/>
        <v>3018</v>
      </c>
      <c r="K88" s="42">
        <f t="shared" si="12"/>
        <v>8960295.1736197826</v>
      </c>
      <c r="L88" s="7">
        <f t="shared" si="13"/>
        <v>143364.72277791653</v>
      </c>
      <c r="M88" s="7">
        <f t="shared" si="22"/>
        <v>102</v>
      </c>
      <c r="N88" s="23">
        <v>1.23E-3</v>
      </c>
      <c r="O88" s="6">
        <f t="shared" si="23"/>
        <v>1.1000000000000001</v>
      </c>
      <c r="P88" s="24">
        <f t="shared" si="11"/>
        <v>193.97246991852106</v>
      </c>
    </row>
    <row r="89" spans="10:16">
      <c r="J89" s="5">
        <f t="shared" si="21"/>
        <v>3018</v>
      </c>
      <c r="K89" s="42">
        <f t="shared" si="12"/>
        <v>8960295.1736197826</v>
      </c>
      <c r="L89" s="7">
        <f t="shared" si="13"/>
        <v>143364.72277791653</v>
      </c>
      <c r="M89" s="7">
        <f t="shared" si="22"/>
        <v>103</v>
      </c>
      <c r="N89" s="23">
        <v>1.23E-3</v>
      </c>
      <c r="O89" s="6">
        <f t="shared" si="23"/>
        <v>1.1000000000000001</v>
      </c>
      <c r="P89" s="24">
        <f t="shared" si="11"/>
        <v>193.97246991852106</v>
      </c>
    </row>
    <row r="90" spans="10:16">
      <c r="J90" s="5">
        <f t="shared" si="21"/>
        <v>3018</v>
      </c>
      <c r="K90" s="42">
        <f t="shared" si="12"/>
        <v>8960295.1736197826</v>
      </c>
      <c r="L90" s="7">
        <f t="shared" si="13"/>
        <v>143364.72277791653</v>
      </c>
      <c r="M90" s="7">
        <f t="shared" si="22"/>
        <v>104</v>
      </c>
      <c r="N90" s="23">
        <v>1.23E-3</v>
      </c>
      <c r="O90" s="6">
        <f t="shared" si="23"/>
        <v>1.1000000000000001</v>
      </c>
      <c r="P90" s="24">
        <f t="shared" si="11"/>
        <v>193.97246991852106</v>
      </c>
    </row>
    <row r="91" spans="10:16">
      <c r="J91" s="5">
        <f t="shared" si="21"/>
        <v>3018</v>
      </c>
      <c r="K91" s="42">
        <f t="shared" si="12"/>
        <v>8960295.1736197826</v>
      </c>
      <c r="L91" s="7">
        <f t="shared" si="13"/>
        <v>143364.72277791653</v>
      </c>
      <c r="M91" s="7">
        <f t="shared" si="22"/>
        <v>105</v>
      </c>
      <c r="N91" s="23">
        <v>1.23E-3</v>
      </c>
      <c r="O91" s="6">
        <f t="shared" si="23"/>
        <v>1.1000000000000001</v>
      </c>
      <c r="P91" s="24">
        <f t="shared" si="11"/>
        <v>193.97246991852106</v>
      </c>
    </row>
    <row r="92" spans="10:16">
      <c r="J92" s="5">
        <f t="shared" si="21"/>
        <v>3018</v>
      </c>
      <c r="K92" s="42">
        <f t="shared" si="12"/>
        <v>8960295.1736197826</v>
      </c>
      <c r="L92" s="7">
        <f t="shared" si="13"/>
        <v>143364.72277791653</v>
      </c>
      <c r="M92" s="7">
        <f t="shared" si="22"/>
        <v>106</v>
      </c>
      <c r="N92" s="23">
        <v>1.23E-3</v>
      </c>
      <c r="O92" s="6">
        <f t="shared" si="23"/>
        <v>1.1000000000000001</v>
      </c>
      <c r="P92" s="24">
        <f t="shared" si="11"/>
        <v>193.97246991852106</v>
      </c>
    </row>
    <row r="93" spans="10:16">
      <c r="J93" s="5">
        <f t="shared" si="21"/>
        <v>3018</v>
      </c>
      <c r="K93" s="42">
        <f t="shared" si="12"/>
        <v>8960295.1736197826</v>
      </c>
      <c r="L93" s="7">
        <f t="shared" si="13"/>
        <v>143364.72277791653</v>
      </c>
      <c r="M93" s="7">
        <f t="shared" si="22"/>
        <v>107</v>
      </c>
      <c r="N93" s="23">
        <v>1.23E-3</v>
      </c>
      <c r="O93" s="6">
        <f t="shared" si="23"/>
        <v>1.1000000000000001</v>
      </c>
      <c r="P93" s="24">
        <f t="shared" si="11"/>
        <v>193.97246991852106</v>
      </c>
    </row>
    <row r="94" spans="10:16">
      <c r="J94" s="5">
        <f t="shared" si="21"/>
        <v>3018</v>
      </c>
      <c r="K94" s="42">
        <f t="shared" si="12"/>
        <v>8960295.1736197826</v>
      </c>
      <c r="L94" s="7">
        <f t="shared" si="13"/>
        <v>143364.72277791653</v>
      </c>
      <c r="M94" s="7">
        <f t="shared" si="22"/>
        <v>108</v>
      </c>
      <c r="N94" s="23">
        <v>1.23E-3</v>
      </c>
      <c r="O94" s="6">
        <f t="shared" si="23"/>
        <v>1.1000000000000001</v>
      </c>
      <c r="P94" s="24">
        <f t="shared" si="11"/>
        <v>193.97246991852106</v>
      </c>
    </row>
    <row r="95" spans="10:16">
      <c r="J95" s="5">
        <f t="shared" si="21"/>
        <v>3018</v>
      </c>
      <c r="K95" s="42">
        <f t="shared" si="12"/>
        <v>8960295.1736197826</v>
      </c>
      <c r="L95" s="7">
        <f t="shared" si="13"/>
        <v>143364.72277791653</v>
      </c>
      <c r="M95" s="7">
        <f t="shared" si="22"/>
        <v>109</v>
      </c>
      <c r="N95" s="23">
        <v>1.23E-3</v>
      </c>
      <c r="O95" s="6">
        <f t="shared" si="23"/>
        <v>1.1000000000000001</v>
      </c>
      <c r="P95" s="24">
        <f t="shared" si="11"/>
        <v>193.97246991852106</v>
      </c>
    </row>
    <row r="96" spans="10:16">
      <c r="J96" s="5">
        <f t="shared" si="21"/>
        <v>3018</v>
      </c>
      <c r="K96" s="42">
        <f t="shared" si="12"/>
        <v>8960295.1736197826</v>
      </c>
      <c r="L96" s="7">
        <f t="shared" si="13"/>
        <v>143364.72277791653</v>
      </c>
      <c r="M96" s="7">
        <f t="shared" si="22"/>
        <v>110</v>
      </c>
      <c r="N96" s="23">
        <v>1.23E-3</v>
      </c>
      <c r="O96" s="6">
        <f t="shared" si="23"/>
        <v>1.1000000000000001</v>
      </c>
      <c r="P96" s="24">
        <f t="shared" si="11"/>
        <v>193.97246991852106</v>
      </c>
    </row>
    <row r="97" spans="10:16">
      <c r="J97" s="5">
        <f t="shared" si="21"/>
        <v>3018</v>
      </c>
      <c r="K97" s="42">
        <f t="shared" si="12"/>
        <v>8960295.1736197826</v>
      </c>
      <c r="L97" s="7">
        <f t="shared" si="13"/>
        <v>143364.72277791653</v>
      </c>
      <c r="M97" s="7">
        <f t="shared" si="22"/>
        <v>111</v>
      </c>
      <c r="N97" s="23">
        <v>1.23E-3</v>
      </c>
      <c r="O97" s="6">
        <f t="shared" si="23"/>
        <v>1.1000000000000001</v>
      </c>
      <c r="P97" s="24">
        <f t="shared" si="11"/>
        <v>193.97246991852106</v>
      </c>
    </row>
    <row r="98" spans="10:16">
      <c r="J98" s="5">
        <f t="shared" si="21"/>
        <v>3018</v>
      </c>
      <c r="K98" s="42">
        <f t="shared" si="12"/>
        <v>8960295.1736197826</v>
      </c>
      <c r="L98" s="7">
        <f t="shared" si="13"/>
        <v>143364.72277791653</v>
      </c>
      <c r="M98" s="7">
        <f t="shared" si="22"/>
        <v>112</v>
      </c>
      <c r="N98" s="23">
        <v>1.23E-3</v>
      </c>
      <c r="O98" s="6">
        <f t="shared" si="23"/>
        <v>1.1000000000000001</v>
      </c>
      <c r="P98" s="24">
        <f t="shared" si="11"/>
        <v>193.97246991852106</v>
      </c>
    </row>
    <row r="99" spans="10:16">
      <c r="J99" s="5">
        <f t="shared" si="21"/>
        <v>3018</v>
      </c>
      <c r="K99" s="42">
        <f t="shared" si="12"/>
        <v>8960295.1736197826</v>
      </c>
      <c r="L99" s="7">
        <f t="shared" si="13"/>
        <v>143364.72277791653</v>
      </c>
      <c r="M99" s="7">
        <f t="shared" si="22"/>
        <v>113</v>
      </c>
      <c r="N99" s="23">
        <v>1.23E-3</v>
      </c>
      <c r="O99" s="6">
        <f t="shared" si="23"/>
        <v>1.1000000000000001</v>
      </c>
      <c r="P99" s="24">
        <f t="shared" si="11"/>
        <v>193.97246991852106</v>
      </c>
    </row>
    <row r="100" spans="10:16">
      <c r="J100" s="5">
        <f t="shared" si="21"/>
        <v>3018</v>
      </c>
      <c r="K100" s="42">
        <f t="shared" si="12"/>
        <v>8960295.1736197826</v>
      </c>
      <c r="L100" s="7">
        <f t="shared" si="13"/>
        <v>143364.72277791653</v>
      </c>
      <c r="M100" s="7">
        <f t="shared" si="22"/>
        <v>114</v>
      </c>
      <c r="N100" s="23">
        <v>1.23E-3</v>
      </c>
      <c r="O100" s="6">
        <f t="shared" si="23"/>
        <v>1.1000000000000001</v>
      </c>
      <c r="P100" s="24">
        <f t="shared" si="11"/>
        <v>193.97246991852106</v>
      </c>
    </row>
    <row r="101" spans="10:16">
      <c r="J101" s="5">
        <f t="shared" si="21"/>
        <v>3018</v>
      </c>
      <c r="K101" s="42">
        <f t="shared" si="12"/>
        <v>8960295.1736197826</v>
      </c>
      <c r="L101" s="7">
        <f t="shared" si="13"/>
        <v>143364.72277791653</v>
      </c>
      <c r="M101" s="7">
        <f t="shared" si="22"/>
        <v>115</v>
      </c>
      <c r="N101" s="23">
        <v>1.23E-3</v>
      </c>
      <c r="O101" s="6">
        <f t="shared" si="23"/>
        <v>1.1000000000000001</v>
      </c>
      <c r="P101" s="24">
        <f t="shared" si="11"/>
        <v>193.97246991852106</v>
      </c>
    </row>
    <row r="102" spans="10:16">
      <c r="J102" s="5">
        <f t="shared" si="21"/>
        <v>3018</v>
      </c>
      <c r="K102" s="42">
        <f t="shared" si="12"/>
        <v>8960295.1736197826</v>
      </c>
      <c r="L102" s="7">
        <f t="shared" si="13"/>
        <v>143364.72277791653</v>
      </c>
      <c r="M102" s="7">
        <f t="shared" si="22"/>
        <v>116</v>
      </c>
      <c r="N102" s="23">
        <v>1.23E-3</v>
      </c>
      <c r="O102" s="6">
        <f t="shared" si="23"/>
        <v>1.1000000000000001</v>
      </c>
      <c r="P102" s="24">
        <f t="shared" si="11"/>
        <v>193.97246991852106</v>
      </c>
    </row>
    <row r="103" spans="10:16">
      <c r="J103" s="5">
        <f t="shared" si="21"/>
        <v>3018</v>
      </c>
      <c r="K103" s="42">
        <f t="shared" si="12"/>
        <v>8960295.1736197826</v>
      </c>
      <c r="L103" s="7">
        <f t="shared" si="13"/>
        <v>143364.72277791653</v>
      </c>
      <c r="M103" s="7">
        <f t="shared" si="22"/>
        <v>117</v>
      </c>
      <c r="N103" s="23">
        <v>1.23E-3</v>
      </c>
      <c r="O103" s="6">
        <f t="shared" si="23"/>
        <v>1.1000000000000001</v>
      </c>
      <c r="P103" s="24">
        <f t="shared" si="11"/>
        <v>193.97246991852106</v>
      </c>
    </row>
    <row r="104" spans="10:16">
      <c r="J104" s="5">
        <f t="shared" si="21"/>
        <v>3018</v>
      </c>
      <c r="K104" s="42">
        <f t="shared" si="12"/>
        <v>8960295.1736197826</v>
      </c>
      <c r="L104" s="7">
        <f t="shared" si="13"/>
        <v>143364.72277791653</v>
      </c>
      <c r="M104" s="7">
        <f t="shared" si="22"/>
        <v>118</v>
      </c>
      <c r="N104" s="23">
        <v>1.23E-3</v>
      </c>
      <c r="O104" s="6">
        <f t="shared" si="23"/>
        <v>1.1000000000000001</v>
      </c>
      <c r="P104" s="24">
        <f t="shared" si="11"/>
        <v>193.97246991852106</v>
      </c>
    </row>
    <row r="105" spans="10:16">
      <c r="J105" s="5">
        <f t="shared" si="21"/>
        <v>3018</v>
      </c>
      <c r="K105" s="42">
        <f t="shared" si="12"/>
        <v>8960295.1736197826</v>
      </c>
      <c r="L105" s="7">
        <f t="shared" si="13"/>
        <v>143364.72277791653</v>
      </c>
      <c r="M105" s="7">
        <f t="shared" si="22"/>
        <v>119</v>
      </c>
      <c r="N105" s="23">
        <v>1.23E-3</v>
      </c>
      <c r="O105" s="6">
        <f t="shared" si="23"/>
        <v>1.1000000000000001</v>
      </c>
      <c r="P105" s="24">
        <f t="shared" si="11"/>
        <v>193.97246991852106</v>
      </c>
    </row>
    <row r="106" spans="10:16">
      <c r="J106" s="5">
        <f t="shared" ref="J106" si="24">J105</f>
        <v>3018</v>
      </c>
      <c r="K106" s="42">
        <f t="shared" si="12"/>
        <v>8960295.1736197826</v>
      </c>
      <c r="L106" s="7">
        <f t="shared" si="13"/>
        <v>143364.72277791653</v>
      </c>
      <c r="M106" s="7">
        <f t="shared" ref="M106" si="25">M105+1</f>
        <v>120</v>
      </c>
      <c r="N106" s="23">
        <v>1.23E-3</v>
      </c>
      <c r="O106" s="6">
        <f t="shared" si="23"/>
        <v>1.1000000000000001</v>
      </c>
      <c r="P106" s="24">
        <f t="shared" si="11"/>
        <v>193.97246991852106</v>
      </c>
    </row>
    <row r="107" spans="10:16">
      <c r="K107" s="7"/>
      <c r="L107" s="7"/>
      <c r="M107" s="7"/>
      <c r="N107" s="23"/>
      <c r="P107" s="24"/>
    </row>
    <row r="108" spans="10:16">
      <c r="K108" s="7"/>
      <c r="L108" s="7"/>
      <c r="M108" s="7"/>
      <c r="N108" s="23"/>
      <c r="P108" s="24"/>
    </row>
    <row r="109" spans="10:16">
      <c r="K109" s="7"/>
      <c r="L109" s="7"/>
      <c r="M109" s="7"/>
      <c r="N109" s="23"/>
      <c r="P109" s="24"/>
    </row>
    <row r="110" spans="10:16">
      <c r="K110" s="7"/>
      <c r="L110" s="7"/>
      <c r="M110" s="7"/>
      <c r="N110" s="23"/>
      <c r="P110" s="24"/>
    </row>
    <row r="111" spans="10:16">
      <c r="K111" s="7"/>
      <c r="L111" s="7"/>
      <c r="M111" s="7"/>
      <c r="N111" s="23"/>
      <c r="P111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C72E7-5DD6-434C-B52E-89B1DC8CE5EB}">
  <sheetPr>
    <tabColor rgb="FF7030A0"/>
  </sheetPr>
  <dimension ref="C3:D14"/>
  <sheetViews>
    <sheetView showGridLines="0" workbookViewId="0">
      <selection activeCell="D37" sqref="D37"/>
    </sheetView>
  </sheetViews>
  <sheetFormatPr defaultRowHeight="13.5"/>
  <cols>
    <col min="3" max="3" width="20.7109375" bestFit="1" customWidth="1"/>
    <col min="4" max="4" width="12.28515625" style="1" bestFit="1" customWidth="1"/>
  </cols>
  <sheetData>
    <row r="3" spans="3:4">
      <c r="C3" s="8" t="s">
        <v>73</v>
      </c>
    </row>
    <row r="6" spans="3:4">
      <c r="C6" s="35" t="s">
        <v>74</v>
      </c>
      <c r="D6" s="36"/>
    </row>
    <row r="7" spans="3:4">
      <c r="C7" s="14" t="s">
        <v>75</v>
      </c>
      <c r="D7" s="1">
        <f>Model!G17</f>
        <v>3818331.3114050175</v>
      </c>
    </row>
    <row r="8" spans="3:4">
      <c r="C8" s="14" t="s">
        <v>76</v>
      </c>
      <c r="D8" s="1">
        <f>Model!P17</f>
        <v>87963.250728776591</v>
      </c>
    </row>
    <row r="9" spans="3:4">
      <c r="C9" s="28" t="s">
        <v>77</v>
      </c>
      <c r="D9" s="29">
        <f>SUM(D7:D8)</f>
        <v>3906294.5621337942</v>
      </c>
    </row>
    <row r="11" spans="3:4">
      <c r="C11" s="33" t="s">
        <v>78</v>
      </c>
      <c r="D11" s="34">
        <v>4500000</v>
      </c>
    </row>
    <row r="13" spans="3:4">
      <c r="C13" s="30" t="s">
        <v>79</v>
      </c>
      <c r="D13" s="31">
        <f>D11-D9</f>
        <v>593705.43786620582</v>
      </c>
    </row>
    <row r="14" spans="3:4">
      <c r="C14" s="28" t="s">
        <v>80</v>
      </c>
      <c r="D14" s="32">
        <f>D11/D9</f>
        <v>1.1519868582419184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a2d9f5-199c-4212-8ee5-c011be210f49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098080B38DD147A7B7AA467507026F" ma:contentTypeVersion="10" ma:contentTypeDescription="Create a new document." ma:contentTypeScope="" ma:versionID="a8f1fb657bf2cd47f0fde71b10fd28b8">
  <xsd:schema xmlns:xsd="http://www.w3.org/2001/XMLSchema" xmlns:xs="http://www.w3.org/2001/XMLSchema" xmlns:p="http://schemas.microsoft.com/office/2006/metadata/properties" xmlns:ns2="dfa2d9f5-199c-4212-8ee5-c011be210f49" targetNamespace="http://schemas.microsoft.com/office/2006/metadata/properties" ma:root="true" ma:fieldsID="d4b3e96af636654b9533073474238ce3" ns2:_="">
    <xsd:import namespace="dfa2d9f5-199c-4212-8ee5-c011be210f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2d9f5-199c-4212-8ee5-c011be210f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1c775f1b-94bf-41d1-bd5b-4e74f3913f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6E1FDE1-F9AC-47BB-8DD2-92E7B86E1739}"/>
</file>

<file path=customXml/itemProps2.xml><?xml version="1.0" encoding="utf-8"?>
<ds:datastoreItem xmlns:ds="http://schemas.openxmlformats.org/officeDocument/2006/customXml" ds:itemID="{219BE01A-47EB-4F80-9A6D-58CFC659420D}"/>
</file>

<file path=customXml/itemProps3.xml><?xml version="1.0" encoding="utf-8"?>
<ds:datastoreItem xmlns:ds="http://schemas.openxmlformats.org/officeDocument/2006/customXml" ds:itemID="{5035EF26-8D3E-43D5-85F5-EBA7131F34E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Everlyne Njue</dc:creator>
  <cp:keywords/>
  <dc:description/>
  <cp:lastModifiedBy>Leslie Akello</cp:lastModifiedBy>
  <cp:revision/>
  <dcterms:created xsi:type="dcterms:W3CDTF">2025-09-25T12:56:44Z</dcterms:created>
  <dcterms:modified xsi:type="dcterms:W3CDTF">2025-09-30T19:06:22Z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0x010100FC098080B38DD147A7B7AA467507026F</vt:lpwstr>
  </property>
  <property fmtid="{D5CDD505-2E9C-101B-9397-08002B2CF9AE}" pid="3" name="MediaServiceImageTags">
    <vt:lpwstr/>
  </property>
</Properties>
</file>