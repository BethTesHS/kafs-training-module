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6_Financial Performance Analysis/Working File/"/>
    </mc:Choice>
  </mc:AlternateContent>
  <xr:revisionPtr revIDLastSave="70" documentId="13_ncr:1_{4E9D9F29-8E3E-4F11-BB0F-F6C0A8615E88}" xr6:coauthVersionLast="47" xr6:coauthVersionMax="47" xr10:uidLastSave="{7498C948-7163-4CB1-9C4C-DBF271368B5F}"/>
  <bookViews>
    <workbookView xWindow="-110" yWindow="-110" windowWidth="19420" windowHeight="10300" firstSheet="5" activeTab="1" xr2:uid="{B0612186-252B-45E8-8AA7-33D9EAC929BB}"/>
  </bookViews>
  <sheets>
    <sheet name="Introduction" sheetId="6" r:id="rId1"/>
    <sheet name="P&amp;L IFRS 4" sheetId="1" r:id="rId2"/>
    <sheet name="BS-IFRS4" sheetId="3" r:id="rId3"/>
    <sheet name="BS IFRS 17" sheetId="4" r:id="rId4"/>
    <sheet name="P&amp;L IFRS 17" sheetId="5" r:id="rId5"/>
    <sheet name="Ratios " sheetId="2" r:id="rId6"/>
  </sheets>
  <externalReferences>
    <externalReference r:id="rId7"/>
  </externalReferences>
  <definedNames>
    <definedName name="CurrentMonth">[1]Index!$C$3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9" i="4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9" i="5"/>
  <c r="E41" i="5"/>
  <c r="E43" i="5"/>
  <c r="E45" i="5"/>
  <c r="E50" i="5"/>
  <c r="E51" i="5"/>
  <c r="E53" i="5"/>
  <c r="E56" i="5"/>
  <c r="E7" i="5"/>
  <c r="G48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6" i="3"/>
  <c r="G38" i="3"/>
  <c r="G39" i="3"/>
  <c r="G40" i="3"/>
  <c r="G41" i="3"/>
  <c r="G42" i="3"/>
  <c r="G43" i="3"/>
  <c r="G44" i="3"/>
  <c r="G45" i="3"/>
  <c r="G46" i="3"/>
  <c r="G17" i="3"/>
  <c r="G13" i="3"/>
  <c r="G9" i="3"/>
  <c r="G10" i="3"/>
  <c r="G8" i="3"/>
  <c r="F10" i="1"/>
  <c r="F11" i="1"/>
  <c r="F12" i="1"/>
  <c r="F14" i="1"/>
  <c r="F15" i="1"/>
  <c r="F16" i="1"/>
  <c r="F17" i="1"/>
  <c r="F18" i="1"/>
  <c r="F20" i="1"/>
  <c r="F22" i="1"/>
  <c r="F23" i="1"/>
  <c r="F25" i="1"/>
  <c r="F27" i="1"/>
  <c r="F28" i="1"/>
  <c r="F30" i="1"/>
  <c r="F31" i="1"/>
  <c r="F33" i="1"/>
  <c r="F38" i="1"/>
  <c r="F39" i="1"/>
  <c r="F41" i="1"/>
  <c r="F44" i="1"/>
  <c r="F8" i="1"/>
  <c r="F5" i="5" l="1"/>
  <c r="D5" i="5"/>
  <c r="C5" i="5"/>
  <c r="B4" i="5"/>
</calcChain>
</file>

<file path=xl/sharedStrings.xml><?xml version="1.0" encoding="utf-8"?>
<sst xmlns="http://schemas.openxmlformats.org/spreadsheetml/2006/main" count="261" uniqueCount="181">
  <si>
    <t>Please paste the Client Logo</t>
  </si>
  <si>
    <t>Client Name: Beetroot Insurance Company</t>
  </si>
  <si>
    <t>Project: Financial Perfomance Analysis</t>
  </si>
  <si>
    <t>Analysis Period:</t>
  </si>
  <si>
    <t>From:</t>
  </si>
  <si>
    <t>To:</t>
  </si>
  <si>
    <t>31/12/2023</t>
  </si>
  <si>
    <t>The cells below are named ranges, add and remove rows carefully</t>
  </si>
  <si>
    <t>Business Class</t>
  </si>
  <si>
    <t>Class Code</t>
  </si>
  <si>
    <t>Aviation</t>
  </si>
  <si>
    <t>AV</t>
  </si>
  <si>
    <t>Engineering</t>
  </si>
  <si>
    <t>ENG</t>
  </si>
  <si>
    <t>Fire Domestic</t>
  </si>
  <si>
    <t>FD</t>
  </si>
  <si>
    <t>Fire Industrial</t>
  </si>
  <si>
    <t>FI</t>
  </si>
  <si>
    <t>Liability</t>
  </si>
  <si>
    <t>LIAB</t>
  </si>
  <si>
    <t>Marine</t>
  </si>
  <si>
    <t>MAR</t>
  </si>
  <si>
    <t>Miscellaneous</t>
  </si>
  <si>
    <t>MISC</t>
  </si>
  <si>
    <t>Motor Commercial</t>
  </si>
  <si>
    <t>MC</t>
  </si>
  <si>
    <t>Motor Private</t>
  </si>
  <si>
    <t>MP</t>
  </si>
  <si>
    <t>Personal Accident</t>
  </si>
  <si>
    <t>PA</t>
  </si>
  <si>
    <t>Theft</t>
  </si>
  <si>
    <t>THEFT</t>
  </si>
  <si>
    <t>Workmen's Compensation</t>
  </si>
  <si>
    <t>WIBA</t>
  </si>
  <si>
    <t>Indicator</t>
  </si>
  <si>
    <t>Yes</t>
  </si>
  <si>
    <t>No</t>
  </si>
  <si>
    <t>Paste your P&amp;L numbers here</t>
  </si>
  <si>
    <t>BEETROOT INSURANCE COMPANY LIMITED</t>
  </si>
  <si>
    <t>STATEMENT OF COMPREHENSIVE INCOME</t>
  </si>
  <si>
    <t>FOR THE PERIOD ENDED 31 December 2023</t>
  </si>
  <si>
    <t>SumifCode</t>
  </si>
  <si>
    <t>Figures in Kshs '000</t>
  </si>
  <si>
    <t>Change %</t>
  </si>
  <si>
    <t>Gross written premium</t>
  </si>
  <si>
    <t>Net WP</t>
  </si>
  <si>
    <t>Gross earned premiums</t>
  </si>
  <si>
    <t>Reinsurance premium ceded</t>
  </si>
  <si>
    <t>Less: Reinsurance premium ceded</t>
  </si>
  <si>
    <t>Net earned premiums</t>
  </si>
  <si>
    <t>Interest income</t>
  </si>
  <si>
    <t>Rental income</t>
  </si>
  <si>
    <t>Income - Equity &amp; Invprop</t>
  </si>
  <si>
    <t>Income from Equity &amp; Investment property</t>
  </si>
  <si>
    <t>Dividend &amp; Other Income</t>
  </si>
  <si>
    <t>Commissions earned</t>
  </si>
  <si>
    <t>Total Income</t>
  </si>
  <si>
    <t>Gross Claims</t>
  </si>
  <si>
    <t>Claims and policyowners' benefits payable</t>
  </si>
  <si>
    <t>Reinsur Recoveries</t>
  </si>
  <si>
    <t>Less: Amount recoverable from reinsurer’s</t>
  </si>
  <si>
    <t>Net claims payable</t>
  </si>
  <si>
    <t>Operating and other expenses</t>
  </si>
  <si>
    <t>Commissions payable</t>
  </si>
  <si>
    <t>Profit before tax</t>
  </si>
  <si>
    <t>Income tax Expense</t>
  </si>
  <si>
    <t xml:space="preserve">Profit for the year after tax </t>
  </si>
  <si>
    <t>Statement of comprehensive income</t>
  </si>
  <si>
    <t>Items that will not be classified to profit or loss:</t>
  </si>
  <si>
    <t>(Loss)/gain on Land and Buildings Revaluations</t>
  </si>
  <si>
    <t>Deferred tax through OCI</t>
  </si>
  <si>
    <t>Total comprehensive income for the year</t>
  </si>
  <si>
    <t>Total Comprehensive Income</t>
  </si>
  <si>
    <t>Paste your BS numbers here</t>
  </si>
  <si>
    <t>STATEMENT OF FINANCIAL POSITION</t>
  </si>
  <si>
    <t>Figures in Kes</t>
  </si>
  <si>
    <t>Change</t>
  </si>
  <si>
    <t>% Change</t>
  </si>
  <si>
    <t>Share Capital:</t>
  </si>
  <si>
    <t>Issued</t>
  </si>
  <si>
    <t>Share Capital</t>
  </si>
  <si>
    <t>Revaluation Reserves</t>
  </si>
  <si>
    <t>Revaluation Reserve</t>
  </si>
  <si>
    <t>Retained eanings</t>
  </si>
  <si>
    <t>Proposed Dividend</t>
  </si>
  <si>
    <t/>
  </si>
  <si>
    <t>Total Reserves</t>
  </si>
  <si>
    <t>Represented by:-</t>
  </si>
  <si>
    <t>ASSETS</t>
  </si>
  <si>
    <t>Property and equipment</t>
  </si>
  <si>
    <t>Right-of-use assets</t>
  </si>
  <si>
    <t>Intangible Asset</t>
  </si>
  <si>
    <t>Land &amp; Buildings</t>
  </si>
  <si>
    <t>Investment Property</t>
  </si>
  <si>
    <t>Kenya Motor Ins. Pool</t>
  </si>
  <si>
    <t>Investment in the Kenya Motor Insurance Pool</t>
  </si>
  <si>
    <t>Ordinary Shares Q</t>
  </si>
  <si>
    <t>Equity investments at fair value through profit or loss</t>
  </si>
  <si>
    <t>Mortgage loans</t>
  </si>
  <si>
    <t>Reinsur Receivables</t>
  </si>
  <si>
    <t>Receivables arising from reinsurance arrangements</t>
  </si>
  <si>
    <t>Direct insurance Receivables</t>
  </si>
  <si>
    <t>Receivables arising from insurance intermediaries</t>
  </si>
  <si>
    <t>Reinsurance share of liabilities</t>
  </si>
  <si>
    <t>Reinsurers’ share of insurance contract liabilities</t>
  </si>
  <si>
    <t>Taxation</t>
  </si>
  <si>
    <t>Current income tax</t>
  </si>
  <si>
    <t>Deferred tax</t>
  </si>
  <si>
    <t>Deferred tax  Asset</t>
  </si>
  <si>
    <t xml:space="preserve">Loan &amp; other receivables </t>
  </si>
  <si>
    <t>Other receivables</t>
  </si>
  <si>
    <t>Deferred Acquisition cost</t>
  </si>
  <si>
    <t>Deferred acquisition costs</t>
  </si>
  <si>
    <t>Govt Sec HTM</t>
  </si>
  <si>
    <t>Government securities held to maturity</t>
  </si>
  <si>
    <t>Govt Sec AFS</t>
  </si>
  <si>
    <t>Government securitiesfair value through P &amp; L</t>
  </si>
  <si>
    <t>Banks deposits</t>
  </si>
  <si>
    <t>Deposits with financial institutions</t>
  </si>
  <si>
    <t>Cash &amp; Bank</t>
  </si>
  <si>
    <t>Cash and bank balances</t>
  </si>
  <si>
    <t>TOTAL ASSETS</t>
  </si>
  <si>
    <t>LIABILITIES</t>
  </si>
  <si>
    <t>Claims Provision</t>
  </si>
  <si>
    <t>Insurance contract liabilities</t>
  </si>
  <si>
    <t>UPR</t>
  </si>
  <si>
    <t>Unearned premium</t>
  </si>
  <si>
    <t>Reinsur Payables</t>
  </si>
  <si>
    <t>Payables arising from reinsurance arrangements</t>
  </si>
  <si>
    <t>Lease liabilities</t>
  </si>
  <si>
    <t>Other payables</t>
  </si>
  <si>
    <t>TOTAL LIABILITIES</t>
  </si>
  <si>
    <t>NET ASSETS</t>
  </si>
  <si>
    <t>Balancing</t>
  </si>
  <si>
    <t>Paste your BS L numbers here</t>
  </si>
  <si>
    <t>Reinsurance contracts assets</t>
  </si>
  <si>
    <t>Insurance contracts liabilities</t>
  </si>
  <si>
    <t>Income Statement - IFRS 17</t>
  </si>
  <si>
    <t>Insurance service revenue</t>
  </si>
  <si>
    <t>Incurred claims</t>
  </si>
  <si>
    <t>Attributable expenses</t>
  </si>
  <si>
    <t>Acquisition costs (Comm Exp)</t>
  </si>
  <si>
    <t>Changes in risk adjustment</t>
  </si>
  <si>
    <t>Changes in loss component</t>
  </si>
  <si>
    <t>Insurance service expense</t>
  </si>
  <si>
    <t>Reinsurance premium earned by reinsurers</t>
  </si>
  <si>
    <t>Reinsurance claims incurred</t>
  </si>
  <si>
    <t>Commission income</t>
  </si>
  <si>
    <t>Changes in loss recovery</t>
  </si>
  <si>
    <t>Net expenses from reinsurance contracts held</t>
  </si>
  <si>
    <t>Insurance Service Result</t>
  </si>
  <si>
    <t>Other investment income</t>
  </si>
  <si>
    <t>Finance expenses from insurance contracts issued</t>
  </si>
  <si>
    <t>Finance income from reinsurance contracts held</t>
  </si>
  <si>
    <t>Net investment result</t>
  </si>
  <si>
    <t>Net insurance and investment result</t>
  </si>
  <si>
    <t>Impairment of insurance contract assets</t>
  </si>
  <si>
    <t>Other operating expenses</t>
  </si>
  <si>
    <t xml:space="preserve">Profit for the year before tax </t>
  </si>
  <si>
    <t>IFRS 4 RATIOS</t>
  </si>
  <si>
    <t>IFRS 17 RATIOS</t>
  </si>
  <si>
    <t>Profitability ratio</t>
  </si>
  <si>
    <t>Loss ratio</t>
  </si>
  <si>
    <t>Insurance service expense ratio</t>
  </si>
  <si>
    <t>Commission ratio</t>
  </si>
  <si>
    <t>Other operating expenses ratio</t>
  </si>
  <si>
    <t>Expense ratio</t>
  </si>
  <si>
    <t>Attributable Expense Ratio</t>
  </si>
  <si>
    <t>Combined ratio</t>
  </si>
  <si>
    <t>Profit before income tax margin</t>
  </si>
  <si>
    <t>Two year combined ratio</t>
  </si>
  <si>
    <t>Investment yield</t>
  </si>
  <si>
    <t>Return on AVG equity (ROE)</t>
  </si>
  <si>
    <t xml:space="preserve"> </t>
  </si>
  <si>
    <t>Reinsurance ratio</t>
  </si>
  <si>
    <t>Retention ratio</t>
  </si>
  <si>
    <t>Liquidity ratio</t>
  </si>
  <si>
    <t>Current ratio</t>
  </si>
  <si>
    <t>Insurance debt</t>
  </si>
  <si>
    <t>Technical reserve cover</t>
  </si>
  <si>
    <t>Affiliate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</si>
</sst>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d\-mmm\-yy;@"/>
    <numFmt numFmtId="167" formatCode="#,##0;[Red]\(#,##0\)"/>
    <numFmt numFmtId="168" formatCode="#,##0,"/>
    <numFmt numFmtId="169" formatCode="#,##0;\(#,##0\)"/>
    <numFmt numFmtId="170" formatCode="_-* #,##0_-;\-* #,##0_-;_-* &quot;-&quot;??_-;_-@_-"/>
    <numFmt numFmtId="171" formatCode="0.0%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Nunito Sans"/>
    </font>
    <font>
      <b/>
      <sz val="9"/>
      <color theme="1"/>
      <name val="Nunito Sans"/>
    </font>
    <font>
      <sz val="18"/>
      <color rgb="FF0137A6"/>
      <name val="Nunito Sans Black"/>
    </font>
    <font>
      <b/>
      <sz val="16"/>
      <color rgb="FF0137A6"/>
      <name val="Nunito Sans"/>
    </font>
    <font>
      <sz val="10"/>
      <color rgb="FF0137A6"/>
      <name val="Nunito Sans"/>
    </font>
    <font>
      <b/>
      <sz val="9"/>
      <color rgb="FFFF0000"/>
      <name val="Nunito Sans"/>
    </font>
    <font>
      <b/>
      <sz val="9"/>
      <color theme="1"/>
      <name val="Sansation"/>
    </font>
    <font>
      <b/>
      <sz val="9"/>
      <name val="Nunito Sans"/>
    </font>
    <font>
      <b/>
      <sz val="9"/>
      <color indexed="8"/>
      <name val="Nunito Sans"/>
    </font>
    <font>
      <sz val="9"/>
      <name val="Nunito Sans"/>
    </font>
    <font>
      <sz val="9"/>
      <color rgb="FFFF0000"/>
      <name val="Nunito Sans"/>
    </font>
    <font>
      <sz val="9"/>
      <color theme="0"/>
      <name val="Nunito Sans"/>
    </font>
    <font>
      <i/>
      <sz val="9"/>
      <color rgb="FFFF0000"/>
      <name val="Nunito Sans"/>
    </font>
    <font>
      <sz val="11"/>
      <color theme="1"/>
      <name val="Nunito Sans"/>
    </font>
    <font>
      <b/>
      <sz val="11"/>
      <color theme="1"/>
      <name val="Nunito Sans"/>
    </font>
    <font>
      <i/>
      <sz val="11"/>
      <color rgb="FFFF0000"/>
      <name val="Nunito Sans"/>
    </font>
    <font>
      <b/>
      <sz val="11"/>
      <name val="Nunito Sans"/>
    </font>
    <font>
      <b/>
      <sz val="11"/>
      <color rgb="FF003366"/>
      <name val="Nunito Sans"/>
    </font>
    <font>
      <b/>
      <sz val="9"/>
      <color theme="0"/>
      <name val="Nunito Sans"/>
    </font>
    <font>
      <b/>
      <sz val="9"/>
      <color rgb="FF0137A6"/>
      <name val="Nunito Sans"/>
    </font>
    <font>
      <sz val="9"/>
      <color rgb="FF0137A6"/>
      <name val="Nunito Sans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79">
    <xf numFmtId="0" fontId="0" fillId="0" borderId="0" xfId="0"/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3" fillId="7" borderId="0" xfId="0" applyFont="1" applyFill="1" applyAlignment="1">
      <alignment horizontal="right" vertical="center" wrapText="1"/>
    </xf>
    <xf numFmtId="14" fontId="3" fillId="7" borderId="0" xfId="0" applyNumberFormat="1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170" fontId="4" fillId="7" borderId="0" xfId="1" applyNumberFormat="1" applyFont="1" applyFill="1" applyAlignment="1">
      <alignment horizontal="right" vertical="center" wrapText="1"/>
    </xf>
    <xf numFmtId="170" fontId="4" fillId="7" borderId="0" xfId="1" applyNumberFormat="1" applyFont="1" applyFill="1" applyAlignment="1">
      <alignment horizontal="left" vertical="center" wrapText="1"/>
    </xf>
    <xf numFmtId="170" fontId="3" fillId="7" borderId="0" xfId="1" applyNumberFormat="1" applyFont="1" applyFill="1" applyAlignment="1">
      <alignment horizontal="right" vertical="center" wrapText="1"/>
    </xf>
    <xf numFmtId="170" fontId="3" fillId="7" borderId="0" xfId="1" applyNumberFormat="1" applyFont="1" applyFill="1" applyAlignment="1">
      <alignment horizontal="left" vertical="center" wrapText="1"/>
    </xf>
    <xf numFmtId="3" fontId="3" fillId="7" borderId="0" xfId="1" applyNumberFormat="1" applyFont="1" applyFill="1" applyAlignment="1">
      <alignment horizontal="right" vertical="center" wrapText="1"/>
    </xf>
    <xf numFmtId="0" fontId="9" fillId="3" borderId="0" xfId="0" applyFont="1" applyFill="1"/>
    <xf numFmtId="0" fontId="3" fillId="0" borderId="22" xfId="0" applyFont="1" applyBorder="1" applyAlignment="1">
      <alignment horizontal="right"/>
    </xf>
    <xf numFmtId="10" fontId="3" fillId="0" borderId="22" xfId="2" applyNumberFormat="1" applyFont="1" applyBorder="1" applyAlignment="1">
      <alignment horizontal="right"/>
    </xf>
    <xf numFmtId="0" fontId="3" fillId="7" borderId="0" xfId="0" applyFont="1" applyFill="1"/>
    <xf numFmtId="0" fontId="10" fillId="7" borderId="1" xfId="0" applyFont="1" applyFill="1" applyBorder="1"/>
    <xf numFmtId="165" fontId="10" fillId="7" borderId="2" xfId="0" applyNumberFormat="1" applyFont="1" applyFill="1" applyBorder="1"/>
    <xf numFmtId="165" fontId="10" fillId="7" borderId="4" xfId="0" applyNumberFormat="1" applyFont="1" applyFill="1" applyBorder="1"/>
    <xf numFmtId="0" fontId="10" fillId="7" borderId="5" xfId="0" applyFont="1" applyFill="1" applyBorder="1"/>
    <xf numFmtId="165" fontId="10" fillId="7" borderId="6" xfId="0" applyNumberFormat="1" applyFont="1" applyFill="1" applyBorder="1"/>
    <xf numFmtId="165" fontId="10" fillId="7" borderId="7" xfId="0" applyNumberFormat="1" applyFont="1" applyFill="1" applyBorder="1"/>
    <xf numFmtId="37" fontId="11" fillId="7" borderId="8" xfId="0" applyNumberFormat="1" applyFont="1" applyFill="1" applyBorder="1" applyAlignment="1">
      <alignment horizontal="left"/>
    </xf>
    <xf numFmtId="165" fontId="10" fillId="7" borderId="9" xfId="0" applyNumberFormat="1" applyFont="1" applyFill="1" applyBorder="1"/>
    <xf numFmtId="165" fontId="10" fillId="7" borderId="11" xfId="0" applyNumberFormat="1" applyFont="1" applyFill="1" applyBorder="1"/>
    <xf numFmtId="0" fontId="10" fillId="7" borderId="0" xfId="0" applyFont="1" applyFill="1"/>
    <xf numFmtId="165" fontId="10" fillId="7" borderId="0" xfId="0" applyNumberFormat="1" applyFont="1" applyFill="1"/>
    <xf numFmtId="0" fontId="4" fillId="7" borderId="1" xfId="0" applyFont="1" applyFill="1" applyBorder="1"/>
    <xf numFmtId="166" fontId="4" fillId="7" borderId="4" xfId="0" applyNumberFormat="1" applyFont="1" applyFill="1" applyBorder="1" applyAlignment="1">
      <alignment horizontal="right"/>
    </xf>
    <xf numFmtId="166" fontId="4" fillId="7" borderId="2" xfId="0" applyNumberFormat="1" applyFont="1" applyFill="1" applyBorder="1" applyAlignment="1">
      <alignment horizontal="right"/>
    </xf>
    <xf numFmtId="166" fontId="4" fillId="2" borderId="2" xfId="0" applyNumberFormat="1" applyFont="1" applyFill="1" applyBorder="1" applyAlignment="1">
      <alignment horizontal="right"/>
    </xf>
    <xf numFmtId="0" fontId="12" fillId="7" borderId="5" xfId="0" applyFont="1" applyFill="1" applyBorder="1"/>
    <xf numFmtId="165" fontId="12" fillId="7" borderId="7" xfId="0" applyNumberFormat="1" applyFont="1" applyFill="1" applyBorder="1"/>
    <xf numFmtId="165" fontId="12" fillId="7" borderId="6" xfId="0" applyNumberFormat="1" applyFont="1" applyFill="1" applyBorder="1"/>
    <xf numFmtId="165" fontId="12" fillId="2" borderId="6" xfId="0" applyNumberFormat="1" applyFont="1" applyFill="1" applyBorder="1"/>
    <xf numFmtId="167" fontId="10" fillId="7" borderId="7" xfId="3" applyNumberFormat="1" applyFont="1" applyFill="1" applyBorder="1"/>
    <xf numFmtId="167" fontId="10" fillId="7" borderId="6" xfId="3" applyNumberFormat="1" applyFont="1" applyFill="1" applyBorder="1"/>
    <xf numFmtId="10" fontId="10" fillId="2" borderId="6" xfId="2" applyNumberFormat="1" applyFont="1" applyFill="1" applyBorder="1"/>
    <xf numFmtId="168" fontId="3" fillId="7" borderId="0" xfId="0" applyNumberFormat="1" applyFont="1" applyFill="1"/>
    <xf numFmtId="170" fontId="3" fillId="7" borderId="0" xfId="1" applyNumberFormat="1" applyFont="1" applyFill="1"/>
    <xf numFmtId="167" fontId="13" fillId="7" borderId="7" xfId="3" applyNumberFormat="1" applyFont="1" applyFill="1" applyBorder="1"/>
    <xf numFmtId="10" fontId="13" fillId="2" borderId="6" xfId="2" applyNumberFormat="1" applyFont="1" applyFill="1" applyBorder="1"/>
    <xf numFmtId="167" fontId="12" fillId="7" borderId="7" xfId="3" applyNumberFormat="1" applyFont="1" applyFill="1" applyBorder="1"/>
    <xf numFmtId="167" fontId="12" fillId="7" borderId="6" xfId="3" applyNumberFormat="1" applyFont="1" applyFill="1" applyBorder="1"/>
    <xf numFmtId="10" fontId="12" fillId="2" borderId="6" xfId="2" applyNumberFormat="1" applyFont="1" applyFill="1" applyBorder="1"/>
    <xf numFmtId="167" fontId="10" fillId="7" borderId="12" xfId="3" applyNumberFormat="1" applyFont="1" applyFill="1" applyBorder="1"/>
    <xf numFmtId="167" fontId="10" fillId="7" borderId="13" xfId="3" applyNumberFormat="1" applyFont="1" applyFill="1" applyBorder="1"/>
    <xf numFmtId="10" fontId="10" fillId="2" borderId="13" xfId="2" applyNumberFormat="1" applyFont="1" applyFill="1" applyBorder="1"/>
    <xf numFmtId="0" fontId="12" fillId="7" borderId="0" xfId="0" applyFont="1" applyFill="1"/>
    <xf numFmtId="0" fontId="14" fillId="7" borderId="0" xfId="0" applyFont="1" applyFill="1"/>
    <xf numFmtId="0" fontId="4" fillId="7" borderId="14" xfId="0" applyFont="1" applyFill="1" applyBorder="1"/>
    <xf numFmtId="167" fontId="4" fillId="7" borderId="15" xfId="3" applyNumberFormat="1" applyFont="1" applyFill="1" applyBorder="1"/>
    <xf numFmtId="167" fontId="4" fillId="7" borderId="16" xfId="3" applyNumberFormat="1" applyFont="1" applyFill="1" applyBorder="1"/>
    <xf numFmtId="10" fontId="4" fillId="2" borderId="16" xfId="2" applyNumberFormat="1" applyFont="1" applyFill="1" applyBorder="1"/>
    <xf numFmtId="167" fontId="12" fillId="7" borderId="7" xfId="1" applyNumberFormat="1" applyFont="1" applyFill="1" applyBorder="1"/>
    <xf numFmtId="167" fontId="12" fillId="7" borderId="6" xfId="1" applyNumberFormat="1" applyFont="1" applyFill="1" applyBorder="1"/>
    <xf numFmtId="0" fontId="12" fillId="7" borderId="5" xfId="0" applyFont="1" applyFill="1" applyBorder="1" applyAlignment="1">
      <alignment wrapText="1"/>
    </xf>
    <xf numFmtId="167" fontId="10" fillId="7" borderId="7" xfId="1" applyNumberFormat="1" applyFont="1" applyFill="1" applyBorder="1"/>
    <xf numFmtId="167" fontId="10" fillId="7" borderId="6" xfId="1" applyNumberFormat="1" applyFont="1" applyFill="1" applyBorder="1"/>
    <xf numFmtId="0" fontId="12" fillId="7" borderId="5" xfId="0" applyFont="1" applyFill="1" applyBorder="1" applyAlignment="1">
      <alignment horizontal="left" indent="2"/>
    </xf>
    <xf numFmtId="167" fontId="12" fillId="7" borderId="11" xfId="3" applyNumberFormat="1" applyFont="1" applyFill="1" applyBorder="1"/>
    <xf numFmtId="167" fontId="12" fillId="7" borderId="9" xfId="3" applyNumberFormat="1" applyFont="1" applyFill="1" applyBorder="1"/>
    <xf numFmtId="10" fontId="12" fillId="2" borderId="9" xfId="2" applyNumberFormat="1" applyFont="1" applyFill="1" applyBorder="1"/>
    <xf numFmtId="167" fontId="12" fillId="7" borderId="17" xfId="0" applyNumberFormat="1" applyFont="1" applyFill="1" applyBorder="1"/>
    <xf numFmtId="167" fontId="12" fillId="7" borderId="18" xfId="0" applyNumberFormat="1" applyFont="1" applyFill="1" applyBorder="1"/>
    <xf numFmtId="10" fontId="12" fillId="2" borderId="18" xfId="2" applyNumberFormat="1" applyFont="1" applyFill="1" applyBorder="1"/>
    <xf numFmtId="0" fontId="3" fillId="7" borderId="5" xfId="0" applyFont="1" applyFill="1" applyBorder="1"/>
    <xf numFmtId="167" fontId="12" fillId="7" borderId="7" xfId="0" applyNumberFormat="1" applyFont="1" applyFill="1" applyBorder="1"/>
    <xf numFmtId="167" fontId="12" fillId="7" borderId="6" xfId="0" applyNumberFormat="1" applyFont="1" applyFill="1" applyBorder="1"/>
    <xf numFmtId="0" fontId="3" fillId="7" borderId="8" xfId="0" applyFont="1" applyFill="1" applyBorder="1"/>
    <xf numFmtId="167" fontId="3" fillId="7" borderId="11" xfId="0" applyNumberFormat="1" applyFont="1" applyFill="1" applyBorder="1"/>
    <xf numFmtId="167" fontId="3" fillId="7" borderId="9" xfId="0" applyNumberFormat="1" applyFont="1" applyFill="1" applyBorder="1"/>
    <xf numFmtId="10" fontId="3" fillId="2" borderId="9" xfId="2" applyNumberFormat="1" applyFont="1" applyFill="1" applyBorder="1"/>
    <xf numFmtId="0" fontId="4" fillId="7" borderId="3" xfId="0" applyFont="1" applyFill="1" applyBorder="1"/>
    <xf numFmtId="0" fontId="4" fillId="7" borderId="5" xfId="0" applyFont="1" applyFill="1" applyBorder="1"/>
    <xf numFmtId="0" fontId="4" fillId="7" borderId="0" xfId="0" applyFont="1" applyFill="1"/>
    <xf numFmtId="0" fontId="4" fillId="7" borderId="8" xfId="0" applyFont="1" applyFill="1" applyBorder="1"/>
    <xf numFmtId="0" fontId="4" fillId="7" borderId="10" xfId="0" applyFont="1" applyFill="1" applyBorder="1" applyAlignment="1">
      <alignment horizontal="right"/>
    </xf>
    <xf numFmtId="166" fontId="4" fillId="7" borderId="7" xfId="0" applyNumberFormat="1" applyFont="1" applyFill="1" applyBorder="1"/>
    <xf numFmtId="166" fontId="4" fillId="2" borderId="7" xfId="0" applyNumberFormat="1" applyFont="1" applyFill="1" applyBorder="1" applyAlignment="1">
      <alignment horizontal="right"/>
    </xf>
    <xf numFmtId="166" fontId="4" fillId="7" borderId="7" xfId="0" applyNumberFormat="1" applyFont="1" applyFill="1" applyBorder="1" applyAlignment="1">
      <alignment horizontal="right"/>
    </xf>
    <xf numFmtId="167" fontId="3" fillId="7" borderId="4" xfId="0" applyNumberFormat="1" applyFont="1" applyFill="1" applyBorder="1"/>
    <xf numFmtId="167" fontId="3" fillId="7" borderId="2" xfId="0" applyNumberFormat="1" applyFont="1" applyFill="1" applyBorder="1"/>
    <xf numFmtId="167" fontId="3" fillId="2" borderId="2" xfId="0" applyNumberFormat="1" applyFont="1" applyFill="1" applyBorder="1"/>
    <xf numFmtId="10" fontId="3" fillId="7" borderId="2" xfId="2" applyNumberFormat="1" applyFont="1" applyFill="1" applyBorder="1"/>
    <xf numFmtId="167" fontId="3" fillId="7" borderId="7" xfId="0" applyNumberFormat="1" applyFont="1" applyFill="1" applyBorder="1"/>
    <xf numFmtId="167" fontId="3" fillId="7" borderId="6" xfId="0" applyNumberFormat="1" applyFont="1" applyFill="1" applyBorder="1"/>
    <xf numFmtId="167" fontId="3" fillId="2" borderId="6" xfId="0" applyNumberFormat="1" applyFont="1" applyFill="1" applyBorder="1"/>
    <xf numFmtId="10" fontId="3" fillId="7" borderId="6" xfId="2" applyNumberFormat="1" applyFont="1" applyFill="1" applyBorder="1"/>
    <xf numFmtId="167" fontId="4" fillId="7" borderId="15" xfId="0" applyNumberFormat="1" applyFont="1" applyFill="1" applyBorder="1"/>
    <xf numFmtId="167" fontId="4" fillId="7" borderId="16" xfId="0" applyNumberFormat="1" applyFont="1" applyFill="1" applyBorder="1"/>
    <xf numFmtId="167" fontId="4" fillId="2" borderId="16" xfId="0" applyNumberFormat="1" applyFont="1" applyFill="1" applyBorder="1"/>
    <xf numFmtId="10" fontId="4" fillId="7" borderId="16" xfId="2" applyNumberFormat="1" applyFont="1" applyFill="1" applyBorder="1"/>
    <xf numFmtId="167" fontId="4" fillId="7" borderId="7" xfId="0" applyNumberFormat="1" applyFont="1" applyFill="1" applyBorder="1"/>
    <xf numFmtId="167" fontId="4" fillId="7" borderId="6" xfId="0" applyNumberFormat="1" applyFont="1" applyFill="1" applyBorder="1"/>
    <xf numFmtId="167" fontId="4" fillId="2" borderId="6" xfId="0" applyNumberFormat="1" applyFont="1" applyFill="1" applyBorder="1"/>
    <xf numFmtId="10" fontId="4" fillId="7" borderId="6" xfId="2" applyNumberFormat="1" applyFont="1" applyFill="1" applyBorder="1"/>
    <xf numFmtId="0" fontId="3" fillId="7" borderId="7" xfId="0" applyFont="1" applyFill="1" applyBorder="1"/>
    <xf numFmtId="0" fontId="3" fillId="7" borderId="6" xfId="0" applyFont="1" applyFill="1" applyBorder="1"/>
    <xf numFmtId="0" fontId="3" fillId="2" borderId="6" xfId="0" applyFont="1" applyFill="1" applyBorder="1"/>
    <xf numFmtId="0" fontId="15" fillId="7" borderId="19" xfId="0" applyFont="1" applyFill="1" applyBorder="1"/>
    <xf numFmtId="167" fontId="15" fillId="7" borderId="20" xfId="0" applyNumberFormat="1" applyFont="1" applyFill="1" applyBorder="1"/>
    <xf numFmtId="167" fontId="15" fillId="7" borderId="21" xfId="0" applyNumberFormat="1" applyFont="1" applyFill="1" applyBorder="1"/>
    <xf numFmtId="167" fontId="15" fillId="2" borderId="21" xfId="0" applyNumberFormat="1" applyFont="1" applyFill="1" applyBorder="1"/>
    <xf numFmtId="0" fontId="0" fillId="3" borderId="0" xfId="0" applyFill="1"/>
    <xf numFmtId="0" fontId="5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4" fillId="3" borderId="0" xfId="0" applyFont="1" applyFill="1"/>
    <xf numFmtId="0" fontId="16" fillId="3" borderId="0" xfId="0" applyFont="1" applyFill="1"/>
    <xf numFmtId="0" fontId="16" fillId="7" borderId="0" xfId="0" applyFont="1" applyFill="1"/>
    <xf numFmtId="0" fontId="17" fillId="7" borderId="1" xfId="0" applyFont="1" applyFill="1" applyBorder="1"/>
    <xf numFmtId="0" fontId="17" fillId="7" borderId="3" xfId="0" applyFont="1" applyFill="1" applyBorder="1"/>
    <xf numFmtId="0" fontId="17" fillId="7" borderId="5" xfId="0" applyFont="1" applyFill="1" applyBorder="1"/>
    <xf numFmtId="0" fontId="17" fillId="7" borderId="0" xfId="0" applyFont="1" applyFill="1"/>
    <xf numFmtId="0" fontId="17" fillId="7" borderId="8" xfId="0" applyFont="1" applyFill="1" applyBorder="1"/>
    <xf numFmtId="0" fontId="17" fillId="7" borderId="10" xfId="0" applyFont="1" applyFill="1" applyBorder="1" applyAlignment="1">
      <alignment horizontal="right"/>
    </xf>
    <xf numFmtId="166" fontId="17" fillId="7" borderId="7" xfId="0" applyNumberFormat="1" applyFont="1" applyFill="1" applyBorder="1"/>
    <xf numFmtId="166" fontId="17" fillId="7" borderId="7" xfId="0" applyNumberFormat="1" applyFont="1" applyFill="1" applyBorder="1" applyAlignment="1">
      <alignment horizontal="right"/>
    </xf>
    <xf numFmtId="166" fontId="17" fillId="2" borderId="7" xfId="0" applyNumberFormat="1" applyFont="1" applyFill="1" applyBorder="1" applyAlignment="1">
      <alignment horizontal="right"/>
    </xf>
    <xf numFmtId="167" fontId="16" fillId="7" borderId="4" xfId="0" applyNumberFormat="1" applyFont="1" applyFill="1" applyBorder="1"/>
    <xf numFmtId="167" fontId="16" fillId="7" borderId="2" xfId="0" applyNumberFormat="1" applyFont="1" applyFill="1" applyBorder="1"/>
    <xf numFmtId="167" fontId="16" fillId="2" borderId="2" xfId="0" applyNumberFormat="1" applyFont="1" applyFill="1" applyBorder="1"/>
    <xf numFmtId="0" fontId="16" fillId="7" borderId="5" xfId="0" applyFont="1" applyFill="1" applyBorder="1"/>
    <xf numFmtId="167" fontId="16" fillId="7" borderId="7" xfId="0" applyNumberFormat="1" applyFont="1" applyFill="1" applyBorder="1"/>
    <xf numFmtId="167" fontId="16" fillId="7" borderId="6" xfId="0" applyNumberFormat="1" applyFont="1" applyFill="1" applyBorder="1"/>
    <xf numFmtId="10" fontId="16" fillId="2" borderId="6" xfId="2" applyNumberFormat="1" applyFont="1" applyFill="1" applyBorder="1"/>
    <xf numFmtId="167" fontId="16" fillId="2" borderId="6" xfId="0" applyNumberFormat="1" applyFont="1" applyFill="1" applyBorder="1"/>
    <xf numFmtId="0" fontId="17" fillId="7" borderId="14" xfId="0" applyFont="1" applyFill="1" applyBorder="1"/>
    <xf numFmtId="167" fontId="17" fillId="7" borderId="15" xfId="0" applyNumberFormat="1" applyFont="1" applyFill="1" applyBorder="1"/>
    <xf numFmtId="167" fontId="17" fillId="7" borderId="16" xfId="0" applyNumberFormat="1" applyFont="1" applyFill="1" applyBorder="1"/>
    <xf numFmtId="10" fontId="17" fillId="2" borderId="16" xfId="2" applyNumberFormat="1" applyFont="1" applyFill="1" applyBorder="1"/>
    <xf numFmtId="167" fontId="17" fillId="2" borderId="16" xfId="0" applyNumberFormat="1" applyFont="1" applyFill="1" applyBorder="1"/>
    <xf numFmtId="167" fontId="17" fillId="7" borderId="7" xfId="0" applyNumberFormat="1" applyFont="1" applyFill="1" applyBorder="1"/>
    <xf numFmtId="167" fontId="17" fillId="7" borderId="6" xfId="0" applyNumberFormat="1" applyFont="1" applyFill="1" applyBorder="1"/>
    <xf numFmtId="10" fontId="17" fillId="2" borderId="6" xfId="2" applyNumberFormat="1" applyFont="1" applyFill="1" applyBorder="1"/>
    <xf numFmtId="167" fontId="17" fillId="2" borderId="6" xfId="0" applyNumberFormat="1" applyFont="1" applyFill="1" applyBorder="1"/>
    <xf numFmtId="0" fontId="16" fillId="7" borderId="7" xfId="0" applyFont="1" applyFill="1" applyBorder="1"/>
    <xf numFmtId="0" fontId="16" fillId="7" borderId="6" xfId="0" applyFont="1" applyFill="1" applyBorder="1"/>
    <xf numFmtId="0" fontId="16" fillId="2" borderId="6" xfId="0" applyFont="1" applyFill="1" applyBorder="1"/>
    <xf numFmtId="0" fontId="18" fillId="7" borderId="19" xfId="0" applyFont="1" applyFill="1" applyBorder="1"/>
    <xf numFmtId="167" fontId="18" fillId="7" borderId="20" xfId="0" applyNumberFormat="1" applyFont="1" applyFill="1" applyBorder="1"/>
    <xf numFmtId="167" fontId="18" fillId="7" borderId="21" xfId="0" applyNumberFormat="1" applyFont="1" applyFill="1" applyBorder="1"/>
    <xf numFmtId="167" fontId="18" fillId="2" borderId="21" xfId="0" applyNumberFormat="1" applyFont="1" applyFill="1" applyBorder="1"/>
    <xf numFmtId="0" fontId="16" fillId="2" borderId="0" xfId="0" applyFont="1" applyFill="1"/>
    <xf numFmtId="164" fontId="16" fillId="7" borderId="0" xfId="1" applyFont="1" applyFill="1"/>
    <xf numFmtId="165" fontId="10" fillId="7" borderId="3" xfId="0" applyNumberFormat="1" applyFont="1" applyFill="1" applyBorder="1"/>
    <xf numFmtId="165" fontId="10" fillId="7" borderId="10" xfId="0" applyNumberFormat="1" applyFont="1" applyFill="1" applyBorder="1"/>
    <xf numFmtId="169" fontId="16" fillId="7" borderId="7" xfId="0" applyNumberFormat="1" applyFont="1" applyFill="1" applyBorder="1"/>
    <xf numFmtId="9" fontId="16" fillId="2" borderId="7" xfId="2" applyFont="1" applyFill="1" applyBorder="1"/>
    <xf numFmtId="0" fontId="17" fillId="7" borderId="7" xfId="0" applyFont="1" applyFill="1" applyBorder="1"/>
    <xf numFmtId="169" fontId="17" fillId="7" borderId="7" xfId="0" applyNumberFormat="1" applyFont="1" applyFill="1" applyBorder="1"/>
    <xf numFmtId="9" fontId="17" fillId="2" borderId="7" xfId="2" applyFont="1" applyFill="1" applyBorder="1"/>
    <xf numFmtId="0" fontId="17" fillId="7" borderId="4" xfId="0" applyFont="1" applyFill="1" applyBorder="1"/>
    <xf numFmtId="169" fontId="17" fillId="7" borderId="4" xfId="0" applyNumberFormat="1" applyFont="1" applyFill="1" applyBorder="1"/>
    <xf numFmtId="9" fontId="17" fillId="2" borderId="4" xfId="2" applyFont="1" applyFill="1" applyBorder="1"/>
    <xf numFmtId="0" fontId="19" fillId="7" borderId="20" xfId="0" applyFont="1" applyFill="1" applyBorder="1"/>
    <xf numFmtId="169" fontId="19" fillId="7" borderId="20" xfId="0" applyNumberFormat="1" applyFont="1" applyFill="1" applyBorder="1"/>
    <xf numFmtId="9" fontId="19" fillId="2" borderId="20" xfId="2" applyFont="1" applyFill="1" applyBorder="1"/>
    <xf numFmtId="169" fontId="16" fillId="7" borderId="0" xfId="0" applyNumberFormat="1" applyFont="1" applyFill="1"/>
    <xf numFmtId="0" fontId="20" fillId="7" borderId="15" xfId="0" applyFont="1" applyFill="1" applyBorder="1"/>
    <xf numFmtId="169" fontId="20" fillId="7" borderId="15" xfId="0" applyNumberFormat="1" applyFont="1" applyFill="1" applyBorder="1"/>
    <xf numFmtId="9" fontId="20" fillId="2" borderId="15" xfId="2" applyFont="1" applyFill="1" applyBorder="1"/>
    <xf numFmtId="171" fontId="16" fillId="2" borderId="7" xfId="2" applyNumberFormat="1" applyFont="1" applyFill="1" applyBorder="1"/>
    <xf numFmtId="9" fontId="16" fillId="7" borderId="0" xfId="2" applyFont="1" applyFill="1"/>
    <xf numFmtId="171" fontId="20" fillId="2" borderId="15" xfId="2" applyNumberFormat="1" applyFont="1" applyFill="1" applyBorder="1"/>
    <xf numFmtId="10" fontId="3" fillId="7" borderId="9" xfId="2" applyNumberFormat="1" applyFont="1" applyFill="1" applyBorder="1"/>
    <xf numFmtId="0" fontId="21" fillId="4" borderId="0" xfId="0" applyFont="1" applyFill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0" fontId="22" fillId="0" borderId="22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5" borderId="0" xfId="0" applyFont="1" applyFill="1"/>
    <xf numFmtId="0" fontId="4" fillId="0" borderId="0" xfId="0" applyFont="1"/>
    <xf numFmtId="0" fontId="23" fillId="0" borderId="22" xfId="0" applyFont="1" applyBorder="1" applyAlignment="1">
      <alignment horizontal="right"/>
    </xf>
    <xf numFmtId="10" fontId="3" fillId="0" borderId="22" xfId="2" applyNumberFormat="1" applyFont="1" applyFill="1" applyBorder="1" applyAlignment="1">
      <alignment horizontal="right"/>
    </xf>
    <xf numFmtId="10" fontId="3" fillId="0" borderId="22" xfId="0" applyNumberFormat="1" applyFont="1" applyBorder="1" applyAlignment="1">
      <alignment horizontal="right"/>
    </xf>
    <xf numFmtId="0" fontId="23" fillId="0" borderId="0" xfId="0" applyFont="1"/>
    <xf numFmtId="9" fontId="3" fillId="0" borderId="0" xfId="2" applyFont="1"/>
  </cellXfs>
  <cellStyles count="4">
    <cellStyle name="Comma" xfId="1" builtinId="3"/>
    <cellStyle name="Comma 2" xfId="3" xr:uid="{72022BA8-D86D-4853-B873-A5EE467D2FAA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92075</xdr:rowOff>
    </xdr:to>
    <xdr:sp macro="" textlink="">
      <xdr:nvSpPr>
        <xdr:cNvPr id="2" name="AutoShape 4" descr="Tokeo la picha la tausi assuarance company logo">
          <a:extLst>
            <a:ext uri="{FF2B5EF4-FFF2-40B4-BE49-F238E27FC236}">
              <a16:creationId xmlns:a16="http://schemas.microsoft.com/office/drawing/2014/main" id="{FFB9ED6F-BB5A-4A85-97FC-F7E9183171BD}"/>
            </a:ext>
          </a:extLst>
        </xdr:cNvPr>
        <xdr:cNvSpPr>
          <a:spLocks noChangeAspect="1" noChangeArrowheads="1"/>
        </xdr:cNvSpPr>
      </xdr:nvSpPr>
      <xdr:spPr bwMode="auto">
        <a:xfrm>
          <a:off x="2794000" y="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nicah%20Nyamwange\Desktop\Work\TRAINING\Workings\Week5\FSIC%20IFRS%2017%20Draft%20Finacials%20December%202023%20-%20004.xlsx" TargetMode="External"/><Relationship Id="rId1" Type="http://schemas.openxmlformats.org/officeDocument/2006/relationships/externalLinkPath" Target="/Users/Monicah%20Nyamwange/Desktop/Work/TRAINING/Workings/Week5/FSIC%20IFRS%2017%20Draft%20Finacials%20December%202023%20-%20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Acc_17"/>
      <sheetName val="2021 TB"/>
      <sheetName val="2022 TB"/>
      <sheetName val="2023 TB"/>
      <sheetName val="Financials Summaries"/>
      <sheetName val="P&amp;L_IFRS4"/>
      <sheetName val="BS_IFRS4"/>
      <sheetName val="P&amp;L_IFRS17"/>
      <sheetName val="BS_IFRS17"/>
      <sheetName val="Liquidity Risk"/>
      <sheetName val="Other Payables"/>
      <sheetName val="Investment Income"/>
      <sheetName val="Operating expenses"/>
      <sheetName val="Other Receivables"/>
      <sheetName val="SOCE_IFRS17"/>
      <sheetName val="LRC"/>
      <sheetName val="LIC"/>
      <sheetName val="Reconciliation"/>
      <sheetName val="RevAcc 2023"/>
      <sheetName val="RevAcc 2022"/>
      <sheetName val="RevAcc 2021"/>
      <sheetName val="InsurServRev"/>
      <sheetName val="InsurServExp"/>
      <sheetName val="NetReinGainLoss"/>
      <sheetName val="InsurCtrLiab"/>
      <sheetName val="ReInsurCtrAssets"/>
      <sheetName val="Index"/>
      <sheetName val="FSIC IFRS 17 Draft Finacials De"/>
    </sheetNames>
    <sheetDataSet>
      <sheetData sheetId="0"/>
      <sheetData sheetId="1"/>
      <sheetData sheetId="2"/>
      <sheetData sheetId="3"/>
      <sheetData sheetId="4"/>
      <sheetData sheetId="5">
        <row r="30">
          <cell r="D30">
            <v>28216.85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8">
          <cell r="E18">
            <v>3480386.4808399999</v>
          </cell>
        </row>
      </sheetData>
      <sheetData sheetId="19">
        <row r="18">
          <cell r="E18">
            <v>2752717.7654574001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3">
          <cell r="C3">
            <v>45291</v>
          </cell>
        </row>
      </sheetData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A994-42E7-4A12-BA3F-6B965990F3B7}">
  <dimension ref="C4:M66"/>
  <sheetViews>
    <sheetView topLeftCell="A4" workbookViewId="0">
      <selection activeCell="F12" sqref="F12:J12"/>
    </sheetView>
  </sheetViews>
  <sheetFormatPr defaultColWidth="8" defaultRowHeight="14.45"/>
  <cols>
    <col min="1" max="5" width="8" style="2"/>
    <col min="6" max="6" width="9.42578125" style="2" customWidth="1"/>
    <col min="7" max="7" width="21.5703125" style="2" customWidth="1"/>
    <col min="8" max="8" width="10.140625" style="2" bestFit="1" customWidth="1"/>
    <col min="9" max="9" width="13.85546875" style="2" customWidth="1"/>
    <col min="10" max="10" width="14" style="2" customWidth="1"/>
    <col min="11" max="11" width="8.140625" style="2" customWidth="1"/>
    <col min="12" max="16384" width="8" style="2"/>
  </cols>
  <sheetData>
    <row r="4" spans="3:13"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3:13"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3:13">
      <c r="C6" s="1"/>
      <c r="D6" s="1"/>
      <c r="L6" s="1"/>
      <c r="M6" s="1"/>
    </row>
    <row r="7" spans="3:13">
      <c r="C7" s="1"/>
      <c r="D7" s="1"/>
      <c r="L7" s="1"/>
      <c r="M7" s="1"/>
    </row>
    <row r="8" spans="3:13">
      <c r="C8" s="1"/>
      <c r="D8" s="1"/>
      <c r="L8" s="1"/>
      <c r="M8" s="1"/>
    </row>
    <row r="9" spans="3:13" ht="29.1">
      <c r="C9" s="1"/>
      <c r="D9" s="1"/>
      <c r="G9" s="3" t="s">
        <v>0</v>
      </c>
      <c r="L9" s="1"/>
      <c r="M9" s="1"/>
    </row>
    <row r="10" spans="3:13">
      <c r="C10" s="1"/>
      <c r="D10" s="1"/>
      <c r="L10" s="1"/>
      <c r="M10" s="1"/>
    </row>
    <row r="11" spans="3:13">
      <c r="C11" s="1"/>
      <c r="D11" s="1"/>
      <c r="L11" s="1"/>
      <c r="M11" s="1"/>
    </row>
    <row r="12" spans="3:13" ht="24.95" customHeight="1">
      <c r="C12" s="1"/>
      <c r="D12" s="1"/>
      <c r="F12" s="106" t="s">
        <v>1</v>
      </c>
      <c r="G12" s="106"/>
      <c r="H12" s="106"/>
      <c r="I12" s="106"/>
      <c r="J12" s="106"/>
      <c r="L12" s="1"/>
      <c r="M12" s="1"/>
    </row>
    <row r="13" spans="3:13" ht="24.6">
      <c r="C13" s="1"/>
      <c r="D13" s="1"/>
      <c r="F13" s="107" t="s">
        <v>2</v>
      </c>
      <c r="G13" s="107"/>
      <c r="H13" s="107"/>
      <c r="I13" s="107"/>
      <c r="J13" s="107"/>
      <c r="L13" s="1"/>
      <c r="M13" s="1"/>
    </row>
    <row r="14" spans="3:13">
      <c r="C14" s="1"/>
      <c r="D14" s="1"/>
      <c r="L14" s="1"/>
      <c r="M14" s="1"/>
    </row>
    <row r="15" spans="3:13" ht="15.95">
      <c r="C15" s="1"/>
      <c r="D15" s="1"/>
      <c r="G15" s="4" t="s">
        <v>3</v>
      </c>
      <c r="L15" s="1"/>
      <c r="M15" s="1"/>
    </row>
    <row r="16" spans="3:13">
      <c r="C16" s="1"/>
      <c r="D16" s="1"/>
      <c r="G16" s="5" t="s">
        <v>4</v>
      </c>
      <c r="H16" s="6">
        <v>44927</v>
      </c>
      <c r="L16" s="1"/>
      <c r="M16" s="1"/>
    </row>
    <row r="17" spans="3:13">
      <c r="C17" s="1"/>
      <c r="D17" s="1"/>
      <c r="G17" s="5" t="s">
        <v>5</v>
      </c>
      <c r="H17" s="6" t="s">
        <v>6</v>
      </c>
      <c r="L17" s="1"/>
      <c r="M17" s="1"/>
    </row>
    <row r="18" spans="3:13">
      <c r="C18" s="1"/>
      <c r="D18" s="1"/>
      <c r="L18" s="1"/>
      <c r="M18" s="1"/>
    </row>
    <row r="19" spans="3:1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3:1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38" spans="7:8">
      <c r="G38" s="7" t="s">
        <v>7</v>
      </c>
    </row>
    <row r="39" spans="7:8">
      <c r="G39" s="8" t="s">
        <v>8</v>
      </c>
      <c r="H39" s="9" t="s">
        <v>9</v>
      </c>
    </row>
    <row r="40" spans="7:8">
      <c r="G40" s="10" t="s">
        <v>10</v>
      </c>
      <c r="H40" s="11" t="s">
        <v>11</v>
      </c>
    </row>
    <row r="41" spans="7:8">
      <c r="G41" s="10" t="s">
        <v>12</v>
      </c>
      <c r="H41" s="11" t="s">
        <v>13</v>
      </c>
    </row>
    <row r="42" spans="7:8">
      <c r="G42" s="10" t="s">
        <v>14</v>
      </c>
      <c r="H42" s="11" t="s">
        <v>15</v>
      </c>
    </row>
    <row r="43" spans="7:8">
      <c r="G43" s="10" t="s">
        <v>16</v>
      </c>
      <c r="H43" s="11" t="s">
        <v>17</v>
      </c>
    </row>
    <row r="44" spans="7:8">
      <c r="G44" s="10" t="s">
        <v>18</v>
      </c>
      <c r="H44" s="11" t="s">
        <v>19</v>
      </c>
    </row>
    <row r="45" spans="7:8">
      <c r="G45" s="10" t="s">
        <v>20</v>
      </c>
      <c r="H45" s="11" t="s">
        <v>21</v>
      </c>
    </row>
    <row r="46" spans="7:8">
      <c r="G46" s="10" t="s">
        <v>22</v>
      </c>
      <c r="H46" s="11" t="s">
        <v>23</v>
      </c>
    </row>
    <row r="47" spans="7:8">
      <c r="G47" s="10" t="s">
        <v>24</v>
      </c>
      <c r="H47" s="11" t="s">
        <v>25</v>
      </c>
    </row>
    <row r="48" spans="7:8">
      <c r="G48" s="10" t="s">
        <v>26</v>
      </c>
      <c r="H48" s="11" t="s">
        <v>27</v>
      </c>
    </row>
    <row r="49" spans="7:8">
      <c r="G49" s="10" t="s">
        <v>28</v>
      </c>
      <c r="H49" s="11" t="s">
        <v>29</v>
      </c>
    </row>
    <row r="50" spans="7:8">
      <c r="G50" s="10" t="s">
        <v>30</v>
      </c>
      <c r="H50" s="11" t="s">
        <v>31</v>
      </c>
    </row>
    <row r="51" spans="7:8">
      <c r="G51" s="10" t="s">
        <v>32</v>
      </c>
      <c r="H51" s="11" t="s">
        <v>33</v>
      </c>
    </row>
    <row r="64" spans="7:8">
      <c r="G64" s="8" t="s">
        <v>34</v>
      </c>
      <c r="H64" s="9" t="s">
        <v>9</v>
      </c>
    </row>
    <row r="65" spans="7:8">
      <c r="G65" s="12">
        <v>1</v>
      </c>
      <c r="H65" s="11" t="s">
        <v>35</v>
      </c>
    </row>
    <row r="66" spans="7:8">
      <c r="G66" s="12">
        <v>0</v>
      </c>
      <c r="H66" s="11" t="s">
        <v>36</v>
      </c>
    </row>
  </sheetData>
  <mergeCells count="2">
    <mergeCell ref="F12:J12"/>
    <mergeCell ref="F13:J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A1C0-8DCA-4970-85E9-C62F7219C5C7}">
  <dimension ref="B1:J45"/>
  <sheetViews>
    <sheetView tabSelected="1" workbookViewId="0">
      <selection activeCell="C9" sqref="C9"/>
    </sheetView>
  </sheetViews>
  <sheetFormatPr defaultColWidth="8.7109375" defaultRowHeight="14.45"/>
  <cols>
    <col min="1" max="1" width="2" style="16" customWidth="1"/>
    <col min="2" max="2" width="24.42578125" style="16" hidden="1" customWidth="1"/>
    <col min="3" max="3" width="47.42578125" style="16" customWidth="1"/>
    <col min="4" max="6" width="15.42578125" style="16" customWidth="1"/>
    <col min="7" max="7" width="8.7109375" style="16"/>
    <col min="8" max="8" width="9.28515625" style="16" bestFit="1" customWidth="1"/>
    <col min="9" max="9" width="13.42578125" style="16" bestFit="1" customWidth="1"/>
    <col min="10" max="10" width="12.42578125" style="16" bestFit="1" customWidth="1"/>
    <col min="11" max="12" width="8.85546875" style="16" bestFit="1" customWidth="1"/>
    <col min="13" max="16384" width="8.7109375" style="16"/>
  </cols>
  <sheetData>
    <row r="1" spans="2:10" customFormat="1">
      <c r="C1" s="13" t="s">
        <v>37</v>
      </c>
    </row>
    <row r="2" spans="2:10">
      <c r="C2" s="17" t="s">
        <v>38</v>
      </c>
      <c r="D2" s="18"/>
      <c r="E2" s="18"/>
      <c r="F2" s="18"/>
      <c r="H2" s="19"/>
    </row>
    <row r="3" spans="2:10">
      <c r="C3" s="20" t="s">
        <v>39</v>
      </c>
      <c r="D3" s="21"/>
      <c r="E3" s="21"/>
      <c r="F3" s="21"/>
      <c r="H3" s="22"/>
    </row>
    <row r="4" spans="2:10">
      <c r="C4" s="23" t="s">
        <v>40</v>
      </c>
      <c r="D4" s="24"/>
      <c r="E4" s="24"/>
      <c r="F4" s="24"/>
      <c r="H4" s="25"/>
    </row>
    <row r="5" spans="2:10" ht="7.5" customHeight="1">
      <c r="C5" s="26"/>
      <c r="D5" s="27"/>
      <c r="E5" s="27"/>
      <c r="F5" s="27"/>
      <c r="H5" s="22"/>
    </row>
    <row r="6" spans="2:10">
      <c r="B6" s="16" t="s">
        <v>41</v>
      </c>
      <c r="C6" s="28" t="s">
        <v>42</v>
      </c>
      <c r="D6" s="29">
        <v>45291</v>
      </c>
      <c r="E6" s="30">
        <v>44926</v>
      </c>
      <c r="F6" s="31" t="s">
        <v>43</v>
      </c>
      <c r="H6" s="29">
        <v>44561</v>
      </c>
    </row>
    <row r="7" spans="2:10" ht="7.5" customHeight="1">
      <c r="C7" s="32"/>
      <c r="D7" s="33"/>
      <c r="E7" s="34"/>
      <c r="F7" s="35"/>
      <c r="H7" s="33"/>
    </row>
    <row r="8" spans="2:10">
      <c r="B8" s="16" t="s">
        <v>44</v>
      </c>
      <c r="C8" s="20" t="s">
        <v>44</v>
      </c>
      <c r="D8" s="36"/>
      <c r="E8" s="37"/>
      <c r="F8" s="38" t="e">
        <f>D8/E8-1</f>
        <v>#DIV/0!</v>
      </c>
      <c r="G8" s="39"/>
      <c r="H8" s="36"/>
      <c r="I8" s="40"/>
      <c r="J8" s="40"/>
    </row>
    <row r="9" spans="2:10" ht="15.6" customHeight="1">
      <c r="C9" s="67" t="s">
        <v>45</v>
      </c>
      <c r="D9" s="41"/>
      <c r="E9" s="41"/>
      <c r="F9" s="42"/>
      <c r="H9" s="43"/>
      <c r="I9" s="40"/>
      <c r="J9" s="40"/>
    </row>
    <row r="10" spans="2:10">
      <c r="B10" s="16" t="s">
        <v>46</v>
      </c>
      <c r="C10" s="32" t="s">
        <v>46</v>
      </c>
      <c r="D10" s="43"/>
      <c r="E10" s="44"/>
      <c r="F10" s="45" t="e">
        <f t="shared" ref="F10:F44" si="0">D10/E10-1</f>
        <v>#DIV/0!</v>
      </c>
      <c r="H10" s="43"/>
      <c r="I10" s="40"/>
      <c r="J10" s="40"/>
    </row>
    <row r="11" spans="2:10">
      <c r="B11" s="16" t="s">
        <v>47</v>
      </c>
      <c r="C11" s="32" t="s">
        <v>48</v>
      </c>
      <c r="D11" s="43"/>
      <c r="E11" s="44"/>
      <c r="F11" s="45" t="e">
        <f t="shared" si="0"/>
        <v>#DIV/0!</v>
      </c>
      <c r="H11" s="43"/>
      <c r="I11" s="40"/>
      <c r="J11" s="40"/>
    </row>
    <row r="12" spans="2:10" ht="15" thickBot="1">
      <c r="C12" s="20" t="s">
        <v>49</v>
      </c>
      <c r="D12" s="46"/>
      <c r="E12" s="47"/>
      <c r="F12" s="48" t="e">
        <f t="shared" si="0"/>
        <v>#DIV/0!</v>
      </c>
      <c r="H12" s="46"/>
      <c r="I12" s="40"/>
      <c r="J12" s="40"/>
    </row>
    <row r="13" spans="2:10" ht="9" customHeight="1">
      <c r="C13" s="32"/>
      <c r="D13" s="43"/>
      <c r="E13" s="44"/>
      <c r="F13" s="45"/>
      <c r="H13" s="43"/>
      <c r="I13" s="40"/>
      <c r="J13" s="40"/>
    </row>
    <row r="14" spans="2:10">
      <c r="B14" s="16" t="s">
        <v>50</v>
      </c>
      <c r="C14" s="32" t="s">
        <v>50</v>
      </c>
      <c r="D14" s="43"/>
      <c r="E14" s="44"/>
      <c r="F14" s="45" t="e">
        <f t="shared" si="0"/>
        <v>#DIV/0!</v>
      </c>
      <c r="H14" s="43"/>
      <c r="I14" s="40"/>
      <c r="J14" s="40"/>
    </row>
    <row r="15" spans="2:10">
      <c r="B15" s="16" t="s">
        <v>51</v>
      </c>
      <c r="C15" s="32" t="s">
        <v>51</v>
      </c>
      <c r="D15" s="43"/>
      <c r="E15" s="44"/>
      <c r="F15" s="45" t="e">
        <f t="shared" si="0"/>
        <v>#DIV/0!</v>
      </c>
      <c r="H15" s="43"/>
      <c r="I15" s="40"/>
      <c r="J15" s="40"/>
    </row>
    <row r="16" spans="2:10">
      <c r="B16" s="16" t="s">
        <v>52</v>
      </c>
      <c r="C16" s="32" t="s">
        <v>53</v>
      </c>
      <c r="D16" s="43"/>
      <c r="E16" s="44"/>
      <c r="F16" s="45" t="e">
        <f t="shared" si="0"/>
        <v>#DIV/0!</v>
      </c>
      <c r="H16" s="43"/>
      <c r="I16" s="40"/>
      <c r="J16" s="40"/>
    </row>
    <row r="17" spans="2:10">
      <c r="B17" s="49" t="s">
        <v>54</v>
      </c>
      <c r="C17" s="32" t="s">
        <v>54</v>
      </c>
      <c r="D17" s="43"/>
      <c r="E17" s="44"/>
      <c r="F17" s="45" t="e">
        <f t="shared" si="0"/>
        <v>#DIV/0!</v>
      </c>
      <c r="H17" s="43"/>
      <c r="I17" s="40"/>
      <c r="J17" s="40"/>
    </row>
    <row r="18" spans="2:10">
      <c r="B18" s="49" t="s">
        <v>55</v>
      </c>
      <c r="C18" s="32" t="s">
        <v>55</v>
      </c>
      <c r="D18" s="43"/>
      <c r="E18" s="44"/>
      <c r="F18" s="45" t="e">
        <f t="shared" si="0"/>
        <v>#DIV/0!</v>
      </c>
      <c r="H18" s="43"/>
      <c r="I18" s="40"/>
      <c r="J18" s="40"/>
    </row>
    <row r="19" spans="2:10" ht="9" customHeight="1">
      <c r="C19" s="32"/>
      <c r="D19" s="43"/>
      <c r="E19" s="44"/>
      <c r="F19" s="45"/>
      <c r="H19" s="43"/>
      <c r="I19" s="40"/>
      <c r="J19" s="40"/>
    </row>
    <row r="20" spans="2:10" ht="15" thickBot="1">
      <c r="C20" s="20" t="s">
        <v>56</v>
      </c>
      <c r="D20" s="46"/>
      <c r="E20" s="47"/>
      <c r="F20" s="48" t="e">
        <f t="shared" si="0"/>
        <v>#DIV/0!</v>
      </c>
      <c r="H20" s="46"/>
      <c r="I20" s="40"/>
      <c r="J20" s="40"/>
    </row>
    <row r="21" spans="2:10" ht="7.5" customHeight="1">
      <c r="C21" s="32"/>
      <c r="D21" s="43"/>
      <c r="E21" s="44"/>
      <c r="F21" s="45"/>
      <c r="H21" s="43"/>
      <c r="I21" s="40"/>
      <c r="J21" s="40"/>
    </row>
    <row r="22" spans="2:10">
      <c r="B22" s="16" t="s">
        <v>57</v>
      </c>
      <c r="C22" s="32" t="s">
        <v>58</v>
      </c>
      <c r="D22" s="43"/>
      <c r="E22" s="44"/>
      <c r="F22" s="45" t="e">
        <f t="shared" si="0"/>
        <v>#DIV/0!</v>
      </c>
      <c r="H22" s="43"/>
      <c r="I22" s="40"/>
      <c r="J22" s="40"/>
    </row>
    <row r="23" spans="2:10">
      <c r="B23" s="16" t="s">
        <v>59</v>
      </c>
      <c r="C23" s="32" t="s">
        <v>60</v>
      </c>
      <c r="D23" s="43"/>
      <c r="E23" s="44"/>
      <c r="F23" s="45" t="e">
        <f t="shared" si="0"/>
        <v>#DIV/0!</v>
      </c>
      <c r="H23" s="43"/>
      <c r="I23" s="40"/>
      <c r="J23" s="40"/>
    </row>
    <row r="24" spans="2:10" ht="6.95" customHeight="1">
      <c r="C24" s="32"/>
      <c r="D24" s="43"/>
      <c r="E24" s="44"/>
      <c r="F24" s="45"/>
      <c r="H24" s="43"/>
      <c r="I24" s="40"/>
      <c r="J24" s="40"/>
    </row>
    <row r="25" spans="2:10" ht="15" thickBot="1">
      <c r="C25" s="20" t="s">
        <v>61</v>
      </c>
      <c r="D25" s="46"/>
      <c r="E25" s="47"/>
      <c r="F25" s="48" t="e">
        <f t="shared" si="0"/>
        <v>#DIV/0!</v>
      </c>
      <c r="H25" s="46"/>
      <c r="I25" s="40"/>
      <c r="J25" s="40"/>
    </row>
    <row r="26" spans="2:10" ht="8.1" customHeight="1">
      <c r="C26" s="32"/>
      <c r="D26" s="43"/>
      <c r="E26" s="44"/>
      <c r="F26" s="45"/>
      <c r="H26" s="43"/>
      <c r="I26" s="40"/>
      <c r="J26" s="40"/>
    </row>
    <row r="27" spans="2:10">
      <c r="B27" s="49" t="s">
        <v>62</v>
      </c>
      <c r="C27" s="32" t="s">
        <v>62</v>
      </c>
      <c r="D27" s="43"/>
      <c r="E27" s="44"/>
      <c r="F27" s="45" t="e">
        <f t="shared" si="0"/>
        <v>#DIV/0!</v>
      </c>
      <c r="H27" s="43"/>
      <c r="I27" s="40"/>
      <c r="J27" s="40"/>
    </row>
    <row r="28" spans="2:10">
      <c r="B28" s="49" t="s">
        <v>63</v>
      </c>
      <c r="C28" s="32" t="s">
        <v>63</v>
      </c>
      <c r="D28" s="43"/>
      <c r="E28" s="44"/>
      <c r="F28" s="45" t="e">
        <f t="shared" si="0"/>
        <v>#DIV/0!</v>
      </c>
      <c r="H28" s="43"/>
      <c r="I28" s="40"/>
      <c r="J28" s="40"/>
    </row>
    <row r="29" spans="2:10" ht="9" customHeight="1">
      <c r="C29" s="32"/>
      <c r="D29" s="43"/>
      <c r="E29" s="44"/>
      <c r="F29" s="45"/>
      <c r="H29" s="43"/>
      <c r="I29" s="40"/>
      <c r="J29" s="40"/>
    </row>
    <row r="30" spans="2:10" ht="15" thickBot="1">
      <c r="C30" s="20" t="s">
        <v>64</v>
      </c>
      <c r="D30" s="46"/>
      <c r="E30" s="47"/>
      <c r="F30" s="48" t="e">
        <f t="shared" si="0"/>
        <v>#DIV/0!</v>
      </c>
      <c r="H30" s="46"/>
      <c r="I30" s="40"/>
      <c r="J30" s="40"/>
    </row>
    <row r="31" spans="2:10">
      <c r="B31" s="16" t="s">
        <v>65</v>
      </c>
      <c r="C31" s="32" t="s">
        <v>65</v>
      </c>
      <c r="D31" s="43"/>
      <c r="E31" s="44"/>
      <c r="F31" s="45" t="e">
        <f t="shared" si="0"/>
        <v>#DIV/0!</v>
      </c>
      <c r="H31" s="43"/>
      <c r="I31" s="40"/>
      <c r="J31" s="40"/>
    </row>
    <row r="32" spans="2:10" ht="9.6" customHeight="1">
      <c r="C32" s="32"/>
      <c r="D32" s="43"/>
      <c r="E32" s="44"/>
      <c r="F32" s="45"/>
      <c r="H32" s="43"/>
      <c r="I32" s="40"/>
      <c r="J32" s="40"/>
    </row>
    <row r="33" spans="3:10" s="50" customFormat="1" ht="15" thickBot="1">
      <c r="C33" s="51" t="s">
        <v>66</v>
      </c>
      <c r="D33" s="52"/>
      <c r="E33" s="53"/>
      <c r="F33" s="54" t="e">
        <f t="shared" si="0"/>
        <v>#DIV/0!</v>
      </c>
      <c r="G33" s="16"/>
      <c r="H33" s="52"/>
      <c r="I33" s="40"/>
      <c r="J33" s="40"/>
    </row>
    <row r="34" spans="3:10" ht="9.9499999999999993" customHeight="1" thickTop="1">
      <c r="C34" s="32"/>
      <c r="D34" s="36"/>
      <c r="E34" s="37"/>
      <c r="F34" s="38"/>
      <c r="H34" s="36"/>
      <c r="I34" s="40"/>
      <c r="J34" s="40"/>
    </row>
    <row r="35" spans="3:10">
      <c r="C35" s="32" t="s">
        <v>67</v>
      </c>
      <c r="D35" s="55"/>
      <c r="E35" s="56"/>
      <c r="F35" s="45"/>
      <c r="H35" s="55"/>
      <c r="I35" s="40"/>
      <c r="J35" s="40"/>
    </row>
    <row r="36" spans="3:10" ht="8.4499999999999993" customHeight="1">
      <c r="C36" s="32"/>
      <c r="D36" s="55"/>
      <c r="E36" s="56"/>
      <c r="F36" s="45"/>
      <c r="H36" s="55"/>
      <c r="I36" s="40"/>
      <c r="J36" s="40"/>
    </row>
    <row r="37" spans="3:10">
      <c r="C37" s="57" t="s">
        <v>68</v>
      </c>
      <c r="D37" s="58"/>
      <c r="E37" s="59"/>
      <c r="F37" s="38"/>
      <c r="H37" s="58"/>
      <c r="I37" s="40"/>
      <c r="J37" s="40"/>
    </row>
    <row r="38" spans="3:10">
      <c r="C38" s="60" t="s">
        <v>69</v>
      </c>
      <c r="D38" s="43"/>
      <c r="E38" s="44"/>
      <c r="F38" s="45" t="e">
        <f t="shared" si="0"/>
        <v>#DIV/0!</v>
      </c>
      <c r="H38" s="43"/>
      <c r="I38" s="40"/>
      <c r="J38" s="40"/>
    </row>
    <row r="39" spans="3:10">
      <c r="C39" s="60" t="s">
        <v>70</v>
      </c>
      <c r="D39" s="61"/>
      <c r="E39" s="62"/>
      <c r="F39" s="63" t="e">
        <f t="shared" si="0"/>
        <v>#DIV/0!</v>
      </c>
      <c r="H39" s="61"/>
      <c r="I39" s="40"/>
      <c r="J39" s="40"/>
    </row>
    <row r="40" spans="3:10" ht="9.6" customHeight="1">
      <c r="C40" s="32"/>
      <c r="D40" s="43"/>
      <c r="E40" s="44"/>
      <c r="F40" s="45"/>
      <c r="H40" s="43"/>
      <c r="I40" s="40"/>
      <c r="J40" s="40"/>
    </row>
    <row r="41" spans="3:10">
      <c r="C41" s="20" t="s">
        <v>71</v>
      </c>
      <c r="D41" s="36"/>
      <c r="E41" s="37"/>
      <c r="F41" s="38" t="e">
        <f t="shared" si="0"/>
        <v>#DIV/0!</v>
      </c>
      <c r="H41" s="36">
        <v>0</v>
      </c>
      <c r="I41" s="40"/>
      <c r="J41" s="40"/>
    </row>
    <row r="42" spans="3:10" ht="9.9499999999999993" customHeight="1" thickBot="1">
      <c r="C42" s="32"/>
      <c r="D42" s="64"/>
      <c r="E42" s="65"/>
      <c r="F42" s="66"/>
      <c r="H42" s="64"/>
      <c r="I42" s="40"/>
      <c r="J42" s="40"/>
    </row>
    <row r="43" spans="3:10" ht="10.5" customHeight="1" thickTop="1">
      <c r="C43" s="67"/>
      <c r="D43" s="68"/>
      <c r="E43" s="69"/>
      <c r="F43" s="45"/>
      <c r="H43" s="68"/>
      <c r="I43" s="40"/>
      <c r="J43" s="40"/>
    </row>
    <row r="44" spans="3:10" s="50" customFormat="1" ht="15" thickBot="1">
      <c r="C44" s="51" t="s">
        <v>72</v>
      </c>
      <c r="D44" s="52"/>
      <c r="E44" s="53"/>
      <c r="F44" s="54" t="e">
        <f t="shared" si="0"/>
        <v>#DIV/0!</v>
      </c>
      <c r="G44" s="16"/>
      <c r="H44" s="52">
        <v>26022.59185999936</v>
      </c>
      <c r="I44" s="40"/>
      <c r="J44" s="40"/>
    </row>
    <row r="45" spans="3:10" ht="15" thickTop="1">
      <c r="C45" s="70"/>
      <c r="D45" s="71"/>
      <c r="E45" s="72"/>
      <c r="F45" s="73"/>
      <c r="H45" s="71"/>
      <c r="I45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2E0A-4F89-4F7A-90F0-C90AB4AAF0A5}">
  <dimension ref="B1:H50"/>
  <sheetViews>
    <sheetView workbookViewId="0">
      <selection activeCell="E17" sqref="E17"/>
    </sheetView>
  </sheetViews>
  <sheetFormatPr defaultColWidth="8.7109375" defaultRowHeight="14.45"/>
  <cols>
    <col min="1" max="1" width="2.85546875" style="16" customWidth="1"/>
    <col min="2" max="2" width="26.85546875" style="16" hidden="1" customWidth="1"/>
    <col min="3" max="3" width="54.85546875" style="16" bestFit="1" customWidth="1"/>
    <col min="4" max="4" width="15.42578125" style="16" bestFit="1" customWidth="1"/>
    <col min="5" max="5" width="15.85546875" style="16" bestFit="1" customWidth="1"/>
    <col min="6" max="6" width="14.28515625" style="16" bestFit="1" customWidth="1"/>
    <col min="7" max="7" width="10" style="16" bestFit="1" customWidth="1"/>
    <col min="8" max="8" width="15.28515625" style="16" customWidth="1"/>
    <col min="9" max="10" width="17.42578125" style="16" bestFit="1" customWidth="1"/>
    <col min="11" max="16384" width="8.7109375" style="16"/>
  </cols>
  <sheetData>
    <row r="1" spans="2:8" s="105" customFormat="1">
      <c r="C1" s="13" t="s">
        <v>73</v>
      </c>
    </row>
    <row r="2" spans="2:8" ht="9" customHeight="1"/>
    <row r="3" spans="2:8">
      <c r="C3" s="28" t="s">
        <v>38</v>
      </c>
      <c r="D3" s="74"/>
      <c r="E3" s="74"/>
      <c r="F3" s="74"/>
      <c r="G3" s="74"/>
      <c r="H3" s="74"/>
    </row>
    <row r="4" spans="2:8">
      <c r="C4" s="75" t="s">
        <v>74</v>
      </c>
      <c r="D4" s="76"/>
      <c r="E4" s="76"/>
      <c r="F4" s="76"/>
      <c r="G4" s="76"/>
      <c r="H4" s="76"/>
    </row>
    <row r="5" spans="2:8">
      <c r="C5" s="77" t="s">
        <v>40</v>
      </c>
      <c r="D5" s="78"/>
      <c r="E5" s="78"/>
      <c r="F5" s="78"/>
      <c r="G5" s="78"/>
      <c r="H5" s="78"/>
    </row>
    <row r="6" spans="2:8" ht="27" customHeight="1">
      <c r="C6" s="75" t="s">
        <v>75</v>
      </c>
      <c r="D6" s="79">
        <v>45291</v>
      </c>
      <c r="E6" s="79">
        <v>44926</v>
      </c>
      <c r="F6" s="80" t="s">
        <v>76</v>
      </c>
      <c r="G6" s="81" t="s">
        <v>77</v>
      </c>
      <c r="H6" s="79">
        <v>44561</v>
      </c>
    </row>
    <row r="7" spans="2:8">
      <c r="C7" s="28" t="s">
        <v>78</v>
      </c>
      <c r="D7" s="82"/>
      <c r="E7" s="83"/>
      <c r="F7" s="84"/>
      <c r="G7" s="85"/>
      <c r="H7" s="82"/>
    </row>
    <row r="8" spans="2:8">
      <c r="B8" s="16" t="s">
        <v>79</v>
      </c>
      <c r="C8" s="67" t="s">
        <v>80</v>
      </c>
      <c r="D8" s="86"/>
      <c r="E8" s="87"/>
      <c r="F8" s="88"/>
      <c r="G8" s="89" t="e">
        <f>D8/E8-1</f>
        <v>#DIV/0!</v>
      </c>
      <c r="H8" s="86"/>
    </row>
    <row r="9" spans="2:8">
      <c r="B9" s="16" t="s">
        <v>81</v>
      </c>
      <c r="C9" s="67" t="s">
        <v>82</v>
      </c>
      <c r="D9" s="86"/>
      <c r="E9" s="87"/>
      <c r="F9" s="88"/>
      <c r="G9" s="89" t="e">
        <f t="shared" ref="G9:G10" si="0">D9/E9-1</f>
        <v>#DIV/0!</v>
      </c>
      <c r="H9" s="86"/>
    </row>
    <row r="10" spans="2:8">
      <c r="B10" s="16" t="s">
        <v>83</v>
      </c>
      <c r="C10" s="67" t="s">
        <v>83</v>
      </c>
      <c r="D10" s="86"/>
      <c r="E10" s="87"/>
      <c r="F10" s="88"/>
      <c r="G10" s="89" t="e">
        <f t="shared" si="0"/>
        <v>#DIV/0!</v>
      </c>
      <c r="H10" s="86"/>
    </row>
    <row r="11" spans="2:8">
      <c r="B11" s="16" t="s">
        <v>84</v>
      </c>
      <c r="C11" s="67" t="s">
        <v>84</v>
      </c>
      <c r="D11" s="86"/>
      <c r="E11" s="87"/>
      <c r="F11" s="88"/>
      <c r="G11" s="89" t="s">
        <v>85</v>
      </c>
      <c r="H11" s="86"/>
    </row>
    <row r="12" spans="2:8">
      <c r="C12" s="67"/>
      <c r="D12" s="86"/>
      <c r="E12" s="87"/>
      <c r="F12" s="88"/>
      <c r="G12" s="89" t="s">
        <v>85</v>
      </c>
      <c r="H12" s="86"/>
    </row>
    <row r="13" spans="2:8" ht="15" thickBot="1">
      <c r="C13" s="51" t="s">
        <v>86</v>
      </c>
      <c r="D13" s="90"/>
      <c r="E13" s="91"/>
      <c r="F13" s="92"/>
      <c r="G13" s="93" t="e">
        <f>D13/E13-1</f>
        <v>#DIV/0!</v>
      </c>
      <c r="H13" s="90"/>
    </row>
    <row r="14" spans="2:8" ht="6" customHeight="1" thickTop="1">
      <c r="C14" s="67"/>
      <c r="D14" s="86"/>
      <c r="E14" s="87"/>
      <c r="F14" s="88"/>
      <c r="G14" s="89" t="s">
        <v>85</v>
      </c>
      <c r="H14" s="86"/>
    </row>
    <row r="15" spans="2:8">
      <c r="C15" s="75" t="s">
        <v>87</v>
      </c>
      <c r="D15" s="86"/>
      <c r="E15" s="87"/>
      <c r="F15" s="88"/>
      <c r="G15" s="89" t="s">
        <v>85</v>
      </c>
      <c r="H15" s="86"/>
    </row>
    <row r="16" spans="2:8">
      <c r="C16" s="75" t="s">
        <v>88</v>
      </c>
      <c r="D16" s="94"/>
      <c r="E16" s="95"/>
      <c r="F16" s="96"/>
      <c r="G16" s="97" t="s">
        <v>85</v>
      </c>
      <c r="H16" s="94"/>
    </row>
    <row r="17" spans="2:8">
      <c r="B17" s="16" t="s">
        <v>89</v>
      </c>
      <c r="C17" s="67" t="s">
        <v>89</v>
      </c>
      <c r="D17" s="86"/>
      <c r="E17" s="87"/>
      <c r="F17" s="88"/>
      <c r="G17" s="89" t="e">
        <f>D17/E17-1</f>
        <v>#DIV/0!</v>
      </c>
      <c r="H17" s="86"/>
    </row>
    <row r="18" spans="2:8">
      <c r="B18" s="16" t="s">
        <v>90</v>
      </c>
      <c r="C18" s="67" t="s">
        <v>90</v>
      </c>
      <c r="D18" s="86"/>
      <c r="E18" s="87"/>
      <c r="F18" s="88"/>
      <c r="G18" s="89" t="e">
        <f t="shared" ref="G18:G46" si="1">D18/E18-1</f>
        <v>#DIV/0!</v>
      </c>
      <c r="H18" s="86"/>
    </row>
    <row r="19" spans="2:8">
      <c r="B19" s="16" t="s">
        <v>91</v>
      </c>
      <c r="C19" s="67" t="s">
        <v>91</v>
      </c>
      <c r="D19" s="86"/>
      <c r="E19" s="87"/>
      <c r="F19" s="88"/>
      <c r="G19" s="89" t="e">
        <f t="shared" si="1"/>
        <v>#DIV/0!</v>
      </c>
      <c r="H19" s="86"/>
    </row>
    <row r="20" spans="2:8">
      <c r="B20" s="16" t="s">
        <v>92</v>
      </c>
      <c r="C20" s="67" t="s">
        <v>93</v>
      </c>
      <c r="D20" s="86"/>
      <c r="E20" s="87"/>
      <c r="F20" s="88"/>
      <c r="G20" s="89" t="e">
        <f t="shared" si="1"/>
        <v>#DIV/0!</v>
      </c>
      <c r="H20" s="86"/>
    </row>
    <row r="21" spans="2:8">
      <c r="B21" s="16" t="s">
        <v>94</v>
      </c>
      <c r="C21" s="67" t="s">
        <v>95</v>
      </c>
      <c r="D21" s="86"/>
      <c r="E21" s="87"/>
      <c r="F21" s="88"/>
      <c r="G21" s="89" t="e">
        <f t="shared" si="1"/>
        <v>#DIV/0!</v>
      </c>
      <c r="H21" s="86"/>
    </row>
    <row r="22" spans="2:8">
      <c r="B22" s="16" t="s">
        <v>96</v>
      </c>
      <c r="C22" s="67" t="s">
        <v>97</v>
      </c>
      <c r="D22" s="86"/>
      <c r="E22" s="87"/>
      <c r="F22" s="88"/>
      <c r="G22" s="89" t="e">
        <f t="shared" si="1"/>
        <v>#DIV/0!</v>
      </c>
      <c r="H22" s="86"/>
    </row>
    <row r="23" spans="2:8">
      <c r="B23" s="16" t="s">
        <v>98</v>
      </c>
      <c r="C23" s="67" t="s">
        <v>98</v>
      </c>
      <c r="D23" s="86"/>
      <c r="E23" s="87"/>
      <c r="F23" s="88"/>
      <c r="G23" s="89" t="e">
        <f t="shared" si="1"/>
        <v>#DIV/0!</v>
      </c>
      <c r="H23" s="86"/>
    </row>
    <row r="24" spans="2:8">
      <c r="B24" s="16" t="s">
        <v>99</v>
      </c>
      <c r="C24" s="67" t="s">
        <v>100</v>
      </c>
      <c r="D24" s="86"/>
      <c r="E24" s="87"/>
      <c r="F24" s="88"/>
      <c r="G24" s="89" t="e">
        <f t="shared" si="1"/>
        <v>#DIV/0!</v>
      </c>
      <c r="H24" s="86"/>
    </row>
    <row r="25" spans="2:8">
      <c r="B25" s="16" t="s">
        <v>101</v>
      </c>
      <c r="C25" s="67" t="s">
        <v>102</v>
      </c>
      <c r="D25" s="86"/>
      <c r="E25" s="87"/>
      <c r="F25" s="88"/>
      <c r="G25" s="89" t="e">
        <f t="shared" si="1"/>
        <v>#DIV/0!</v>
      </c>
      <c r="H25" s="86"/>
    </row>
    <row r="26" spans="2:8">
      <c r="B26" s="16" t="s">
        <v>103</v>
      </c>
      <c r="C26" s="67" t="s">
        <v>104</v>
      </c>
      <c r="D26" s="86"/>
      <c r="E26" s="87"/>
      <c r="F26" s="88"/>
      <c r="G26" s="89" t="e">
        <f t="shared" si="1"/>
        <v>#DIV/0!</v>
      </c>
      <c r="H26" s="86"/>
    </row>
    <row r="27" spans="2:8">
      <c r="B27" s="16" t="s">
        <v>105</v>
      </c>
      <c r="C27" s="67" t="s">
        <v>106</v>
      </c>
      <c r="D27" s="86"/>
      <c r="E27" s="87"/>
      <c r="F27" s="88"/>
      <c r="G27" s="89" t="e">
        <f t="shared" si="1"/>
        <v>#DIV/0!</v>
      </c>
      <c r="H27" s="86"/>
    </row>
    <row r="28" spans="2:8">
      <c r="B28" s="16" t="s">
        <v>107</v>
      </c>
      <c r="C28" s="67" t="s">
        <v>108</v>
      </c>
      <c r="D28" s="86"/>
      <c r="E28" s="87"/>
      <c r="F28" s="88"/>
      <c r="G28" s="89" t="e">
        <f t="shared" si="1"/>
        <v>#DIV/0!</v>
      </c>
      <c r="H28" s="86"/>
    </row>
    <row r="29" spans="2:8">
      <c r="B29" s="16" t="s">
        <v>109</v>
      </c>
      <c r="C29" s="67" t="s">
        <v>110</v>
      </c>
      <c r="D29" s="86"/>
      <c r="E29" s="87"/>
      <c r="F29" s="88"/>
      <c r="G29" s="89" t="e">
        <f t="shared" si="1"/>
        <v>#DIV/0!</v>
      </c>
      <c r="H29" s="86"/>
    </row>
    <row r="30" spans="2:8">
      <c r="B30" s="16" t="s">
        <v>111</v>
      </c>
      <c r="C30" s="67" t="s">
        <v>112</v>
      </c>
      <c r="D30" s="86"/>
      <c r="E30" s="87"/>
      <c r="F30" s="88"/>
      <c r="G30" s="89" t="e">
        <f t="shared" si="1"/>
        <v>#DIV/0!</v>
      </c>
      <c r="H30" s="86"/>
    </row>
    <row r="31" spans="2:8">
      <c r="B31" s="16" t="s">
        <v>113</v>
      </c>
      <c r="C31" s="67" t="s">
        <v>114</v>
      </c>
      <c r="D31" s="86"/>
      <c r="E31" s="87"/>
      <c r="F31" s="88"/>
      <c r="G31" s="89" t="e">
        <f t="shared" si="1"/>
        <v>#DIV/0!</v>
      </c>
      <c r="H31" s="86"/>
    </row>
    <row r="32" spans="2:8">
      <c r="B32" s="16" t="s">
        <v>115</v>
      </c>
      <c r="C32" s="67" t="s">
        <v>116</v>
      </c>
      <c r="D32" s="86"/>
      <c r="E32" s="87"/>
      <c r="F32" s="88"/>
      <c r="G32" s="89" t="e">
        <f t="shared" si="1"/>
        <v>#DIV/0!</v>
      </c>
      <c r="H32" s="86"/>
    </row>
    <row r="33" spans="2:8">
      <c r="B33" s="16" t="s">
        <v>117</v>
      </c>
      <c r="C33" s="67" t="s">
        <v>118</v>
      </c>
      <c r="D33" s="86"/>
      <c r="E33" s="87"/>
      <c r="F33" s="88"/>
      <c r="G33" s="89" t="e">
        <f t="shared" si="1"/>
        <v>#DIV/0!</v>
      </c>
      <c r="H33" s="86"/>
    </row>
    <row r="34" spans="2:8">
      <c r="B34" s="16" t="s">
        <v>119</v>
      </c>
      <c r="C34" s="67" t="s">
        <v>120</v>
      </c>
      <c r="D34" s="86"/>
      <c r="E34" s="87"/>
      <c r="F34" s="88"/>
      <c r="G34" s="89" t="e">
        <f t="shared" si="1"/>
        <v>#DIV/0!</v>
      </c>
      <c r="H34" s="86"/>
    </row>
    <row r="35" spans="2:8">
      <c r="C35" s="67"/>
      <c r="D35" s="86"/>
      <c r="E35" s="87"/>
      <c r="F35" s="88"/>
      <c r="G35" s="89"/>
      <c r="H35" s="86"/>
    </row>
    <row r="36" spans="2:8">
      <c r="C36" s="75" t="s">
        <v>121</v>
      </c>
      <c r="D36" s="94"/>
      <c r="E36" s="95"/>
      <c r="F36" s="96"/>
      <c r="G36" s="97" t="e">
        <f t="shared" si="1"/>
        <v>#DIV/0!</v>
      </c>
      <c r="H36" s="94"/>
    </row>
    <row r="37" spans="2:8">
      <c r="C37" s="67"/>
      <c r="D37" s="86"/>
      <c r="E37" s="87"/>
      <c r="F37" s="88"/>
      <c r="G37" s="89"/>
      <c r="H37" s="86"/>
    </row>
    <row r="38" spans="2:8">
      <c r="C38" s="75" t="s">
        <v>122</v>
      </c>
      <c r="D38" s="94"/>
      <c r="E38" s="95"/>
      <c r="F38" s="96"/>
      <c r="G38" s="97" t="e">
        <f t="shared" si="1"/>
        <v>#DIV/0!</v>
      </c>
      <c r="H38" s="94"/>
    </row>
    <row r="39" spans="2:8">
      <c r="B39" s="16" t="s">
        <v>123</v>
      </c>
      <c r="C39" s="67" t="s">
        <v>124</v>
      </c>
      <c r="D39" s="86"/>
      <c r="E39" s="87"/>
      <c r="F39" s="88"/>
      <c r="G39" s="89" t="e">
        <f t="shared" si="1"/>
        <v>#DIV/0!</v>
      </c>
      <c r="H39" s="86"/>
    </row>
    <row r="40" spans="2:8">
      <c r="B40" s="16" t="s">
        <v>125</v>
      </c>
      <c r="C40" s="67" t="s">
        <v>126</v>
      </c>
      <c r="D40" s="86"/>
      <c r="E40" s="87"/>
      <c r="F40" s="88"/>
      <c r="G40" s="89" t="e">
        <f t="shared" si="1"/>
        <v>#DIV/0!</v>
      </c>
      <c r="H40" s="86"/>
    </row>
    <row r="41" spans="2:8">
      <c r="B41" s="16" t="s">
        <v>127</v>
      </c>
      <c r="C41" s="67" t="s">
        <v>128</v>
      </c>
      <c r="D41" s="86"/>
      <c r="E41" s="87"/>
      <c r="F41" s="88"/>
      <c r="G41" s="89" t="e">
        <f t="shared" si="1"/>
        <v>#DIV/0!</v>
      </c>
      <c r="H41" s="86"/>
    </row>
    <row r="42" spans="2:8">
      <c r="B42" s="16" t="s">
        <v>129</v>
      </c>
      <c r="C42" s="67" t="s">
        <v>129</v>
      </c>
      <c r="D42" s="86"/>
      <c r="E42" s="87"/>
      <c r="F42" s="88"/>
      <c r="G42" s="89" t="e">
        <f t="shared" si="1"/>
        <v>#DIV/0!</v>
      </c>
      <c r="H42" s="86"/>
    </row>
    <row r="43" spans="2:8">
      <c r="B43" s="16" t="s">
        <v>130</v>
      </c>
      <c r="C43" s="67" t="s">
        <v>130</v>
      </c>
      <c r="D43" s="86"/>
      <c r="E43" s="87"/>
      <c r="F43" s="88"/>
      <c r="G43" s="89" t="e">
        <f t="shared" si="1"/>
        <v>#DIV/0!</v>
      </c>
      <c r="H43" s="86"/>
    </row>
    <row r="44" spans="2:8">
      <c r="C44" s="67"/>
      <c r="D44" s="86"/>
      <c r="E44" s="87"/>
      <c r="F44" s="88"/>
      <c r="G44" s="89" t="e">
        <f t="shared" si="1"/>
        <v>#DIV/0!</v>
      </c>
      <c r="H44" s="86"/>
    </row>
    <row r="45" spans="2:8" ht="4.5" customHeight="1">
      <c r="C45" s="67"/>
      <c r="D45" s="86"/>
      <c r="E45" s="87"/>
      <c r="F45" s="88"/>
      <c r="G45" s="89" t="e">
        <f t="shared" si="1"/>
        <v>#DIV/0!</v>
      </c>
      <c r="H45" s="86"/>
    </row>
    <row r="46" spans="2:8">
      <c r="C46" s="75" t="s">
        <v>131</v>
      </c>
      <c r="D46" s="94"/>
      <c r="E46" s="95"/>
      <c r="F46" s="96"/>
      <c r="G46" s="97" t="e">
        <f t="shared" si="1"/>
        <v>#DIV/0!</v>
      </c>
      <c r="H46" s="94"/>
    </row>
    <row r="47" spans="2:8" ht="5.45" customHeight="1">
      <c r="C47" s="67"/>
      <c r="D47" s="86"/>
      <c r="E47" s="87"/>
      <c r="F47" s="88"/>
      <c r="G47" s="89" t="s">
        <v>85</v>
      </c>
      <c r="H47" s="86"/>
    </row>
    <row r="48" spans="2:8" ht="15" thickBot="1">
      <c r="C48" s="51" t="s">
        <v>132</v>
      </c>
      <c r="D48" s="90"/>
      <c r="E48" s="91"/>
      <c r="F48" s="92"/>
      <c r="G48" s="93" t="e">
        <f>D48/E48-1</f>
        <v>#DIV/0!</v>
      </c>
      <c r="H48" s="90"/>
    </row>
    <row r="49" spans="3:8" ht="3.95" customHeight="1" thickTop="1">
      <c r="C49" s="67"/>
      <c r="D49" s="98"/>
      <c r="E49" s="99"/>
      <c r="F49" s="100"/>
      <c r="G49" s="99"/>
      <c r="H49" s="98"/>
    </row>
    <row r="50" spans="3:8">
      <c r="C50" s="101" t="s">
        <v>133</v>
      </c>
      <c r="D50" s="102">
        <v>2.000117301940918E-2</v>
      </c>
      <c r="E50" s="103">
        <v>-9.9992752075195313E-3</v>
      </c>
      <c r="F50" s="104"/>
      <c r="G50" s="103"/>
      <c r="H50" s="10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5B0F-E914-4901-BE8B-3034D2B0D83D}">
  <dimension ref="A1:H61"/>
  <sheetViews>
    <sheetView zoomScale="80" zoomScaleNormal="80" workbookViewId="0">
      <selection activeCell="B1" sqref="B1"/>
    </sheetView>
  </sheetViews>
  <sheetFormatPr defaultColWidth="8.7109375" defaultRowHeight="18.75"/>
  <cols>
    <col min="1" max="1" width="2.85546875" style="110" customWidth="1"/>
    <col min="2" max="2" width="54.5703125" style="110" bestFit="1" customWidth="1"/>
    <col min="3" max="3" width="19.28515625" style="110" customWidth="1"/>
    <col min="4" max="4" width="19.85546875" style="110" customWidth="1"/>
    <col min="5" max="5" width="13.42578125" style="110" bestFit="1" customWidth="1"/>
    <col min="6" max="7" width="13.5703125" style="110" bestFit="1" customWidth="1"/>
    <col min="8" max="8" width="15.140625" style="110" bestFit="1" customWidth="1"/>
    <col min="9" max="9" width="8.7109375" style="110"/>
    <col min="10" max="10" width="13.42578125" style="110" bestFit="1" customWidth="1"/>
    <col min="11" max="11" width="12" style="110" bestFit="1" customWidth="1"/>
    <col min="12" max="16384" width="8.7109375" style="110"/>
  </cols>
  <sheetData>
    <row r="1" spans="1:8" s="109" customFormat="1">
      <c r="A1" s="108" t="s">
        <v>134</v>
      </c>
    </row>
    <row r="3" spans="1:8">
      <c r="B3" s="111"/>
      <c r="C3" s="112"/>
      <c r="D3" s="112"/>
      <c r="E3" s="112"/>
      <c r="F3" s="112"/>
      <c r="G3" s="112"/>
      <c r="H3" s="112"/>
    </row>
    <row r="4" spans="1:8">
      <c r="B4" s="113" t="s">
        <v>38</v>
      </c>
      <c r="C4" s="114"/>
      <c r="D4" s="114"/>
      <c r="E4" s="114"/>
      <c r="F4" s="114"/>
      <c r="G4" s="114"/>
      <c r="H4" s="114"/>
    </row>
    <row r="5" spans="1:8">
      <c r="B5" s="115" t="s">
        <v>74</v>
      </c>
      <c r="C5" s="116"/>
      <c r="D5" s="116"/>
      <c r="E5" s="116"/>
      <c r="F5" s="116"/>
      <c r="G5" s="116"/>
      <c r="H5" s="116"/>
    </row>
    <row r="6" spans="1:8">
      <c r="B6" s="113" t="s">
        <v>40</v>
      </c>
      <c r="C6" s="117"/>
      <c r="D6" s="117"/>
      <c r="E6" s="118"/>
      <c r="F6" s="119"/>
      <c r="G6" s="117"/>
      <c r="H6" s="119"/>
    </row>
    <row r="7" spans="1:8">
      <c r="B7" s="111"/>
      <c r="C7" s="120"/>
      <c r="D7" s="121"/>
      <c r="E7" s="121" t="s">
        <v>76</v>
      </c>
      <c r="F7" s="122" t="s">
        <v>77</v>
      </c>
      <c r="G7" s="120">
        <v>44561</v>
      </c>
      <c r="H7" s="122" t="s">
        <v>76</v>
      </c>
    </row>
    <row r="8" spans="1:8">
      <c r="B8" s="123" t="s">
        <v>78</v>
      </c>
      <c r="C8" s="124"/>
      <c r="D8" s="125"/>
      <c r="E8" s="125"/>
      <c r="F8" s="126"/>
      <c r="G8" s="124"/>
      <c r="H8" s="127"/>
    </row>
    <row r="9" spans="1:8">
      <c r="B9" s="123" t="s">
        <v>80</v>
      </c>
      <c r="C9" s="124"/>
      <c r="D9" s="125"/>
      <c r="E9" s="125">
        <f>C9-D9</f>
        <v>0</v>
      </c>
      <c r="F9" s="126" t="e">
        <f>C9/D9-1</f>
        <v>#DIV/0!</v>
      </c>
      <c r="G9" s="124"/>
      <c r="H9" s="127"/>
    </row>
    <row r="10" spans="1:8">
      <c r="B10" s="123" t="s">
        <v>82</v>
      </c>
      <c r="C10" s="124"/>
      <c r="D10" s="125"/>
      <c r="E10" s="125">
        <f t="shared" ref="E10:E43" si="0">C10-D10</f>
        <v>0</v>
      </c>
      <c r="F10" s="126" t="e">
        <f t="shared" ref="F10:F43" si="1">C10/D10-1</f>
        <v>#DIV/0!</v>
      </c>
      <c r="G10" s="124"/>
      <c r="H10" s="127"/>
    </row>
    <row r="11" spans="1:8">
      <c r="B11" s="123" t="s">
        <v>83</v>
      </c>
      <c r="C11" s="124"/>
      <c r="D11" s="125"/>
      <c r="E11" s="125">
        <f t="shared" si="0"/>
        <v>0</v>
      </c>
      <c r="F11" s="126" t="e">
        <f t="shared" si="1"/>
        <v>#DIV/0!</v>
      </c>
      <c r="G11" s="124"/>
      <c r="H11" s="127"/>
    </row>
    <row r="12" spans="1:8">
      <c r="B12" s="123" t="s">
        <v>84</v>
      </c>
      <c r="C12" s="124"/>
      <c r="D12" s="125"/>
      <c r="E12" s="125">
        <f t="shared" si="0"/>
        <v>0</v>
      </c>
      <c r="F12" s="126" t="e">
        <f t="shared" si="1"/>
        <v>#DIV/0!</v>
      </c>
      <c r="G12" s="124"/>
      <c r="H12" s="127"/>
    </row>
    <row r="13" spans="1:8">
      <c r="B13" s="128"/>
      <c r="C13" s="129"/>
      <c r="D13" s="130"/>
      <c r="E13" s="130">
        <f t="shared" si="0"/>
        <v>0</v>
      </c>
      <c r="F13" s="131" t="e">
        <f t="shared" si="1"/>
        <v>#DIV/0!</v>
      </c>
      <c r="G13" s="129"/>
      <c r="H13" s="132"/>
    </row>
    <row r="14" spans="1:8">
      <c r="B14" s="123" t="s">
        <v>86</v>
      </c>
      <c r="C14" s="124"/>
      <c r="D14" s="125"/>
      <c r="E14" s="125">
        <f t="shared" si="0"/>
        <v>0</v>
      </c>
      <c r="F14" s="126" t="e">
        <f t="shared" si="1"/>
        <v>#DIV/0!</v>
      </c>
      <c r="G14" s="124"/>
      <c r="H14" s="127"/>
    </row>
    <row r="15" spans="1:8">
      <c r="B15" s="113"/>
      <c r="C15" s="124"/>
      <c r="D15" s="125"/>
      <c r="E15" s="125">
        <f t="shared" si="0"/>
        <v>0</v>
      </c>
      <c r="F15" s="126" t="e">
        <f t="shared" si="1"/>
        <v>#DIV/0!</v>
      </c>
      <c r="G15" s="124"/>
      <c r="H15" s="127"/>
    </row>
    <row r="16" spans="1:8">
      <c r="B16" s="113" t="s">
        <v>87</v>
      </c>
      <c r="C16" s="133"/>
      <c r="D16" s="134"/>
      <c r="E16" s="134">
        <f t="shared" si="0"/>
        <v>0</v>
      </c>
      <c r="F16" s="135" t="e">
        <f t="shared" si="1"/>
        <v>#DIV/0!</v>
      </c>
      <c r="G16" s="133"/>
      <c r="H16" s="136"/>
    </row>
    <row r="17" spans="2:8">
      <c r="B17" s="123" t="s">
        <v>88</v>
      </c>
      <c r="C17" s="124"/>
      <c r="D17" s="125"/>
      <c r="E17" s="125">
        <f t="shared" si="0"/>
        <v>0</v>
      </c>
      <c r="F17" s="126" t="e">
        <f t="shared" si="1"/>
        <v>#DIV/0!</v>
      </c>
      <c r="G17" s="124"/>
      <c r="H17" s="127"/>
    </row>
    <row r="18" spans="2:8">
      <c r="B18" s="123" t="s">
        <v>89</v>
      </c>
      <c r="C18" s="124"/>
      <c r="D18" s="125"/>
      <c r="E18" s="125">
        <f t="shared" si="0"/>
        <v>0</v>
      </c>
      <c r="F18" s="126" t="e">
        <f t="shared" si="1"/>
        <v>#DIV/0!</v>
      </c>
      <c r="G18" s="124"/>
      <c r="H18" s="127"/>
    </row>
    <row r="19" spans="2:8">
      <c r="B19" s="123" t="s">
        <v>90</v>
      </c>
      <c r="C19" s="124"/>
      <c r="D19" s="125"/>
      <c r="E19" s="125">
        <f t="shared" si="0"/>
        <v>0</v>
      </c>
      <c r="F19" s="126" t="e">
        <f t="shared" si="1"/>
        <v>#DIV/0!</v>
      </c>
      <c r="G19" s="124"/>
      <c r="H19" s="127"/>
    </row>
    <row r="20" spans="2:8">
      <c r="B20" s="123" t="s">
        <v>91</v>
      </c>
      <c r="C20" s="124"/>
      <c r="D20" s="125"/>
      <c r="E20" s="125">
        <f t="shared" si="0"/>
        <v>0</v>
      </c>
      <c r="F20" s="126" t="e">
        <f t="shared" si="1"/>
        <v>#DIV/0!</v>
      </c>
      <c r="G20" s="124"/>
      <c r="H20" s="127"/>
    </row>
    <row r="21" spans="2:8">
      <c r="B21" s="123" t="s">
        <v>93</v>
      </c>
      <c r="C21" s="124"/>
      <c r="D21" s="125"/>
      <c r="E21" s="125">
        <f t="shared" si="0"/>
        <v>0</v>
      </c>
      <c r="F21" s="126" t="e">
        <f t="shared" si="1"/>
        <v>#DIV/0!</v>
      </c>
      <c r="G21" s="124"/>
      <c r="H21" s="127"/>
    </row>
    <row r="22" spans="2:8">
      <c r="B22" s="123" t="s">
        <v>95</v>
      </c>
      <c r="C22" s="124"/>
      <c r="D22" s="125"/>
      <c r="E22" s="125">
        <f t="shared" si="0"/>
        <v>0</v>
      </c>
      <c r="F22" s="126" t="e">
        <f t="shared" si="1"/>
        <v>#DIV/0!</v>
      </c>
      <c r="G22" s="124"/>
      <c r="H22" s="127"/>
    </row>
    <row r="23" spans="2:8">
      <c r="B23" s="123" t="s">
        <v>97</v>
      </c>
      <c r="C23" s="124"/>
      <c r="D23" s="125"/>
      <c r="E23" s="125">
        <f t="shared" si="0"/>
        <v>0</v>
      </c>
      <c r="F23" s="126" t="e">
        <f t="shared" si="1"/>
        <v>#DIV/0!</v>
      </c>
      <c r="G23" s="124"/>
      <c r="H23" s="127"/>
    </row>
    <row r="24" spans="2:8">
      <c r="B24" s="123" t="s">
        <v>98</v>
      </c>
      <c r="C24" s="124"/>
      <c r="D24" s="125"/>
      <c r="E24" s="125">
        <f t="shared" si="0"/>
        <v>0</v>
      </c>
      <c r="F24" s="126" t="e">
        <f t="shared" si="1"/>
        <v>#DIV/0!</v>
      </c>
      <c r="G24" s="124"/>
      <c r="H24" s="127"/>
    </row>
    <row r="25" spans="2:8">
      <c r="B25" s="123" t="s">
        <v>135</v>
      </c>
      <c r="C25" s="124"/>
      <c r="D25" s="125"/>
      <c r="E25" s="125">
        <f t="shared" si="0"/>
        <v>0</v>
      </c>
      <c r="F25" s="126" t="e">
        <f t="shared" si="1"/>
        <v>#DIV/0!</v>
      </c>
      <c r="G25" s="124"/>
      <c r="H25" s="127"/>
    </row>
    <row r="26" spans="2:8">
      <c r="B26" s="123" t="s">
        <v>106</v>
      </c>
      <c r="C26" s="124"/>
      <c r="D26" s="125"/>
      <c r="E26" s="125">
        <f t="shared" si="0"/>
        <v>0</v>
      </c>
      <c r="F26" s="126" t="e">
        <f t="shared" si="1"/>
        <v>#DIV/0!</v>
      </c>
      <c r="G26" s="124"/>
      <c r="H26" s="127"/>
    </row>
    <row r="27" spans="2:8">
      <c r="B27" s="123" t="s">
        <v>108</v>
      </c>
      <c r="C27" s="124"/>
      <c r="D27" s="125"/>
      <c r="E27" s="125">
        <f t="shared" si="0"/>
        <v>0</v>
      </c>
      <c r="F27" s="126" t="e">
        <f t="shared" si="1"/>
        <v>#DIV/0!</v>
      </c>
      <c r="G27" s="124"/>
      <c r="H27" s="127"/>
    </row>
    <row r="28" spans="2:8">
      <c r="B28" s="123" t="s">
        <v>110</v>
      </c>
      <c r="C28" s="124"/>
      <c r="D28" s="125"/>
      <c r="E28" s="125">
        <f t="shared" si="0"/>
        <v>0</v>
      </c>
      <c r="F28" s="126" t="e">
        <f t="shared" si="1"/>
        <v>#DIV/0!</v>
      </c>
      <c r="G28" s="124"/>
      <c r="H28" s="127"/>
    </row>
    <row r="29" spans="2:8">
      <c r="B29" s="123" t="s">
        <v>114</v>
      </c>
      <c r="C29" s="124"/>
      <c r="D29" s="125"/>
      <c r="E29" s="125">
        <f t="shared" si="0"/>
        <v>0</v>
      </c>
      <c r="F29" s="126" t="e">
        <f t="shared" si="1"/>
        <v>#DIV/0!</v>
      </c>
      <c r="G29" s="124"/>
      <c r="H29" s="127"/>
    </row>
    <row r="30" spans="2:8">
      <c r="B30" s="123" t="s">
        <v>116</v>
      </c>
      <c r="C30" s="124"/>
      <c r="D30" s="125"/>
      <c r="E30" s="125">
        <f t="shared" si="0"/>
        <v>0</v>
      </c>
      <c r="F30" s="126" t="e">
        <f t="shared" si="1"/>
        <v>#DIV/0!</v>
      </c>
      <c r="G30" s="124"/>
      <c r="H30" s="127"/>
    </row>
    <row r="31" spans="2:8">
      <c r="B31" s="123" t="s">
        <v>118</v>
      </c>
      <c r="C31" s="124"/>
      <c r="D31" s="125"/>
      <c r="E31" s="125">
        <f t="shared" si="0"/>
        <v>0</v>
      </c>
      <c r="F31" s="126" t="e">
        <f t="shared" si="1"/>
        <v>#DIV/0!</v>
      </c>
      <c r="G31" s="124"/>
      <c r="H31" s="127"/>
    </row>
    <row r="32" spans="2:8">
      <c r="B32" s="123" t="s">
        <v>120</v>
      </c>
      <c r="C32" s="124"/>
      <c r="D32" s="125"/>
      <c r="E32" s="125">
        <f t="shared" si="0"/>
        <v>0</v>
      </c>
      <c r="F32" s="126" t="e">
        <f t="shared" si="1"/>
        <v>#DIV/0!</v>
      </c>
      <c r="G32" s="124"/>
      <c r="H32" s="127"/>
    </row>
    <row r="33" spans="2:8">
      <c r="B33" s="113"/>
      <c r="C33" s="133"/>
      <c r="D33" s="134"/>
      <c r="E33" s="134">
        <f t="shared" si="0"/>
        <v>0</v>
      </c>
      <c r="F33" s="135" t="e">
        <f t="shared" si="1"/>
        <v>#DIV/0!</v>
      </c>
      <c r="G33" s="133"/>
      <c r="H33" s="136"/>
    </row>
    <row r="34" spans="2:8">
      <c r="B34" s="123" t="s">
        <v>121</v>
      </c>
      <c r="C34" s="124"/>
      <c r="D34" s="125"/>
      <c r="E34" s="125">
        <f t="shared" si="0"/>
        <v>0</v>
      </c>
      <c r="F34" s="126" t="e">
        <f t="shared" si="1"/>
        <v>#DIV/0!</v>
      </c>
      <c r="G34" s="124"/>
      <c r="H34" s="127"/>
    </row>
    <row r="35" spans="2:8">
      <c r="B35" s="113"/>
      <c r="C35" s="133"/>
      <c r="D35" s="134"/>
      <c r="E35" s="134">
        <f t="shared" si="0"/>
        <v>0</v>
      </c>
      <c r="F35" s="135" t="e">
        <f t="shared" si="1"/>
        <v>#DIV/0!</v>
      </c>
      <c r="G35" s="133"/>
      <c r="H35" s="136"/>
    </row>
    <row r="36" spans="2:8">
      <c r="B36" s="123" t="s">
        <v>122</v>
      </c>
      <c r="C36" s="124"/>
      <c r="D36" s="125"/>
      <c r="E36" s="125">
        <f t="shared" si="0"/>
        <v>0</v>
      </c>
      <c r="F36" s="126" t="e">
        <f t="shared" si="1"/>
        <v>#DIV/0!</v>
      </c>
      <c r="G36" s="124"/>
      <c r="H36" s="127"/>
    </row>
    <row r="37" spans="2:8">
      <c r="B37" s="123" t="s">
        <v>136</v>
      </c>
      <c r="C37" s="124"/>
      <c r="D37" s="125"/>
      <c r="E37" s="125">
        <f t="shared" si="0"/>
        <v>0</v>
      </c>
      <c r="F37" s="126" t="e">
        <f t="shared" si="1"/>
        <v>#DIV/0!</v>
      </c>
      <c r="G37" s="124"/>
      <c r="H37" s="127"/>
    </row>
    <row r="38" spans="2:8">
      <c r="B38" s="123" t="s">
        <v>129</v>
      </c>
      <c r="C38" s="124"/>
      <c r="D38" s="125"/>
      <c r="E38" s="125">
        <f t="shared" si="0"/>
        <v>0</v>
      </c>
      <c r="F38" s="126" t="e">
        <f t="shared" si="1"/>
        <v>#DIV/0!</v>
      </c>
      <c r="G38" s="124"/>
      <c r="H38" s="127"/>
    </row>
    <row r="39" spans="2:8">
      <c r="B39" s="123" t="s">
        <v>130</v>
      </c>
      <c r="C39" s="124"/>
      <c r="D39" s="125"/>
      <c r="E39" s="125">
        <f t="shared" si="0"/>
        <v>0</v>
      </c>
      <c r="F39" s="126" t="e">
        <f t="shared" si="1"/>
        <v>#DIV/0!</v>
      </c>
      <c r="G39" s="124"/>
      <c r="H39" s="127"/>
    </row>
    <row r="40" spans="2:8">
      <c r="B40" s="113"/>
      <c r="C40" s="133"/>
      <c r="D40" s="134"/>
      <c r="E40" s="134">
        <f t="shared" si="0"/>
        <v>0</v>
      </c>
      <c r="F40" s="135" t="e">
        <f t="shared" si="1"/>
        <v>#DIV/0!</v>
      </c>
      <c r="G40" s="133"/>
      <c r="H40" s="136"/>
    </row>
    <row r="41" spans="2:8">
      <c r="B41" s="123" t="s">
        <v>131</v>
      </c>
      <c r="C41" s="124"/>
      <c r="D41" s="125"/>
      <c r="E41" s="125">
        <f t="shared" si="0"/>
        <v>0</v>
      </c>
      <c r="F41" s="126" t="e">
        <f t="shared" si="1"/>
        <v>#DIV/0!</v>
      </c>
      <c r="G41" s="124"/>
      <c r="H41" s="127"/>
    </row>
    <row r="42" spans="2:8">
      <c r="B42" s="128"/>
      <c r="C42" s="129"/>
      <c r="D42" s="130"/>
      <c r="E42" s="130">
        <f t="shared" si="0"/>
        <v>0</v>
      </c>
      <c r="F42" s="131" t="e">
        <f t="shared" si="1"/>
        <v>#DIV/0!</v>
      </c>
      <c r="G42" s="129"/>
      <c r="H42" s="132"/>
    </row>
    <row r="43" spans="2:8">
      <c r="B43" s="123" t="s">
        <v>132</v>
      </c>
      <c r="C43" s="137"/>
      <c r="D43" s="138"/>
      <c r="E43" s="138">
        <f t="shared" si="0"/>
        <v>0</v>
      </c>
      <c r="F43" s="139" t="e">
        <f t="shared" si="1"/>
        <v>#DIV/0!</v>
      </c>
      <c r="G43" s="137"/>
      <c r="H43" s="139"/>
    </row>
    <row r="44" spans="2:8">
      <c r="B44" s="140"/>
      <c r="C44" s="141"/>
      <c r="D44" s="142"/>
      <c r="E44" s="142"/>
      <c r="F44" s="143"/>
      <c r="G44" s="141"/>
      <c r="H44" s="143"/>
    </row>
    <row r="45" spans="2:8">
      <c r="H45" s="144"/>
    </row>
    <row r="61" spans="3:5">
      <c r="C61" s="145"/>
      <c r="D61" s="145"/>
      <c r="E61" s="1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34BE-F7F8-431B-8DF1-9AB3F9C0F6BD}">
  <dimension ref="A1:G57"/>
  <sheetViews>
    <sheetView zoomScale="80" zoomScaleNormal="80" workbookViewId="0"/>
  </sheetViews>
  <sheetFormatPr defaultColWidth="8.7109375" defaultRowHeight="18.75"/>
  <cols>
    <col min="1" max="1" width="3" style="110" customWidth="1"/>
    <col min="2" max="2" width="57.42578125" style="110" customWidth="1"/>
    <col min="3" max="6" width="15.42578125" style="110" customWidth="1"/>
    <col min="7" max="7" width="11.140625" style="110" bestFit="1" customWidth="1"/>
    <col min="8" max="8" width="9.5703125" style="110" bestFit="1" customWidth="1"/>
    <col min="9" max="9" width="13.7109375" style="110" bestFit="1" customWidth="1"/>
    <col min="10" max="10" width="8.5703125" style="110" bestFit="1" customWidth="1"/>
    <col min="11" max="11" width="9.42578125" style="110" bestFit="1" customWidth="1"/>
    <col min="12" max="13" width="9.5703125" style="110" customWidth="1"/>
    <col min="14" max="14" width="11.42578125" style="110" bestFit="1" customWidth="1"/>
    <col min="15" max="16" width="11.28515625" style="110" bestFit="1" customWidth="1"/>
    <col min="17" max="17" width="9.85546875" style="110" bestFit="1" customWidth="1"/>
    <col min="18" max="16384" width="8.7109375" style="110"/>
  </cols>
  <sheetData>
    <row r="1" spans="1:6" s="109" customFormat="1">
      <c r="A1" s="108" t="s">
        <v>37</v>
      </c>
    </row>
    <row r="2" spans="1:6">
      <c r="B2" s="17" t="s">
        <v>38</v>
      </c>
      <c r="C2" s="146"/>
      <c r="D2" s="146"/>
      <c r="E2" s="146"/>
      <c r="F2" s="19"/>
    </row>
    <row r="3" spans="1:6">
      <c r="B3" s="20" t="s">
        <v>39</v>
      </c>
      <c r="C3" s="27"/>
      <c r="D3" s="27"/>
      <c r="E3" s="27"/>
      <c r="F3" s="22"/>
    </row>
    <row r="4" spans="1:6">
      <c r="B4" s="23" t="str">
        <f>"FOR THE PERIOD ENDED "&amp;TEXT([1]Index!$C$3,"DD MMMM YYYY")</f>
        <v>FOR THE PERIOD ENDED 31 December 2023</v>
      </c>
      <c r="C4" s="147"/>
      <c r="D4" s="147"/>
      <c r="E4" s="147"/>
      <c r="F4" s="25"/>
    </row>
    <row r="5" spans="1:6">
      <c r="B5" s="28" t="s">
        <v>137</v>
      </c>
      <c r="C5" s="29">
        <f>CurrentMonth</f>
        <v>45291</v>
      </c>
      <c r="D5" s="30">
        <f>CurrentMonth-365</f>
        <v>44926</v>
      </c>
      <c r="E5" s="31" t="s">
        <v>43</v>
      </c>
      <c r="F5" s="29">
        <f>CurrentMonth-365-365</f>
        <v>44561</v>
      </c>
    </row>
    <row r="6" spans="1:6">
      <c r="B6" s="28" t="s">
        <v>42</v>
      </c>
      <c r="C6" s="29"/>
      <c r="D6" s="30"/>
      <c r="E6" s="31"/>
      <c r="F6" s="29"/>
    </row>
    <row r="7" spans="1:6" ht="14.1" customHeight="1">
      <c r="B7" s="137" t="s">
        <v>44</v>
      </c>
      <c r="C7" s="148"/>
      <c r="D7" s="148"/>
      <c r="E7" s="149" t="e">
        <f>C7/D7-1</f>
        <v>#DIV/0!</v>
      </c>
      <c r="F7" s="148"/>
    </row>
    <row r="8" spans="1:6" ht="14.1" customHeight="1">
      <c r="B8" s="137"/>
      <c r="C8" s="148"/>
      <c r="D8" s="148"/>
      <c r="E8" s="149" t="e">
        <f t="shared" ref="E8:E56" si="0">C8/D8-1</f>
        <v>#DIV/0!</v>
      </c>
      <c r="F8" s="148"/>
    </row>
    <row r="9" spans="1:6" ht="14.1" customHeight="1">
      <c r="B9" s="150" t="s">
        <v>138</v>
      </c>
      <c r="C9" s="151"/>
      <c r="D9" s="151"/>
      <c r="E9" s="152" t="e">
        <f t="shared" si="0"/>
        <v>#DIV/0!</v>
      </c>
      <c r="F9" s="151"/>
    </row>
    <row r="10" spans="1:6" ht="14.1" customHeight="1">
      <c r="B10" s="137"/>
      <c r="C10" s="148"/>
      <c r="D10" s="148"/>
      <c r="E10" s="149" t="e">
        <f t="shared" si="0"/>
        <v>#DIV/0!</v>
      </c>
      <c r="F10" s="148"/>
    </row>
    <row r="11" spans="1:6" ht="14.1" customHeight="1">
      <c r="B11" s="137" t="s">
        <v>139</v>
      </c>
      <c r="C11" s="148"/>
      <c r="D11" s="148"/>
      <c r="E11" s="149" t="e">
        <f t="shared" si="0"/>
        <v>#DIV/0!</v>
      </c>
      <c r="F11" s="148"/>
    </row>
    <row r="12" spans="1:6">
      <c r="B12" s="137" t="s">
        <v>140</v>
      </c>
      <c r="C12" s="148"/>
      <c r="D12" s="148"/>
      <c r="E12" s="149" t="e">
        <f t="shared" si="0"/>
        <v>#DIV/0!</v>
      </c>
      <c r="F12" s="148"/>
    </row>
    <row r="13" spans="1:6">
      <c r="B13" s="137" t="s">
        <v>141</v>
      </c>
      <c r="C13" s="148"/>
      <c r="D13" s="148"/>
      <c r="E13" s="149" t="e">
        <f t="shared" si="0"/>
        <v>#DIV/0!</v>
      </c>
      <c r="F13" s="148"/>
    </row>
    <row r="14" spans="1:6">
      <c r="B14" s="137" t="s">
        <v>142</v>
      </c>
      <c r="C14" s="148"/>
      <c r="D14" s="148"/>
      <c r="E14" s="149" t="e">
        <f t="shared" si="0"/>
        <v>#DIV/0!</v>
      </c>
      <c r="F14" s="148"/>
    </row>
    <row r="15" spans="1:6">
      <c r="B15" s="137" t="s">
        <v>143</v>
      </c>
      <c r="C15" s="148"/>
      <c r="D15" s="148"/>
      <c r="E15" s="149" t="e">
        <f t="shared" si="0"/>
        <v>#DIV/0!</v>
      </c>
      <c r="F15" s="148"/>
    </row>
    <row r="16" spans="1:6">
      <c r="B16" s="153" t="s">
        <v>144</v>
      </c>
      <c r="C16" s="154"/>
      <c r="D16" s="154"/>
      <c r="E16" s="155" t="e">
        <f t="shared" si="0"/>
        <v>#DIV/0!</v>
      </c>
      <c r="F16" s="154"/>
    </row>
    <row r="17" spans="2:7" ht="6.6" customHeight="1">
      <c r="B17" s="137"/>
      <c r="C17" s="148"/>
      <c r="D17" s="148"/>
      <c r="E17" s="149" t="e">
        <f t="shared" si="0"/>
        <v>#DIV/0!</v>
      </c>
      <c r="F17" s="148"/>
    </row>
    <row r="18" spans="2:7">
      <c r="B18" s="137" t="s">
        <v>145</v>
      </c>
      <c r="C18" s="148"/>
      <c r="D18" s="148"/>
      <c r="E18" s="149" t="e">
        <f t="shared" si="0"/>
        <v>#DIV/0!</v>
      </c>
      <c r="F18" s="148"/>
    </row>
    <row r="19" spans="2:7">
      <c r="B19" s="137" t="s">
        <v>140</v>
      </c>
      <c r="C19" s="148"/>
      <c r="D19" s="148"/>
      <c r="E19" s="149" t="e">
        <f t="shared" si="0"/>
        <v>#DIV/0!</v>
      </c>
      <c r="F19" s="148"/>
    </row>
    <row r="20" spans="2:7">
      <c r="B20" s="137" t="s">
        <v>146</v>
      </c>
      <c r="C20" s="148"/>
      <c r="D20" s="148"/>
      <c r="E20" s="149" t="e">
        <f t="shared" si="0"/>
        <v>#DIV/0!</v>
      </c>
      <c r="F20" s="148"/>
    </row>
    <row r="21" spans="2:7">
      <c r="B21" s="137" t="s">
        <v>147</v>
      </c>
      <c r="C21" s="148"/>
      <c r="D21" s="148"/>
      <c r="E21" s="149" t="e">
        <f t="shared" si="0"/>
        <v>#DIV/0!</v>
      </c>
      <c r="F21" s="148"/>
    </row>
    <row r="22" spans="2:7">
      <c r="B22" s="137" t="s">
        <v>142</v>
      </c>
      <c r="C22" s="148"/>
      <c r="D22" s="148"/>
      <c r="E22" s="149" t="e">
        <f t="shared" si="0"/>
        <v>#DIV/0!</v>
      </c>
      <c r="F22" s="148"/>
    </row>
    <row r="23" spans="2:7">
      <c r="B23" s="137" t="s">
        <v>148</v>
      </c>
      <c r="C23" s="148"/>
      <c r="D23" s="148"/>
      <c r="E23" s="149" t="e">
        <f t="shared" si="0"/>
        <v>#DIV/0!</v>
      </c>
      <c r="F23" s="148"/>
      <c r="G23" s="145"/>
    </row>
    <row r="24" spans="2:7">
      <c r="B24" s="153" t="s">
        <v>149</v>
      </c>
      <c r="C24" s="154"/>
      <c r="D24" s="154"/>
      <c r="E24" s="155" t="e">
        <f t="shared" si="0"/>
        <v>#DIV/0!</v>
      </c>
      <c r="F24" s="154"/>
    </row>
    <row r="25" spans="2:7" ht="9" customHeight="1">
      <c r="B25" s="137"/>
      <c r="C25" s="148"/>
      <c r="D25" s="148"/>
      <c r="E25" s="149" t="e">
        <f t="shared" si="0"/>
        <v>#DIV/0!</v>
      </c>
      <c r="F25" s="148"/>
    </row>
    <row r="26" spans="2:7">
      <c r="B26" s="156" t="s">
        <v>150</v>
      </c>
      <c r="C26" s="157"/>
      <c r="D26" s="157"/>
      <c r="E26" s="158" t="e">
        <f t="shared" si="0"/>
        <v>#DIV/0!</v>
      </c>
      <c r="F26" s="157"/>
    </row>
    <row r="27" spans="2:7">
      <c r="B27" s="137"/>
      <c r="C27" s="148"/>
      <c r="D27" s="148"/>
      <c r="E27" s="149" t="e">
        <f t="shared" si="0"/>
        <v>#DIV/0!</v>
      </c>
      <c r="F27" s="148"/>
    </row>
    <row r="28" spans="2:7">
      <c r="B28" s="137" t="s">
        <v>50</v>
      </c>
      <c r="C28" s="148"/>
      <c r="D28" s="148"/>
      <c r="E28" s="149" t="e">
        <f t="shared" si="0"/>
        <v>#DIV/0!</v>
      </c>
      <c r="F28" s="148"/>
    </row>
    <row r="29" spans="2:7">
      <c r="B29" s="137" t="s">
        <v>51</v>
      </c>
      <c r="C29" s="148"/>
      <c r="D29" s="148"/>
      <c r="E29" s="149" t="e">
        <f t="shared" si="0"/>
        <v>#DIV/0!</v>
      </c>
      <c r="F29" s="148"/>
    </row>
    <row r="30" spans="2:7">
      <c r="B30" s="137" t="s">
        <v>53</v>
      </c>
      <c r="C30" s="148"/>
      <c r="D30" s="148"/>
      <c r="E30" s="149" t="e">
        <f t="shared" si="0"/>
        <v>#DIV/0!</v>
      </c>
      <c r="F30" s="148"/>
    </row>
    <row r="31" spans="2:7">
      <c r="B31" s="137" t="s">
        <v>151</v>
      </c>
      <c r="C31" s="148"/>
      <c r="D31" s="148"/>
      <c r="E31" s="149" t="e">
        <f t="shared" si="0"/>
        <v>#DIV/0!</v>
      </c>
      <c r="F31" s="148"/>
    </row>
    <row r="32" spans="2:7">
      <c r="B32" s="137" t="s">
        <v>152</v>
      </c>
      <c r="C32" s="148"/>
      <c r="D32" s="148"/>
      <c r="E32" s="149" t="e">
        <f t="shared" si="0"/>
        <v>#DIV/0!</v>
      </c>
      <c r="F32" s="148"/>
    </row>
    <row r="33" spans="2:7">
      <c r="B33" s="137" t="s">
        <v>153</v>
      </c>
      <c r="C33" s="148"/>
      <c r="D33" s="148"/>
      <c r="E33" s="149" t="e">
        <f t="shared" si="0"/>
        <v>#DIV/0!</v>
      </c>
      <c r="F33" s="148"/>
    </row>
    <row r="34" spans="2:7">
      <c r="B34" s="153" t="s">
        <v>154</v>
      </c>
      <c r="C34" s="154"/>
      <c r="D34" s="154"/>
      <c r="E34" s="155" t="e">
        <f t="shared" si="0"/>
        <v>#DIV/0!</v>
      </c>
      <c r="F34" s="154"/>
    </row>
    <row r="35" spans="2:7" ht="8.1" customHeight="1">
      <c r="B35" s="137"/>
      <c r="C35" s="148"/>
      <c r="D35" s="148"/>
      <c r="E35" s="149" t="e">
        <f t="shared" si="0"/>
        <v>#DIV/0!</v>
      </c>
      <c r="F35" s="148"/>
    </row>
    <row r="36" spans="2:7">
      <c r="B36" s="156" t="s">
        <v>155</v>
      </c>
      <c r="C36" s="157"/>
      <c r="D36" s="157"/>
      <c r="E36" s="158" t="e">
        <f t="shared" si="0"/>
        <v>#DIV/0!</v>
      </c>
      <c r="F36" s="157"/>
    </row>
    <row r="37" spans="2:7">
      <c r="B37" s="137"/>
      <c r="C37" s="148"/>
      <c r="D37" s="148"/>
      <c r="E37" s="149"/>
      <c r="F37" s="148"/>
    </row>
    <row r="38" spans="2:7">
      <c r="B38" s="137" t="s">
        <v>156</v>
      </c>
      <c r="C38" s="148"/>
      <c r="D38" s="148"/>
      <c r="E38" s="149"/>
      <c r="F38" s="148"/>
    </row>
    <row r="39" spans="2:7">
      <c r="B39" s="137" t="s">
        <v>157</v>
      </c>
      <c r="C39" s="148"/>
      <c r="D39" s="148"/>
      <c r="E39" s="149" t="e">
        <f t="shared" si="0"/>
        <v>#DIV/0!</v>
      </c>
      <c r="F39" s="148"/>
    </row>
    <row r="40" spans="2:7">
      <c r="B40" s="137"/>
      <c r="C40" s="148"/>
      <c r="D40" s="148"/>
      <c r="E40" s="149"/>
      <c r="F40" s="148"/>
      <c r="G40" s="159"/>
    </row>
    <row r="41" spans="2:7">
      <c r="B41" s="160" t="s">
        <v>158</v>
      </c>
      <c r="C41" s="161"/>
      <c r="D41" s="161"/>
      <c r="E41" s="162" t="e">
        <f t="shared" si="0"/>
        <v>#DIV/0!</v>
      </c>
      <c r="F41" s="161"/>
    </row>
    <row r="42" spans="2:7">
      <c r="B42" s="137"/>
      <c r="C42" s="148"/>
      <c r="D42" s="148"/>
      <c r="E42" s="163"/>
      <c r="F42" s="148"/>
      <c r="G42" s="164"/>
    </row>
    <row r="43" spans="2:7">
      <c r="B43" s="32" t="s">
        <v>65</v>
      </c>
      <c r="C43" s="148"/>
      <c r="D43" s="148"/>
      <c r="E43" s="163" t="e">
        <f t="shared" si="0"/>
        <v>#DIV/0!</v>
      </c>
      <c r="F43" s="148"/>
    </row>
    <row r="44" spans="2:7">
      <c r="B44" s="137"/>
      <c r="C44" s="137"/>
      <c r="D44" s="137"/>
      <c r="E44" s="163"/>
      <c r="F44" s="137"/>
    </row>
    <row r="45" spans="2:7">
      <c r="B45" s="160" t="s">
        <v>66</v>
      </c>
      <c r="C45" s="161"/>
      <c r="D45" s="161"/>
      <c r="E45" s="165" t="e">
        <f t="shared" si="0"/>
        <v>#DIV/0!</v>
      </c>
      <c r="F45" s="161"/>
    </row>
    <row r="46" spans="2:7">
      <c r="B46" s="32"/>
      <c r="C46" s="36"/>
      <c r="D46" s="37"/>
      <c r="E46" s="38"/>
      <c r="F46" s="36"/>
    </row>
    <row r="47" spans="2:7">
      <c r="B47" s="32" t="s">
        <v>67</v>
      </c>
      <c r="C47" s="55"/>
      <c r="D47" s="56"/>
      <c r="E47" s="45"/>
      <c r="F47" s="55"/>
    </row>
    <row r="48" spans="2:7">
      <c r="B48" s="32"/>
      <c r="C48" s="55"/>
      <c r="D48" s="56"/>
      <c r="E48" s="45"/>
      <c r="F48" s="55"/>
    </row>
    <row r="49" spans="2:6">
      <c r="B49" s="57" t="s">
        <v>68</v>
      </c>
      <c r="C49" s="58"/>
      <c r="D49" s="59"/>
      <c r="E49" s="38"/>
      <c r="F49" s="58"/>
    </row>
    <row r="50" spans="2:6">
      <c r="B50" s="60" t="s">
        <v>69</v>
      </c>
      <c r="C50" s="43"/>
      <c r="D50" s="44"/>
      <c r="E50" s="45" t="e">
        <f t="shared" si="0"/>
        <v>#DIV/0!</v>
      </c>
      <c r="F50" s="43"/>
    </row>
    <row r="51" spans="2:6">
      <c r="B51" s="60" t="s">
        <v>70</v>
      </c>
      <c r="C51" s="61"/>
      <c r="D51" s="62"/>
      <c r="E51" s="63" t="e">
        <f t="shared" si="0"/>
        <v>#DIV/0!</v>
      </c>
      <c r="F51" s="61"/>
    </row>
    <row r="52" spans="2:6">
      <c r="B52" s="32"/>
      <c r="C52" s="43"/>
      <c r="D52" s="44"/>
      <c r="E52" s="45"/>
      <c r="F52" s="43"/>
    </row>
    <row r="53" spans="2:6">
      <c r="B53" s="20" t="s">
        <v>71</v>
      </c>
      <c r="C53" s="36"/>
      <c r="D53" s="37"/>
      <c r="E53" s="38" t="e">
        <f t="shared" si="0"/>
        <v>#DIV/0!</v>
      </c>
      <c r="F53" s="36"/>
    </row>
    <row r="54" spans="2:6">
      <c r="B54" s="32"/>
      <c r="C54" s="64"/>
      <c r="D54" s="65"/>
      <c r="E54" s="66"/>
      <c r="F54" s="64"/>
    </row>
    <row r="55" spans="2:6">
      <c r="B55" s="67"/>
      <c r="C55" s="68"/>
      <c r="D55" s="69"/>
      <c r="E55" s="45"/>
      <c r="F55" s="68"/>
    </row>
    <row r="56" spans="2:6">
      <c r="B56" s="51" t="s">
        <v>72</v>
      </c>
      <c r="C56" s="52"/>
      <c r="D56" s="53"/>
      <c r="E56" s="54" t="e">
        <f t="shared" si="0"/>
        <v>#DIV/0!</v>
      </c>
      <c r="F56" s="52"/>
    </row>
    <row r="57" spans="2:6">
      <c r="B57" s="70"/>
      <c r="C57" s="71"/>
      <c r="D57" s="72"/>
      <c r="E57" s="166"/>
      <c r="F57" s="7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F95A-7E07-4974-8069-2983A900351B}">
  <dimension ref="B2:J26"/>
  <sheetViews>
    <sheetView showGridLines="0" zoomScale="72" zoomScaleNormal="90" workbookViewId="0">
      <selection activeCell="I24" sqref="I23:I24"/>
    </sheetView>
  </sheetViews>
  <sheetFormatPr defaultColWidth="24.5703125" defaultRowHeight="14.25"/>
  <cols>
    <col min="1" max="1" width="6.140625" style="169" customWidth="1"/>
    <col min="2" max="2" width="15.28515625" style="177" customWidth="1"/>
    <col min="3" max="3" width="22.85546875" style="169" customWidth="1"/>
    <col min="4" max="4" width="15.42578125" style="169" customWidth="1"/>
    <col min="5" max="5" width="13.28515625" style="169" customWidth="1"/>
    <col min="6" max="6" width="5.42578125" style="168" customWidth="1"/>
    <col min="7" max="7" width="16.42578125" style="177" customWidth="1"/>
    <col min="8" max="8" width="26" style="169" bestFit="1" customWidth="1"/>
    <col min="9" max="9" width="15.42578125" style="178" customWidth="1"/>
    <col min="10" max="10" width="11.85546875" style="178" customWidth="1"/>
    <col min="11" max="16384" width="24.5703125" style="169"/>
  </cols>
  <sheetData>
    <row r="2" spans="2:10">
      <c r="B2" s="167" t="s">
        <v>159</v>
      </c>
      <c r="C2" s="167"/>
      <c r="D2" s="167"/>
      <c r="E2" s="167"/>
      <c r="G2" s="167" t="s">
        <v>160</v>
      </c>
      <c r="H2" s="167"/>
      <c r="I2" s="167"/>
      <c r="J2" s="167"/>
    </row>
    <row r="3" spans="2:10">
      <c r="B3" s="167"/>
      <c r="C3" s="167"/>
      <c r="D3" s="167"/>
      <c r="E3" s="167"/>
      <c r="G3" s="167"/>
      <c r="H3" s="167"/>
      <c r="I3" s="167"/>
      <c r="J3" s="167"/>
    </row>
    <row r="4" spans="2:10" s="173" customFormat="1">
      <c r="B4" s="170" t="s">
        <v>161</v>
      </c>
      <c r="C4" s="171"/>
      <c r="D4" s="171">
        <v>2023</v>
      </c>
      <c r="E4" s="171">
        <v>2022</v>
      </c>
      <c r="F4" s="172"/>
      <c r="G4" s="170" t="s">
        <v>161</v>
      </c>
      <c r="H4" s="171"/>
      <c r="I4" s="171">
        <v>2023</v>
      </c>
      <c r="J4" s="171">
        <v>2022</v>
      </c>
    </row>
    <row r="5" spans="2:10">
      <c r="B5" s="174"/>
      <c r="C5" s="14" t="s">
        <v>162</v>
      </c>
      <c r="D5" s="15"/>
      <c r="E5" s="15"/>
      <c r="G5" s="174"/>
      <c r="H5" s="14" t="s">
        <v>163</v>
      </c>
      <c r="I5" s="15"/>
      <c r="J5" s="15"/>
    </row>
    <row r="6" spans="2:10">
      <c r="B6" s="174"/>
      <c r="C6" s="14" t="s">
        <v>164</v>
      </c>
      <c r="D6" s="15"/>
      <c r="E6" s="15"/>
      <c r="G6" s="174"/>
      <c r="H6" s="14" t="s">
        <v>165</v>
      </c>
      <c r="I6" s="15"/>
      <c r="J6" s="15"/>
    </row>
    <row r="7" spans="2:10">
      <c r="B7" s="174"/>
      <c r="C7" s="14" t="s">
        <v>166</v>
      </c>
      <c r="D7" s="15"/>
      <c r="E7" s="15"/>
      <c r="G7" s="174"/>
      <c r="H7" s="14" t="s">
        <v>167</v>
      </c>
      <c r="I7" s="15"/>
      <c r="J7" s="15"/>
    </row>
    <row r="8" spans="2:10">
      <c r="B8" s="174"/>
      <c r="C8" s="14" t="s">
        <v>168</v>
      </c>
      <c r="D8" s="175"/>
      <c r="E8" s="175"/>
      <c r="G8" s="174"/>
      <c r="H8" s="14" t="s">
        <v>169</v>
      </c>
      <c r="I8" s="175"/>
      <c r="J8" s="175"/>
    </row>
    <row r="9" spans="2:10">
      <c r="B9" s="174"/>
      <c r="C9" s="14" t="s">
        <v>170</v>
      </c>
      <c r="D9" s="15"/>
      <c r="E9" s="15"/>
      <c r="G9" s="174"/>
      <c r="H9" s="14"/>
      <c r="I9" s="15"/>
      <c r="J9" s="15"/>
    </row>
    <row r="10" spans="2:10">
      <c r="B10" s="174"/>
      <c r="C10" s="14" t="s">
        <v>171</v>
      </c>
      <c r="D10" s="15"/>
      <c r="E10" s="15"/>
      <c r="G10" s="174"/>
      <c r="H10" s="14"/>
      <c r="I10" s="15"/>
      <c r="J10" s="15"/>
    </row>
    <row r="11" spans="2:10">
      <c r="B11" s="174"/>
      <c r="C11" s="14" t="s">
        <v>172</v>
      </c>
      <c r="D11" s="15"/>
      <c r="E11" s="15"/>
      <c r="G11" s="174"/>
      <c r="H11" s="14"/>
      <c r="I11" s="15"/>
      <c r="J11" s="15"/>
    </row>
    <row r="12" spans="2:10">
      <c r="B12" s="174"/>
      <c r="C12" s="14"/>
      <c r="D12" s="15"/>
      <c r="E12" s="15"/>
      <c r="G12" s="174"/>
      <c r="H12" s="14"/>
      <c r="I12" s="15"/>
      <c r="J12" s="15"/>
    </row>
    <row r="13" spans="2:10">
      <c r="B13" s="174"/>
      <c r="C13" s="14"/>
      <c r="D13" s="15"/>
      <c r="E13" s="15"/>
      <c r="G13" s="174"/>
      <c r="H13" s="14"/>
      <c r="I13" s="15"/>
      <c r="J13" s="15"/>
    </row>
    <row r="14" spans="2:10">
      <c r="B14" s="174"/>
      <c r="C14" s="14"/>
      <c r="D14" s="15"/>
      <c r="E14" s="15"/>
      <c r="G14" s="174"/>
      <c r="H14" s="14"/>
      <c r="I14" s="15"/>
      <c r="J14" s="15"/>
    </row>
    <row r="15" spans="2:10">
      <c r="B15" s="174"/>
      <c r="C15" s="14"/>
      <c r="D15" s="15"/>
      <c r="E15" s="15"/>
      <c r="G15" s="174"/>
      <c r="H15" s="14"/>
      <c r="I15" s="15" t="s">
        <v>173</v>
      </c>
      <c r="J15" s="15"/>
    </row>
    <row r="16" spans="2:10">
      <c r="B16" s="174"/>
      <c r="C16" s="14"/>
      <c r="D16" s="176"/>
      <c r="E16" s="176"/>
      <c r="G16" s="174"/>
      <c r="H16" s="14"/>
      <c r="I16" s="176"/>
      <c r="J16" s="176"/>
    </row>
    <row r="17" spans="2:10">
      <c r="B17" s="170" t="s">
        <v>174</v>
      </c>
      <c r="C17" s="14"/>
      <c r="D17" s="176"/>
      <c r="E17" s="176"/>
      <c r="G17" s="170"/>
      <c r="H17" s="14"/>
      <c r="I17" s="176"/>
      <c r="J17" s="176"/>
    </row>
    <row r="18" spans="2:10">
      <c r="B18" s="174"/>
      <c r="C18" s="14" t="s">
        <v>175</v>
      </c>
      <c r="D18" s="15"/>
      <c r="E18" s="15"/>
      <c r="G18" s="174"/>
      <c r="H18" s="14"/>
      <c r="I18" s="15"/>
      <c r="J18" s="15"/>
    </row>
    <row r="19" spans="2:10">
      <c r="B19" s="174"/>
      <c r="C19" s="14"/>
      <c r="D19" s="15"/>
      <c r="E19" s="15"/>
      <c r="G19" s="174"/>
      <c r="H19" s="14"/>
      <c r="I19" s="15"/>
      <c r="J19" s="15"/>
    </row>
    <row r="20" spans="2:10">
      <c r="B20" s="170" t="s">
        <v>176</v>
      </c>
      <c r="C20" s="14"/>
      <c r="D20" s="15"/>
      <c r="E20" s="15"/>
      <c r="G20" s="170"/>
      <c r="H20" s="14"/>
      <c r="I20" s="15"/>
      <c r="J20" s="15"/>
    </row>
    <row r="21" spans="2:10">
      <c r="B21" s="174"/>
      <c r="C21" s="14" t="s">
        <v>176</v>
      </c>
      <c r="D21" s="15"/>
      <c r="E21" s="15"/>
      <c r="G21" s="174"/>
      <c r="H21" s="14"/>
      <c r="I21" s="15"/>
      <c r="J21" s="15"/>
    </row>
    <row r="22" spans="2:10">
      <c r="B22" s="174"/>
      <c r="C22" s="14" t="s">
        <v>177</v>
      </c>
      <c r="D22" s="15"/>
      <c r="E22" s="15"/>
      <c r="G22" s="174"/>
      <c r="H22" s="14"/>
      <c r="I22" s="15"/>
      <c r="J22" s="15"/>
    </row>
    <row r="23" spans="2:10">
      <c r="B23" s="174"/>
      <c r="C23" s="14" t="s">
        <v>178</v>
      </c>
      <c r="D23" s="15"/>
      <c r="E23" s="15"/>
      <c r="G23" s="174"/>
      <c r="H23" s="14"/>
      <c r="I23" s="15"/>
      <c r="J23" s="15"/>
    </row>
    <row r="24" spans="2:10">
      <c r="B24" s="174"/>
      <c r="C24" s="14" t="s">
        <v>179</v>
      </c>
      <c r="D24" s="15"/>
      <c r="E24" s="15"/>
      <c r="G24" s="174"/>
      <c r="H24" s="14"/>
      <c r="I24" s="15"/>
      <c r="J24" s="15"/>
    </row>
    <row r="25" spans="2:10">
      <c r="B25" s="174"/>
      <c r="C25" s="14" t="s">
        <v>180</v>
      </c>
      <c r="D25" s="15"/>
      <c r="E25" s="15"/>
      <c r="G25" s="174"/>
      <c r="H25" s="14"/>
      <c r="I25" s="15"/>
      <c r="J25" s="15"/>
    </row>
    <row r="26" spans="2:10">
      <c r="D26" s="178"/>
    </row>
  </sheetData>
  <mergeCells count="2">
    <mergeCell ref="B2:E3"/>
    <mergeCell ref="G2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27260-ABD9-4F5D-81C0-5675A6CEF795}"/>
</file>

<file path=customXml/itemProps2.xml><?xml version="1.0" encoding="utf-8"?>
<ds:datastoreItem xmlns:ds="http://schemas.openxmlformats.org/officeDocument/2006/customXml" ds:itemID="{58F38373-DC13-4732-BCF5-B71A0D78FEAC}"/>
</file>

<file path=customXml/itemProps3.xml><?xml version="1.0" encoding="utf-8"?>
<ds:datastoreItem xmlns:ds="http://schemas.openxmlformats.org/officeDocument/2006/customXml" ds:itemID="{853B85FE-5BF7-4D8B-B928-B13F660B1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Kerubo</dc:creator>
  <cp:keywords/>
  <dc:description/>
  <cp:lastModifiedBy>Vanessa Moraa</cp:lastModifiedBy>
  <cp:revision/>
  <dcterms:created xsi:type="dcterms:W3CDTF">2024-06-06T13:47:53Z</dcterms:created>
  <dcterms:modified xsi:type="dcterms:W3CDTF">2025-12-11T07:14:15Z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