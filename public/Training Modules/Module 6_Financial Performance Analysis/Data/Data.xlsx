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6_Financial Performance Analysis/Data/"/>
    </mc:Choice>
  </mc:AlternateContent>
  <xr:revisionPtr revIDLastSave="43" documentId="13_ncr:1_{042BF551-02B3-4423-9103-F81179395612}" xr6:coauthVersionLast="47" xr6:coauthVersionMax="47" xr10:uidLastSave="{4DBAE392-3BB7-40F2-81C5-A97A30364725}"/>
  <bookViews>
    <workbookView xWindow="-110" yWindow="-110" windowWidth="19420" windowHeight="11500" xr2:uid="{B0612186-252B-45E8-8AA7-33D9EAC929BB}"/>
  </bookViews>
  <sheets>
    <sheet name="P&amp;L IFRS 4" sheetId="1" r:id="rId1"/>
    <sheet name="BS-IFRS4" sheetId="3" r:id="rId2"/>
    <sheet name="BS IFRS 17" sheetId="4" r:id="rId3"/>
    <sheet name="P&amp;L IFRS 17" sheetId="5" r:id="rId4"/>
  </sheets>
  <externalReferences>
    <externalReference r:id="rId5"/>
  </externalReferences>
  <definedNames>
    <definedName name="CurrentMonth">[1]Index!$C$3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L7" i="1" l="1"/>
  <c r="M7" i="1" s="1"/>
  <c r="E50" i="5" l="1"/>
  <c r="E49" i="5"/>
  <c r="E43" i="5"/>
  <c r="E38" i="5"/>
  <c r="E37" i="5"/>
  <c r="E36" i="5"/>
  <c r="E34" i="5"/>
  <c r="E32" i="5"/>
  <c r="E31" i="5"/>
  <c r="E30" i="5"/>
  <c r="E29" i="5"/>
  <c r="E28" i="5"/>
  <c r="E27" i="5"/>
  <c r="E26" i="5"/>
  <c r="E24" i="5"/>
  <c r="E22" i="5"/>
  <c r="E21" i="5"/>
  <c r="E20" i="5"/>
  <c r="E19" i="5"/>
  <c r="E23" i="5"/>
  <c r="E17" i="5"/>
  <c r="E16" i="5"/>
  <c r="E14" i="5"/>
  <c r="E13" i="5"/>
  <c r="E12" i="5"/>
  <c r="E11" i="5"/>
  <c r="E9" i="5"/>
  <c r="E8" i="5"/>
  <c r="E7" i="5"/>
  <c r="E6" i="5"/>
  <c r="H4" i="5"/>
  <c r="D4" i="5"/>
  <c r="C4" i="5"/>
  <c r="B3" i="5"/>
  <c r="E15" i="5" l="1"/>
  <c r="E33" i="5"/>
  <c r="E52" i="5"/>
  <c r="E18" i="5"/>
  <c r="E10" i="5"/>
  <c r="E25" i="5" l="1"/>
  <c r="E35" i="5" l="1"/>
  <c r="E40" i="5" l="1"/>
  <c r="E55" i="5" l="1"/>
  <c r="E44" i="5"/>
</calcChain>
</file>

<file path=xl/sharedStrings.xml><?xml version="1.0" encoding="utf-8"?>
<sst xmlns="http://schemas.openxmlformats.org/spreadsheetml/2006/main" count="238" uniqueCount="121">
  <si>
    <t>BEETROOT INSURANCE COMPANY LIMITED</t>
  </si>
  <si>
    <t>STATEMENT OF COMPREHENSIVE INCOME</t>
  </si>
  <si>
    <t>FOR THE PERIOD ENDED 31 December 2023</t>
  </si>
  <si>
    <t>SumifCode</t>
  </si>
  <si>
    <t>Figures in Kshs '000</t>
  </si>
  <si>
    <t>Change %</t>
  </si>
  <si>
    <t>Comments</t>
  </si>
  <si>
    <t>Gross written premium</t>
  </si>
  <si>
    <t>Net WP</t>
  </si>
  <si>
    <t>Gross earned premiums</t>
  </si>
  <si>
    <t>Reinsurance premium ceded</t>
  </si>
  <si>
    <t>Less: Reinsurance premium ceded</t>
  </si>
  <si>
    <t>Net earned premiums</t>
  </si>
  <si>
    <t>Interest income</t>
  </si>
  <si>
    <t>Rental income</t>
  </si>
  <si>
    <t>Income - Equity &amp; Invprop</t>
  </si>
  <si>
    <t>Income from Equity &amp; Investment property</t>
  </si>
  <si>
    <t>Dividend &amp; Other Income</t>
  </si>
  <si>
    <t>Commissions earned</t>
  </si>
  <si>
    <t>Total Income</t>
  </si>
  <si>
    <t>Gross Claims</t>
  </si>
  <si>
    <t>Claims and policyowners' benefits payable</t>
  </si>
  <si>
    <t>Reinsur Recoveries</t>
  </si>
  <si>
    <t>Less: Amount recoverable from reinsurer’s</t>
  </si>
  <si>
    <t>Net claims payable</t>
  </si>
  <si>
    <t>Operating and other expenses</t>
  </si>
  <si>
    <t>Commissions payable</t>
  </si>
  <si>
    <t>Profit before tax</t>
  </si>
  <si>
    <t>Income tax Expense</t>
  </si>
  <si>
    <t xml:space="preserve">Profit for the year after tax </t>
  </si>
  <si>
    <t>Statement of comprehensive income</t>
  </si>
  <si>
    <t>Items that will not be classified to profit or loss:</t>
  </si>
  <si>
    <t>(Loss)/gain on Land and Buildings Revaluations</t>
  </si>
  <si>
    <t>Deferred tax through OCI</t>
  </si>
  <si>
    <t>Total comprehensive income for the year</t>
  </si>
  <si>
    <t>Total Comprehensive Income</t>
  </si>
  <si>
    <t>STATEMENT OF FINANCIAL POSITION</t>
  </si>
  <si>
    <t>Figures in Kes</t>
  </si>
  <si>
    <t>Change</t>
  </si>
  <si>
    <t>% Change</t>
  </si>
  <si>
    <t>Share Capital:</t>
  </si>
  <si>
    <t>Issued</t>
  </si>
  <si>
    <t>Share Capital</t>
  </si>
  <si>
    <t>Revaluation Reserves</t>
  </si>
  <si>
    <t>Revaluation Reserve</t>
  </si>
  <si>
    <t>Retained eanings</t>
  </si>
  <si>
    <t>Proposed Dividend</t>
  </si>
  <si>
    <t/>
  </si>
  <si>
    <t>Total Reserves</t>
  </si>
  <si>
    <t>Represented by:-</t>
  </si>
  <si>
    <t>ASSETS</t>
  </si>
  <si>
    <t>Property and equipment</t>
  </si>
  <si>
    <t>Right-of-use assets</t>
  </si>
  <si>
    <t>Intangible Asset</t>
  </si>
  <si>
    <t>Land &amp; Buildings</t>
  </si>
  <si>
    <t>Investment Property</t>
  </si>
  <si>
    <t>Kenya Motor Ins. Pool</t>
  </si>
  <si>
    <t>Investment in the Kenya Motor Insurance Pool</t>
  </si>
  <si>
    <t>Ordinary Shares Q</t>
  </si>
  <si>
    <t>Equity investments at fair value through profit or loss</t>
  </si>
  <si>
    <t>Mortgage loans</t>
  </si>
  <si>
    <t>Reinsur Receivables</t>
  </si>
  <si>
    <t>Receivables arising from reinsurance arrangements</t>
  </si>
  <si>
    <t>Direct insurance Receivables</t>
  </si>
  <si>
    <t>Receivables arising from insurance intermediaries</t>
  </si>
  <si>
    <t>Reinsurance share of liabilities</t>
  </si>
  <si>
    <t>Reinsurers’ share of insurance contract liabilities</t>
  </si>
  <si>
    <t>Taxation</t>
  </si>
  <si>
    <t>Current income tax</t>
  </si>
  <si>
    <t>Deferred tax</t>
  </si>
  <si>
    <t>Deferred tax  Asset</t>
  </si>
  <si>
    <t xml:space="preserve">Loan &amp; other receivables </t>
  </si>
  <si>
    <t>Other receivables</t>
  </si>
  <si>
    <t>Deferred Acquisition cost</t>
  </si>
  <si>
    <t>Deferred acquisition costs</t>
  </si>
  <si>
    <t>Govt Sec HTM</t>
  </si>
  <si>
    <t>Government securities held to maturity</t>
  </si>
  <si>
    <t>Govt Sec AFS</t>
  </si>
  <si>
    <t>Government securitiesfair value through P &amp; L</t>
  </si>
  <si>
    <t>Banks deposits</t>
  </si>
  <si>
    <t>Deposits with financial institutions</t>
  </si>
  <si>
    <t>Cash &amp; Bank</t>
  </si>
  <si>
    <t>Cash and bank balances</t>
  </si>
  <si>
    <t>TOTAL ASSETS</t>
  </si>
  <si>
    <t>LIABILITIES</t>
  </si>
  <si>
    <t>Claims Provision</t>
  </si>
  <si>
    <t>Insurance contract liabilities</t>
  </si>
  <si>
    <t>UPR</t>
  </si>
  <si>
    <t>Unearned premium</t>
  </si>
  <si>
    <t>Reinsur Payables</t>
  </si>
  <si>
    <t>Payables arising from reinsurance arrangements</t>
  </si>
  <si>
    <t>Lease liabilities</t>
  </si>
  <si>
    <t>Other payables</t>
  </si>
  <si>
    <t>TOTAL LIABILITIES</t>
  </si>
  <si>
    <t>NET ASSETS</t>
  </si>
  <si>
    <t>Balancing</t>
  </si>
  <si>
    <t>IFRS 17 SumIfCode</t>
  </si>
  <si>
    <t>Reinsurance contracts assets</t>
  </si>
  <si>
    <t>Insurance contracts liabilities</t>
  </si>
  <si>
    <t>Income Statement - IFRS 17</t>
  </si>
  <si>
    <t>Insurance service revenue</t>
  </si>
  <si>
    <t>Incurred claims</t>
  </si>
  <si>
    <t>Attributable expenses</t>
  </si>
  <si>
    <t>Acquisition costs (Comm Exp)</t>
  </si>
  <si>
    <t>Changes in risk adjustment</t>
  </si>
  <si>
    <t>Changes in loss component</t>
  </si>
  <si>
    <t>Insurance service expense</t>
  </si>
  <si>
    <t>Reinsurance premium earned by reinsurers</t>
  </si>
  <si>
    <t>Reinsurance claims incurred</t>
  </si>
  <si>
    <t>Commission income</t>
  </si>
  <si>
    <t>Changes in loss recovery</t>
  </si>
  <si>
    <t>Net expenses from reinsurance contracts held</t>
  </si>
  <si>
    <t>Insurance Service Result</t>
  </si>
  <si>
    <t>Other investment income</t>
  </si>
  <si>
    <t>Finance expenses from insurance contracts issued</t>
  </si>
  <si>
    <t>Finance income from reinsurance contracts held</t>
  </si>
  <si>
    <t>Net investment result</t>
  </si>
  <si>
    <t>Net insurance and investment result</t>
  </si>
  <si>
    <t>Impairment of insurance contract assets</t>
  </si>
  <si>
    <t>Other operating expenses</t>
  </si>
  <si>
    <t xml:space="preserve">Profit for the year before tax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</si>
</sst>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d\-mmm\-yy;@"/>
    <numFmt numFmtId="167" formatCode="#,##0;[Red]\(#,##0\)"/>
    <numFmt numFmtId="168" formatCode="#,##0,"/>
    <numFmt numFmtId="169" formatCode="#,##0;\(#,##0\)"/>
    <numFmt numFmtId="170" formatCode="0.0%"/>
    <numFmt numFmtId="171" formatCode="_-* #,##0_-;\-* #,##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Nunito Sans Normal"/>
    </font>
    <font>
      <b/>
      <sz val="11"/>
      <color theme="1"/>
      <name val="Nunito Sans Normal"/>
    </font>
    <font>
      <b/>
      <sz val="11"/>
      <color theme="0"/>
      <name val="Nunito Sans Normal"/>
    </font>
    <font>
      <sz val="11"/>
      <color theme="0"/>
      <name val="Nunito Sans Normal"/>
    </font>
    <font>
      <b/>
      <sz val="11"/>
      <color rgb="FF0000FF"/>
      <name val="Nunito Sans Normal"/>
    </font>
    <font>
      <i/>
      <sz val="11"/>
      <color rgb="FFFF0000"/>
      <name val="Nunito Sans Normal"/>
    </font>
    <font>
      <b/>
      <sz val="9"/>
      <name val="Nunito Sans Normal"/>
    </font>
    <font>
      <b/>
      <sz val="9"/>
      <color indexed="8"/>
      <name val="Nunito Sans Normal"/>
    </font>
    <font>
      <b/>
      <sz val="9"/>
      <color theme="0"/>
      <name val="Nunito Sans Normal"/>
    </font>
    <font>
      <b/>
      <sz val="11"/>
      <name val="Nunito Sans Normal"/>
    </font>
    <font>
      <sz val="9"/>
      <name val="Nunito Sans Normal"/>
    </font>
    <font>
      <sz val="9"/>
      <color theme="1"/>
      <name val="Nunito Sans Normal"/>
    </font>
    <font>
      <sz val="9"/>
      <color rgb="FFFF0000"/>
      <name val="Nunito Sans Normal"/>
    </font>
    <font>
      <sz val="9"/>
      <color theme="0"/>
      <name val="Nunito Sans Normal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137A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4" borderId="1" xfId="0" applyFont="1" applyFill="1" applyBorder="1"/>
    <xf numFmtId="0" fontId="4" fillId="4" borderId="3" xfId="0" applyFont="1" applyFill="1" applyBorder="1"/>
    <xf numFmtId="0" fontId="4" fillId="4" borderId="2" xfId="0" applyFont="1" applyFill="1" applyBorder="1"/>
    <xf numFmtId="0" fontId="4" fillId="4" borderId="5" xfId="0" applyFont="1" applyFill="1" applyBorder="1"/>
    <xf numFmtId="0" fontId="4" fillId="4" borderId="0" xfId="0" applyFont="1" applyFill="1"/>
    <xf numFmtId="0" fontId="4" fillId="4" borderId="6" xfId="0" applyFont="1" applyFill="1" applyBorder="1"/>
    <xf numFmtId="0" fontId="4" fillId="4" borderId="8" xfId="0" applyFont="1" applyFill="1" applyBorder="1"/>
    <xf numFmtId="0" fontId="4" fillId="4" borderId="10" xfId="0" applyFont="1" applyFill="1" applyBorder="1" applyAlignment="1">
      <alignment horizontal="right"/>
    </xf>
    <xf numFmtId="0" fontId="4" fillId="4" borderId="9" xfId="0" applyFont="1" applyFill="1" applyBorder="1" applyAlignment="1">
      <alignment horizontal="right"/>
    </xf>
    <xf numFmtId="0" fontId="4" fillId="0" borderId="0" xfId="0" applyFont="1"/>
    <xf numFmtId="0" fontId="5" fillId="5" borderId="5" xfId="0" applyFont="1" applyFill="1" applyBorder="1"/>
    <xf numFmtId="166" fontId="5" fillId="5" borderId="7" xfId="0" applyNumberFormat="1" applyFont="1" applyFill="1" applyBorder="1"/>
    <xf numFmtId="166" fontId="5" fillId="5" borderId="7" xfId="0" applyNumberFormat="1" applyFont="1" applyFill="1" applyBorder="1" applyAlignment="1">
      <alignment horizontal="right"/>
    </xf>
    <xf numFmtId="0" fontId="4" fillId="0" borderId="1" xfId="0" applyFont="1" applyBorder="1"/>
    <xf numFmtId="167" fontId="3" fillId="0" borderId="4" xfId="0" applyNumberFormat="1" applyFont="1" applyBorder="1"/>
    <xf numFmtId="167" fontId="3" fillId="0" borderId="2" xfId="0" applyNumberFormat="1" applyFont="1" applyBorder="1"/>
    <xf numFmtId="167" fontId="3" fillId="2" borderId="2" xfId="0" applyNumberFormat="1" applyFont="1" applyFill="1" applyBorder="1"/>
    <xf numFmtId="0" fontId="3" fillId="0" borderId="5" xfId="0" applyFont="1" applyBorder="1"/>
    <xf numFmtId="167" fontId="3" fillId="0" borderId="7" xfId="0" applyNumberFormat="1" applyFont="1" applyBorder="1"/>
    <xf numFmtId="167" fontId="3" fillId="0" borderId="6" xfId="0" applyNumberFormat="1" applyFont="1" applyBorder="1"/>
    <xf numFmtId="167" fontId="3" fillId="2" borderId="6" xfId="0" applyNumberFormat="1" applyFont="1" applyFill="1" applyBorder="1"/>
    <xf numFmtId="10" fontId="3" fillId="0" borderId="6" xfId="2" applyNumberFormat="1" applyFont="1" applyBorder="1"/>
    <xf numFmtId="0" fontId="6" fillId="0" borderId="0" xfId="0" applyFont="1"/>
    <xf numFmtId="0" fontId="5" fillId="5" borderId="14" xfId="0" applyFont="1" applyFill="1" applyBorder="1"/>
    <xf numFmtId="167" fontId="5" fillId="5" borderId="15" xfId="0" applyNumberFormat="1" applyFont="1" applyFill="1" applyBorder="1"/>
    <xf numFmtId="167" fontId="5" fillId="5" borderId="16" xfId="0" applyNumberFormat="1" applyFont="1" applyFill="1" applyBorder="1"/>
    <xf numFmtId="10" fontId="5" fillId="5" borderId="16" xfId="2" applyNumberFormat="1" applyFont="1" applyFill="1" applyBorder="1"/>
    <xf numFmtId="0" fontId="4" fillId="0" borderId="5" xfId="0" applyFont="1" applyBorder="1"/>
    <xf numFmtId="167" fontId="4" fillId="0" borderId="7" xfId="0" applyNumberFormat="1" applyFont="1" applyBorder="1"/>
    <xf numFmtId="167" fontId="4" fillId="0" borderId="6" xfId="0" applyNumberFormat="1" applyFont="1" applyBorder="1"/>
    <xf numFmtId="167" fontId="4" fillId="2" borderId="6" xfId="0" applyNumberFormat="1" applyFont="1" applyFill="1" applyBorder="1"/>
    <xf numFmtId="10" fontId="4" fillId="0" borderId="6" xfId="2" applyNumberFormat="1" applyFont="1" applyBorder="1"/>
    <xf numFmtId="167" fontId="3" fillId="3" borderId="7" xfId="0" applyNumberFormat="1" applyFont="1" applyFill="1" applyBorder="1"/>
    <xf numFmtId="10" fontId="3" fillId="0" borderId="6" xfId="2" applyNumberFormat="1" applyFont="1" applyFill="1" applyBorder="1"/>
    <xf numFmtId="167" fontId="7" fillId="5" borderId="16" xfId="0" applyNumberFormat="1" applyFont="1" applyFill="1" applyBorder="1"/>
    <xf numFmtId="0" fontId="3" fillId="0" borderId="7" xfId="0" applyFont="1" applyBorder="1"/>
    <xf numFmtId="0" fontId="3" fillId="0" borderId="6" xfId="0" applyFont="1" applyBorder="1"/>
    <xf numFmtId="0" fontId="8" fillId="0" borderId="19" xfId="0" applyFont="1" applyBorder="1"/>
    <xf numFmtId="167" fontId="8" fillId="0" borderId="20" xfId="0" applyNumberFormat="1" applyFont="1" applyBorder="1"/>
    <xf numFmtId="167" fontId="8" fillId="0" borderId="21" xfId="0" applyNumberFormat="1" applyFont="1" applyBorder="1"/>
    <xf numFmtId="164" fontId="3" fillId="0" borderId="0" xfId="1" applyFont="1"/>
    <xf numFmtId="0" fontId="9" fillId="4" borderId="1" xfId="0" applyFont="1" applyFill="1" applyBorder="1"/>
    <xf numFmtId="165" fontId="9" fillId="4" borderId="3" xfId="0" applyNumberFormat="1" applyFont="1" applyFill="1" applyBorder="1"/>
    <xf numFmtId="0" fontId="9" fillId="4" borderId="2" xfId="0" applyFont="1" applyFill="1" applyBorder="1"/>
    <xf numFmtId="165" fontId="9" fillId="4" borderId="4" xfId="0" applyNumberFormat="1" applyFont="1" applyFill="1" applyBorder="1"/>
    <xf numFmtId="0" fontId="9" fillId="4" borderId="5" xfId="0" applyFont="1" applyFill="1" applyBorder="1"/>
    <xf numFmtId="165" fontId="9" fillId="4" borderId="0" xfId="0" applyNumberFormat="1" applyFont="1" applyFill="1"/>
    <xf numFmtId="0" fontId="9" fillId="4" borderId="6" xfId="0" applyFont="1" applyFill="1" applyBorder="1"/>
    <xf numFmtId="165" fontId="9" fillId="4" borderId="7" xfId="0" applyNumberFormat="1" applyFont="1" applyFill="1" applyBorder="1"/>
    <xf numFmtId="37" fontId="10" fillId="4" borderId="8" xfId="0" applyNumberFormat="1" applyFont="1" applyFill="1" applyBorder="1" applyAlignment="1">
      <alignment horizontal="left"/>
    </xf>
    <xf numFmtId="165" fontId="9" fillId="4" borderId="10" xfId="0" applyNumberFormat="1" applyFont="1" applyFill="1" applyBorder="1"/>
    <xf numFmtId="0" fontId="9" fillId="4" borderId="9" xfId="0" applyFont="1" applyFill="1" applyBorder="1"/>
    <xf numFmtId="165" fontId="9" fillId="4" borderId="11" xfId="0" applyNumberFormat="1" applyFont="1" applyFill="1" applyBorder="1"/>
    <xf numFmtId="0" fontId="11" fillId="5" borderId="1" xfId="0" applyFont="1" applyFill="1" applyBorder="1"/>
    <xf numFmtId="166" fontId="11" fillId="5" borderId="4" xfId="0" applyNumberFormat="1" applyFont="1" applyFill="1" applyBorder="1" applyAlignment="1">
      <alignment horizontal="right"/>
    </xf>
    <xf numFmtId="166" fontId="11" fillId="5" borderId="2" xfId="0" applyNumberFormat="1" applyFont="1" applyFill="1" applyBorder="1" applyAlignment="1">
      <alignment horizontal="right"/>
    </xf>
    <xf numFmtId="0" fontId="11" fillId="5" borderId="4" xfId="0" applyFont="1" applyFill="1" applyBorder="1"/>
    <xf numFmtId="169" fontId="3" fillId="0" borderId="7" xfId="0" applyNumberFormat="1" applyFont="1" applyBorder="1"/>
    <xf numFmtId="9" fontId="3" fillId="0" borderId="7" xfId="2" applyFont="1" applyBorder="1"/>
    <xf numFmtId="0" fontId="4" fillId="0" borderId="7" xfId="0" applyFont="1" applyBorder="1"/>
    <xf numFmtId="169" fontId="4" fillId="0" borderId="7" xfId="0" applyNumberFormat="1" applyFont="1" applyBorder="1"/>
    <xf numFmtId="9" fontId="4" fillId="0" borderId="7" xfId="2" applyFont="1" applyBorder="1"/>
    <xf numFmtId="169" fontId="3" fillId="3" borderId="7" xfId="0" applyNumberFormat="1" applyFont="1" applyFill="1" applyBorder="1"/>
    <xf numFmtId="0" fontId="4" fillId="0" borderId="4" xfId="0" applyFont="1" applyBorder="1"/>
    <xf numFmtId="169" fontId="4" fillId="0" borderId="4" xfId="0" applyNumberFormat="1" applyFont="1" applyBorder="1"/>
    <xf numFmtId="9" fontId="4" fillId="0" borderId="4" xfId="2" applyFont="1" applyBorder="1"/>
    <xf numFmtId="0" fontId="12" fillId="0" borderId="20" xfId="0" applyFont="1" applyBorder="1"/>
    <xf numFmtId="169" fontId="12" fillId="0" borderId="20" xfId="0" applyNumberFormat="1" applyFont="1" applyBorder="1"/>
    <xf numFmtId="9" fontId="12" fillId="0" borderId="20" xfId="2" applyFont="1" applyFill="1" applyBorder="1"/>
    <xf numFmtId="169" fontId="3" fillId="0" borderId="0" xfId="0" applyNumberFormat="1" applyFont="1"/>
    <xf numFmtId="0" fontId="5" fillId="5" borderId="15" xfId="0" applyFont="1" applyFill="1" applyBorder="1"/>
    <xf numFmtId="169" fontId="5" fillId="5" borderId="15" xfId="0" applyNumberFormat="1" applyFont="1" applyFill="1" applyBorder="1"/>
    <xf numFmtId="9" fontId="5" fillId="5" borderId="15" xfId="2" applyFont="1" applyFill="1" applyBorder="1"/>
    <xf numFmtId="170" fontId="3" fillId="0" borderId="7" xfId="2" applyNumberFormat="1" applyFont="1" applyBorder="1"/>
    <xf numFmtId="9" fontId="3" fillId="0" borderId="0" xfId="2" applyFont="1"/>
    <xf numFmtId="0" fontId="13" fillId="0" borderId="5" xfId="0" applyFont="1" applyBorder="1"/>
    <xf numFmtId="170" fontId="5" fillId="5" borderId="15" xfId="2" applyNumberFormat="1" applyFont="1" applyFill="1" applyBorder="1"/>
    <xf numFmtId="167" fontId="9" fillId="0" borderId="7" xfId="3" applyNumberFormat="1" applyFont="1" applyFill="1" applyBorder="1"/>
    <xf numFmtId="167" fontId="9" fillId="0" borderId="6" xfId="3" applyNumberFormat="1" applyFont="1" applyFill="1" applyBorder="1"/>
    <xf numFmtId="10" fontId="9" fillId="0" borderId="6" xfId="2" applyNumberFormat="1" applyFont="1" applyFill="1" applyBorder="1"/>
    <xf numFmtId="0" fontId="13" fillId="0" borderId="7" xfId="0" applyFont="1" applyBorder="1"/>
    <xf numFmtId="167" fontId="13" fillId="0" borderId="7" xfId="1" applyNumberFormat="1" applyFont="1" applyFill="1" applyBorder="1"/>
    <xf numFmtId="167" fontId="13" fillId="0" borderId="6" xfId="1" applyNumberFormat="1" applyFont="1" applyFill="1" applyBorder="1"/>
    <xf numFmtId="10" fontId="13" fillId="0" borderId="6" xfId="2" applyNumberFormat="1" applyFont="1" applyFill="1" applyBorder="1"/>
    <xf numFmtId="0" fontId="13" fillId="0" borderId="5" xfId="0" applyFont="1" applyBorder="1" applyAlignment="1">
      <alignment wrapText="1"/>
    </xf>
    <xf numFmtId="167" fontId="9" fillId="0" borderId="7" xfId="1" applyNumberFormat="1" applyFont="1" applyFill="1" applyBorder="1"/>
    <xf numFmtId="167" fontId="9" fillId="0" borderId="6" xfId="1" applyNumberFormat="1" applyFont="1" applyFill="1" applyBorder="1"/>
    <xf numFmtId="0" fontId="13" fillId="0" borderId="7" xfId="0" applyFont="1" applyBorder="1" applyAlignment="1">
      <alignment wrapText="1"/>
    </xf>
    <xf numFmtId="0" fontId="13" fillId="0" borderId="5" xfId="0" applyFont="1" applyBorder="1" applyAlignment="1">
      <alignment horizontal="left" indent="2"/>
    </xf>
    <xf numFmtId="167" fontId="13" fillId="0" borderId="7" xfId="3" applyNumberFormat="1" applyFont="1" applyFill="1" applyBorder="1"/>
    <xf numFmtId="167" fontId="13" fillId="0" borderId="6" xfId="3" applyNumberFormat="1" applyFont="1" applyFill="1" applyBorder="1"/>
    <xf numFmtId="0" fontId="13" fillId="0" borderId="7" xfId="0" applyFont="1" applyBorder="1" applyAlignment="1">
      <alignment horizontal="left" indent="2"/>
    </xf>
    <xf numFmtId="167" fontId="13" fillId="0" borderId="11" xfId="3" applyNumberFormat="1" applyFont="1" applyFill="1" applyBorder="1"/>
    <xf numFmtId="167" fontId="13" fillId="0" borderId="9" xfId="3" applyNumberFormat="1" applyFont="1" applyFill="1" applyBorder="1"/>
    <xf numFmtId="10" fontId="13" fillId="0" borderId="9" xfId="2" applyNumberFormat="1" applyFont="1" applyFill="1" applyBorder="1"/>
    <xf numFmtId="0" fontId="9" fillId="0" borderId="5" xfId="0" applyFont="1" applyBorder="1"/>
    <xf numFmtId="0" fontId="9" fillId="0" borderId="7" xfId="0" applyFont="1" applyBorder="1"/>
    <xf numFmtId="167" fontId="13" fillId="0" borderId="17" xfId="0" applyNumberFormat="1" applyFont="1" applyBorder="1"/>
    <xf numFmtId="167" fontId="13" fillId="0" borderId="18" xfId="0" applyNumberFormat="1" applyFont="1" applyBorder="1"/>
    <xf numFmtId="10" fontId="13" fillId="0" borderId="18" xfId="2" applyNumberFormat="1" applyFont="1" applyBorder="1"/>
    <xf numFmtId="0" fontId="14" fillId="0" borderId="5" xfId="0" applyFont="1" applyBorder="1"/>
    <xf numFmtId="167" fontId="13" fillId="0" borderId="7" xfId="0" applyNumberFormat="1" applyFont="1" applyBorder="1"/>
    <xf numFmtId="167" fontId="13" fillId="0" borderId="6" xfId="0" applyNumberFormat="1" applyFont="1" applyBorder="1"/>
    <xf numFmtId="10" fontId="13" fillId="0" borderId="6" xfId="2" applyNumberFormat="1" applyFont="1" applyBorder="1"/>
    <xf numFmtId="0" fontId="14" fillId="0" borderId="7" xfId="0" applyFont="1" applyBorder="1"/>
    <xf numFmtId="0" fontId="11" fillId="5" borderId="14" xfId="0" applyFont="1" applyFill="1" applyBorder="1"/>
    <xf numFmtId="167" fontId="11" fillId="5" borderId="15" xfId="3" applyNumberFormat="1" applyFont="1" applyFill="1" applyBorder="1"/>
    <xf numFmtId="167" fontId="11" fillId="5" borderId="16" xfId="3" applyNumberFormat="1" applyFont="1" applyFill="1" applyBorder="1"/>
    <xf numFmtId="10" fontId="11" fillId="5" borderId="16" xfId="2" applyNumberFormat="1" applyFont="1" applyFill="1" applyBorder="1"/>
    <xf numFmtId="0" fontId="11" fillId="5" borderId="15" xfId="0" applyFont="1" applyFill="1" applyBorder="1"/>
    <xf numFmtId="0" fontId="14" fillId="0" borderId="8" xfId="0" applyFont="1" applyBorder="1"/>
    <xf numFmtId="167" fontId="14" fillId="0" borderId="11" xfId="0" applyNumberFormat="1" applyFont="1" applyBorder="1"/>
    <xf numFmtId="167" fontId="14" fillId="0" borderId="9" xfId="0" applyNumberFormat="1" applyFont="1" applyBorder="1"/>
    <xf numFmtId="10" fontId="14" fillId="0" borderId="9" xfId="2" applyNumberFormat="1" applyFont="1" applyBorder="1"/>
    <xf numFmtId="0" fontId="14" fillId="0" borderId="11" xfId="0" applyFont="1" applyBorder="1"/>
    <xf numFmtId="10" fontId="3" fillId="0" borderId="2" xfId="2" applyNumberFormat="1" applyFont="1" applyBorder="1"/>
    <xf numFmtId="0" fontId="14" fillId="0" borderId="0" xfId="0" applyFont="1"/>
    <xf numFmtId="0" fontId="9" fillId="0" borderId="0" xfId="0" applyFont="1"/>
    <xf numFmtId="165" fontId="9" fillId="0" borderId="0" xfId="0" applyNumberFormat="1" applyFont="1"/>
    <xf numFmtId="165" fontId="9" fillId="0" borderId="7" xfId="0" applyNumberFormat="1" applyFont="1" applyBorder="1"/>
    <xf numFmtId="165" fontId="13" fillId="0" borderId="7" xfId="0" applyNumberFormat="1" applyFont="1" applyBorder="1"/>
    <xf numFmtId="165" fontId="13" fillId="0" borderId="6" xfId="0" applyNumberFormat="1" applyFont="1" applyBorder="1"/>
    <xf numFmtId="168" fontId="14" fillId="0" borderId="0" xfId="0" applyNumberFormat="1" applyFont="1"/>
    <xf numFmtId="171" fontId="14" fillId="0" borderId="0" xfId="1" applyNumberFormat="1" applyFont="1"/>
    <xf numFmtId="0" fontId="15" fillId="0" borderId="5" xfId="0" applyFont="1" applyBorder="1"/>
    <xf numFmtId="167" fontId="15" fillId="0" borderId="7" xfId="3" applyNumberFormat="1" applyFont="1" applyFill="1" applyBorder="1"/>
    <xf numFmtId="10" fontId="15" fillId="0" borderId="6" xfId="2" applyNumberFormat="1" applyFont="1" applyFill="1" applyBorder="1"/>
    <xf numFmtId="167" fontId="9" fillId="0" borderId="12" xfId="3" applyNumberFormat="1" applyFont="1" applyFill="1" applyBorder="1"/>
    <xf numFmtId="167" fontId="9" fillId="0" borderId="13" xfId="3" applyNumberFormat="1" applyFont="1" applyFill="1" applyBorder="1"/>
    <xf numFmtId="10" fontId="9" fillId="0" borderId="13" xfId="2" applyNumberFormat="1" applyFont="1" applyFill="1" applyBorder="1"/>
    <xf numFmtId="0" fontId="13" fillId="0" borderId="0" xfId="0" applyFont="1"/>
    <xf numFmtId="0" fontId="16" fillId="0" borderId="0" xfId="0" applyFont="1"/>
    <xf numFmtId="165" fontId="9" fillId="4" borderId="2" xfId="0" applyNumberFormat="1" applyFont="1" applyFill="1" applyBorder="1"/>
    <xf numFmtId="0" fontId="9" fillId="4" borderId="3" xfId="0" applyFont="1" applyFill="1" applyBorder="1"/>
    <xf numFmtId="165" fontId="9" fillId="4" borderId="6" xfId="0" applyNumberFormat="1" applyFont="1" applyFill="1" applyBorder="1"/>
    <xf numFmtId="0" fontId="9" fillId="4" borderId="0" xfId="0" applyFont="1" applyFill="1"/>
    <xf numFmtId="165" fontId="9" fillId="4" borderId="9" xfId="0" applyNumberFormat="1" applyFont="1" applyFill="1" applyBorder="1"/>
    <xf numFmtId="0" fontId="9" fillId="4" borderId="10" xfId="0" applyFont="1" applyFill="1" applyBorder="1"/>
  </cellXfs>
  <cellStyles count="4">
    <cellStyle name="Comma" xfId="1" builtinId="3"/>
    <cellStyle name="Comma 2" xfId="3" xr:uid="{72022BA8-D86D-4853-B873-A5EE467D2FAA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137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nicah%20Nyamwange\Desktop\Work\TRAINING\Workings\Week5\FSIC%20IFRS%2017%20Draft%20Finacials%20December%202023%20-%20004.xlsx" TargetMode="External"/><Relationship Id="rId1" Type="http://schemas.openxmlformats.org/officeDocument/2006/relationships/externalLinkPath" Target="/Users/Monicah%20Nyamwange/Desktop/Work/TRAINING/Workings/Week5/FSIC%20IFRS%2017%20Draft%20Finacials%20December%202023%20-%20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Acc_17"/>
      <sheetName val="2021 TB"/>
      <sheetName val="2022 TB"/>
      <sheetName val="2023 TB"/>
      <sheetName val="Financials Summaries"/>
      <sheetName val="P&amp;L_IFRS4"/>
      <sheetName val="BS_IFRS4"/>
      <sheetName val="P&amp;L_IFRS17"/>
      <sheetName val="BS_IFRS17"/>
      <sheetName val="Liquidity Risk"/>
      <sheetName val="Other Payables"/>
      <sheetName val="Investment Income"/>
      <sheetName val="Operating expenses"/>
      <sheetName val="Other Receivables"/>
      <sheetName val="SOCE_IFRS17"/>
      <sheetName val="LRC"/>
      <sheetName val="LIC"/>
      <sheetName val="Reconciliation"/>
      <sheetName val="RevAcc 2023"/>
      <sheetName val="RevAcc 2022"/>
      <sheetName val="RevAcc 2021"/>
      <sheetName val="InsurServRev"/>
      <sheetName val="InsurServExp"/>
      <sheetName val="NetReinGainLoss"/>
      <sheetName val="InsurCtrLiab"/>
      <sheetName val="ReInsurCtrAssets"/>
      <sheetName val="Index"/>
      <sheetName val="FSIC IFRS 17 Draft Finacials De"/>
    </sheetNames>
    <sheetDataSet>
      <sheetData sheetId="0"/>
      <sheetData sheetId="1"/>
      <sheetData sheetId="2"/>
      <sheetData sheetId="3"/>
      <sheetData sheetId="4"/>
      <sheetData sheetId="5">
        <row r="30">
          <cell r="D30">
            <v>28216.85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8">
          <cell r="E18">
            <v>3480386.4808399999</v>
          </cell>
        </row>
      </sheetData>
      <sheetData sheetId="19">
        <row r="18">
          <cell r="E18">
            <v>2752717.7654574001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3">
          <cell r="C3">
            <v>45291</v>
          </cell>
        </row>
      </sheetData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A1C0-8DCA-4970-85E9-C62F7219C5C7}">
  <sheetPr>
    <tabColor rgb="FF0070C0"/>
  </sheetPr>
  <dimension ref="B1:M44"/>
  <sheetViews>
    <sheetView tabSelected="1" workbookViewId="0">
      <selection activeCell="C5" sqref="C5"/>
    </sheetView>
  </sheetViews>
  <sheetFormatPr defaultColWidth="8.7265625" defaultRowHeight="14.5" x14ac:dyDescent="0.45"/>
  <cols>
    <col min="1" max="1" width="2" style="118" customWidth="1"/>
    <col min="2" max="2" width="24.453125" style="118" hidden="1" customWidth="1"/>
    <col min="3" max="3" width="47.453125" style="118" customWidth="1"/>
    <col min="4" max="4" width="9.90625" style="118" bestFit="1" customWidth="1"/>
    <col min="5" max="5" width="9.54296875" style="118" bestFit="1" customWidth="1"/>
    <col min="6" max="6" width="8.90625" style="118" bestFit="1" customWidth="1"/>
    <col min="7" max="7" width="32.7265625" style="118" customWidth="1"/>
    <col min="8" max="8" width="8.7265625" style="118"/>
    <col min="9" max="9" width="9.26953125" style="118" bestFit="1" customWidth="1"/>
    <col min="10" max="10" width="13.453125" style="118" bestFit="1" customWidth="1"/>
    <col min="11" max="11" width="12.453125" style="118" bestFit="1" customWidth="1"/>
    <col min="12" max="13" width="8.81640625" style="118" bestFit="1" customWidth="1"/>
    <col min="14" max="16384" width="8.7265625" style="118"/>
  </cols>
  <sheetData>
    <row r="1" spans="2:13" x14ac:dyDescent="0.45">
      <c r="C1" s="43" t="s">
        <v>0</v>
      </c>
      <c r="D1" s="134"/>
      <c r="E1" s="134"/>
      <c r="F1" s="134"/>
      <c r="G1" s="135"/>
      <c r="I1" s="46"/>
    </row>
    <row r="2" spans="2:13" x14ac:dyDescent="0.45">
      <c r="C2" s="47" t="s">
        <v>1</v>
      </c>
      <c r="D2" s="136"/>
      <c r="E2" s="136"/>
      <c r="F2" s="136"/>
      <c r="G2" s="137"/>
      <c r="I2" s="50"/>
    </row>
    <row r="3" spans="2:13" x14ac:dyDescent="0.45">
      <c r="C3" s="51" t="s">
        <v>2</v>
      </c>
      <c r="D3" s="138"/>
      <c r="E3" s="138"/>
      <c r="F3" s="138"/>
      <c r="G3" s="139"/>
      <c r="I3" s="54"/>
    </row>
    <row r="4" spans="2:13" ht="7.5" customHeight="1" x14ac:dyDescent="0.45">
      <c r="C4" s="119"/>
      <c r="D4" s="120"/>
      <c r="E4" s="120"/>
      <c r="F4" s="120"/>
      <c r="G4" s="119"/>
      <c r="I4" s="121"/>
    </row>
    <row r="5" spans="2:13" x14ac:dyDescent="0.45">
      <c r="B5" s="118" t="s">
        <v>3</v>
      </c>
      <c r="C5" s="55" t="s">
        <v>4</v>
      </c>
      <c r="D5" s="56">
        <v>45291</v>
      </c>
      <c r="E5" s="57">
        <v>44926</v>
      </c>
      <c r="F5" s="57" t="s">
        <v>5</v>
      </c>
      <c r="G5" s="58" t="s">
        <v>6</v>
      </c>
      <c r="I5" s="56">
        <v>44561</v>
      </c>
    </row>
    <row r="6" spans="2:13" ht="7.5" customHeight="1" x14ac:dyDescent="0.45">
      <c r="C6" s="77"/>
      <c r="D6" s="122"/>
      <c r="E6" s="123"/>
      <c r="F6" s="123"/>
      <c r="G6" s="82"/>
      <c r="I6" s="122"/>
    </row>
    <row r="7" spans="2:13" x14ac:dyDescent="0.45">
      <c r="B7" s="118" t="s">
        <v>7</v>
      </c>
      <c r="C7" s="97" t="s">
        <v>7</v>
      </c>
      <c r="D7" s="79">
        <v>37578553.011299998</v>
      </c>
      <c r="E7" s="80">
        <v>32495604.605940003</v>
      </c>
      <c r="F7" s="81">
        <v>0.15641956710757321</v>
      </c>
      <c r="G7" s="98"/>
      <c r="H7" s="124"/>
      <c r="I7" s="79">
        <v>2281327.9319499996</v>
      </c>
      <c r="J7" s="125"/>
      <c r="K7" s="125"/>
      <c r="L7" s="118" t="e">
        <f>J7/K7-1</f>
        <v>#DIV/0!</v>
      </c>
      <c r="M7" s="118" t="e">
        <f>J7*L7</f>
        <v>#DIV/0!</v>
      </c>
    </row>
    <row r="8" spans="2:13" ht="15.65" customHeight="1" x14ac:dyDescent="0.45">
      <c r="C8" s="126" t="s">
        <v>8</v>
      </c>
      <c r="D8" s="127">
        <f>D7-D10</f>
        <v>23549174.783085003</v>
      </c>
      <c r="E8" s="127">
        <f>E7-E10</f>
        <v>22588902.607110001</v>
      </c>
      <c r="F8" s="128"/>
      <c r="G8" s="82"/>
      <c r="I8" s="91"/>
      <c r="J8" s="125"/>
      <c r="K8" s="125"/>
    </row>
    <row r="9" spans="2:13" x14ac:dyDescent="0.45">
      <c r="B9" s="118" t="s">
        <v>9</v>
      </c>
      <c r="C9" s="77" t="s">
        <v>9</v>
      </c>
      <c r="D9" s="91">
        <v>36544058.044619992</v>
      </c>
      <c r="E9" s="92">
        <v>28903536.560745005</v>
      </c>
      <c r="F9" s="85">
        <v>0.2643455574309157</v>
      </c>
      <c r="G9" s="82"/>
      <c r="I9" s="91">
        <v>2156131.0268499996</v>
      </c>
      <c r="J9" s="125"/>
      <c r="K9" s="125"/>
    </row>
    <row r="10" spans="2:13" x14ac:dyDescent="0.45">
      <c r="B10" s="118" t="s">
        <v>10</v>
      </c>
      <c r="C10" s="77" t="s">
        <v>11</v>
      </c>
      <c r="D10" s="91">
        <v>14029378.228214996</v>
      </c>
      <c r="E10" s="92">
        <v>9906701.9988300018</v>
      </c>
      <c r="F10" s="85">
        <v>0.41615022132207979</v>
      </c>
      <c r="G10" s="82"/>
      <c r="I10" s="91">
        <v>775291.77861000015</v>
      </c>
      <c r="J10" s="125"/>
      <c r="K10" s="125"/>
    </row>
    <row r="11" spans="2:13" ht="15" thickBot="1" x14ac:dyDescent="0.5">
      <c r="C11" s="97" t="s">
        <v>12</v>
      </c>
      <c r="D11" s="129">
        <v>22514679.816405002</v>
      </c>
      <c r="E11" s="130">
        <v>18996834.561915006</v>
      </c>
      <c r="F11" s="131">
        <v>0.18518060169574779</v>
      </c>
      <c r="G11" s="98"/>
      <c r="I11" s="129">
        <v>1380839.2482399994</v>
      </c>
      <c r="J11" s="125"/>
      <c r="K11" s="125"/>
    </row>
    <row r="12" spans="2:13" ht="9" customHeight="1" x14ac:dyDescent="0.45">
      <c r="C12" s="77"/>
      <c r="D12" s="91">
        <v>0</v>
      </c>
      <c r="E12" s="92">
        <v>0</v>
      </c>
      <c r="F12" s="85"/>
      <c r="G12" s="82"/>
      <c r="I12" s="91"/>
      <c r="J12" s="125"/>
      <c r="K12" s="125"/>
    </row>
    <row r="13" spans="2:13" x14ac:dyDescent="0.45">
      <c r="B13" s="118" t="s">
        <v>13</v>
      </c>
      <c r="C13" s="77" t="s">
        <v>13</v>
      </c>
      <c r="D13" s="91">
        <v>2261554.64451</v>
      </c>
      <c r="E13" s="92">
        <v>1758054.124575</v>
      </c>
      <c r="F13" s="85">
        <v>0.28639648398579221</v>
      </c>
      <c r="G13" s="82"/>
      <c r="I13" s="91">
        <v>141666.68610000002</v>
      </c>
      <c r="J13" s="125"/>
      <c r="K13" s="125"/>
    </row>
    <row r="14" spans="2:13" x14ac:dyDescent="0.45">
      <c r="B14" s="118" t="s">
        <v>14</v>
      </c>
      <c r="C14" s="77" t="s">
        <v>14</v>
      </c>
      <c r="D14" s="91">
        <v>391388.18365499994</v>
      </c>
      <c r="E14" s="92">
        <v>484578.42404999997</v>
      </c>
      <c r="F14" s="85">
        <v>-0.19231198866869981</v>
      </c>
      <c r="G14" s="82"/>
      <c r="I14" s="91">
        <v>67087.495119999992</v>
      </c>
      <c r="J14" s="125"/>
      <c r="K14" s="125"/>
    </row>
    <row r="15" spans="2:13" x14ac:dyDescent="0.45">
      <c r="B15" s="118" t="s">
        <v>15</v>
      </c>
      <c r="C15" s="77" t="s">
        <v>16</v>
      </c>
      <c r="D15" s="91">
        <v>468557.28045000002</v>
      </c>
      <c r="E15" s="92">
        <v>-337979.68028999999</v>
      </c>
      <c r="F15" s="85">
        <v>-2.3863474870677406</v>
      </c>
      <c r="G15" s="82"/>
      <c r="I15" s="91">
        <v>-69095.057919999992</v>
      </c>
      <c r="J15" s="125"/>
      <c r="K15" s="125"/>
    </row>
    <row r="16" spans="2:13" x14ac:dyDescent="0.45">
      <c r="B16" s="132" t="s">
        <v>17</v>
      </c>
      <c r="C16" s="77" t="s">
        <v>17</v>
      </c>
      <c r="D16" s="91">
        <v>72417.51804000001</v>
      </c>
      <c r="E16" s="92">
        <v>55277.788019999985</v>
      </c>
      <c r="F16" s="85">
        <v>0.31006541024757928</v>
      </c>
      <c r="G16" s="82"/>
      <c r="I16" s="91">
        <v>4911.6909499999992</v>
      </c>
      <c r="J16" s="125"/>
      <c r="K16" s="125"/>
    </row>
    <row r="17" spans="2:11" x14ac:dyDescent="0.45">
      <c r="B17" s="132" t="s">
        <v>18</v>
      </c>
      <c r="C17" s="77" t="s">
        <v>18</v>
      </c>
      <c r="D17" s="91">
        <v>1482991.4486099998</v>
      </c>
      <c r="E17" s="92">
        <v>1290498.11142</v>
      </c>
      <c r="F17" s="85">
        <v>0.14916204486203366</v>
      </c>
      <c r="G17" s="82"/>
      <c r="I17" s="91">
        <v>116578.15795000001</v>
      </c>
      <c r="J17" s="125"/>
      <c r="K17" s="125"/>
    </row>
    <row r="18" spans="2:11" ht="9" customHeight="1" x14ac:dyDescent="0.45">
      <c r="C18" s="77"/>
      <c r="D18" s="91">
        <v>0</v>
      </c>
      <c r="E18" s="92">
        <v>0</v>
      </c>
      <c r="F18" s="85"/>
      <c r="G18" s="82"/>
      <c r="I18" s="91"/>
      <c r="J18" s="125"/>
      <c r="K18" s="125"/>
    </row>
    <row r="19" spans="2:11" ht="15" thickBot="1" x14ac:dyDescent="0.5">
      <c r="C19" s="97" t="s">
        <v>19</v>
      </c>
      <c r="D19" s="129">
        <v>27191588.89167</v>
      </c>
      <c r="E19" s="130">
        <v>22247263.329690002</v>
      </c>
      <c r="F19" s="131">
        <v>0.22224421443250364</v>
      </c>
      <c r="G19" s="98"/>
      <c r="I19" s="129">
        <v>1641988.2204399994</v>
      </c>
      <c r="J19" s="125"/>
      <c r="K19" s="125"/>
    </row>
    <row r="20" spans="2:11" ht="7.5" customHeight="1" x14ac:dyDescent="0.45">
      <c r="C20" s="77"/>
      <c r="D20" s="91">
        <v>0</v>
      </c>
      <c r="E20" s="92">
        <v>0</v>
      </c>
      <c r="F20" s="85"/>
      <c r="G20" s="82"/>
      <c r="I20" s="91"/>
      <c r="J20" s="125"/>
      <c r="K20" s="125"/>
    </row>
    <row r="21" spans="2:11" x14ac:dyDescent="0.45">
      <c r="B21" s="118" t="s">
        <v>20</v>
      </c>
      <c r="C21" s="77" t="s">
        <v>21</v>
      </c>
      <c r="D21" s="91">
        <v>20326975.375083249</v>
      </c>
      <c r="E21" s="92">
        <v>15337143.4965</v>
      </c>
      <c r="F21" s="85">
        <v>0.32534297405002088</v>
      </c>
      <c r="G21" s="82"/>
      <c r="I21" s="91">
        <v>1146012.71587</v>
      </c>
      <c r="J21" s="125"/>
      <c r="K21" s="125"/>
    </row>
    <row r="22" spans="2:11" x14ac:dyDescent="0.45">
      <c r="B22" s="118" t="s">
        <v>22</v>
      </c>
      <c r="C22" s="77" t="s">
        <v>23</v>
      </c>
      <c r="D22" s="91">
        <v>3424562.0544301895</v>
      </c>
      <c r="E22" s="92">
        <v>1841964.0225</v>
      </c>
      <c r="F22" s="85">
        <v>0.85919052304952914</v>
      </c>
      <c r="G22" s="82"/>
      <c r="I22" s="91">
        <v>244669.39507</v>
      </c>
      <c r="J22" s="125"/>
      <c r="K22" s="125"/>
    </row>
    <row r="23" spans="2:11" ht="7" customHeight="1" x14ac:dyDescent="0.45">
      <c r="C23" s="77"/>
      <c r="D23" s="91">
        <v>0</v>
      </c>
      <c r="E23" s="92">
        <v>0</v>
      </c>
      <c r="F23" s="85"/>
      <c r="G23" s="82"/>
      <c r="I23" s="91"/>
      <c r="J23" s="125"/>
      <c r="K23" s="125"/>
    </row>
    <row r="24" spans="2:11" ht="15" thickBot="1" x14ac:dyDescent="0.5">
      <c r="C24" s="97" t="s">
        <v>24</v>
      </c>
      <c r="D24" s="129">
        <v>16902413.320653059</v>
      </c>
      <c r="E24" s="130">
        <v>13495179.474000001</v>
      </c>
      <c r="F24" s="131">
        <v>0.25247784612405355</v>
      </c>
      <c r="G24" s="98"/>
      <c r="I24" s="129">
        <v>901343.32079999999</v>
      </c>
      <c r="J24" s="125"/>
      <c r="K24" s="125"/>
    </row>
    <row r="25" spans="2:11" ht="8.15" customHeight="1" x14ac:dyDescent="0.45">
      <c r="C25" s="77"/>
      <c r="D25" s="91">
        <v>0</v>
      </c>
      <c r="E25" s="92">
        <v>0</v>
      </c>
      <c r="F25" s="85"/>
      <c r="G25" s="82"/>
      <c r="I25" s="91"/>
      <c r="J25" s="125"/>
      <c r="K25" s="125"/>
    </row>
    <row r="26" spans="2:11" x14ac:dyDescent="0.45">
      <c r="B26" s="132" t="s">
        <v>25</v>
      </c>
      <c r="C26" s="77" t="s">
        <v>25</v>
      </c>
      <c r="D26" s="91">
        <v>5599955.7111749994</v>
      </c>
      <c r="E26" s="92">
        <v>4409699.8182299994</v>
      </c>
      <c r="F26" s="85">
        <v>0.26991766832390751</v>
      </c>
      <c r="G26" s="82"/>
      <c r="I26" s="91">
        <v>411616.28806000005</v>
      </c>
      <c r="J26" s="125"/>
      <c r="K26" s="125"/>
    </row>
    <row r="27" spans="2:11" x14ac:dyDescent="0.45">
      <c r="B27" s="132" t="s">
        <v>26</v>
      </c>
      <c r="C27" s="77" t="s">
        <v>26</v>
      </c>
      <c r="D27" s="91">
        <v>3830102.8551449995</v>
      </c>
      <c r="E27" s="92">
        <v>3517620.4512750003</v>
      </c>
      <c r="F27" s="85">
        <v>8.8833462335806246E-2</v>
      </c>
      <c r="G27" s="82"/>
      <c r="I27" s="91">
        <v>260105.61670999997</v>
      </c>
      <c r="J27" s="125"/>
      <c r="K27" s="125"/>
    </row>
    <row r="28" spans="2:11" ht="9" customHeight="1" x14ac:dyDescent="0.45">
      <c r="C28" s="77"/>
      <c r="D28" s="91">
        <v>0</v>
      </c>
      <c r="E28" s="92">
        <v>0</v>
      </c>
      <c r="F28" s="85"/>
      <c r="G28" s="82"/>
      <c r="I28" s="91"/>
      <c r="J28" s="125"/>
      <c r="K28" s="125"/>
    </row>
    <row r="29" spans="2:11" ht="15" thickBot="1" x14ac:dyDescent="0.5">
      <c r="C29" s="97" t="s">
        <v>27</v>
      </c>
      <c r="D29" s="129">
        <v>859117.00469694333</v>
      </c>
      <c r="E29" s="130">
        <v>824763.58618500317</v>
      </c>
      <c r="F29" s="131">
        <v>4.165244330298834E-2</v>
      </c>
      <c r="G29" s="98"/>
      <c r="I29" s="129">
        <v>68922.994869999355</v>
      </c>
      <c r="J29" s="125"/>
      <c r="K29" s="125"/>
    </row>
    <row r="30" spans="2:11" x14ac:dyDescent="0.45">
      <c r="B30" s="118" t="s">
        <v>28</v>
      </c>
      <c r="C30" s="77" t="s">
        <v>28</v>
      </c>
      <c r="D30" s="91">
        <v>296276.92499999999</v>
      </c>
      <c r="E30" s="92">
        <v>275593.37945999997</v>
      </c>
      <c r="F30" s="85">
        <v>7.5050952169197549E-2</v>
      </c>
      <c r="G30" s="82"/>
      <c r="I30" s="91">
        <v>42900.403009999995</v>
      </c>
      <c r="J30" s="125"/>
      <c r="K30" s="125"/>
    </row>
    <row r="31" spans="2:11" ht="9.65" customHeight="1" x14ac:dyDescent="0.45">
      <c r="C31" s="77"/>
      <c r="D31" s="91">
        <v>0</v>
      </c>
      <c r="E31" s="92">
        <v>0</v>
      </c>
      <c r="F31" s="85"/>
      <c r="G31" s="82"/>
      <c r="I31" s="91"/>
      <c r="J31" s="125"/>
      <c r="K31" s="125"/>
    </row>
    <row r="32" spans="2:11" s="133" customFormat="1" ht="15" thickBot="1" x14ac:dyDescent="0.5">
      <c r="C32" s="107" t="s">
        <v>29</v>
      </c>
      <c r="D32" s="108">
        <v>562840.07969694328</v>
      </c>
      <c r="E32" s="109">
        <v>549170.20672500308</v>
      </c>
      <c r="F32" s="110"/>
      <c r="G32" s="111"/>
      <c r="I32" s="108">
        <v>26022.59185999936</v>
      </c>
      <c r="J32" s="125"/>
      <c r="K32" s="125"/>
    </row>
    <row r="33" spans="3:11" ht="10" customHeight="1" thickTop="1" x14ac:dyDescent="0.45">
      <c r="C33" s="77"/>
      <c r="D33" s="79">
        <v>0</v>
      </c>
      <c r="E33" s="80">
        <v>0</v>
      </c>
      <c r="F33" s="81"/>
      <c r="G33" s="82"/>
      <c r="I33" s="79"/>
      <c r="J33" s="125"/>
      <c r="K33" s="125"/>
    </row>
    <row r="34" spans="3:11" x14ac:dyDescent="0.45">
      <c r="C34" s="77" t="s">
        <v>30</v>
      </c>
      <c r="D34" s="83">
        <v>0</v>
      </c>
      <c r="E34" s="84">
        <v>0</v>
      </c>
      <c r="F34" s="85"/>
      <c r="G34" s="82"/>
      <c r="I34" s="83"/>
      <c r="J34" s="125"/>
      <c r="K34" s="125"/>
    </row>
    <row r="35" spans="3:11" ht="8.5" customHeight="1" x14ac:dyDescent="0.45">
      <c r="C35" s="77"/>
      <c r="D35" s="83">
        <v>0</v>
      </c>
      <c r="E35" s="84">
        <v>0</v>
      </c>
      <c r="F35" s="85"/>
      <c r="G35" s="82"/>
      <c r="I35" s="83"/>
      <c r="J35" s="125"/>
      <c r="K35" s="125"/>
    </row>
    <row r="36" spans="3:11" x14ac:dyDescent="0.45">
      <c r="C36" s="86" t="s">
        <v>31</v>
      </c>
      <c r="D36" s="87">
        <v>0</v>
      </c>
      <c r="E36" s="88">
        <v>0</v>
      </c>
      <c r="F36" s="81"/>
      <c r="G36" s="89"/>
      <c r="I36" s="87"/>
      <c r="J36" s="125"/>
      <c r="K36" s="125"/>
    </row>
    <row r="37" spans="3:11" x14ac:dyDescent="0.45">
      <c r="C37" s="90" t="s">
        <v>32</v>
      </c>
      <c r="D37" s="91">
        <v>128383.12294011784</v>
      </c>
      <c r="E37" s="92">
        <v>20284.559925000001</v>
      </c>
      <c r="F37" s="85">
        <v>5.3291056554739553</v>
      </c>
      <c r="G37" s="93"/>
      <c r="I37" s="91"/>
      <c r="J37" s="125"/>
      <c r="K37" s="125"/>
    </row>
    <row r="38" spans="3:11" x14ac:dyDescent="0.45">
      <c r="C38" s="90" t="s">
        <v>33</v>
      </c>
      <c r="D38" s="94">
        <v>-38514.935450617872</v>
      </c>
      <c r="E38" s="95">
        <v>4417.5063555000006</v>
      </c>
      <c r="F38" s="96">
        <v>-9.7187051587747</v>
      </c>
      <c r="G38" s="93"/>
      <c r="I38" s="94"/>
      <c r="J38" s="125"/>
      <c r="K38" s="125"/>
    </row>
    <row r="39" spans="3:11" ht="9.65" customHeight="1" x14ac:dyDescent="0.45">
      <c r="C39" s="77"/>
      <c r="D39" s="91">
        <v>0</v>
      </c>
      <c r="E39" s="92">
        <v>0</v>
      </c>
      <c r="F39" s="85"/>
      <c r="G39" s="82"/>
      <c r="I39" s="91"/>
      <c r="J39" s="125"/>
      <c r="K39" s="125"/>
    </row>
    <row r="40" spans="3:11" x14ac:dyDescent="0.45">
      <c r="C40" s="97" t="s">
        <v>34</v>
      </c>
      <c r="D40" s="79">
        <v>89868.187489499978</v>
      </c>
      <c r="E40" s="80">
        <v>24702.066280499999</v>
      </c>
      <c r="F40" s="81">
        <v>2.6380838132736537</v>
      </c>
      <c r="G40" s="98"/>
      <c r="I40" s="79">
        <v>0</v>
      </c>
      <c r="J40" s="125"/>
      <c r="K40" s="125"/>
    </row>
    <row r="41" spans="3:11" ht="10" customHeight="1" thickBot="1" x14ac:dyDescent="0.5">
      <c r="C41" s="77"/>
      <c r="D41" s="99">
        <v>0</v>
      </c>
      <c r="E41" s="100">
        <v>0</v>
      </c>
      <c r="F41" s="101"/>
      <c r="G41" s="82"/>
      <c r="I41" s="99"/>
      <c r="J41" s="125"/>
      <c r="K41" s="125"/>
    </row>
    <row r="42" spans="3:11" ht="10.5" customHeight="1" thickTop="1" x14ac:dyDescent="0.45">
      <c r="C42" s="102"/>
      <c r="D42" s="103">
        <v>0</v>
      </c>
      <c r="E42" s="104">
        <v>0</v>
      </c>
      <c r="F42" s="105"/>
      <c r="G42" s="106"/>
      <c r="I42" s="103"/>
      <c r="J42" s="125"/>
      <c r="K42" s="125"/>
    </row>
    <row r="43" spans="3:11" s="133" customFormat="1" ht="15" thickBot="1" x14ac:dyDescent="0.5">
      <c r="C43" s="107" t="s">
        <v>35</v>
      </c>
      <c r="D43" s="108">
        <v>652708.26718644332</v>
      </c>
      <c r="E43" s="109">
        <v>0</v>
      </c>
      <c r="F43" s="110">
        <v>0.13737550651830177</v>
      </c>
      <c r="G43" s="111"/>
      <c r="I43" s="108">
        <v>26022.59185999936</v>
      </c>
      <c r="J43" s="125"/>
      <c r="K43" s="125"/>
    </row>
    <row r="44" spans="3:11" ht="15" thickTop="1" x14ac:dyDescent="0.45">
      <c r="C44" s="112"/>
      <c r="D44" s="113"/>
      <c r="E44" s="114"/>
      <c r="F44" s="115"/>
      <c r="G44" s="116"/>
      <c r="I44" s="113"/>
      <c r="J44" s="1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2E0A-4F89-4F7A-90F0-C90AB4AAF0A5}">
  <sheetPr>
    <tabColor rgb="FF0137A6"/>
  </sheetPr>
  <dimension ref="B1:L49"/>
  <sheetViews>
    <sheetView workbookViewId="0">
      <selection sqref="A1:XFD1048576"/>
    </sheetView>
  </sheetViews>
  <sheetFormatPr defaultRowHeight="17" x14ac:dyDescent="0.5"/>
  <cols>
    <col min="1" max="1" width="2.81640625" style="1" customWidth="1"/>
    <col min="2" max="2" width="26.81640625" style="1" hidden="1" customWidth="1"/>
    <col min="3" max="3" width="54.81640625" style="1" bestFit="1" customWidth="1"/>
    <col min="4" max="4" width="17" style="1" customWidth="1"/>
    <col min="5" max="5" width="15.90625" style="1" bestFit="1" customWidth="1"/>
    <col min="6" max="6" width="14.26953125" style="1" bestFit="1" customWidth="1"/>
    <col min="7" max="7" width="10" style="1" bestFit="1" customWidth="1"/>
    <col min="8" max="8" width="34.81640625" style="1" customWidth="1"/>
    <col min="9" max="9" width="15.26953125" style="1" customWidth="1"/>
    <col min="10" max="11" width="17.453125" style="1" bestFit="1" customWidth="1"/>
    <col min="12" max="16384" width="8.7265625" style="1"/>
  </cols>
  <sheetData>
    <row r="1" spans="2:12" ht="9" customHeight="1" x14ac:dyDescent="0.5"/>
    <row r="2" spans="2:12" x14ac:dyDescent="0.5">
      <c r="C2" s="2" t="s">
        <v>0</v>
      </c>
      <c r="D2" s="3"/>
      <c r="E2" s="3"/>
      <c r="F2" s="3"/>
      <c r="G2" s="3"/>
      <c r="H2" s="4"/>
      <c r="I2" s="3"/>
    </row>
    <row r="3" spans="2:12" x14ac:dyDescent="0.5">
      <c r="C3" s="5" t="s">
        <v>36</v>
      </c>
      <c r="D3" s="6"/>
      <c r="E3" s="6"/>
      <c r="F3" s="6"/>
      <c r="G3" s="6"/>
      <c r="H3" s="7"/>
      <c r="I3" s="6"/>
    </row>
    <row r="4" spans="2:12" x14ac:dyDescent="0.5">
      <c r="C4" s="8" t="s">
        <v>2</v>
      </c>
      <c r="D4" s="9"/>
      <c r="E4" s="9"/>
      <c r="F4" s="9"/>
      <c r="G4" s="9"/>
      <c r="H4" s="10"/>
      <c r="I4" s="9"/>
    </row>
    <row r="5" spans="2:12" ht="27" customHeight="1" x14ac:dyDescent="0.5">
      <c r="C5" s="12" t="s">
        <v>37</v>
      </c>
      <c r="D5" s="13">
        <v>45291</v>
      </c>
      <c r="E5" s="13">
        <v>44926</v>
      </c>
      <c r="F5" s="14" t="s">
        <v>38</v>
      </c>
      <c r="G5" s="14" t="s">
        <v>39</v>
      </c>
      <c r="H5" s="13" t="s">
        <v>6</v>
      </c>
      <c r="I5" s="13">
        <v>44561</v>
      </c>
    </row>
    <row r="6" spans="2:12" x14ac:dyDescent="0.5">
      <c r="C6" s="15" t="s">
        <v>40</v>
      </c>
      <c r="D6" s="16"/>
      <c r="E6" s="17"/>
      <c r="F6" s="18"/>
      <c r="G6" s="117"/>
      <c r="H6" s="17"/>
      <c r="I6" s="16"/>
    </row>
    <row r="7" spans="2:12" x14ac:dyDescent="0.5">
      <c r="B7" s="1" t="s">
        <v>41</v>
      </c>
      <c r="C7" s="19" t="s">
        <v>42</v>
      </c>
      <c r="D7" s="20">
        <v>6300000000</v>
      </c>
      <c r="E7" s="21">
        <v>6300000000</v>
      </c>
      <c r="F7" s="22">
        <v>0</v>
      </c>
      <c r="G7" s="23">
        <v>0</v>
      </c>
      <c r="H7" s="21"/>
      <c r="I7" s="20">
        <v>6300000000</v>
      </c>
    </row>
    <row r="8" spans="2:12" x14ac:dyDescent="0.5">
      <c r="B8" s="1" t="s">
        <v>43</v>
      </c>
      <c r="C8" s="19" t="s">
        <v>44</v>
      </c>
      <c r="D8" s="20">
        <v>1043891784.7049999</v>
      </c>
      <c r="E8" s="21">
        <v>1118419146.7049999</v>
      </c>
      <c r="F8" s="22">
        <v>-74527362</v>
      </c>
      <c r="G8" s="23">
        <v>-6.6636343109438667E-2</v>
      </c>
      <c r="H8" s="21"/>
      <c r="I8" s="20">
        <v>1093717080.4349999</v>
      </c>
    </row>
    <row r="9" spans="2:12" x14ac:dyDescent="0.5">
      <c r="B9" s="1" t="s">
        <v>45</v>
      </c>
      <c r="C9" s="19" t="s">
        <v>45</v>
      </c>
      <c r="D9" s="20">
        <v>4742995089.0419388</v>
      </c>
      <c r="E9" s="21">
        <v>4704434625.3449984</v>
      </c>
      <c r="F9" s="22">
        <v>38560463.696940154</v>
      </c>
      <c r="G9" s="23">
        <v>8.1966201611554101E-3</v>
      </c>
      <c r="H9" s="21"/>
      <c r="I9" s="20">
        <v>4680264418.8300056</v>
      </c>
    </row>
    <row r="10" spans="2:12" x14ac:dyDescent="0.5">
      <c r="B10" s="1" t="s">
        <v>46</v>
      </c>
      <c r="C10" s="19" t="s">
        <v>46</v>
      </c>
      <c r="D10" s="20">
        <v>0</v>
      </c>
      <c r="E10" s="21">
        <v>0</v>
      </c>
      <c r="F10" s="22">
        <v>0</v>
      </c>
      <c r="G10" s="23" t="s">
        <v>47</v>
      </c>
      <c r="H10" s="21"/>
      <c r="I10" s="20">
        <v>0</v>
      </c>
    </row>
    <row r="11" spans="2:12" x14ac:dyDescent="0.5">
      <c r="C11" s="19"/>
      <c r="D11" s="20">
        <v>0</v>
      </c>
      <c r="E11" s="21">
        <v>0</v>
      </c>
      <c r="F11" s="21">
        <v>0</v>
      </c>
      <c r="G11" s="23" t="s">
        <v>47</v>
      </c>
      <c r="H11" s="21"/>
      <c r="I11" s="20">
        <v>0</v>
      </c>
    </row>
    <row r="12" spans="2:12" s="24" customFormat="1" ht="17.5" thickBot="1" x14ac:dyDescent="0.55000000000000004">
      <c r="C12" s="25" t="s">
        <v>48</v>
      </c>
      <c r="D12" s="26">
        <v>12086886873.746941</v>
      </c>
      <c r="E12" s="27">
        <v>12122853772.049999</v>
      </c>
      <c r="F12" s="27">
        <v>-35966898.303059846</v>
      </c>
      <c r="G12" s="28">
        <v>-2.9668672887883663E-3</v>
      </c>
      <c r="H12" s="27"/>
      <c r="I12" s="26">
        <v>12073981499.265005</v>
      </c>
      <c r="J12" s="1"/>
      <c r="K12" s="1"/>
      <c r="L12" s="1"/>
    </row>
    <row r="13" spans="2:12" ht="6" customHeight="1" thickTop="1" x14ac:dyDescent="0.5">
      <c r="C13" s="19"/>
      <c r="D13" s="20">
        <v>0</v>
      </c>
      <c r="E13" s="21">
        <v>0</v>
      </c>
      <c r="F13" s="21">
        <v>0</v>
      </c>
      <c r="G13" s="23" t="s">
        <v>47</v>
      </c>
      <c r="H13" s="21"/>
      <c r="I13" s="20">
        <v>0</v>
      </c>
    </row>
    <row r="14" spans="2:12" x14ac:dyDescent="0.5">
      <c r="C14" s="29" t="s">
        <v>49</v>
      </c>
      <c r="D14" s="20">
        <v>0</v>
      </c>
      <c r="E14" s="21">
        <v>0</v>
      </c>
      <c r="F14" s="22">
        <v>0</v>
      </c>
      <c r="G14" s="23" t="s">
        <v>47</v>
      </c>
      <c r="H14" s="21"/>
      <c r="I14" s="20">
        <v>0</v>
      </c>
    </row>
    <row r="15" spans="2:12" x14ac:dyDescent="0.5">
      <c r="C15" s="29" t="s">
        <v>50</v>
      </c>
      <c r="D15" s="30">
        <v>0</v>
      </c>
      <c r="E15" s="31">
        <v>0</v>
      </c>
      <c r="F15" s="32">
        <v>0</v>
      </c>
      <c r="G15" s="33" t="s">
        <v>47</v>
      </c>
      <c r="H15" s="31"/>
      <c r="I15" s="30">
        <v>0</v>
      </c>
    </row>
    <row r="16" spans="2:12" x14ac:dyDescent="0.5">
      <c r="B16" s="1" t="s">
        <v>51</v>
      </c>
      <c r="C16" s="19" t="s">
        <v>51</v>
      </c>
      <c r="D16" s="20">
        <v>2431460608.395</v>
      </c>
      <c r="E16" s="21">
        <v>2321724330.7649999</v>
      </c>
      <c r="F16" s="22">
        <v>109736277.63000034</v>
      </c>
      <c r="G16" s="23">
        <v>4.7264990152316111E-2</v>
      </c>
      <c r="H16" s="21"/>
      <c r="I16" s="20">
        <v>2311443153.1799998</v>
      </c>
    </row>
    <row r="17" spans="2:9" x14ac:dyDescent="0.5">
      <c r="B17" s="1" t="s">
        <v>52</v>
      </c>
      <c r="C17" s="19" t="s">
        <v>52</v>
      </c>
      <c r="D17" s="20">
        <v>190471607.02500001</v>
      </c>
      <c r="E17" s="21">
        <v>263540715.16499999</v>
      </c>
      <c r="F17" s="22">
        <v>-73069108.140000001</v>
      </c>
      <c r="G17" s="23">
        <v>-0.2772592769745359</v>
      </c>
      <c r="H17" s="21"/>
      <c r="I17" s="20">
        <v>284798943.13499999</v>
      </c>
    </row>
    <row r="18" spans="2:9" x14ac:dyDescent="0.5">
      <c r="B18" s="1" t="s">
        <v>53</v>
      </c>
      <c r="C18" s="19" t="s">
        <v>53</v>
      </c>
      <c r="D18" s="20">
        <v>186277771.68000001</v>
      </c>
      <c r="E18" s="21">
        <v>120053063.13000001</v>
      </c>
      <c r="F18" s="22">
        <v>66224708.549999997</v>
      </c>
      <c r="G18" s="23">
        <v>0.55162864506246101</v>
      </c>
      <c r="H18" s="21"/>
      <c r="I18" s="20">
        <v>132963618.375</v>
      </c>
    </row>
    <row r="19" spans="2:9" x14ac:dyDescent="0.5">
      <c r="B19" s="1" t="s">
        <v>54</v>
      </c>
      <c r="C19" s="19" t="s">
        <v>55</v>
      </c>
      <c r="D19" s="20">
        <v>10506002674.23</v>
      </c>
      <c r="E19" s="21">
        <v>10033964873.73</v>
      </c>
      <c r="F19" s="22">
        <v>472037800.5</v>
      </c>
      <c r="G19" s="23">
        <v>4.7043995712586772E-2</v>
      </c>
      <c r="H19" s="21"/>
      <c r="I19" s="20">
        <v>10122315000.84</v>
      </c>
    </row>
    <row r="20" spans="2:9" x14ac:dyDescent="0.5">
      <c r="B20" s="1" t="s">
        <v>56</v>
      </c>
      <c r="C20" s="19" t="s">
        <v>57</v>
      </c>
      <c r="D20" s="20">
        <v>128314176.58499999</v>
      </c>
      <c r="E20" s="21">
        <v>131146699.63499999</v>
      </c>
      <c r="F20" s="22">
        <v>-2832523.0499999961</v>
      </c>
      <c r="G20" s="23">
        <v>-2.1598126814348473E-2</v>
      </c>
      <c r="H20" s="21"/>
      <c r="I20" s="20">
        <v>134058737.50500001</v>
      </c>
    </row>
    <row r="21" spans="2:9" x14ac:dyDescent="0.5">
      <c r="B21" s="1" t="s">
        <v>58</v>
      </c>
      <c r="C21" s="19" t="s">
        <v>59</v>
      </c>
      <c r="D21" s="20">
        <v>434.7</v>
      </c>
      <c r="E21" s="21">
        <v>29205659.699999999</v>
      </c>
      <c r="F21" s="22">
        <v>-29205225</v>
      </c>
      <c r="G21" s="23">
        <v>-0.99998511589861472</v>
      </c>
      <c r="H21" s="21"/>
      <c r="I21" s="20">
        <v>497070962.84999996</v>
      </c>
    </row>
    <row r="22" spans="2:9" x14ac:dyDescent="0.5">
      <c r="B22" s="1" t="s">
        <v>60</v>
      </c>
      <c r="C22" s="19" t="s">
        <v>60</v>
      </c>
      <c r="D22" s="20">
        <v>34673826.18</v>
      </c>
      <c r="E22" s="21">
        <v>60477027.659999996</v>
      </c>
      <c r="F22" s="22">
        <v>-25803201.479999997</v>
      </c>
      <c r="G22" s="23">
        <v>-0.42666120473156866</v>
      </c>
      <c r="H22" s="21"/>
      <c r="I22" s="20">
        <v>79639071.644999996</v>
      </c>
    </row>
    <row r="23" spans="2:9" x14ac:dyDescent="0.5">
      <c r="B23" s="1" t="s">
        <v>61</v>
      </c>
      <c r="C23" s="19" t="s">
        <v>62</v>
      </c>
      <c r="D23" s="20">
        <v>753629401.875</v>
      </c>
      <c r="E23" s="21">
        <v>441818324.53500003</v>
      </c>
      <c r="F23" s="22">
        <v>311811077.33999997</v>
      </c>
      <c r="G23" s="23">
        <v>0.70574500880689239</v>
      </c>
      <c r="H23" s="21"/>
      <c r="I23" s="20">
        <v>583289116.51499999</v>
      </c>
    </row>
    <row r="24" spans="2:9" x14ac:dyDescent="0.5">
      <c r="B24" s="1" t="s">
        <v>63</v>
      </c>
      <c r="C24" s="19" t="s">
        <v>64</v>
      </c>
      <c r="D24" s="20">
        <v>2492260476.6150007</v>
      </c>
      <c r="E24" s="21">
        <v>2892914138.0999994</v>
      </c>
      <c r="F24" s="22">
        <v>-400653661.4849987</v>
      </c>
      <c r="G24" s="23">
        <v>-0.13849483336140045</v>
      </c>
      <c r="H24" s="21"/>
      <c r="I24" s="20">
        <v>1133808474.9599996</v>
      </c>
    </row>
    <row r="25" spans="2:9" x14ac:dyDescent="0.5">
      <c r="B25" s="1" t="s">
        <v>65</v>
      </c>
      <c r="C25" s="19" t="s">
        <v>66</v>
      </c>
      <c r="D25" s="20">
        <v>7972891789.3651905</v>
      </c>
      <c r="E25" s="21">
        <v>6667073616.5250006</v>
      </c>
      <c r="F25" s="22">
        <v>1305818172.8401899</v>
      </c>
      <c r="G25" s="23">
        <v>0.19586077009913172</v>
      </c>
      <c r="H25" s="21"/>
      <c r="I25" s="20">
        <v>6081002658.7799997</v>
      </c>
    </row>
    <row r="26" spans="2:9" x14ac:dyDescent="0.5">
      <c r="B26" s="1" t="s">
        <v>67</v>
      </c>
      <c r="C26" s="19" t="s">
        <v>68</v>
      </c>
      <c r="D26" s="20">
        <v>241287496.48500001</v>
      </c>
      <c r="E26" s="21">
        <v>378270580.48500001</v>
      </c>
      <c r="F26" s="22">
        <v>-136983084</v>
      </c>
      <c r="G26" s="35">
        <v>-0.36212989078972779</v>
      </c>
      <c r="H26" s="21"/>
      <c r="I26" s="20">
        <v>288613329.26999998</v>
      </c>
    </row>
    <row r="27" spans="2:9" x14ac:dyDescent="0.5">
      <c r="B27" s="1" t="s">
        <v>69</v>
      </c>
      <c r="C27" s="19" t="s">
        <v>70</v>
      </c>
      <c r="D27" s="20">
        <v>169385312.66999999</v>
      </c>
      <c r="E27" s="21">
        <v>413014282.17000002</v>
      </c>
      <c r="F27" s="22">
        <v>-243628969.5</v>
      </c>
      <c r="G27" s="35">
        <v>-0.58988025358338669</v>
      </c>
      <c r="H27" s="21"/>
      <c r="I27" s="20">
        <v>612536959.86000001</v>
      </c>
    </row>
    <row r="28" spans="2:9" x14ac:dyDescent="0.5">
      <c r="B28" s="1" t="s">
        <v>71</v>
      </c>
      <c r="C28" s="19" t="s">
        <v>72</v>
      </c>
      <c r="D28" s="20">
        <v>266398951.45500001</v>
      </c>
      <c r="E28" s="21">
        <v>467377019.12999994</v>
      </c>
      <c r="F28" s="22">
        <v>-200978067.67499995</v>
      </c>
      <c r="G28" s="35">
        <v>-0.43001272944294744</v>
      </c>
      <c r="H28" s="21"/>
      <c r="I28" s="20">
        <v>454046333.16000003</v>
      </c>
    </row>
    <row r="29" spans="2:9" x14ac:dyDescent="0.5">
      <c r="B29" s="1" t="s">
        <v>73</v>
      </c>
      <c r="C29" s="19" t="s">
        <v>74</v>
      </c>
      <c r="D29" s="20">
        <v>866065191.80999994</v>
      </c>
      <c r="E29" s="21">
        <v>963762668.19000006</v>
      </c>
      <c r="F29" s="22">
        <v>-97697476.380000025</v>
      </c>
      <c r="G29" s="35">
        <v>-0.10137088684238138</v>
      </c>
      <c r="H29" s="21"/>
      <c r="I29" s="20">
        <v>581111020.76999986</v>
      </c>
    </row>
    <row r="30" spans="2:9" x14ac:dyDescent="0.5">
      <c r="B30" s="1" t="s">
        <v>75</v>
      </c>
      <c r="C30" s="19" t="s">
        <v>76</v>
      </c>
      <c r="D30" s="20">
        <v>11057397935.115</v>
      </c>
      <c r="E30" s="21">
        <v>9834034226.1000004</v>
      </c>
      <c r="F30" s="22">
        <v>1223363709.0149994</v>
      </c>
      <c r="G30" s="35">
        <v>0.1244010017545123</v>
      </c>
      <c r="H30" s="21"/>
      <c r="I30" s="20">
        <v>6031010110.7549992</v>
      </c>
    </row>
    <row r="31" spans="2:9" x14ac:dyDescent="0.5">
      <c r="B31" s="1" t="s">
        <v>77</v>
      </c>
      <c r="C31" s="19" t="s">
        <v>78</v>
      </c>
      <c r="D31" s="20">
        <v>6882568046.3400002</v>
      </c>
      <c r="E31" s="21">
        <v>6994572679.8149996</v>
      </c>
      <c r="F31" s="22">
        <v>-112004633.47499925</v>
      </c>
      <c r="G31" s="35">
        <v>-1.6013077367574291E-2</v>
      </c>
      <c r="H31" s="21"/>
      <c r="I31" s="20">
        <v>6269180677.3049994</v>
      </c>
    </row>
    <row r="32" spans="2:9" x14ac:dyDescent="0.5">
      <c r="B32" s="1" t="s">
        <v>79</v>
      </c>
      <c r="C32" s="19" t="s">
        <v>80</v>
      </c>
      <c r="D32" s="20">
        <v>4587819884.3400002</v>
      </c>
      <c r="E32" s="21">
        <v>2659284709.1999998</v>
      </c>
      <c r="F32" s="22">
        <v>1928535175.1400001</v>
      </c>
      <c r="G32" s="35">
        <v>0.72520823681198343</v>
      </c>
      <c r="H32" s="21"/>
      <c r="I32" s="20">
        <v>2222801678.1599998</v>
      </c>
    </row>
    <row r="33" spans="2:12" x14ac:dyDescent="0.5">
      <c r="B33" s="1" t="s">
        <v>81</v>
      </c>
      <c r="C33" s="19" t="s">
        <v>82</v>
      </c>
      <c r="D33" s="20">
        <v>1130477606.0550001</v>
      </c>
      <c r="E33" s="21">
        <v>1817053867.9650002</v>
      </c>
      <c r="F33" s="22">
        <v>-686576261.91000021</v>
      </c>
      <c r="G33" s="35">
        <v>-0.37785135268385173</v>
      </c>
      <c r="H33" s="21"/>
      <c r="I33" s="20">
        <v>2566477289.145</v>
      </c>
    </row>
    <row r="34" spans="2:12" x14ac:dyDescent="0.5">
      <c r="C34" s="19"/>
      <c r="D34" s="20">
        <v>0</v>
      </c>
      <c r="E34" s="21">
        <v>0</v>
      </c>
      <c r="F34" s="22">
        <v>0</v>
      </c>
      <c r="G34" s="23" t="s">
        <v>47</v>
      </c>
      <c r="H34" s="21"/>
      <c r="I34" s="20">
        <v>0</v>
      </c>
    </row>
    <row r="35" spans="2:12" x14ac:dyDescent="0.5">
      <c r="C35" s="29" t="s">
        <v>83</v>
      </c>
      <c r="D35" s="30">
        <v>49897383190.920197</v>
      </c>
      <c r="E35" s="31">
        <v>46489288482.000008</v>
      </c>
      <c r="F35" s="32">
        <v>3408094708.9201922</v>
      </c>
      <c r="G35" s="33">
        <v>7.3309246499647873E-2</v>
      </c>
      <c r="H35" s="31"/>
      <c r="I35" s="30">
        <v>40386167136.209991</v>
      </c>
    </row>
    <row r="36" spans="2:12" x14ac:dyDescent="0.5">
      <c r="C36" s="19"/>
      <c r="D36" s="20">
        <v>0</v>
      </c>
      <c r="E36" s="21">
        <v>0</v>
      </c>
      <c r="F36" s="22">
        <v>0</v>
      </c>
      <c r="G36" s="23" t="s">
        <v>47</v>
      </c>
      <c r="H36" s="21"/>
      <c r="I36" s="20">
        <v>0</v>
      </c>
    </row>
    <row r="37" spans="2:12" x14ac:dyDescent="0.5">
      <c r="C37" s="29" t="s">
        <v>84</v>
      </c>
      <c r="D37" s="30">
        <v>0</v>
      </c>
      <c r="E37" s="31">
        <v>0</v>
      </c>
      <c r="F37" s="32">
        <v>0</v>
      </c>
      <c r="G37" s="33" t="s">
        <v>47</v>
      </c>
      <c r="H37" s="31"/>
      <c r="I37" s="30">
        <v>0</v>
      </c>
    </row>
    <row r="38" spans="2:12" x14ac:dyDescent="0.5">
      <c r="B38" s="1" t="s">
        <v>85</v>
      </c>
      <c r="C38" s="19" t="s">
        <v>86</v>
      </c>
      <c r="D38" s="34">
        <v>24394178699.148243</v>
      </c>
      <c r="E38" s="21">
        <v>21658295546.264999</v>
      </c>
      <c r="F38" s="22">
        <v>2735883152.8832426</v>
      </c>
      <c r="G38" s="35">
        <v>0.12632033518238006</v>
      </c>
      <c r="H38" s="21"/>
      <c r="I38" s="20">
        <v>18616212629.489998</v>
      </c>
    </row>
    <row r="39" spans="2:12" x14ac:dyDescent="0.5">
      <c r="B39" s="1" t="s">
        <v>87</v>
      </c>
      <c r="C39" s="19" t="s">
        <v>88</v>
      </c>
      <c r="D39" s="34">
        <v>12552165038.384998</v>
      </c>
      <c r="E39" s="21">
        <v>11517670071.705</v>
      </c>
      <c r="F39" s="22">
        <v>1034494966.6799984</v>
      </c>
      <c r="G39" s="35">
        <v>8.9818076072642583E-2</v>
      </c>
      <c r="H39" s="21"/>
      <c r="I39" s="20">
        <v>7925602026.5100002</v>
      </c>
    </row>
    <row r="40" spans="2:12" x14ac:dyDescent="0.5">
      <c r="B40" s="1" t="s">
        <v>89</v>
      </c>
      <c r="C40" s="19" t="s">
        <v>90</v>
      </c>
      <c r="D40" s="34">
        <v>12006255.764999997</v>
      </c>
      <c r="E40" s="21">
        <v>131001466.26000001</v>
      </c>
      <c r="F40" s="22">
        <v>-118995210.49500002</v>
      </c>
      <c r="G40" s="35">
        <v>-0.9083502184535015</v>
      </c>
      <c r="H40" s="21"/>
      <c r="I40" s="20">
        <v>348168292.71000004</v>
      </c>
    </row>
    <row r="41" spans="2:12" x14ac:dyDescent="0.5">
      <c r="B41" s="1" t="s">
        <v>91</v>
      </c>
      <c r="C41" s="19" t="s">
        <v>91</v>
      </c>
      <c r="D41" s="20">
        <v>228492810.41999999</v>
      </c>
      <c r="E41" s="21">
        <v>296464324.58999997</v>
      </c>
      <c r="F41" s="22">
        <v>-67971514.169999987</v>
      </c>
      <c r="G41" s="23">
        <v>-0.22927384016273211</v>
      </c>
      <c r="H41" s="21"/>
      <c r="I41" s="20">
        <v>327951293.45999998</v>
      </c>
    </row>
    <row r="42" spans="2:12" x14ac:dyDescent="0.5">
      <c r="B42" s="1" t="s">
        <v>92</v>
      </c>
      <c r="C42" s="19" t="s">
        <v>92</v>
      </c>
      <c r="D42" s="34">
        <v>623653513.245</v>
      </c>
      <c r="E42" s="21">
        <v>763003301.23499978</v>
      </c>
      <c r="F42" s="22">
        <v>-139349787.98999971</v>
      </c>
      <c r="G42" s="23">
        <v>-0.18263327008473973</v>
      </c>
      <c r="H42" s="21"/>
      <c r="I42" s="20">
        <v>1094251394.6699998</v>
      </c>
    </row>
    <row r="43" spans="2:12" x14ac:dyDescent="0.5">
      <c r="C43" s="19"/>
      <c r="D43" s="20">
        <v>0</v>
      </c>
      <c r="E43" s="21">
        <v>0</v>
      </c>
      <c r="F43" s="22">
        <v>0</v>
      </c>
      <c r="G43" s="23" t="s">
        <v>47</v>
      </c>
      <c r="H43" s="21"/>
      <c r="I43" s="20">
        <v>0</v>
      </c>
    </row>
    <row r="44" spans="2:12" ht="4.5" customHeight="1" x14ac:dyDescent="0.5">
      <c r="C44" s="19"/>
      <c r="D44" s="20">
        <v>0</v>
      </c>
      <c r="E44" s="21">
        <v>0</v>
      </c>
      <c r="F44" s="22">
        <v>0</v>
      </c>
      <c r="G44" s="23" t="s">
        <v>47</v>
      </c>
      <c r="H44" s="21"/>
      <c r="I44" s="20">
        <v>0</v>
      </c>
    </row>
    <row r="45" spans="2:12" x14ac:dyDescent="0.5">
      <c r="C45" s="29" t="s">
        <v>93</v>
      </c>
      <c r="D45" s="30">
        <v>37810496316.963242</v>
      </c>
      <c r="E45" s="31">
        <v>34366434710.055</v>
      </c>
      <c r="F45" s="32">
        <v>3444061606.9082408</v>
      </c>
      <c r="G45" s="33">
        <v>0.10021585410198419</v>
      </c>
      <c r="H45" s="31"/>
      <c r="I45" s="30">
        <v>28312185636.84</v>
      </c>
    </row>
    <row r="46" spans="2:12" ht="5.5" customHeight="1" x14ac:dyDescent="0.5">
      <c r="C46" s="19"/>
      <c r="D46" s="20">
        <v>0</v>
      </c>
      <c r="E46" s="21">
        <v>0</v>
      </c>
      <c r="F46" s="22">
        <v>0</v>
      </c>
      <c r="G46" s="23" t="s">
        <v>47</v>
      </c>
      <c r="H46" s="21"/>
      <c r="I46" s="20">
        <v>0</v>
      </c>
    </row>
    <row r="47" spans="2:12" s="24" customFormat="1" ht="17.5" thickBot="1" x14ac:dyDescent="0.55000000000000004">
      <c r="C47" s="25" t="s">
        <v>94</v>
      </c>
      <c r="D47" s="26">
        <v>12086886873.956951</v>
      </c>
      <c r="E47" s="27">
        <v>12122853771.945007</v>
      </c>
      <c r="F47" s="27">
        <v>-35966897.988048881</v>
      </c>
      <c r="G47" s="28">
        <v>-2.9668672628296866E-3</v>
      </c>
      <c r="H47" s="27"/>
      <c r="I47" s="26">
        <v>12073981499.369995</v>
      </c>
      <c r="J47" s="1"/>
      <c r="K47" s="1"/>
      <c r="L47" s="1"/>
    </row>
    <row r="48" spans="2:12" ht="4" customHeight="1" thickTop="1" x14ac:dyDescent="0.5">
      <c r="C48" s="19"/>
      <c r="D48" s="37"/>
      <c r="E48" s="38"/>
      <c r="F48" s="38"/>
      <c r="G48" s="38"/>
      <c r="H48" s="38"/>
      <c r="I48" s="37">
        <v>0</v>
      </c>
    </row>
    <row r="49" spans="3:9" x14ac:dyDescent="0.5">
      <c r="C49" s="39" t="s">
        <v>95</v>
      </c>
      <c r="D49" s="40">
        <v>2.000117301940918E-2</v>
      </c>
      <c r="E49" s="41">
        <v>-9.9992752075195313E-3</v>
      </c>
      <c r="F49" s="41">
        <v>3.0001044273376465E-2</v>
      </c>
      <c r="G49" s="41"/>
      <c r="H49" s="41"/>
      <c r="I49" s="40">
        <v>0.10498988628387451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5B0F-E914-4901-BE8B-3034D2B0D83D}">
  <sheetPr>
    <tabColor rgb="FF0070C0"/>
  </sheetPr>
  <dimension ref="B2:N60"/>
  <sheetViews>
    <sheetView zoomScale="80" zoomScaleNormal="80" workbookViewId="0">
      <selection sqref="A1:XFD1048576"/>
    </sheetView>
  </sheetViews>
  <sheetFormatPr defaultRowHeight="17" x14ac:dyDescent="0.5"/>
  <cols>
    <col min="1" max="1" width="2.81640625" style="1" customWidth="1"/>
    <col min="2" max="2" width="31.26953125" style="1" customWidth="1"/>
    <col min="3" max="3" width="54.54296875" style="1" bestFit="1" customWidth="1"/>
    <col min="4" max="4" width="16.26953125" style="1" customWidth="1"/>
    <col min="5" max="5" width="16.26953125" style="1" bestFit="1" customWidth="1"/>
    <col min="6" max="6" width="15" style="1" bestFit="1" customWidth="1"/>
    <col min="7" max="7" width="13.6328125" style="1" bestFit="1" customWidth="1"/>
    <col min="8" max="8" width="31" style="1" customWidth="1"/>
    <col min="9" max="9" width="16.26953125" style="1" bestFit="1" customWidth="1"/>
    <col min="10" max="10" width="15.26953125" style="1" bestFit="1" customWidth="1"/>
    <col min="11" max="11" width="8.7265625" style="1"/>
    <col min="12" max="12" width="13.453125" style="1" bestFit="1" customWidth="1"/>
    <col min="13" max="13" width="12" style="1" bestFit="1" customWidth="1"/>
    <col min="14" max="16384" width="8.7265625" style="1"/>
  </cols>
  <sheetData>
    <row r="2" spans="2:14" x14ac:dyDescent="0.5">
      <c r="C2" s="2" t="s">
        <v>0</v>
      </c>
      <c r="D2" s="3"/>
      <c r="E2" s="3"/>
      <c r="F2" s="3"/>
      <c r="G2" s="3"/>
      <c r="H2" s="4"/>
      <c r="I2" s="3"/>
      <c r="J2" s="3"/>
    </row>
    <row r="3" spans="2:14" x14ac:dyDescent="0.5">
      <c r="C3" s="5" t="s">
        <v>36</v>
      </c>
      <c r="D3" s="6"/>
      <c r="E3" s="6"/>
      <c r="F3" s="6"/>
      <c r="G3" s="6"/>
      <c r="H3" s="7"/>
      <c r="I3" s="6"/>
      <c r="J3" s="6"/>
    </row>
    <row r="4" spans="2:14" x14ac:dyDescent="0.5">
      <c r="C4" s="8" t="s">
        <v>2</v>
      </c>
      <c r="D4" s="9"/>
      <c r="E4" s="9"/>
      <c r="F4" s="9"/>
      <c r="G4" s="9"/>
      <c r="H4" s="10"/>
      <c r="I4" s="9"/>
      <c r="J4" s="9"/>
    </row>
    <row r="5" spans="2:14" x14ac:dyDescent="0.5">
      <c r="B5" s="11" t="s">
        <v>96</v>
      </c>
      <c r="C5" s="12"/>
      <c r="D5" s="13">
        <v>45291</v>
      </c>
      <c r="E5" s="13">
        <v>44926</v>
      </c>
      <c r="F5" s="14" t="s">
        <v>38</v>
      </c>
      <c r="G5" s="14" t="s">
        <v>39</v>
      </c>
      <c r="H5" s="13" t="s">
        <v>6</v>
      </c>
      <c r="I5" s="13">
        <v>44561</v>
      </c>
      <c r="J5" s="14" t="s">
        <v>38</v>
      </c>
    </row>
    <row r="6" spans="2:14" x14ac:dyDescent="0.5">
      <c r="C6" s="15" t="s">
        <v>40</v>
      </c>
      <c r="D6" s="16"/>
      <c r="E6" s="17"/>
      <c r="F6" s="18"/>
      <c r="G6" s="17"/>
      <c r="H6" s="17"/>
      <c r="I6" s="16"/>
      <c r="J6" s="18"/>
    </row>
    <row r="7" spans="2:14" x14ac:dyDescent="0.5">
      <c r="B7" s="1" t="s">
        <v>41</v>
      </c>
      <c r="C7" s="19" t="s">
        <v>42</v>
      </c>
      <c r="D7" s="20">
        <v>6300000000</v>
      </c>
      <c r="E7" s="21">
        <v>6300000000</v>
      </c>
      <c r="F7" s="22">
        <v>0</v>
      </c>
      <c r="G7" s="23">
        <v>0</v>
      </c>
      <c r="H7" s="21"/>
      <c r="I7" s="20">
        <v>6300000000</v>
      </c>
      <c r="J7" s="22">
        <v>0</v>
      </c>
    </row>
    <row r="8" spans="2:14" x14ac:dyDescent="0.5">
      <c r="B8" s="1" t="s">
        <v>43</v>
      </c>
      <c r="C8" s="19" t="s">
        <v>44</v>
      </c>
      <c r="D8" s="20">
        <v>1043891784.7049999</v>
      </c>
      <c r="E8" s="21">
        <v>1118419146.7049999</v>
      </c>
      <c r="F8" s="22">
        <v>-74527362</v>
      </c>
      <c r="G8" s="23">
        <v>-6.6636343109438667E-2</v>
      </c>
      <c r="H8" s="21"/>
      <c r="I8" s="20">
        <v>1093717080.4349999</v>
      </c>
      <c r="J8" s="22">
        <v>24702066.269999944</v>
      </c>
    </row>
    <row r="9" spans="2:14" x14ac:dyDescent="0.5">
      <c r="B9" s="1" t="s">
        <v>45</v>
      </c>
      <c r="C9" s="19" t="s">
        <v>45</v>
      </c>
      <c r="D9" s="20">
        <v>4111348046.9654512</v>
      </c>
      <c r="E9" s="21">
        <v>2751674073.7506232</v>
      </c>
      <c r="F9" s="22">
        <v>1359673973.214828</v>
      </c>
      <c r="G9" s="23">
        <v>0.49412609806711116</v>
      </c>
      <c r="H9" s="21"/>
      <c r="I9" s="20">
        <v>3012914586.920917</v>
      </c>
      <c r="J9" s="22">
        <v>-261240513.17029354</v>
      </c>
    </row>
    <row r="10" spans="2:14" x14ac:dyDescent="0.5">
      <c r="B10" s="1" t="s">
        <v>46</v>
      </c>
      <c r="C10" s="19" t="s">
        <v>46</v>
      </c>
      <c r="D10" s="20">
        <v>0</v>
      </c>
      <c r="E10" s="21">
        <v>0</v>
      </c>
      <c r="F10" s="22">
        <v>0</v>
      </c>
      <c r="G10" s="23" t="s">
        <v>47</v>
      </c>
      <c r="H10" s="21"/>
      <c r="I10" s="20">
        <v>0</v>
      </c>
      <c r="J10" s="22">
        <v>0</v>
      </c>
    </row>
    <row r="11" spans="2:14" x14ac:dyDescent="0.5">
      <c r="C11" s="19"/>
      <c r="D11" s="20">
        <v>0</v>
      </c>
      <c r="E11" s="21">
        <v>0</v>
      </c>
      <c r="F11" s="22">
        <v>0</v>
      </c>
      <c r="G11" s="23" t="s">
        <v>47</v>
      </c>
      <c r="H11" s="21"/>
      <c r="I11" s="20">
        <v>0</v>
      </c>
      <c r="J11" s="22">
        <v>0</v>
      </c>
    </row>
    <row r="12" spans="2:14" s="24" customFormat="1" ht="17.5" thickBot="1" x14ac:dyDescent="0.55000000000000004">
      <c r="C12" s="25" t="s">
        <v>48</v>
      </c>
      <c r="D12" s="26">
        <v>11455239831.670452</v>
      </c>
      <c r="E12" s="27">
        <v>10170093220.455624</v>
      </c>
      <c r="F12" s="27">
        <v>1285146611.214828</v>
      </c>
      <c r="G12" s="28">
        <v>0.12636527348932725</v>
      </c>
      <c r="H12" s="27"/>
      <c r="I12" s="26">
        <v>10406631667.355917</v>
      </c>
      <c r="J12" s="27">
        <v>-236538446.90029359</v>
      </c>
      <c r="L12" s="1"/>
      <c r="M12" s="1"/>
      <c r="N12" s="1"/>
    </row>
    <row r="13" spans="2:14" ht="17.5" thickTop="1" x14ac:dyDescent="0.5">
      <c r="C13" s="19"/>
      <c r="D13" s="20">
        <v>0</v>
      </c>
      <c r="E13" s="21">
        <v>0</v>
      </c>
      <c r="F13" s="22">
        <v>0</v>
      </c>
      <c r="G13" s="23" t="s">
        <v>47</v>
      </c>
      <c r="H13" s="21"/>
      <c r="I13" s="20">
        <v>0</v>
      </c>
      <c r="J13" s="22">
        <v>0</v>
      </c>
    </row>
    <row r="14" spans="2:14" x14ac:dyDescent="0.5">
      <c r="C14" s="29" t="s">
        <v>49</v>
      </c>
      <c r="D14" s="20">
        <v>0</v>
      </c>
      <c r="E14" s="21">
        <v>0</v>
      </c>
      <c r="F14" s="22">
        <v>0</v>
      </c>
      <c r="G14" s="23" t="s">
        <v>47</v>
      </c>
      <c r="H14" s="21"/>
      <c r="I14" s="20">
        <v>0</v>
      </c>
      <c r="J14" s="22">
        <v>0</v>
      </c>
    </row>
    <row r="15" spans="2:14" x14ac:dyDescent="0.5">
      <c r="C15" s="29" t="s">
        <v>50</v>
      </c>
      <c r="D15" s="30">
        <v>0</v>
      </c>
      <c r="E15" s="31">
        <v>0</v>
      </c>
      <c r="F15" s="32">
        <v>0</v>
      </c>
      <c r="G15" s="33" t="s">
        <v>47</v>
      </c>
      <c r="H15" s="31"/>
      <c r="I15" s="30">
        <v>0</v>
      </c>
      <c r="J15" s="32">
        <v>0</v>
      </c>
    </row>
    <row r="16" spans="2:14" x14ac:dyDescent="0.5">
      <c r="B16" s="1" t="s">
        <v>51</v>
      </c>
      <c r="C16" s="19" t="s">
        <v>51</v>
      </c>
      <c r="D16" s="20">
        <v>2431460608.395</v>
      </c>
      <c r="E16" s="21">
        <v>2321724330.7649999</v>
      </c>
      <c r="F16" s="22">
        <v>109736277.63000034</v>
      </c>
      <c r="G16" s="23">
        <v>4.7264990152316111E-2</v>
      </c>
      <c r="H16" s="21"/>
      <c r="I16" s="20">
        <v>2311443153.1799998</v>
      </c>
      <c r="J16" s="22">
        <v>10281177.5849998</v>
      </c>
    </row>
    <row r="17" spans="2:10" x14ac:dyDescent="0.5">
      <c r="B17" s="1" t="s">
        <v>52</v>
      </c>
      <c r="C17" s="19" t="s">
        <v>52</v>
      </c>
      <c r="D17" s="20">
        <v>190471607.02500001</v>
      </c>
      <c r="E17" s="21">
        <v>263540715.16499999</v>
      </c>
      <c r="F17" s="22">
        <v>-73069108.140000001</v>
      </c>
      <c r="G17" s="23">
        <v>-0.2772592769745359</v>
      </c>
      <c r="H17" s="21"/>
      <c r="I17" s="20">
        <v>284798943.13499999</v>
      </c>
      <c r="J17" s="22">
        <v>-21258227.970000006</v>
      </c>
    </row>
    <row r="18" spans="2:10" x14ac:dyDescent="0.5">
      <c r="B18" s="1" t="s">
        <v>53</v>
      </c>
      <c r="C18" s="19" t="s">
        <v>53</v>
      </c>
      <c r="D18" s="20">
        <v>186277771.68000001</v>
      </c>
      <c r="E18" s="21">
        <v>120053063.13000001</v>
      </c>
      <c r="F18" s="22">
        <v>66224708.549999997</v>
      </c>
      <c r="G18" s="23">
        <v>0.55162864506246101</v>
      </c>
      <c r="H18" s="21"/>
      <c r="I18" s="20">
        <v>132963618.375</v>
      </c>
      <c r="J18" s="22">
        <v>-12910555.244999994</v>
      </c>
    </row>
    <row r="19" spans="2:10" x14ac:dyDescent="0.5">
      <c r="B19" s="1" t="s">
        <v>54</v>
      </c>
      <c r="C19" s="19" t="s">
        <v>55</v>
      </c>
      <c r="D19" s="20">
        <v>10506002674.23</v>
      </c>
      <c r="E19" s="21">
        <v>10033964873.73</v>
      </c>
      <c r="F19" s="22">
        <v>472037800.5</v>
      </c>
      <c r="G19" s="23">
        <v>4.7043995712586772E-2</v>
      </c>
      <c r="H19" s="21"/>
      <c r="I19" s="20">
        <v>10122315000.84</v>
      </c>
      <c r="J19" s="22">
        <v>-88350127.110000551</v>
      </c>
    </row>
    <row r="20" spans="2:10" x14ac:dyDescent="0.5">
      <c r="B20" s="1" t="s">
        <v>56</v>
      </c>
      <c r="C20" s="19" t="s">
        <v>57</v>
      </c>
      <c r="D20" s="20">
        <v>128314176.58499999</v>
      </c>
      <c r="E20" s="21">
        <v>131146699.63499999</v>
      </c>
      <c r="F20" s="22">
        <v>-2832523.0499999961</v>
      </c>
      <c r="G20" s="23">
        <v>-2.1598126814348473E-2</v>
      </c>
      <c r="H20" s="21"/>
      <c r="I20" s="20">
        <v>134058737.50500001</v>
      </c>
      <c r="J20" s="22">
        <v>-2912037.8700000141</v>
      </c>
    </row>
    <row r="21" spans="2:10" x14ac:dyDescent="0.5">
      <c r="B21" s="1" t="s">
        <v>58</v>
      </c>
      <c r="C21" s="19" t="s">
        <v>59</v>
      </c>
      <c r="D21" s="20">
        <v>434.7</v>
      </c>
      <c r="E21" s="21">
        <v>29205659.699999999</v>
      </c>
      <c r="F21" s="22">
        <v>-29205225</v>
      </c>
      <c r="G21" s="23">
        <v>-0.99998511589861472</v>
      </c>
      <c r="H21" s="21"/>
      <c r="I21" s="20">
        <v>497070962.84999996</v>
      </c>
      <c r="J21" s="22">
        <v>-467865303.14999998</v>
      </c>
    </row>
    <row r="22" spans="2:10" x14ac:dyDescent="0.5">
      <c r="B22" s="1" t="s">
        <v>60</v>
      </c>
      <c r="C22" s="19" t="s">
        <v>60</v>
      </c>
      <c r="D22" s="20">
        <v>34673826.18</v>
      </c>
      <c r="E22" s="21">
        <v>60477027.659999996</v>
      </c>
      <c r="F22" s="22">
        <v>-25803201.479999997</v>
      </c>
      <c r="G22" s="23">
        <v>-0.42666120473156866</v>
      </c>
      <c r="H22" s="21"/>
      <c r="I22" s="20">
        <v>79639071.644999996</v>
      </c>
      <c r="J22" s="22">
        <v>-19162043.985000003</v>
      </c>
    </row>
    <row r="23" spans="2:10" x14ac:dyDescent="0.5">
      <c r="B23" s="1" t="s">
        <v>97</v>
      </c>
      <c r="C23" s="19" t="s">
        <v>97</v>
      </c>
      <c r="D23" s="34">
        <v>7475448658.0342703</v>
      </c>
      <c r="E23" s="21">
        <v>6277320188.2444487</v>
      </c>
      <c r="F23" s="22">
        <v>1198128469.7898216</v>
      </c>
      <c r="G23" s="23">
        <v>0.19086623493151733</v>
      </c>
      <c r="H23" s="21"/>
      <c r="I23" s="20">
        <v>5744515510.5706282</v>
      </c>
      <c r="J23" s="22">
        <v>532804677.67382097</v>
      </c>
    </row>
    <row r="24" spans="2:10" x14ac:dyDescent="0.5">
      <c r="B24" s="1" t="s">
        <v>67</v>
      </c>
      <c r="C24" s="19" t="s">
        <v>68</v>
      </c>
      <c r="D24" s="20">
        <v>241287496.48500001</v>
      </c>
      <c r="E24" s="21">
        <v>378270580.48500001</v>
      </c>
      <c r="F24" s="22">
        <v>-136983084</v>
      </c>
      <c r="G24" s="23">
        <v>-0.36212989078972779</v>
      </c>
      <c r="H24" s="21"/>
      <c r="I24" s="20">
        <v>288613329.26999998</v>
      </c>
      <c r="J24" s="22">
        <v>89657251.215000018</v>
      </c>
    </row>
    <row r="25" spans="2:10" x14ac:dyDescent="0.5">
      <c r="B25" s="1" t="s">
        <v>69</v>
      </c>
      <c r="C25" s="19" t="s">
        <v>70</v>
      </c>
      <c r="D25" s="20">
        <v>169385312.66999999</v>
      </c>
      <c r="E25" s="21">
        <v>413014282.17000002</v>
      </c>
      <c r="F25" s="22">
        <v>-243628969.5</v>
      </c>
      <c r="G25" s="23">
        <v>-0.58988025358338669</v>
      </c>
      <c r="H25" s="21"/>
      <c r="I25" s="20">
        <v>612536959.86000001</v>
      </c>
      <c r="J25" s="22">
        <v>-199522677.69</v>
      </c>
    </row>
    <row r="26" spans="2:10" x14ac:dyDescent="0.5">
      <c r="B26" s="1" t="s">
        <v>71</v>
      </c>
      <c r="C26" s="19" t="s">
        <v>72</v>
      </c>
      <c r="D26" s="34">
        <v>3558600215.1000013</v>
      </c>
      <c r="E26" s="21">
        <v>3802109481.7650013</v>
      </c>
      <c r="F26" s="22">
        <v>-243509266.6650002</v>
      </c>
      <c r="G26" s="23">
        <v>-6.4045832407739978E-2</v>
      </c>
      <c r="H26" s="21"/>
      <c r="I26" s="20">
        <v>2171143924.6349998</v>
      </c>
      <c r="J26" s="22">
        <v>1630965557.1300015</v>
      </c>
    </row>
    <row r="27" spans="2:10" x14ac:dyDescent="0.5">
      <c r="B27" s="1" t="s">
        <v>75</v>
      </c>
      <c r="C27" s="19" t="s">
        <v>76</v>
      </c>
      <c r="D27" s="20">
        <v>11057397935.115</v>
      </c>
      <c r="E27" s="21">
        <v>9834034226.1000004</v>
      </c>
      <c r="F27" s="22">
        <v>1223363709.0149994</v>
      </c>
      <c r="G27" s="35">
        <v>0.1244010017545123</v>
      </c>
      <c r="H27" s="21"/>
      <c r="I27" s="20">
        <v>6031010110.7549992</v>
      </c>
      <c r="J27" s="22">
        <v>3803024115.3450012</v>
      </c>
    </row>
    <row r="28" spans="2:10" x14ac:dyDescent="0.5">
      <c r="B28" s="1" t="s">
        <v>77</v>
      </c>
      <c r="C28" s="19" t="s">
        <v>78</v>
      </c>
      <c r="D28" s="20">
        <v>6882568046.3400002</v>
      </c>
      <c r="E28" s="21">
        <v>6994572679.8149996</v>
      </c>
      <c r="F28" s="22">
        <v>-112004633.47499925</v>
      </c>
      <c r="G28" s="35">
        <v>-1.6013077367574291E-2</v>
      </c>
      <c r="H28" s="21"/>
      <c r="I28" s="20">
        <v>6269180677.3049994</v>
      </c>
      <c r="J28" s="22">
        <v>725392002.50999999</v>
      </c>
    </row>
    <row r="29" spans="2:10" x14ac:dyDescent="0.5">
      <c r="B29" s="1" t="s">
        <v>79</v>
      </c>
      <c r="C29" s="19" t="s">
        <v>80</v>
      </c>
      <c r="D29" s="34">
        <v>4587819884.3400002</v>
      </c>
      <c r="E29" s="21">
        <v>2659284709.1999998</v>
      </c>
      <c r="F29" s="22">
        <v>1928535175.1400001</v>
      </c>
      <c r="G29" s="23">
        <v>0.72520823681198343</v>
      </c>
      <c r="H29" s="21"/>
      <c r="I29" s="20">
        <v>2222801678.1599998</v>
      </c>
      <c r="J29" s="22">
        <v>436483031.0399999</v>
      </c>
    </row>
    <row r="30" spans="2:10" x14ac:dyDescent="0.5">
      <c r="B30" s="1" t="s">
        <v>81</v>
      </c>
      <c r="C30" s="19" t="s">
        <v>82</v>
      </c>
      <c r="D30" s="34">
        <v>1130477606.0550001</v>
      </c>
      <c r="E30" s="21">
        <v>1817053867.9650002</v>
      </c>
      <c r="F30" s="22">
        <v>-686576261.91000021</v>
      </c>
      <c r="G30" s="23">
        <v>-0.37785135268385173</v>
      </c>
      <c r="H30" s="21"/>
      <c r="I30" s="20">
        <v>2566477289.145</v>
      </c>
      <c r="J30" s="22">
        <v>-749423421.17999995</v>
      </c>
    </row>
    <row r="31" spans="2:10" x14ac:dyDescent="0.5">
      <c r="C31" s="19"/>
      <c r="D31" s="20">
        <v>0</v>
      </c>
      <c r="E31" s="21">
        <v>0</v>
      </c>
      <c r="F31" s="22">
        <v>0</v>
      </c>
      <c r="G31" s="23" t="s">
        <v>47</v>
      </c>
      <c r="H31" s="21"/>
      <c r="I31" s="20">
        <v>0</v>
      </c>
      <c r="J31" s="22">
        <v>0</v>
      </c>
    </row>
    <row r="32" spans="2:10" x14ac:dyDescent="0.5">
      <c r="C32" s="29" t="s">
        <v>83</v>
      </c>
      <c r="D32" s="30">
        <v>48580186252.934265</v>
      </c>
      <c r="E32" s="31">
        <v>45135772385.529457</v>
      </c>
      <c r="F32" s="32">
        <v>3444413867.4048223</v>
      </c>
      <c r="G32" s="33">
        <v>7.6312283702252293E-2</v>
      </c>
      <c r="H32" s="31"/>
      <c r="I32" s="30">
        <v>39468568967.230621</v>
      </c>
      <c r="J32" s="32">
        <v>5667203418.2988234</v>
      </c>
    </row>
    <row r="33" spans="2:14" x14ac:dyDescent="0.5">
      <c r="C33" s="19"/>
      <c r="D33" s="20">
        <v>0</v>
      </c>
      <c r="E33" s="21">
        <v>0</v>
      </c>
      <c r="F33" s="22">
        <v>0</v>
      </c>
      <c r="G33" s="23" t="s">
        <v>47</v>
      </c>
      <c r="H33" s="21"/>
      <c r="I33" s="20">
        <v>0</v>
      </c>
      <c r="J33" s="22">
        <v>0</v>
      </c>
    </row>
    <row r="34" spans="2:14" x14ac:dyDescent="0.5">
      <c r="C34" s="29" t="s">
        <v>84</v>
      </c>
      <c r="D34" s="30">
        <v>0</v>
      </c>
      <c r="E34" s="31">
        <v>0</v>
      </c>
      <c r="F34" s="32">
        <v>0</v>
      </c>
      <c r="G34" s="33" t="s">
        <v>47</v>
      </c>
      <c r="H34" s="31"/>
      <c r="I34" s="30">
        <v>0</v>
      </c>
      <c r="J34" s="32">
        <v>0</v>
      </c>
    </row>
    <row r="35" spans="2:14" x14ac:dyDescent="0.5">
      <c r="B35" s="1" t="s">
        <v>98</v>
      </c>
      <c r="C35" s="19" t="s">
        <v>98</v>
      </c>
      <c r="D35" s="20">
        <v>36214482460.182869</v>
      </c>
      <c r="E35" s="21">
        <v>33775210062.361187</v>
      </c>
      <c r="F35" s="22">
        <v>2439272397.8216801</v>
      </c>
      <c r="G35" s="35">
        <v>7.2220791323515332E-2</v>
      </c>
      <c r="H35" s="21"/>
      <c r="I35" s="20">
        <v>27291566323.869362</v>
      </c>
      <c r="J35" s="22">
        <v>6483643738.4918251</v>
      </c>
    </row>
    <row r="36" spans="2:14" x14ac:dyDescent="0.5">
      <c r="B36" s="1" t="s">
        <v>91</v>
      </c>
      <c r="C36" s="19" t="s">
        <v>91</v>
      </c>
      <c r="D36" s="20">
        <v>228492810.41999999</v>
      </c>
      <c r="E36" s="21">
        <v>296464324.58999997</v>
      </c>
      <c r="F36" s="22">
        <v>-67971514.169999987</v>
      </c>
      <c r="G36" s="23">
        <v>-0.22927384016273211</v>
      </c>
      <c r="H36" s="21"/>
      <c r="I36" s="20">
        <v>327951293.45999998</v>
      </c>
      <c r="J36" s="22">
        <v>-31486968.870000012</v>
      </c>
    </row>
    <row r="37" spans="2:14" x14ac:dyDescent="0.5">
      <c r="B37" s="1" t="s">
        <v>92</v>
      </c>
      <c r="C37" s="19" t="s">
        <v>92</v>
      </c>
      <c r="D37" s="20">
        <v>681971154.16500008</v>
      </c>
      <c r="E37" s="21">
        <v>894004767.49499977</v>
      </c>
      <c r="F37" s="22">
        <v>-212033613.32999977</v>
      </c>
      <c r="G37" s="23">
        <v>-0.23717279933989355</v>
      </c>
      <c r="H37" s="21"/>
      <c r="I37" s="20">
        <v>1442419687.3800001</v>
      </c>
      <c r="J37" s="22">
        <v>-548414919.88500023</v>
      </c>
    </row>
    <row r="38" spans="2:14" x14ac:dyDescent="0.5">
      <c r="C38" s="19"/>
      <c r="D38" s="20">
        <v>0</v>
      </c>
      <c r="E38" s="21">
        <v>0</v>
      </c>
      <c r="F38" s="22">
        <v>0</v>
      </c>
      <c r="G38" s="23" t="s">
        <v>47</v>
      </c>
      <c r="H38" s="21"/>
      <c r="I38" s="20">
        <v>0</v>
      </c>
      <c r="J38" s="22">
        <v>0</v>
      </c>
    </row>
    <row r="39" spans="2:14" x14ac:dyDescent="0.5">
      <c r="C39" s="29" t="s">
        <v>93</v>
      </c>
      <c r="D39" s="30">
        <v>37124946424.767868</v>
      </c>
      <c r="E39" s="31">
        <v>34965679154.44619</v>
      </c>
      <c r="F39" s="32">
        <v>2159267270.3216801</v>
      </c>
      <c r="G39" s="33">
        <v>6.17539061885235E-2</v>
      </c>
      <c r="H39" s="31"/>
      <c r="I39" s="30">
        <v>29061937304.709362</v>
      </c>
      <c r="J39" s="32">
        <v>5903741849.736825</v>
      </c>
    </row>
    <row r="40" spans="2:14" x14ac:dyDescent="0.5">
      <c r="C40" s="19"/>
      <c r="D40" s="20">
        <v>0</v>
      </c>
      <c r="E40" s="21">
        <v>0</v>
      </c>
      <c r="F40" s="22">
        <v>0</v>
      </c>
      <c r="G40" s="23" t="s">
        <v>47</v>
      </c>
      <c r="H40" s="21"/>
      <c r="I40" s="20">
        <v>0</v>
      </c>
      <c r="J40" s="22">
        <v>0</v>
      </c>
    </row>
    <row r="41" spans="2:14" s="24" customFormat="1" ht="17.5" thickBot="1" x14ac:dyDescent="0.55000000000000004">
      <c r="C41" s="25" t="s">
        <v>94</v>
      </c>
      <c r="D41" s="26">
        <v>11455239828.166403</v>
      </c>
      <c r="E41" s="27">
        <v>10170093231.083269</v>
      </c>
      <c r="F41" s="27">
        <v>1285146597.083142</v>
      </c>
      <c r="G41" s="28">
        <v>0.12636527196774239</v>
      </c>
      <c r="H41" s="27"/>
      <c r="I41" s="26">
        <v>10406631662.521263</v>
      </c>
      <c r="J41" s="36">
        <v>-236538431.43800175</v>
      </c>
      <c r="L41" s="1"/>
      <c r="M41" s="1"/>
      <c r="N41" s="1"/>
    </row>
    <row r="42" spans="2:14" ht="17.5" thickTop="1" x14ac:dyDescent="0.5">
      <c r="C42" s="19"/>
      <c r="D42" s="37"/>
      <c r="E42" s="38"/>
      <c r="F42" s="38"/>
      <c r="G42" s="38"/>
      <c r="H42" s="38"/>
      <c r="I42" s="37">
        <v>0</v>
      </c>
      <c r="J42" s="38">
        <v>0</v>
      </c>
    </row>
    <row r="43" spans="2:14" x14ac:dyDescent="0.5">
      <c r="C43" s="39" t="s">
        <v>95</v>
      </c>
      <c r="D43" s="40">
        <v>-0.33371901512145996</v>
      </c>
      <c r="E43" s="41">
        <v>1.0121567249298096</v>
      </c>
      <c r="F43" s="41">
        <v>-1.3458748459815979</v>
      </c>
      <c r="G43" s="41"/>
      <c r="H43" s="41"/>
      <c r="I43" s="40">
        <v>-0.46044325828552246</v>
      </c>
      <c r="J43" s="41">
        <v>-4.8346542119979858</v>
      </c>
    </row>
    <row r="60" spans="4:6" x14ac:dyDescent="0.5">
      <c r="D60" s="42"/>
      <c r="E60" s="42"/>
      <c r="F60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34BE-F7F8-431B-8DF1-9AB3F9C0F6BD}">
  <sheetPr>
    <tabColor rgb="FF0137A6"/>
  </sheetPr>
  <dimension ref="B1:I56"/>
  <sheetViews>
    <sheetView zoomScale="80" zoomScaleNormal="80" workbookViewId="0">
      <selection sqref="A1:XFD1048576"/>
    </sheetView>
  </sheetViews>
  <sheetFormatPr defaultRowHeight="17" x14ac:dyDescent="0.5"/>
  <cols>
    <col min="1" max="1" width="3" style="1" customWidth="1"/>
    <col min="2" max="2" width="57.453125" style="1" customWidth="1"/>
    <col min="3" max="5" width="15.453125" style="1" customWidth="1"/>
    <col min="6" max="6" width="40.453125" style="1" customWidth="1"/>
    <col min="7" max="7" width="9.54296875" style="1" bestFit="1" customWidth="1"/>
    <col min="8" max="8" width="15.453125" style="1" customWidth="1"/>
    <col min="9" max="9" width="11.1796875" style="1" bestFit="1" customWidth="1"/>
    <col min="10" max="10" width="9.54296875" style="1" bestFit="1" customWidth="1"/>
    <col min="11" max="11" width="13.7265625" style="1" bestFit="1" customWidth="1"/>
    <col min="12" max="12" width="8.54296875" style="1" bestFit="1" customWidth="1"/>
    <col min="13" max="13" width="9.453125" style="1" bestFit="1" customWidth="1"/>
    <col min="14" max="15" width="9.54296875" style="1" customWidth="1"/>
    <col min="16" max="16" width="11.453125" style="1" bestFit="1" customWidth="1"/>
    <col min="17" max="18" width="11.26953125" style="1" bestFit="1" customWidth="1"/>
    <col min="19" max="19" width="9.81640625" style="1" bestFit="1" customWidth="1"/>
    <col min="20" max="16384" width="8.7265625" style="1"/>
  </cols>
  <sheetData>
    <row r="1" spans="2:8" s="1" customFormat="1" x14ac:dyDescent="0.5">
      <c r="B1" s="43" t="s">
        <v>0</v>
      </c>
      <c r="C1" s="44"/>
      <c r="D1" s="44"/>
      <c r="E1" s="44"/>
      <c r="F1" s="45"/>
      <c r="H1" s="46"/>
    </row>
    <row r="2" spans="2:8" s="1" customFormat="1" x14ac:dyDescent="0.5">
      <c r="B2" s="47" t="s">
        <v>1</v>
      </c>
      <c r="C2" s="48"/>
      <c r="D2" s="48"/>
      <c r="E2" s="48"/>
      <c r="F2" s="49"/>
      <c r="H2" s="50"/>
    </row>
    <row r="3" spans="2:8" s="1" customFormat="1" x14ac:dyDescent="0.5">
      <c r="B3" s="51" t="str">
        <f>"FOR THE PERIOD ENDED "&amp;TEXT([1]Index!$C$3,"DD MMMM YYYY")</f>
        <v>FOR THE PERIOD ENDED 31 December 2023</v>
      </c>
      <c r="C3" s="52"/>
      <c r="D3" s="52"/>
      <c r="E3" s="52"/>
      <c r="F3" s="53"/>
      <c r="H3" s="54"/>
    </row>
    <row r="4" spans="2:8" s="1" customFormat="1" x14ac:dyDescent="0.5">
      <c r="B4" s="55" t="s">
        <v>99</v>
      </c>
      <c r="C4" s="56">
        <f>CurrentMonth</f>
        <v>45291</v>
      </c>
      <c r="D4" s="57">
        <f>CurrentMonth-365</f>
        <v>44926</v>
      </c>
      <c r="E4" s="57" t="s">
        <v>5</v>
      </c>
      <c r="F4" s="58" t="s">
        <v>6</v>
      </c>
      <c r="H4" s="56">
        <f>CurrentMonth-365-365</f>
        <v>44561</v>
      </c>
    </row>
    <row r="5" spans="2:8" s="1" customFormat="1" x14ac:dyDescent="0.5">
      <c r="B5" s="55" t="s">
        <v>4</v>
      </c>
      <c r="C5" s="56"/>
      <c r="D5" s="57"/>
      <c r="E5" s="57"/>
      <c r="F5" s="58"/>
      <c r="H5" s="56"/>
    </row>
    <row r="6" spans="2:8" s="1" customFormat="1" ht="14.15" customHeight="1" x14ac:dyDescent="0.5">
      <c r="B6" s="37" t="s">
        <v>7</v>
      </c>
      <c r="C6" s="59">
        <v>37578553.011299998</v>
      </c>
      <c r="D6" s="59">
        <v>32495604.605940003</v>
      </c>
      <c r="E6" s="60">
        <f>IFERROR((C6/D6)-1,"")</f>
        <v>0.15641956710757321</v>
      </c>
      <c r="F6" s="37"/>
      <c r="H6" s="59">
        <v>23953943.332712401</v>
      </c>
    </row>
    <row r="7" spans="2:8" s="1" customFormat="1" ht="14.15" customHeight="1" x14ac:dyDescent="0.5">
      <c r="B7" s="37"/>
      <c r="C7" s="59">
        <v>0</v>
      </c>
      <c r="D7" s="59">
        <v>0</v>
      </c>
      <c r="E7" s="60" t="str">
        <f t="shared" ref="E7:E44" si="0">IFERROR((C7/D7)-1,"")</f>
        <v/>
      </c>
      <c r="F7" s="37"/>
      <c r="H7" s="59">
        <v>0</v>
      </c>
    </row>
    <row r="8" spans="2:8" s="1" customFormat="1" ht="14.15" customHeight="1" x14ac:dyDescent="0.5">
      <c r="B8" s="61" t="s">
        <v>100</v>
      </c>
      <c r="C8" s="62">
        <v>36544058.048819996</v>
      </c>
      <c r="D8" s="62">
        <v>28903536.537302703</v>
      </c>
      <c r="E8" s="63">
        <f t="shared" si="0"/>
        <v>0.26434555860167808</v>
      </c>
      <c r="F8" s="61"/>
      <c r="H8" s="62">
        <v>22639375.829267405</v>
      </c>
    </row>
    <row r="9" spans="2:8" s="1" customFormat="1" ht="14.15" customHeight="1" x14ac:dyDescent="0.5">
      <c r="B9" s="37"/>
      <c r="C9" s="59">
        <v>0</v>
      </c>
      <c r="D9" s="59">
        <v>0</v>
      </c>
      <c r="E9" s="60" t="str">
        <f t="shared" si="0"/>
        <v/>
      </c>
      <c r="F9" s="37"/>
      <c r="H9" s="59">
        <v>0</v>
      </c>
    </row>
    <row r="10" spans="2:8" s="1" customFormat="1" ht="14.15" customHeight="1" x14ac:dyDescent="0.5">
      <c r="B10" s="37" t="s">
        <v>101</v>
      </c>
      <c r="C10" s="64">
        <v>-18778500.114962034</v>
      </c>
      <c r="D10" s="59">
        <v>-14442200.577335285</v>
      </c>
      <c r="E10" s="60">
        <f>IFERROR((C10/D10)-1,"")</f>
        <v>0.30025199514483103</v>
      </c>
      <c r="F10" s="37"/>
      <c r="H10" s="59">
        <v>-11038285.474715978</v>
      </c>
    </row>
    <row r="11" spans="2:8" s="1" customFormat="1" x14ac:dyDescent="0.5">
      <c r="B11" s="37" t="s">
        <v>102</v>
      </c>
      <c r="C11" s="59">
        <v>-3844611.1496511023</v>
      </c>
      <c r="D11" s="59">
        <v>-3651004.9552963558</v>
      </c>
      <c r="E11" s="60">
        <f t="shared" si="0"/>
        <v>5.3028192710034672E-2</v>
      </c>
      <c r="F11" s="37"/>
      <c r="H11" s="59">
        <v>-3255530.1788660334</v>
      </c>
    </row>
    <row r="12" spans="2:8" s="1" customFormat="1" x14ac:dyDescent="0.5">
      <c r="B12" s="37" t="s">
        <v>103</v>
      </c>
      <c r="C12" s="59">
        <v>-3830102.8593449998</v>
      </c>
      <c r="D12" s="59">
        <v>-3517620.4512749924</v>
      </c>
      <c r="E12" s="60">
        <f t="shared" si="0"/>
        <v>8.8833463529797596E-2</v>
      </c>
      <c r="F12" s="37"/>
      <c r="H12" s="59">
        <v>-2731108.97535</v>
      </c>
    </row>
    <row r="13" spans="2:8" s="1" customFormat="1" x14ac:dyDescent="0.5">
      <c r="B13" s="37" t="s">
        <v>104</v>
      </c>
      <c r="C13" s="59">
        <v>17620.566889893533</v>
      </c>
      <c r="D13" s="59">
        <v>48406.087816125742</v>
      </c>
      <c r="E13" s="60">
        <f t="shared" si="0"/>
        <v>-0.63598448697555121</v>
      </c>
      <c r="F13" s="37"/>
      <c r="H13" s="59">
        <v>-1418519.6994322515</v>
      </c>
    </row>
    <row r="14" spans="2:8" s="1" customFormat="1" x14ac:dyDescent="0.5">
      <c r="B14" s="37" t="s">
        <v>105</v>
      </c>
      <c r="C14" s="59">
        <v>292884.29579018871</v>
      </c>
      <c r="D14" s="59">
        <v>-767454.83513108199</v>
      </c>
      <c r="E14" s="60">
        <f t="shared" si="0"/>
        <v>-1.3816306607022208</v>
      </c>
      <c r="F14" s="37"/>
      <c r="H14" s="59">
        <v>-954903.65712251328</v>
      </c>
    </row>
    <row r="15" spans="2:8" s="1" customFormat="1" x14ac:dyDescent="0.5">
      <c r="B15" s="65" t="s">
        <v>106</v>
      </c>
      <c r="C15" s="66">
        <v>-26142709.261278052</v>
      </c>
      <c r="D15" s="66">
        <v>-22329874.731221586</v>
      </c>
      <c r="E15" s="67">
        <f t="shared" si="0"/>
        <v>0.17075037705990215</v>
      </c>
      <c r="F15" s="65"/>
      <c r="H15" s="66">
        <v>-19398347.985486776</v>
      </c>
    </row>
    <row r="16" spans="2:8" s="1" customFormat="1" ht="6.65" customHeight="1" x14ac:dyDescent="0.5">
      <c r="B16" s="37"/>
      <c r="C16" s="59">
        <v>0</v>
      </c>
      <c r="D16" s="59">
        <v>0</v>
      </c>
      <c r="E16" s="60" t="str">
        <f t="shared" si="0"/>
        <v/>
      </c>
      <c r="F16" s="37"/>
      <c r="H16" s="59">
        <v>0</v>
      </c>
    </row>
    <row r="17" spans="2:9" s="1" customFormat="1" x14ac:dyDescent="0.5">
      <c r="B17" s="37" t="s">
        <v>107</v>
      </c>
      <c r="C17" s="59">
        <v>-14029378.229799341</v>
      </c>
      <c r="D17" s="59">
        <v>-9906701.9987250026</v>
      </c>
      <c r="E17" s="60">
        <f t="shared" si="0"/>
        <v>0.41615022149701586</v>
      </c>
      <c r="F17" s="37"/>
      <c r="H17" s="59">
        <v>-8140563.7143291645</v>
      </c>
    </row>
    <row r="18" spans="2:9" s="1" customFormat="1" x14ac:dyDescent="0.5">
      <c r="B18" s="37" t="s">
        <v>102</v>
      </c>
      <c r="C18" s="59">
        <v>-41233.943505147705</v>
      </c>
      <c r="D18" s="59">
        <v>-39430.899555895048</v>
      </c>
      <c r="E18" s="60">
        <f t="shared" si="0"/>
        <v>4.5726675514890625E-2</v>
      </c>
      <c r="F18" s="37"/>
      <c r="H18" s="59">
        <v>-39792.441596916295</v>
      </c>
    </row>
    <row r="19" spans="2:9" s="1" customFormat="1" x14ac:dyDescent="0.5">
      <c r="B19" s="37" t="s">
        <v>108</v>
      </c>
      <c r="C19" s="59">
        <v>3281012.1972470861</v>
      </c>
      <c r="D19" s="59">
        <v>1684303.9863612815</v>
      </c>
      <c r="E19" s="60">
        <f t="shared" si="0"/>
        <v>0.94799289428464983</v>
      </c>
      <c r="F19" s="37"/>
      <c r="H19" s="59">
        <v>2424735.8433812722</v>
      </c>
    </row>
    <row r="20" spans="2:9" s="1" customFormat="1" x14ac:dyDescent="0.5">
      <c r="B20" s="37" t="s">
        <v>109</v>
      </c>
      <c r="C20" s="59">
        <v>1482991.4482085269</v>
      </c>
      <c r="D20" s="59">
        <v>1290498.1003950003</v>
      </c>
      <c r="E20" s="60">
        <f t="shared" si="0"/>
        <v>0.14916205436847019</v>
      </c>
      <c r="F20" s="37"/>
      <c r="H20" s="59">
        <v>1224070.6539464092</v>
      </c>
    </row>
    <row r="21" spans="2:9" s="1" customFormat="1" x14ac:dyDescent="0.5">
      <c r="B21" s="37" t="s">
        <v>104</v>
      </c>
      <c r="C21" s="59">
        <v>7001.1108952710811</v>
      </c>
      <c r="D21" s="59">
        <v>-28229.223850635721</v>
      </c>
      <c r="E21" s="60">
        <f t="shared" si="0"/>
        <v>-1.2480093300586235</v>
      </c>
      <c r="F21" s="37"/>
      <c r="H21" s="59">
        <v>137069.91502555381</v>
      </c>
    </row>
    <row r="22" spans="2:9" s="1" customFormat="1" x14ac:dyDescent="0.5">
      <c r="B22" s="37" t="s">
        <v>110</v>
      </c>
      <c r="C22" s="59">
        <v>-9913.4104979368421</v>
      </c>
      <c r="D22" s="59">
        <v>16048.648635516704</v>
      </c>
      <c r="E22" s="60">
        <f t="shared" si="0"/>
        <v>-1.6177099843782372</v>
      </c>
      <c r="F22" s="37"/>
      <c r="H22" s="59">
        <v>19652.411734415353</v>
      </c>
      <c r="I22" s="42"/>
    </row>
    <row r="23" spans="2:9" s="1" customFormat="1" x14ac:dyDescent="0.5">
      <c r="B23" s="65" t="s">
        <v>111</v>
      </c>
      <c r="C23" s="66">
        <v>-9309520.827451542</v>
      </c>
      <c r="D23" s="66">
        <v>-6983511.3867397327</v>
      </c>
      <c r="E23" s="67">
        <f t="shared" si="0"/>
        <v>0.33307161854542522</v>
      </c>
      <c r="F23" s="65"/>
      <c r="H23" s="66">
        <v>-4374827.3318384299</v>
      </c>
    </row>
    <row r="24" spans="2:9" s="1" customFormat="1" ht="9" customHeight="1" x14ac:dyDescent="0.5">
      <c r="B24" s="37"/>
      <c r="C24" s="59">
        <v>0</v>
      </c>
      <c r="D24" s="59">
        <v>0</v>
      </c>
      <c r="E24" s="60" t="str">
        <f t="shared" si="0"/>
        <v/>
      </c>
      <c r="F24" s="37"/>
      <c r="H24" s="59">
        <v>0</v>
      </c>
    </row>
    <row r="25" spans="2:9" s="1" customFormat="1" x14ac:dyDescent="0.5">
      <c r="B25" s="68" t="s">
        <v>112</v>
      </c>
      <c r="C25" s="69">
        <v>1091827.9600904062</v>
      </c>
      <c r="D25" s="69">
        <v>-409849.58065861784</v>
      </c>
      <c r="E25" s="70">
        <f t="shared" si="0"/>
        <v>-3.6639723733177099</v>
      </c>
      <c r="F25" s="68"/>
      <c r="H25" s="69">
        <v>-1133799.4880578015</v>
      </c>
    </row>
    <row r="26" spans="2:9" s="1" customFormat="1" x14ac:dyDescent="0.5">
      <c r="B26" s="37"/>
      <c r="C26" s="59">
        <v>0</v>
      </c>
      <c r="D26" s="59">
        <v>0</v>
      </c>
      <c r="E26" s="60" t="str">
        <f t="shared" si="0"/>
        <v/>
      </c>
      <c r="F26" s="37"/>
      <c r="H26" s="59">
        <v>0</v>
      </c>
    </row>
    <row r="27" spans="2:9" s="1" customFormat="1" x14ac:dyDescent="0.5">
      <c r="B27" s="37" t="s">
        <v>13</v>
      </c>
      <c r="C27" s="59">
        <v>2261554.64451</v>
      </c>
      <c r="D27" s="59">
        <v>1758054.124575</v>
      </c>
      <c r="E27" s="60">
        <f t="shared" si="0"/>
        <v>0.28639648398579221</v>
      </c>
      <c r="F27" s="37"/>
      <c r="H27" s="59">
        <v>1487500.2040500003</v>
      </c>
    </row>
    <row r="28" spans="2:9" s="1" customFormat="1" x14ac:dyDescent="0.5">
      <c r="B28" s="37" t="s">
        <v>14</v>
      </c>
      <c r="C28" s="59">
        <v>391388.18365499994</v>
      </c>
      <c r="D28" s="59">
        <v>484578.42404999997</v>
      </c>
      <c r="E28" s="60">
        <f t="shared" si="0"/>
        <v>-0.19231198866869981</v>
      </c>
      <c r="F28" s="37"/>
      <c r="H28" s="59">
        <v>704418.69875999994</v>
      </c>
    </row>
    <row r="29" spans="2:9" s="1" customFormat="1" x14ac:dyDescent="0.5">
      <c r="B29" s="37" t="s">
        <v>16</v>
      </c>
      <c r="C29" s="59">
        <v>468557.28045000002</v>
      </c>
      <c r="D29" s="59">
        <v>-337979.68028999999</v>
      </c>
      <c r="E29" s="60">
        <f t="shared" si="0"/>
        <v>-2.386347487067741</v>
      </c>
      <c r="F29" s="37"/>
      <c r="H29" s="59">
        <v>-725498.10815999995</v>
      </c>
    </row>
    <row r="30" spans="2:9" s="1" customFormat="1" x14ac:dyDescent="0.5">
      <c r="B30" s="37" t="s">
        <v>113</v>
      </c>
      <c r="C30" s="59">
        <v>72417.51804000001</v>
      </c>
      <c r="D30" s="59">
        <v>55277.788019999985</v>
      </c>
      <c r="E30" s="60">
        <f t="shared" si="0"/>
        <v>0.31006541024757928</v>
      </c>
      <c r="F30" s="37"/>
      <c r="H30" s="59">
        <v>51572.754974999989</v>
      </c>
    </row>
    <row r="31" spans="2:9" s="1" customFormat="1" x14ac:dyDescent="0.5">
      <c r="B31" s="37" t="s">
        <v>114</v>
      </c>
      <c r="C31" s="59">
        <v>-517523.1670547392</v>
      </c>
      <c r="D31" s="59">
        <v>-373626.24733157468</v>
      </c>
      <c r="E31" s="60">
        <f t="shared" si="0"/>
        <v>0.38513600356203881</v>
      </c>
      <c r="F31" s="37"/>
      <c r="H31" s="59">
        <v>-337031.6517886169</v>
      </c>
    </row>
    <row r="32" spans="2:9" s="1" customFormat="1" x14ac:dyDescent="0.5">
      <c r="B32" s="37" t="s">
        <v>115</v>
      </c>
      <c r="C32" s="59">
        <v>126118.71018039875</v>
      </c>
      <c r="D32" s="59">
        <v>82161.997837658069</v>
      </c>
      <c r="E32" s="60">
        <f t="shared" si="0"/>
        <v>0.53500052943690224</v>
      </c>
      <c r="F32" s="37"/>
      <c r="H32" s="59">
        <v>35827.593284385744</v>
      </c>
    </row>
    <row r="33" spans="2:9" s="1" customFormat="1" x14ac:dyDescent="0.5">
      <c r="B33" s="65" t="s">
        <v>116</v>
      </c>
      <c r="C33" s="66">
        <v>2802513.1697806595</v>
      </c>
      <c r="D33" s="66">
        <v>1668466.4068610836</v>
      </c>
      <c r="E33" s="67">
        <f t="shared" si="0"/>
        <v>0.67969409408312798</v>
      </c>
      <c r="F33" s="65"/>
      <c r="H33" s="66">
        <v>1216789.4911207692</v>
      </c>
    </row>
    <row r="34" spans="2:9" s="1" customFormat="1" ht="8.15" customHeight="1" x14ac:dyDescent="0.5">
      <c r="B34" s="37"/>
      <c r="C34" s="59">
        <v>0</v>
      </c>
      <c r="D34" s="59">
        <v>0</v>
      </c>
      <c r="E34" s="60" t="str">
        <f t="shared" si="0"/>
        <v/>
      </c>
      <c r="F34" s="37"/>
      <c r="H34" s="59">
        <v>0</v>
      </c>
    </row>
    <row r="35" spans="2:9" s="1" customFormat="1" x14ac:dyDescent="0.5">
      <c r="B35" s="68" t="s">
        <v>117</v>
      </c>
      <c r="C35" s="69">
        <v>3894341.1298710657</v>
      </c>
      <c r="D35" s="69">
        <v>1258616.8262024657</v>
      </c>
      <c r="E35" s="70">
        <f t="shared" si="0"/>
        <v>2.0941435461507232</v>
      </c>
      <c r="F35" s="68"/>
      <c r="H35" s="69">
        <v>82990.003062967473</v>
      </c>
    </row>
    <row r="36" spans="2:9" s="1" customFormat="1" x14ac:dyDescent="0.5">
      <c r="B36" s="37"/>
      <c r="C36" s="59">
        <v>0</v>
      </c>
      <c r="D36" s="59">
        <v>0</v>
      </c>
      <c r="E36" s="60" t="str">
        <f t="shared" si="0"/>
        <v/>
      </c>
      <c r="F36" s="37"/>
      <c r="H36" s="59">
        <v>0</v>
      </c>
    </row>
    <row r="37" spans="2:9" s="1" customFormat="1" x14ac:dyDescent="0.5">
      <c r="B37" s="37" t="s">
        <v>118</v>
      </c>
      <c r="C37" s="59">
        <v>0</v>
      </c>
      <c r="D37" s="59">
        <v>0</v>
      </c>
      <c r="E37" s="60" t="str">
        <f t="shared" si="0"/>
        <v/>
      </c>
      <c r="F37" s="37"/>
      <c r="H37" s="59">
        <v>0</v>
      </c>
    </row>
    <row r="38" spans="2:9" s="1" customFormat="1" x14ac:dyDescent="0.5">
      <c r="B38" s="37" t="s">
        <v>119</v>
      </c>
      <c r="C38" s="59">
        <v>-1714110.6156562499</v>
      </c>
      <c r="D38" s="59">
        <v>-719263.95991274994</v>
      </c>
      <c r="E38" s="60">
        <f t="shared" si="0"/>
        <v>1.3831454253097561</v>
      </c>
      <c r="F38" s="37"/>
      <c r="H38" s="59">
        <v>-1026648.3888370499</v>
      </c>
    </row>
    <row r="39" spans="2:9" s="1" customFormat="1" x14ac:dyDescent="0.5">
      <c r="B39" s="37"/>
      <c r="C39" s="59">
        <v>0</v>
      </c>
      <c r="D39" s="59">
        <v>0</v>
      </c>
      <c r="E39" s="60"/>
      <c r="F39" s="37"/>
      <c r="H39" s="59">
        <v>0</v>
      </c>
      <c r="I39" s="71"/>
    </row>
    <row r="40" spans="2:9" s="1" customFormat="1" ht="17.5" thickBot="1" x14ac:dyDescent="0.55000000000000004">
      <c r="B40" s="72" t="s">
        <v>120</v>
      </c>
      <c r="C40" s="73">
        <v>2180230.514214816</v>
      </c>
      <c r="D40" s="73">
        <v>539352.86628971575</v>
      </c>
      <c r="E40" s="74">
        <f t="shared" ref="E40" si="1">IFERROR((C40/D40)-1,"")</f>
        <v>3.0423082002195123</v>
      </c>
      <c r="F40" s="72"/>
      <c r="H40" s="73">
        <v>-943658.3857740825</v>
      </c>
    </row>
    <row r="41" spans="2:9" s="1" customFormat="1" ht="17.5" thickTop="1" x14ac:dyDescent="0.5">
      <c r="B41" s="37"/>
      <c r="C41" s="59">
        <v>0</v>
      </c>
      <c r="D41" s="59">
        <v>0</v>
      </c>
      <c r="E41" s="75"/>
      <c r="F41" s="37"/>
      <c r="H41" s="59">
        <v>0</v>
      </c>
      <c r="I41" s="76"/>
    </row>
    <row r="42" spans="2:9" s="1" customFormat="1" x14ac:dyDescent="0.5">
      <c r="B42" s="77" t="s">
        <v>28</v>
      </c>
      <c r="C42" s="59">
        <v>296276.92499999999</v>
      </c>
      <c r="D42" s="59">
        <v>275593.37945999997</v>
      </c>
      <c r="E42" s="75"/>
      <c r="F42" s="37"/>
      <c r="H42" s="59">
        <v>450454.23160499992</v>
      </c>
    </row>
    <row r="43" spans="2:9" s="1" customFormat="1" x14ac:dyDescent="0.5">
      <c r="B43" s="37"/>
      <c r="C43" s="37">
        <v>0</v>
      </c>
      <c r="D43" s="37">
        <v>0</v>
      </c>
      <c r="E43" s="75" t="str">
        <f t="shared" si="0"/>
        <v/>
      </c>
      <c r="F43" s="37"/>
      <c r="H43" s="37">
        <v>0</v>
      </c>
    </row>
    <row r="44" spans="2:9" s="1" customFormat="1" ht="17.5" thickBot="1" x14ac:dyDescent="0.55000000000000004">
      <c r="B44" s="72" t="s">
        <v>29</v>
      </c>
      <c r="C44" s="73">
        <v>1883953.589214816</v>
      </c>
      <c r="D44" s="73">
        <v>263759.48682971578</v>
      </c>
      <c r="E44" s="78">
        <f t="shared" si="0"/>
        <v>6.14269508126206</v>
      </c>
      <c r="F44" s="72"/>
      <c r="H44" s="73">
        <v>-1394112.6173790824</v>
      </c>
    </row>
    <row r="45" spans="2:9" s="1" customFormat="1" ht="17.5" thickTop="1" x14ac:dyDescent="0.5">
      <c r="B45" s="77"/>
      <c r="C45" s="79">
        <v>0</v>
      </c>
      <c r="D45" s="80">
        <v>0</v>
      </c>
      <c r="E45" s="81"/>
      <c r="F45" s="82"/>
      <c r="H45" s="79">
        <v>0</v>
      </c>
    </row>
    <row r="46" spans="2:9" s="1" customFormat="1" x14ac:dyDescent="0.5">
      <c r="B46" s="77" t="s">
        <v>30</v>
      </c>
      <c r="C46" s="83">
        <v>0</v>
      </c>
      <c r="D46" s="84">
        <v>0</v>
      </c>
      <c r="E46" s="85"/>
      <c r="F46" s="82"/>
      <c r="H46" s="83">
        <v>0</v>
      </c>
    </row>
    <row r="47" spans="2:9" s="1" customFormat="1" x14ac:dyDescent="0.5">
      <c r="B47" s="77"/>
      <c r="C47" s="83">
        <v>0</v>
      </c>
      <c r="D47" s="84">
        <v>0</v>
      </c>
      <c r="E47" s="85"/>
      <c r="F47" s="82"/>
      <c r="H47" s="83">
        <v>0</v>
      </c>
    </row>
    <row r="48" spans="2:9" s="1" customFormat="1" x14ac:dyDescent="0.5">
      <c r="B48" s="86" t="s">
        <v>31</v>
      </c>
      <c r="C48" s="87">
        <v>0</v>
      </c>
      <c r="D48" s="88">
        <v>0</v>
      </c>
      <c r="E48" s="81"/>
      <c r="F48" s="89"/>
      <c r="H48" s="87">
        <v>0</v>
      </c>
    </row>
    <row r="49" spans="2:8" s="1" customFormat="1" x14ac:dyDescent="0.5">
      <c r="B49" s="90" t="s">
        <v>32</v>
      </c>
      <c r="C49" s="91">
        <v>128383.12294011784</v>
      </c>
      <c r="D49" s="92">
        <v>20284.559925000001</v>
      </c>
      <c r="E49" s="85">
        <f>IFERROR((C49/D49)-1,"")</f>
        <v>5.3291056554739544</v>
      </c>
      <c r="F49" s="93"/>
      <c r="H49" s="91">
        <v>20284.559925000001</v>
      </c>
    </row>
    <row r="50" spans="2:8" s="1" customFormat="1" x14ac:dyDescent="0.5">
      <c r="B50" s="90" t="s">
        <v>33</v>
      </c>
      <c r="C50" s="94">
        <v>-202910.6006025</v>
      </c>
      <c r="D50" s="95">
        <v>4417.5063555000006</v>
      </c>
      <c r="E50" s="96">
        <f>IFERROR((C50/D50)-1,"")</f>
        <v>-46.93329002229207</v>
      </c>
      <c r="F50" s="93"/>
      <c r="H50" s="94">
        <v>4417.5063555000006</v>
      </c>
    </row>
    <row r="51" spans="2:8" s="1" customFormat="1" x14ac:dyDescent="0.5">
      <c r="B51" s="77"/>
      <c r="C51" s="91">
        <v>0</v>
      </c>
      <c r="D51" s="92">
        <v>0</v>
      </c>
      <c r="E51" s="85"/>
      <c r="F51" s="82"/>
      <c r="H51" s="91">
        <v>0</v>
      </c>
    </row>
    <row r="52" spans="2:8" s="1" customFormat="1" x14ac:dyDescent="0.5">
      <c r="B52" s="97" t="s">
        <v>34</v>
      </c>
      <c r="C52" s="79">
        <v>-74527.477662382138</v>
      </c>
      <c r="D52" s="80">
        <v>24702.066280499999</v>
      </c>
      <c r="E52" s="81">
        <f>IFERROR((C52/D52)-1,"")</f>
        <v>-4.0170543960208995</v>
      </c>
      <c r="F52" s="98"/>
      <c r="H52" s="79">
        <v>24702.066280499999</v>
      </c>
    </row>
    <row r="53" spans="2:8" s="1" customFormat="1" ht="17.5" thickBot="1" x14ac:dyDescent="0.55000000000000004">
      <c r="B53" s="77"/>
      <c r="C53" s="99">
        <v>0</v>
      </c>
      <c r="D53" s="100">
        <v>0</v>
      </c>
      <c r="E53" s="101"/>
      <c r="F53" s="82"/>
      <c r="H53" s="99">
        <v>0</v>
      </c>
    </row>
    <row r="54" spans="2:8" s="1" customFormat="1" ht="17.5" thickTop="1" x14ac:dyDescent="0.5">
      <c r="B54" s="102"/>
      <c r="C54" s="103">
        <v>0</v>
      </c>
      <c r="D54" s="104">
        <v>0</v>
      </c>
      <c r="E54" s="105"/>
      <c r="F54" s="106"/>
      <c r="H54" s="103">
        <v>0</v>
      </c>
    </row>
    <row r="55" spans="2:8" s="1" customFormat="1" ht="17.5" thickBot="1" x14ac:dyDescent="0.55000000000000004">
      <c r="B55" s="107" t="s">
        <v>35</v>
      </c>
      <c r="C55" s="108">
        <v>1809426.1115524338</v>
      </c>
      <c r="D55" s="109">
        <v>288461.55311021581</v>
      </c>
      <c r="E55" s="110">
        <f>IFERROR((C55/D55)-1,"")</f>
        <v>5.2726768681755161</v>
      </c>
      <c r="F55" s="111"/>
      <c r="H55" s="108">
        <v>-1369410.5510985823</v>
      </c>
    </row>
    <row r="56" spans="2:8" s="1" customFormat="1" ht="17.5" thickTop="1" x14ac:dyDescent="0.5">
      <c r="B56" s="112"/>
      <c r="C56" s="113"/>
      <c r="D56" s="114"/>
      <c r="E56" s="115"/>
      <c r="F56" s="116"/>
      <c r="H56" s="1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35D0CE-C5EA-49CE-892E-92E3E59C24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2C79EC-1FF0-47B9-912F-A558835E16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2d9f5-199c-4212-8ee5-c011be210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980CFB-24AE-46D8-B857-FC9123295F0C}">
  <ds:schemaRefs>
    <ds:schemaRef ds:uri="dfa2d9f5-199c-4212-8ee5-c011be210f49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 IFRS 4</vt:lpstr>
      <vt:lpstr>BS-IFRS4</vt:lpstr>
      <vt:lpstr>BS IFRS 17</vt:lpstr>
      <vt:lpstr>P&amp;L IFRS 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Kerubo</dc:creator>
  <cp:keywords/>
  <dc:description/>
  <cp:lastModifiedBy>Vanessa Moraa</cp:lastModifiedBy>
  <cp:revision/>
  <dcterms:created xsi:type="dcterms:W3CDTF">2024-06-06T13:47:53Z</dcterms:created>
  <dcterms:modified xsi:type="dcterms:W3CDTF">2025-12-09T08:42:37Z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